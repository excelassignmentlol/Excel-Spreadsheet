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1982156\Downloads\"/>
    </mc:Choice>
  </mc:AlternateContent>
  <xr:revisionPtr revIDLastSave="0" documentId="8_{F1A6024D-4E70-4F7E-BD32-73ED42637DC7}" xr6:coauthVersionLast="47" xr6:coauthVersionMax="47" xr10:uidLastSave="{00000000-0000-0000-0000-000000000000}"/>
  <bookViews>
    <workbookView xWindow="-120" yWindow="-120" windowWidth="29040" windowHeight="15840" firstSheet="1" activeTab="1" xr2:uid="{6DDBBE24-B7D4-4A66-8233-48E2FF33BF9C}"/>
  </bookViews>
  <sheets>
    <sheet name="Sheet1" sheetId="1" r:id="rId1"/>
    <sheet name="New companies lol " sheetId="3" r:id="rId2"/>
  </sheets>
  <functionGroups builtInGroupCount="19"/>
  <definedNames>
    <definedName name="solver_adj" localSheetId="1" hidden="1">'New companies lol '!#REF!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'New companies lol '!#REF!</definedName>
    <definedName name="solver_lhs2" localSheetId="1" hidden="1">'New companies lol '!#REF!</definedName>
    <definedName name="solver_lhs3" localSheetId="1" hidden="1">'New companies lol '!#REF!</definedName>
    <definedName name="solver_lhs4" localSheetId="1" hidden="1">'New companies lol '!#REF!</definedName>
    <definedName name="solver_lhs5" localSheetId="1" hidden="1">'New companies lol '!#REF!</definedName>
    <definedName name="solver_lhs6" localSheetId="1" hidden="1">'New companies lol '!#REF!</definedName>
    <definedName name="solver_lhs7" localSheetId="1" hidden="1">'New companies lol '!#REF!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7</definedName>
    <definedName name="solver_nwt" localSheetId="1" hidden="1">1</definedName>
    <definedName name="solver_opt" localSheetId="1" hidden="1">'New companies lol '!#REF!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el2" localSheetId="1" hidden="1">3</definedName>
    <definedName name="solver_rel3" localSheetId="1" hidden="1">1</definedName>
    <definedName name="solver_rel4" localSheetId="1" hidden="1">3</definedName>
    <definedName name="solver_rel5" localSheetId="1" hidden="1">1</definedName>
    <definedName name="solver_rel6" localSheetId="1" hidden="1">3</definedName>
    <definedName name="solver_rel7" localSheetId="1" hidden="1">2</definedName>
    <definedName name="solver_rhs1" localSheetId="1" hidden="1">1</definedName>
    <definedName name="solver_rhs2" localSheetId="1" hidden="1">0</definedName>
    <definedName name="solver_rhs3" localSheetId="1" hidden="1">1</definedName>
    <definedName name="solver_rhs4" localSheetId="1" hidden="1">0</definedName>
    <definedName name="solver_rhs5" localSheetId="1" hidden="1">1</definedName>
    <definedName name="solver_rhs6" localSheetId="1" hidden="1">0</definedName>
    <definedName name="solver_rhs7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80" i="3" l="1"/>
  <c r="Q180" i="3" s="1"/>
  <c r="R180" i="3" s="1"/>
  <c r="S180" i="3" s="1"/>
  <c r="T180" i="3" s="1"/>
  <c r="U180" i="3" s="1"/>
  <c r="V180" i="3" s="1"/>
  <c r="W180" i="3" s="1"/>
  <c r="X180" i="3" s="1"/>
  <c r="Y180" i="3" s="1"/>
  <c r="P179" i="3"/>
  <c r="Q179" i="3" s="1"/>
  <c r="R179" i="3" s="1"/>
  <c r="S179" i="3" s="1"/>
  <c r="T179" i="3" s="1"/>
  <c r="U179" i="3" s="1"/>
  <c r="V179" i="3" s="1"/>
  <c r="W179" i="3" s="1"/>
  <c r="X179" i="3" s="1"/>
  <c r="Y179" i="3" s="1"/>
  <c r="AC147" i="3"/>
  <c r="AD148" i="3"/>
  <c r="AA149" i="3"/>
  <c r="Q153" i="3"/>
  <c r="W153" i="3"/>
  <c r="AD153" i="3"/>
  <c r="P156" i="3"/>
  <c r="V156" i="3"/>
  <c r="AC156" i="3"/>
  <c r="P157" i="3"/>
  <c r="V157" i="3"/>
  <c r="AC157" i="3"/>
  <c r="Q159" i="3"/>
  <c r="R159" i="3"/>
  <c r="W159" i="3"/>
  <c r="X159" i="3"/>
  <c r="AD159" i="3"/>
  <c r="AE159" i="3"/>
  <c r="Q160" i="3"/>
  <c r="R160" i="3"/>
  <c r="W160" i="3"/>
  <c r="X160" i="3"/>
  <c r="AD160" i="3"/>
  <c r="AE160" i="3"/>
  <c r="P162" i="3"/>
  <c r="V162" i="3"/>
  <c r="AC162" i="3"/>
  <c r="A165" i="3" l="1"/>
  <c r="F165" i="3"/>
  <c r="G162" i="3"/>
  <c r="G163" i="3"/>
  <c r="F164" i="3"/>
  <c r="G165" i="3"/>
  <c r="F163" i="3"/>
  <c r="G164" i="3"/>
  <c r="F162" i="3"/>
  <c r="E163" i="3"/>
  <c r="E164" i="3"/>
  <c r="E165" i="3"/>
  <c r="N134" i="3" a="1"/>
  <c r="E162" i="3"/>
  <c r="N134" i="3" l="1"/>
  <c r="G4" i="3" l="1"/>
  <c r="H145" i="3"/>
  <c r="B131" i="3"/>
  <c r="C163" i="3" s="1"/>
  <c r="E4" i="3"/>
  <c r="G129" i="3"/>
  <c r="F129" i="3"/>
  <c r="E129" i="3"/>
  <c r="G128" i="3"/>
  <c r="F128" i="3"/>
  <c r="E128" i="3"/>
  <c r="H128" i="3" s="1"/>
  <c r="K128" i="3" s="1"/>
  <c r="G127" i="3"/>
  <c r="F127" i="3"/>
  <c r="E127" i="3"/>
  <c r="H127" i="3" s="1"/>
  <c r="K127" i="3" s="1"/>
  <c r="G126" i="3"/>
  <c r="F126" i="3"/>
  <c r="E126" i="3"/>
  <c r="H126" i="3" s="1"/>
  <c r="K126" i="3" s="1"/>
  <c r="G125" i="3"/>
  <c r="F125" i="3"/>
  <c r="E125" i="3"/>
  <c r="H125" i="3" s="1"/>
  <c r="K125" i="3" s="1"/>
  <c r="G124" i="3"/>
  <c r="F124" i="3"/>
  <c r="E124" i="3"/>
  <c r="H124" i="3" s="1"/>
  <c r="K124" i="3" s="1"/>
  <c r="G123" i="3"/>
  <c r="F123" i="3"/>
  <c r="E123" i="3"/>
  <c r="H123" i="3" s="1"/>
  <c r="K123" i="3" s="1"/>
  <c r="G122" i="3"/>
  <c r="F122" i="3"/>
  <c r="E122" i="3"/>
  <c r="H122" i="3" s="1"/>
  <c r="K122" i="3" s="1"/>
  <c r="G121" i="3"/>
  <c r="F121" i="3"/>
  <c r="E121" i="3"/>
  <c r="H121" i="3" s="1"/>
  <c r="K121" i="3" s="1"/>
  <c r="G120" i="3"/>
  <c r="F120" i="3"/>
  <c r="E120" i="3"/>
  <c r="H120" i="3" s="1"/>
  <c r="K120" i="3" s="1"/>
  <c r="G119" i="3"/>
  <c r="F119" i="3"/>
  <c r="E119" i="3"/>
  <c r="H119" i="3" s="1"/>
  <c r="K119" i="3" s="1"/>
  <c r="G118" i="3"/>
  <c r="F118" i="3"/>
  <c r="E118" i="3"/>
  <c r="H118" i="3" s="1"/>
  <c r="K118" i="3" s="1"/>
  <c r="G117" i="3"/>
  <c r="F117" i="3"/>
  <c r="E117" i="3"/>
  <c r="H117" i="3" s="1"/>
  <c r="K117" i="3" s="1"/>
  <c r="G116" i="3"/>
  <c r="F116" i="3"/>
  <c r="E116" i="3"/>
  <c r="H116" i="3" s="1"/>
  <c r="K116" i="3" s="1"/>
  <c r="G115" i="3"/>
  <c r="F115" i="3"/>
  <c r="E115" i="3"/>
  <c r="H115" i="3" s="1"/>
  <c r="K115" i="3" s="1"/>
  <c r="G114" i="3"/>
  <c r="F114" i="3"/>
  <c r="E114" i="3"/>
  <c r="H114" i="3" s="1"/>
  <c r="K114" i="3" s="1"/>
  <c r="G113" i="3"/>
  <c r="F113" i="3"/>
  <c r="E113" i="3"/>
  <c r="H113" i="3" s="1"/>
  <c r="K113" i="3" s="1"/>
  <c r="G112" i="3"/>
  <c r="F112" i="3"/>
  <c r="E112" i="3"/>
  <c r="H112" i="3" s="1"/>
  <c r="K112" i="3" s="1"/>
  <c r="G111" i="3"/>
  <c r="F111" i="3"/>
  <c r="E111" i="3"/>
  <c r="H111" i="3" s="1"/>
  <c r="K111" i="3" s="1"/>
  <c r="G110" i="3"/>
  <c r="F110" i="3"/>
  <c r="E110" i="3"/>
  <c r="H110" i="3" s="1"/>
  <c r="K110" i="3" s="1"/>
  <c r="G109" i="3"/>
  <c r="F109" i="3"/>
  <c r="E109" i="3"/>
  <c r="H109" i="3" s="1"/>
  <c r="K109" i="3" s="1"/>
  <c r="G108" i="3"/>
  <c r="F108" i="3"/>
  <c r="E108" i="3"/>
  <c r="H108" i="3" s="1"/>
  <c r="K108" i="3" s="1"/>
  <c r="G107" i="3"/>
  <c r="F107" i="3"/>
  <c r="E107" i="3"/>
  <c r="H107" i="3" s="1"/>
  <c r="K107" i="3" s="1"/>
  <c r="G106" i="3"/>
  <c r="F106" i="3"/>
  <c r="E106" i="3"/>
  <c r="H106" i="3" s="1"/>
  <c r="K106" i="3" s="1"/>
  <c r="G105" i="3"/>
  <c r="F105" i="3"/>
  <c r="E105" i="3"/>
  <c r="H105" i="3" s="1"/>
  <c r="K105" i="3" s="1"/>
  <c r="G104" i="3"/>
  <c r="F104" i="3"/>
  <c r="E104" i="3"/>
  <c r="H104" i="3" s="1"/>
  <c r="K104" i="3" s="1"/>
  <c r="G103" i="3"/>
  <c r="F103" i="3"/>
  <c r="E103" i="3"/>
  <c r="H103" i="3" s="1"/>
  <c r="K103" i="3" s="1"/>
  <c r="G102" i="3"/>
  <c r="F102" i="3"/>
  <c r="E102" i="3"/>
  <c r="H102" i="3" s="1"/>
  <c r="K102" i="3" s="1"/>
  <c r="G101" i="3"/>
  <c r="F101" i="3"/>
  <c r="E101" i="3"/>
  <c r="H101" i="3" s="1"/>
  <c r="K101" i="3" s="1"/>
  <c r="G100" i="3"/>
  <c r="F100" i="3"/>
  <c r="E100" i="3"/>
  <c r="H100" i="3" s="1"/>
  <c r="K100" i="3" s="1"/>
  <c r="G99" i="3"/>
  <c r="F99" i="3"/>
  <c r="E99" i="3"/>
  <c r="H99" i="3" s="1"/>
  <c r="K99" i="3" s="1"/>
  <c r="G98" i="3"/>
  <c r="F98" i="3"/>
  <c r="E98" i="3"/>
  <c r="H98" i="3" s="1"/>
  <c r="K98" i="3" s="1"/>
  <c r="G97" i="3"/>
  <c r="F97" i="3"/>
  <c r="E97" i="3"/>
  <c r="H97" i="3" s="1"/>
  <c r="K97" i="3" s="1"/>
  <c r="G96" i="3"/>
  <c r="F96" i="3"/>
  <c r="E96" i="3"/>
  <c r="H96" i="3" s="1"/>
  <c r="K96" i="3" s="1"/>
  <c r="G95" i="3"/>
  <c r="F95" i="3"/>
  <c r="E95" i="3"/>
  <c r="H95" i="3" s="1"/>
  <c r="K95" i="3" s="1"/>
  <c r="G94" i="3"/>
  <c r="F94" i="3"/>
  <c r="E94" i="3"/>
  <c r="H94" i="3" s="1"/>
  <c r="K94" i="3" s="1"/>
  <c r="G93" i="3"/>
  <c r="F93" i="3"/>
  <c r="E93" i="3"/>
  <c r="H93" i="3" s="1"/>
  <c r="K93" i="3" s="1"/>
  <c r="G92" i="3"/>
  <c r="F92" i="3"/>
  <c r="E92" i="3"/>
  <c r="H92" i="3" s="1"/>
  <c r="K92" i="3" s="1"/>
  <c r="G91" i="3"/>
  <c r="F91" i="3"/>
  <c r="E91" i="3"/>
  <c r="H91" i="3" s="1"/>
  <c r="K91" i="3" s="1"/>
  <c r="G90" i="3"/>
  <c r="F90" i="3"/>
  <c r="E90" i="3"/>
  <c r="H90" i="3" s="1"/>
  <c r="K90" i="3" s="1"/>
  <c r="G89" i="3"/>
  <c r="F89" i="3"/>
  <c r="E89" i="3"/>
  <c r="H89" i="3" s="1"/>
  <c r="K89" i="3" s="1"/>
  <c r="G88" i="3"/>
  <c r="F88" i="3"/>
  <c r="E88" i="3"/>
  <c r="H88" i="3" s="1"/>
  <c r="K88" i="3" s="1"/>
  <c r="G87" i="3"/>
  <c r="F87" i="3"/>
  <c r="E87" i="3"/>
  <c r="H87" i="3" s="1"/>
  <c r="K87" i="3" s="1"/>
  <c r="G86" i="3"/>
  <c r="F86" i="3"/>
  <c r="E86" i="3"/>
  <c r="H86" i="3" s="1"/>
  <c r="K86" i="3" s="1"/>
  <c r="G85" i="3"/>
  <c r="F85" i="3"/>
  <c r="E85" i="3"/>
  <c r="H85" i="3" s="1"/>
  <c r="K85" i="3" s="1"/>
  <c r="G84" i="3"/>
  <c r="F84" i="3"/>
  <c r="E84" i="3"/>
  <c r="H84" i="3" s="1"/>
  <c r="K84" i="3" s="1"/>
  <c r="G83" i="3"/>
  <c r="F83" i="3"/>
  <c r="E83" i="3"/>
  <c r="H83" i="3" s="1"/>
  <c r="K83" i="3" s="1"/>
  <c r="G82" i="3"/>
  <c r="F82" i="3"/>
  <c r="E82" i="3"/>
  <c r="H82" i="3" s="1"/>
  <c r="K82" i="3" s="1"/>
  <c r="G81" i="3"/>
  <c r="F81" i="3"/>
  <c r="E81" i="3"/>
  <c r="H81" i="3" s="1"/>
  <c r="K81" i="3" s="1"/>
  <c r="G80" i="3"/>
  <c r="F80" i="3"/>
  <c r="E80" i="3"/>
  <c r="H80" i="3" s="1"/>
  <c r="K80" i="3" s="1"/>
  <c r="G79" i="3"/>
  <c r="F79" i="3"/>
  <c r="E79" i="3"/>
  <c r="H79" i="3" s="1"/>
  <c r="K79" i="3" s="1"/>
  <c r="G78" i="3"/>
  <c r="F78" i="3"/>
  <c r="E78" i="3"/>
  <c r="H78" i="3" s="1"/>
  <c r="K78" i="3" s="1"/>
  <c r="G77" i="3"/>
  <c r="F77" i="3"/>
  <c r="E77" i="3"/>
  <c r="H77" i="3" s="1"/>
  <c r="K77" i="3" s="1"/>
  <c r="G76" i="3"/>
  <c r="F76" i="3"/>
  <c r="E76" i="3"/>
  <c r="H76" i="3" s="1"/>
  <c r="K76" i="3" s="1"/>
  <c r="G75" i="3"/>
  <c r="F75" i="3"/>
  <c r="E75" i="3"/>
  <c r="H75" i="3" s="1"/>
  <c r="K75" i="3" s="1"/>
  <c r="G74" i="3"/>
  <c r="F74" i="3"/>
  <c r="E74" i="3"/>
  <c r="H74" i="3" s="1"/>
  <c r="K74" i="3" s="1"/>
  <c r="G73" i="3"/>
  <c r="F73" i="3"/>
  <c r="E73" i="3"/>
  <c r="H73" i="3" s="1"/>
  <c r="K73" i="3" s="1"/>
  <c r="G72" i="3"/>
  <c r="F72" i="3"/>
  <c r="E72" i="3"/>
  <c r="H72" i="3" s="1"/>
  <c r="K72" i="3" s="1"/>
  <c r="G71" i="3"/>
  <c r="F71" i="3"/>
  <c r="E71" i="3"/>
  <c r="H71" i="3" s="1"/>
  <c r="K71" i="3" s="1"/>
  <c r="G70" i="3"/>
  <c r="F70" i="3"/>
  <c r="E70" i="3"/>
  <c r="H70" i="3" s="1"/>
  <c r="K70" i="3" s="1"/>
  <c r="G69" i="3"/>
  <c r="F69" i="3"/>
  <c r="E69" i="3"/>
  <c r="H69" i="3" s="1"/>
  <c r="K69" i="3" s="1"/>
  <c r="G68" i="3"/>
  <c r="F68" i="3"/>
  <c r="E68" i="3"/>
  <c r="H68" i="3" s="1"/>
  <c r="K68" i="3" s="1"/>
  <c r="G67" i="3"/>
  <c r="F67" i="3"/>
  <c r="E67" i="3"/>
  <c r="H67" i="3" s="1"/>
  <c r="K67" i="3" s="1"/>
  <c r="G66" i="3"/>
  <c r="F66" i="3"/>
  <c r="E66" i="3"/>
  <c r="H66" i="3" s="1"/>
  <c r="K66" i="3" s="1"/>
  <c r="G65" i="3"/>
  <c r="F65" i="3"/>
  <c r="E65" i="3"/>
  <c r="H65" i="3" s="1"/>
  <c r="K65" i="3" s="1"/>
  <c r="G64" i="3"/>
  <c r="F64" i="3"/>
  <c r="E64" i="3"/>
  <c r="H64" i="3" s="1"/>
  <c r="K64" i="3" s="1"/>
  <c r="G63" i="3"/>
  <c r="F63" i="3"/>
  <c r="E63" i="3"/>
  <c r="H63" i="3" s="1"/>
  <c r="K63" i="3" s="1"/>
  <c r="G62" i="3"/>
  <c r="F62" i="3"/>
  <c r="E62" i="3"/>
  <c r="H62" i="3" s="1"/>
  <c r="K62" i="3" s="1"/>
  <c r="G61" i="3"/>
  <c r="F61" i="3"/>
  <c r="E61" i="3"/>
  <c r="H61" i="3" s="1"/>
  <c r="K61" i="3" s="1"/>
  <c r="G60" i="3"/>
  <c r="F60" i="3"/>
  <c r="E60" i="3"/>
  <c r="H60" i="3" s="1"/>
  <c r="K60" i="3" s="1"/>
  <c r="G59" i="3"/>
  <c r="F59" i="3"/>
  <c r="E59" i="3"/>
  <c r="H59" i="3" s="1"/>
  <c r="K59" i="3" s="1"/>
  <c r="G58" i="3"/>
  <c r="F58" i="3"/>
  <c r="E58" i="3"/>
  <c r="H58" i="3" s="1"/>
  <c r="K58" i="3" s="1"/>
  <c r="G57" i="3"/>
  <c r="F57" i="3"/>
  <c r="E57" i="3"/>
  <c r="H57" i="3" s="1"/>
  <c r="K57" i="3" s="1"/>
  <c r="G56" i="3"/>
  <c r="F56" i="3"/>
  <c r="E56" i="3"/>
  <c r="H56" i="3" s="1"/>
  <c r="K56" i="3" s="1"/>
  <c r="G55" i="3"/>
  <c r="F55" i="3"/>
  <c r="E55" i="3"/>
  <c r="H55" i="3" s="1"/>
  <c r="K55" i="3" s="1"/>
  <c r="G54" i="3"/>
  <c r="F54" i="3"/>
  <c r="E54" i="3"/>
  <c r="H54" i="3" s="1"/>
  <c r="K54" i="3" s="1"/>
  <c r="G53" i="3"/>
  <c r="F53" i="3"/>
  <c r="E53" i="3"/>
  <c r="H53" i="3" s="1"/>
  <c r="K53" i="3" s="1"/>
  <c r="G52" i="3"/>
  <c r="F52" i="3"/>
  <c r="E52" i="3"/>
  <c r="H52" i="3" s="1"/>
  <c r="K52" i="3" s="1"/>
  <c r="G51" i="3"/>
  <c r="F51" i="3"/>
  <c r="E51" i="3"/>
  <c r="H51" i="3" s="1"/>
  <c r="K51" i="3" s="1"/>
  <c r="G50" i="3"/>
  <c r="F50" i="3"/>
  <c r="E50" i="3"/>
  <c r="H50" i="3" s="1"/>
  <c r="K50" i="3" s="1"/>
  <c r="G49" i="3"/>
  <c r="F49" i="3"/>
  <c r="E49" i="3"/>
  <c r="H49" i="3" s="1"/>
  <c r="K49" i="3" s="1"/>
  <c r="G48" i="3"/>
  <c r="F48" i="3"/>
  <c r="E48" i="3"/>
  <c r="H48" i="3" s="1"/>
  <c r="K48" i="3" s="1"/>
  <c r="G47" i="3"/>
  <c r="F47" i="3"/>
  <c r="E47" i="3"/>
  <c r="H47" i="3" s="1"/>
  <c r="K47" i="3" s="1"/>
  <c r="G46" i="3"/>
  <c r="F46" i="3"/>
  <c r="E46" i="3"/>
  <c r="H46" i="3" s="1"/>
  <c r="K46" i="3" s="1"/>
  <c r="G45" i="3"/>
  <c r="F45" i="3"/>
  <c r="E45" i="3"/>
  <c r="H45" i="3" s="1"/>
  <c r="K45" i="3" s="1"/>
  <c r="G44" i="3"/>
  <c r="F44" i="3"/>
  <c r="E44" i="3"/>
  <c r="H44" i="3" s="1"/>
  <c r="K44" i="3" s="1"/>
  <c r="G43" i="3"/>
  <c r="F43" i="3"/>
  <c r="E43" i="3"/>
  <c r="H43" i="3" s="1"/>
  <c r="K43" i="3" s="1"/>
  <c r="G42" i="3"/>
  <c r="F42" i="3"/>
  <c r="E42" i="3"/>
  <c r="H42" i="3" s="1"/>
  <c r="K42" i="3" s="1"/>
  <c r="G41" i="3"/>
  <c r="F41" i="3"/>
  <c r="E41" i="3"/>
  <c r="H41" i="3" s="1"/>
  <c r="K41" i="3" s="1"/>
  <c r="G40" i="3"/>
  <c r="F40" i="3"/>
  <c r="E40" i="3"/>
  <c r="H40" i="3" s="1"/>
  <c r="K40" i="3" s="1"/>
  <c r="G39" i="3"/>
  <c r="F39" i="3"/>
  <c r="E39" i="3"/>
  <c r="H39" i="3" s="1"/>
  <c r="K39" i="3" s="1"/>
  <c r="G38" i="3"/>
  <c r="F38" i="3"/>
  <c r="E38" i="3"/>
  <c r="H38" i="3" s="1"/>
  <c r="K38" i="3" s="1"/>
  <c r="G37" i="3"/>
  <c r="F37" i="3"/>
  <c r="E37" i="3"/>
  <c r="H37" i="3" s="1"/>
  <c r="K37" i="3" s="1"/>
  <c r="G36" i="3"/>
  <c r="F36" i="3"/>
  <c r="E36" i="3"/>
  <c r="H36" i="3" s="1"/>
  <c r="K36" i="3" s="1"/>
  <c r="G35" i="3"/>
  <c r="F35" i="3"/>
  <c r="E35" i="3"/>
  <c r="H35" i="3" s="1"/>
  <c r="K35" i="3" s="1"/>
  <c r="G34" i="3"/>
  <c r="F34" i="3"/>
  <c r="E34" i="3"/>
  <c r="H34" i="3" s="1"/>
  <c r="K34" i="3" s="1"/>
  <c r="G33" i="3"/>
  <c r="F33" i="3"/>
  <c r="E33" i="3"/>
  <c r="H33" i="3" s="1"/>
  <c r="K33" i="3" s="1"/>
  <c r="G32" i="3"/>
  <c r="F32" i="3"/>
  <c r="E32" i="3"/>
  <c r="H32" i="3" s="1"/>
  <c r="K32" i="3" s="1"/>
  <c r="G31" i="3"/>
  <c r="F31" i="3"/>
  <c r="E31" i="3"/>
  <c r="H31" i="3" s="1"/>
  <c r="K31" i="3" s="1"/>
  <c r="G30" i="3"/>
  <c r="F30" i="3"/>
  <c r="E30" i="3"/>
  <c r="H30" i="3" s="1"/>
  <c r="K30" i="3" s="1"/>
  <c r="G29" i="3"/>
  <c r="F29" i="3"/>
  <c r="E29" i="3"/>
  <c r="H29" i="3" s="1"/>
  <c r="K29" i="3" s="1"/>
  <c r="G28" i="3"/>
  <c r="F28" i="3"/>
  <c r="E28" i="3"/>
  <c r="H28" i="3" s="1"/>
  <c r="K28" i="3" s="1"/>
  <c r="G27" i="3"/>
  <c r="F27" i="3"/>
  <c r="E27" i="3"/>
  <c r="H27" i="3" s="1"/>
  <c r="K27" i="3" s="1"/>
  <c r="G26" i="3"/>
  <c r="F26" i="3"/>
  <c r="E26" i="3"/>
  <c r="H26" i="3" s="1"/>
  <c r="K26" i="3" s="1"/>
  <c r="G25" i="3"/>
  <c r="F25" i="3"/>
  <c r="E25" i="3"/>
  <c r="H25" i="3" s="1"/>
  <c r="K25" i="3" s="1"/>
  <c r="G24" i="3"/>
  <c r="F24" i="3"/>
  <c r="E24" i="3"/>
  <c r="H24" i="3" s="1"/>
  <c r="K24" i="3" s="1"/>
  <c r="G23" i="3"/>
  <c r="F23" i="3"/>
  <c r="E23" i="3"/>
  <c r="H23" i="3" s="1"/>
  <c r="K23" i="3" s="1"/>
  <c r="G22" i="3"/>
  <c r="F22" i="3"/>
  <c r="E22" i="3"/>
  <c r="H22" i="3" s="1"/>
  <c r="K22" i="3" s="1"/>
  <c r="G21" i="3"/>
  <c r="F21" i="3"/>
  <c r="E21" i="3"/>
  <c r="H21" i="3" s="1"/>
  <c r="K21" i="3" s="1"/>
  <c r="G20" i="3"/>
  <c r="F20" i="3"/>
  <c r="E20" i="3"/>
  <c r="H20" i="3" s="1"/>
  <c r="K20" i="3" s="1"/>
  <c r="G19" i="3"/>
  <c r="F19" i="3"/>
  <c r="E19" i="3"/>
  <c r="H19" i="3" s="1"/>
  <c r="K19" i="3" s="1"/>
  <c r="G18" i="3"/>
  <c r="F18" i="3"/>
  <c r="E18" i="3"/>
  <c r="H18" i="3" s="1"/>
  <c r="K18" i="3" s="1"/>
  <c r="G17" i="3"/>
  <c r="F17" i="3"/>
  <c r="E17" i="3"/>
  <c r="H17" i="3" s="1"/>
  <c r="K17" i="3" s="1"/>
  <c r="G16" i="3"/>
  <c r="F16" i="3"/>
  <c r="E16" i="3"/>
  <c r="H16" i="3" s="1"/>
  <c r="K16" i="3" s="1"/>
  <c r="G15" i="3"/>
  <c r="F15" i="3"/>
  <c r="E15" i="3"/>
  <c r="H15" i="3" s="1"/>
  <c r="K15" i="3" s="1"/>
  <c r="G14" i="3"/>
  <c r="F14" i="3"/>
  <c r="E14" i="3"/>
  <c r="H14" i="3" s="1"/>
  <c r="K14" i="3" s="1"/>
  <c r="G13" i="3"/>
  <c r="F13" i="3"/>
  <c r="E13" i="3"/>
  <c r="H13" i="3" s="1"/>
  <c r="K13" i="3" s="1"/>
  <c r="G12" i="3"/>
  <c r="F12" i="3"/>
  <c r="E12" i="3"/>
  <c r="H12" i="3" s="1"/>
  <c r="K12" i="3" s="1"/>
  <c r="G11" i="3"/>
  <c r="F11" i="3"/>
  <c r="E11" i="3"/>
  <c r="H11" i="3" s="1"/>
  <c r="K11" i="3" s="1"/>
  <c r="G10" i="3"/>
  <c r="F10" i="3"/>
  <c r="E10" i="3"/>
  <c r="H10" i="3" s="1"/>
  <c r="K10" i="3" s="1"/>
  <c r="G9" i="3"/>
  <c r="F9" i="3"/>
  <c r="E9" i="3"/>
  <c r="H9" i="3" s="1"/>
  <c r="K9" i="3" s="1"/>
  <c r="G8" i="3"/>
  <c r="F8" i="3"/>
  <c r="E8" i="3"/>
  <c r="H8" i="3" s="1"/>
  <c r="K8" i="3" s="1"/>
  <c r="G7" i="3"/>
  <c r="F7" i="3"/>
  <c r="E7" i="3"/>
  <c r="H7" i="3" s="1"/>
  <c r="K7" i="3" s="1"/>
  <c r="G6" i="3"/>
  <c r="F6" i="3"/>
  <c r="E6" i="3"/>
  <c r="H6" i="3" s="1"/>
  <c r="K6" i="3" s="1"/>
  <c r="G5" i="3"/>
  <c r="F5" i="3"/>
  <c r="E5" i="3"/>
  <c r="H5" i="3" s="1"/>
  <c r="K5" i="3" s="1"/>
  <c r="F4" i="3"/>
  <c r="I131" i="1"/>
  <c r="H131" i="1"/>
  <c r="G131" i="1"/>
  <c r="F131" i="1"/>
  <c r="B135" i="1"/>
  <c r="E137" i="1"/>
  <c r="D137" i="1"/>
  <c r="F136" i="1"/>
  <c r="D136" i="1"/>
  <c r="F135" i="1"/>
  <c r="E135" i="1"/>
  <c r="B130" i="1"/>
  <c r="I125" i="1"/>
  <c r="I127" i="1"/>
  <c r="I126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H127" i="1"/>
  <c r="G127" i="1"/>
  <c r="H126" i="1"/>
  <c r="G126" i="1"/>
  <c r="H125" i="1"/>
  <c r="G125" i="1"/>
  <c r="H124" i="1"/>
  <c r="G124" i="1"/>
  <c r="H123" i="1"/>
  <c r="G123" i="1"/>
  <c r="H122" i="1"/>
  <c r="G122" i="1"/>
  <c r="H121" i="1"/>
  <c r="G121" i="1"/>
  <c r="H120" i="1"/>
  <c r="G120" i="1"/>
  <c r="H119" i="1"/>
  <c r="G119" i="1"/>
  <c r="H118" i="1"/>
  <c r="G118" i="1"/>
  <c r="H117" i="1"/>
  <c r="G117" i="1"/>
  <c r="H116" i="1"/>
  <c r="G116" i="1"/>
  <c r="H115" i="1"/>
  <c r="G115" i="1"/>
  <c r="H114" i="1"/>
  <c r="G114" i="1"/>
  <c r="H113" i="1"/>
  <c r="G113" i="1"/>
  <c r="H112" i="1"/>
  <c r="G112" i="1"/>
  <c r="H111" i="1"/>
  <c r="G111" i="1"/>
  <c r="H110" i="1"/>
  <c r="G110" i="1"/>
  <c r="H109" i="1"/>
  <c r="G109" i="1"/>
  <c r="H108" i="1"/>
  <c r="G108" i="1"/>
  <c r="H107" i="1"/>
  <c r="G107" i="1"/>
  <c r="H106" i="1"/>
  <c r="G106" i="1"/>
  <c r="H105" i="1"/>
  <c r="G105" i="1"/>
  <c r="H104" i="1"/>
  <c r="G104" i="1"/>
  <c r="H103" i="1"/>
  <c r="G103" i="1"/>
  <c r="H102" i="1"/>
  <c r="G102" i="1"/>
  <c r="H101" i="1"/>
  <c r="G101" i="1"/>
  <c r="H100" i="1"/>
  <c r="G100" i="1"/>
  <c r="H99" i="1"/>
  <c r="G99" i="1"/>
  <c r="H98" i="1"/>
  <c r="G98" i="1"/>
  <c r="H97" i="1"/>
  <c r="G97" i="1"/>
  <c r="H96" i="1"/>
  <c r="G96" i="1"/>
  <c r="H95" i="1"/>
  <c r="G95" i="1"/>
  <c r="H94" i="1"/>
  <c r="G94" i="1"/>
  <c r="H93" i="1"/>
  <c r="G93" i="1"/>
  <c r="H92" i="1"/>
  <c r="G92" i="1"/>
  <c r="H91" i="1"/>
  <c r="G91" i="1"/>
  <c r="H90" i="1"/>
  <c r="G90" i="1"/>
  <c r="H89" i="1"/>
  <c r="G89" i="1"/>
  <c r="H88" i="1"/>
  <c r="G88" i="1"/>
  <c r="H87" i="1"/>
  <c r="G87" i="1"/>
  <c r="H86" i="1"/>
  <c r="G86" i="1"/>
  <c r="H85" i="1"/>
  <c r="G85" i="1"/>
  <c r="H84" i="1"/>
  <c r="G84" i="1"/>
  <c r="H83" i="1"/>
  <c r="G83" i="1"/>
  <c r="H82" i="1"/>
  <c r="G82" i="1"/>
  <c r="H81" i="1"/>
  <c r="G81" i="1"/>
  <c r="H80" i="1"/>
  <c r="G80" i="1"/>
  <c r="H79" i="1"/>
  <c r="G79" i="1"/>
  <c r="H78" i="1"/>
  <c r="G78" i="1"/>
  <c r="H77" i="1"/>
  <c r="G77" i="1"/>
  <c r="H76" i="1"/>
  <c r="G76" i="1"/>
  <c r="H75" i="1"/>
  <c r="G75" i="1"/>
  <c r="H74" i="1"/>
  <c r="G74" i="1"/>
  <c r="H73" i="1"/>
  <c r="G73" i="1"/>
  <c r="H72" i="1"/>
  <c r="G72" i="1"/>
  <c r="H71" i="1"/>
  <c r="G71" i="1"/>
  <c r="H70" i="1"/>
  <c r="G70" i="1"/>
  <c r="H69" i="1"/>
  <c r="G69" i="1"/>
  <c r="H68" i="1"/>
  <c r="G68" i="1"/>
  <c r="H67" i="1"/>
  <c r="G67" i="1"/>
  <c r="H66" i="1"/>
  <c r="G66" i="1"/>
  <c r="H65" i="1"/>
  <c r="G65" i="1"/>
  <c r="H64" i="1"/>
  <c r="G64" i="1"/>
  <c r="H63" i="1"/>
  <c r="G63" i="1"/>
  <c r="H62" i="1"/>
  <c r="G62" i="1"/>
  <c r="H61" i="1"/>
  <c r="G61" i="1"/>
  <c r="H60" i="1"/>
  <c r="G60" i="1"/>
  <c r="H59" i="1"/>
  <c r="G59" i="1"/>
  <c r="H58" i="1"/>
  <c r="G58" i="1"/>
  <c r="H57" i="1"/>
  <c r="G57" i="1"/>
  <c r="H56" i="1"/>
  <c r="G56" i="1"/>
  <c r="H55" i="1"/>
  <c r="G55" i="1"/>
  <c r="H54" i="1"/>
  <c r="G54" i="1"/>
  <c r="H53" i="1"/>
  <c r="G53" i="1"/>
  <c r="H52" i="1"/>
  <c r="G52" i="1"/>
  <c r="H51" i="1"/>
  <c r="G51" i="1"/>
  <c r="H50" i="1"/>
  <c r="G50" i="1"/>
  <c r="H49" i="1"/>
  <c r="G49" i="1"/>
  <c r="H48" i="1"/>
  <c r="G48" i="1"/>
  <c r="H47" i="1"/>
  <c r="G47" i="1"/>
  <c r="H46" i="1"/>
  <c r="G46" i="1"/>
  <c r="H45" i="1"/>
  <c r="G45" i="1"/>
  <c r="H44" i="1"/>
  <c r="G44" i="1"/>
  <c r="H43" i="1"/>
  <c r="G43" i="1"/>
  <c r="H42" i="1"/>
  <c r="G42" i="1"/>
  <c r="H41" i="1"/>
  <c r="G41" i="1"/>
  <c r="H40" i="1"/>
  <c r="G40" i="1"/>
  <c r="H39" i="1"/>
  <c r="G39" i="1"/>
  <c r="H38" i="1"/>
  <c r="G38" i="1"/>
  <c r="H37" i="1"/>
  <c r="G37" i="1"/>
  <c r="H36" i="1"/>
  <c r="G36" i="1"/>
  <c r="H35" i="1"/>
  <c r="G35" i="1"/>
  <c r="H34" i="1"/>
  <c r="G34" i="1"/>
  <c r="H33" i="1"/>
  <c r="G33" i="1"/>
  <c r="H32" i="1"/>
  <c r="G32" i="1"/>
  <c r="H31" i="1"/>
  <c r="G31" i="1"/>
  <c r="H30" i="1"/>
  <c r="G30" i="1"/>
  <c r="H29" i="1"/>
  <c r="G29" i="1"/>
  <c r="H28" i="1"/>
  <c r="G28" i="1"/>
  <c r="H27" i="1"/>
  <c r="G27" i="1"/>
  <c r="H26" i="1"/>
  <c r="G26" i="1"/>
  <c r="H25" i="1"/>
  <c r="G25" i="1"/>
  <c r="H24" i="1"/>
  <c r="G24" i="1"/>
  <c r="H23" i="1"/>
  <c r="G23" i="1"/>
  <c r="H22" i="1"/>
  <c r="G22" i="1"/>
  <c r="H21" i="1"/>
  <c r="G21" i="1"/>
  <c r="H20" i="1"/>
  <c r="G20" i="1"/>
  <c r="H19" i="1"/>
  <c r="G19" i="1"/>
  <c r="H18" i="1"/>
  <c r="G18" i="1"/>
  <c r="H17" i="1"/>
  <c r="G17" i="1"/>
  <c r="H16" i="1"/>
  <c r="G16" i="1"/>
  <c r="H15" i="1"/>
  <c r="G15" i="1"/>
  <c r="H14" i="1"/>
  <c r="G14" i="1"/>
  <c r="H13" i="1"/>
  <c r="G13" i="1"/>
  <c r="H12" i="1"/>
  <c r="G12" i="1"/>
  <c r="H11" i="1"/>
  <c r="G11" i="1"/>
  <c r="H10" i="1"/>
  <c r="G10" i="1"/>
  <c r="H9" i="1"/>
  <c r="G9" i="1"/>
  <c r="H8" i="1"/>
  <c r="G8" i="1"/>
  <c r="H7" i="1"/>
  <c r="G7" i="1"/>
  <c r="H6" i="1"/>
  <c r="G6" i="1"/>
  <c r="H5" i="1"/>
  <c r="G5" i="1"/>
  <c r="H4" i="1"/>
  <c r="G4" i="1"/>
  <c r="H3" i="1"/>
  <c r="G3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130" i="1"/>
  <c r="J15" i="1"/>
  <c r="N15" i="1"/>
  <c r="J16" i="1"/>
  <c r="N16" i="1"/>
  <c r="J17" i="1"/>
  <c r="N17" i="1"/>
  <c r="J18" i="1"/>
  <c r="N18" i="1"/>
  <c r="J19" i="1"/>
  <c r="N19" i="1"/>
  <c r="J20" i="1"/>
  <c r="N20" i="1"/>
  <c r="J21" i="1"/>
  <c r="N21" i="1"/>
  <c r="J22" i="1"/>
  <c r="N22" i="1"/>
  <c r="J23" i="1"/>
  <c r="N23" i="1"/>
  <c r="J24" i="1"/>
  <c r="N24" i="1"/>
  <c r="J25" i="1"/>
  <c r="N25" i="1"/>
  <c r="J26" i="1"/>
  <c r="N26" i="1"/>
  <c r="J27" i="1"/>
  <c r="N27" i="1"/>
  <c r="J28" i="1"/>
  <c r="N28" i="1"/>
  <c r="J29" i="1"/>
  <c r="N29" i="1"/>
  <c r="J30" i="1"/>
  <c r="N30" i="1"/>
  <c r="J31" i="1"/>
  <c r="N31" i="1"/>
  <c r="J32" i="1"/>
  <c r="N32" i="1"/>
  <c r="J33" i="1"/>
  <c r="N33" i="1"/>
  <c r="J34" i="1"/>
  <c r="N34" i="1"/>
  <c r="J35" i="1"/>
  <c r="N35" i="1"/>
  <c r="J36" i="1"/>
  <c r="N36" i="1"/>
  <c r="J37" i="1"/>
  <c r="N37" i="1"/>
  <c r="J38" i="1"/>
  <c r="N38" i="1"/>
  <c r="J39" i="1"/>
  <c r="N39" i="1"/>
  <c r="J40" i="1"/>
  <c r="N40" i="1"/>
  <c r="J41" i="1"/>
  <c r="N41" i="1"/>
  <c r="J42" i="1"/>
  <c r="N42" i="1"/>
  <c r="J43" i="1"/>
  <c r="N43" i="1"/>
  <c r="J44" i="1"/>
  <c r="N44" i="1"/>
  <c r="J45" i="1"/>
  <c r="N45" i="1"/>
  <c r="J46" i="1"/>
  <c r="N46" i="1"/>
  <c r="J47" i="1"/>
  <c r="N47" i="1"/>
  <c r="J48" i="1"/>
  <c r="N48" i="1"/>
  <c r="J49" i="1"/>
  <c r="N49" i="1"/>
  <c r="J50" i="1"/>
  <c r="N50" i="1"/>
  <c r="J51" i="1"/>
  <c r="N51" i="1"/>
  <c r="J52" i="1"/>
  <c r="N52" i="1"/>
  <c r="J53" i="1"/>
  <c r="N53" i="1"/>
  <c r="J54" i="1"/>
  <c r="N54" i="1"/>
  <c r="J55" i="1"/>
  <c r="N55" i="1"/>
  <c r="J56" i="1"/>
  <c r="N56" i="1"/>
  <c r="J57" i="1"/>
  <c r="N57" i="1"/>
  <c r="J58" i="1"/>
  <c r="N58" i="1"/>
  <c r="J59" i="1"/>
  <c r="N59" i="1"/>
  <c r="J60" i="1"/>
  <c r="N60" i="1"/>
  <c r="J61" i="1"/>
  <c r="N61" i="1"/>
  <c r="J62" i="1"/>
  <c r="N62" i="1"/>
  <c r="J63" i="1"/>
  <c r="N63" i="1"/>
  <c r="J64" i="1"/>
  <c r="N64" i="1"/>
  <c r="J65" i="1"/>
  <c r="N65" i="1"/>
  <c r="J66" i="1"/>
  <c r="N66" i="1"/>
  <c r="J67" i="1"/>
  <c r="N67" i="1"/>
  <c r="J68" i="1"/>
  <c r="N68" i="1"/>
  <c r="J69" i="1"/>
  <c r="N69" i="1"/>
  <c r="J70" i="1"/>
  <c r="N70" i="1"/>
  <c r="J71" i="1"/>
  <c r="N71" i="1"/>
  <c r="J72" i="1"/>
  <c r="N72" i="1"/>
  <c r="J73" i="1"/>
  <c r="N73" i="1"/>
  <c r="J74" i="1"/>
  <c r="N74" i="1"/>
  <c r="J75" i="1"/>
  <c r="N75" i="1"/>
  <c r="J76" i="1"/>
  <c r="N76" i="1"/>
  <c r="J77" i="1"/>
  <c r="N77" i="1"/>
  <c r="J78" i="1"/>
  <c r="N78" i="1"/>
  <c r="J79" i="1"/>
  <c r="N79" i="1"/>
  <c r="J80" i="1"/>
  <c r="N80" i="1"/>
  <c r="J81" i="1"/>
  <c r="N81" i="1"/>
  <c r="J82" i="1"/>
  <c r="N82" i="1"/>
  <c r="J83" i="1"/>
  <c r="N83" i="1"/>
  <c r="J84" i="1"/>
  <c r="N84" i="1"/>
  <c r="J85" i="1"/>
  <c r="N85" i="1"/>
  <c r="J86" i="1"/>
  <c r="N86" i="1"/>
  <c r="J87" i="1"/>
  <c r="N87" i="1"/>
  <c r="J88" i="1"/>
  <c r="N88" i="1"/>
  <c r="J89" i="1"/>
  <c r="N89" i="1"/>
  <c r="J90" i="1"/>
  <c r="N90" i="1"/>
  <c r="J91" i="1"/>
  <c r="N91" i="1"/>
  <c r="J92" i="1"/>
  <c r="N92" i="1"/>
  <c r="J93" i="1"/>
  <c r="N93" i="1"/>
  <c r="J94" i="1"/>
  <c r="N94" i="1"/>
  <c r="J95" i="1"/>
  <c r="N95" i="1"/>
  <c r="J96" i="1"/>
  <c r="N96" i="1"/>
  <c r="J97" i="1"/>
  <c r="N97" i="1"/>
  <c r="J98" i="1"/>
  <c r="N98" i="1"/>
  <c r="J99" i="1"/>
  <c r="N99" i="1"/>
  <c r="J100" i="1"/>
  <c r="N100" i="1"/>
  <c r="J101" i="1"/>
  <c r="N101" i="1"/>
  <c r="J102" i="1"/>
  <c r="N102" i="1"/>
  <c r="J103" i="1"/>
  <c r="N103" i="1"/>
  <c r="J104" i="1"/>
  <c r="N104" i="1"/>
  <c r="J105" i="1"/>
  <c r="N105" i="1"/>
  <c r="J106" i="1"/>
  <c r="N106" i="1"/>
  <c r="J107" i="1"/>
  <c r="N107" i="1"/>
  <c r="J108" i="1"/>
  <c r="N108" i="1"/>
  <c r="J109" i="1"/>
  <c r="N109" i="1"/>
  <c r="J110" i="1"/>
  <c r="N110" i="1"/>
  <c r="J111" i="1"/>
  <c r="N111" i="1"/>
  <c r="J112" i="1"/>
  <c r="N112" i="1"/>
  <c r="J113" i="1"/>
  <c r="N113" i="1"/>
  <c r="J114" i="1"/>
  <c r="N114" i="1"/>
  <c r="J115" i="1"/>
  <c r="N115" i="1"/>
  <c r="J116" i="1"/>
  <c r="N116" i="1"/>
  <c r="J117" i="1"/>
  <c r="N117" i="1"/>
  <c r="J118" i="1"/>
  <c r="N118" i="1"/>
  <c r="J119" i="1"/>
  <c r="N119" i="1"/>
  <c r="J120" i="1"/>
  <c r="N120" i="1"/>
  <c r="J121" i="1"/>
  <c r="N121" i="1"/>
  <c r="J122" i="1"/>
  <c r="N122" i="1"/>
  <c r="J123" i="1"/>
  <c r="N123" i="1"/>
  <c r="J124" i="1"/>
  <c r="N124" i="1"/>
  <c r="J125" i="1"/>
  <c r="N125" i="1"/>
  <c r="J126" i="1"/>
  <c r="N126" i="1"/>
  <c r="J127" i="1"/>
  <c r="N127" i="1"/>
  <c r="H130" i="1"/>
  <c r="L3" i="1"/>
  <c r="P3" i="1"/>
  <c r="L4" i="1"/>
  <c r="P4" i="1"/>
  <c r="L5" i="1"/>
  <c r="P5" i="1"/>
  <c r="G130" i="1"/>
  <c r="K6" i="1"/>
  <c r="O6" i="1"/>
  <c r="L6" i="1"/>
  <c r="P6" i="1"/>
  <c r="K7" i="1"/>
  <c r="O7" i="1"/>
  <c r="L7" i="1"/>
  <c r="P7" i="1"/>
  <c r="K8" i="1"/>
  <c r="O8" i="1"/>
  <c r="L8" i="1"/>
  <c r="P8" i="1"/>
  <c r="K9" i="1"/>
  <c r="O9" i="1"/>
  <c r="L9" i="1"/>
  <c r="P9" i="1"/>
  <c r="K10" i="1"/>
  <c r="O10" i="1"/>
  <c r="L10" i="1"/>
  <c r="P10" i="1"/>
  <c r="K11" i="1"/>
  <c r="O11" i="1"/>
  <c r="L11" i="1"/>
  <c r="P11" i="1"/>
  <c r="K12" i="1"/>
  <c r="O12" i="1"/>
  <c r="L12" i="1"/>
  <c r="P12" i="1"/>
  <c r="K13" i="1"/>
  <c r="O13" i="1"/>
  <c r="L13" i="1"/>
  <c r="P13" i="1"/>
  <c r="K14" i="1"/>
  <c r="O14" i="1"/>
  <c r="L14" i="1"/>
  <c r="P14" i="1"/>
  <c r="K15" i="1"/>
  <c r="O15" i="1"/>
  <c r="L15" i="1"/>
  <c r="P15" i="1"/>
  <c r="K16" i="1"/>
  <c r="O16" i="1"/>
  <c r="L16" i="1"/>
  <c r="P16" i="1"/>
  <c r="K17" i="1"/>
  <c r="O17" i="1"/>
  <c r="L17" i="1"/>
  <c r="P17" i="1"/>
  <c r="K18" i="1"/>
  <c r="O18" i="1"/>
  <c r="L18" i="1"/>
  <c r="P18" i="1"/>
  <c r="K19" i="1"/>
  <c r="O19" i="1"/>
  <c r="L19" i="1"/>
  <c r="P19" i="1"/>
  <c r="K20" i="1"/>
  <c r="O20" i="1"/>
  <c r="L20" i="1"/>
  <c r="P20" i="1"/>
  <c r="K21" i="1"/>
  <c r="O21" i="1"/>
  <c r="L21" i="1"/>
  <c r="P21" i="1"/>
  <c r="K22" i="1"/>
  <c r="O22" i="1"/>
  <c r="L22" i="1"/>
  <c r="P22" i="1"/>
  <c r="K23" i="1"/>
  <c r="O23" i="1"/>
  <c r="L23" i="1"/>
  <c r="P23" i="1"/>
  <c r="K24" i="1"/>
  <c r="O24" i="1"/>
  <c r="L24" i="1"/>
  <c r="P24" i="1"/>
  <c r="K25" i="1"/>
  <c r="O25" i="1"/>
  <c r="L25" i="1"/>
  <c r="P25" i="1"/>
  <c r="K26" i="1"/>
  <c r="O26" i="1"/>
  <c r="L26" i="1"/>
  <c r="P26" i="1"/>
  <c r="K27" i="1"/>
  <c r="O27" i="1"/>
  <c r="L27" i="1"/>
  <c r="P27" i="1"/>
  <c r="K28" i="1"/>
  <c r="O28" i="1"/>
  <c r="L28" i="1"/>
  <c r="P28" i="1"/>
  <c r="K29" i="1"/>
  <c r="O29" i="1"/>
  <c r="L29" i="1"/>
  <c r="P29" i="1"/>
  <c r="K30" i="1"/>
  <c r="O30" i="1"/>
  <c r="L30" i="1"/>
  <c r="P30" i="1"/>
  <c r="K31" i="1"/>
  <c r="O31" i="1"/>
  <c r="L31" i="1"/>
  <c r="P31" i="1"/>
  <c r="K32" i="1"/>
  <c r="O32" i="1"/>
  <c r="L32" i="1"/>
  <c r="P32" i="1"/>
  <c r="K33" i="1"/>
  <c r="O33" i="1"/>
  <c r="L33" i="1"/>
  <c r="P33" i="1"/>
  <c r="K34" i="1"/>
  <c r="O34" i="1"/>
  <c r="L34" i="1"/>
  <c r="P34" i="1"/>
  <c r="K35" i="1"/>
  <c r="O35" i="1"/>
  <c r="L35" i="1"/>
  <c r="P35" i="1"/>
  <c r="K36" i="1"/>
  <c r="O36" i="1"/>
  <c r="L36" i="1"/>
  <c r="P36" i="1"/>
  <c r="K37" i="1"/>
  <c r="O37" i="1"/>
  <c r="L37" i="1"/>
  <c r="P37" i="1"/>
  <c r="K38" i="1"/>
  <c r="O38" i="1"/>
  <c r="L38" i="1"/>
  <c r="P38" i="1"/>
  <c r="K39" i="1"/>
  <c r="O39" i="1"/>
  <c r="L39" i="1"/>
  <c r="P39" i="1"/>
  <c r="K40" i="1"/>
  <c r="O40" i="1"/>
  <c r="L40" i="1"/>
  <c r="P40" i="1"/>
  <c r="K41" i="1"/>
  <c r="O41" i="1"/>
  <c r="L41" i="1"/>
  <c r="P41" i="1"/>
  <c r="K42" i="1"/>
  <c r="O42" i="1"/>
  <c r="L42" i="1"/>
  <c r="P42" i="1"/>
  <c r="K43" i="1"/>
  <c r="O43" i="1"/>
  <c r="L43" i="1"/>
  <c r="P43" i="1"/>
  <c r="K44" i="1"/>
  <c r="O44" i="1"/>
  <c r="L44" i="1"/>
  <c r="P44" i="1"/>
  <c r="K45" i="1"/>
  <c r="O45" i="1"/>
  <c r="L45" i="1"/>
  <c r="P45" i="1"/>
  <c r="K46" i="1"/>
  <c r="O46" i="1"/>
  <c r="L46" i="1"/>
  <c r="P46" i="1"/>
  <c r="K47" i="1"/>
  <c r="O47" i="1"/>
  <c r="L47" i="1"/>
  <c r="P47" i="1"/>
  <c r="K48" i="1"/>
  <c r="O48" i="1"/>
  <c r="L48" i="1"/>
  <c r="P48" i="1"/>
  <c r="K49" i="1"/>
  <c r="O49" i="1"/>
  <c r="L49" i="1"/>
  <c r="P49" i="1"/>
  <c r="K50" i="1"/>
  <c r="O50" i="1"/>
  <c r="L50" i="1"/>
  <c r="P50" i="1"/>
  <c r="K51" i="1"/>
  <c r="O51" i="1"/>
  <c r="L51" i="1"/>
  <c r="P51" i="1"/>
  <c r="K52" i="1"/>
  <c r="O52" i="1"/>
  <c r="L52" i="1"/>
  <c r="P52" i="1"/>
  <c r="K53" i="1"/>
  <c r="O53" i="1"/>
  <c r="L53" i="1"/>
  <c r="P53" i="1"/>
  <c r="K54" i="1"/>
  <c r="O54" i="1"/>
  <c r="L54" i="1"/>
  <c r="P54" i="1"/>
  <c r="K55" i="1"/>
  <c r="O55" i="1"/>
  <c r="L55" i="1"/>
  <c r="P55" i="1"/>
  <c r="K56" i="1"/>
  <c r="O56" i="1"/>
  <c r="L56" i="1"/>
  <c r="P56" i="1"/>
  <c r="K57" i="1"/>
  <c r="O57" i="1"/>
  <c r="L57" i="1"/>
  <c r="P57" i="1"/>
  <c r="K58" i="1"/>
  <c r="O58" i="1"/>
  <c r="L58" i="1"/>
  <c r="P58" i="1"/>
  <c r="K59" i="1"/>
  <c r="O59" i="1"/>
  <c r="L59" i="1"/>
  <c r="P59" i="1"/>
  <c r="K60" i="1"/>
  <c r="O60" i="1"/>
  <c r="L60" i="1"/>
  <c r="P60" i="1"/>
  <c r="K61" i="1"/>
  <c r="O61" i="1"/>
  <c r="L61" i="1"/>
  <c r="P61" i="1"/>
  <c r="K62" i="1"/>
  <c r="O62" i="1"/>
  <c r="L62" i="1"/>
  <c r="P62" i="1"/>
  <c r="K63" i="1"/>
  <c r="O63" i="1"/>
  <c r="L63" i="1"/>
  <c r="P63" i="1"/>
  <c r="K64" i="1"/>
  <c r="O64" i="1"/>
  <c r="L64" i="1"/>
  <c r="P64" i="1"/>
  <c r="K65" i="1"/>
  <c r="O65" i="1"/>
  <c r="L65" i="1"/>
  <c r="P65" i="1"/>
  <c r="K66" i="1"/>
  <c r="O66" i="1"/>
  <c r="L66" i="1"/>
  <c r="P66" i="1"/>
  <c r="K67" i="1"/>
  <c r="O67" i="1"/>
  <c r="L67" i="1"/>
  <c r="P67" i="1"/>
  <c r="K68" i="1"/>
  <c r="O68" i="1"/>
  <c r="L68" i="1"/>
  <c r="P68" i="1"/>
  <c r="K69" i="1"/>
  <c r="O69" i="1"/>
  <c r="L69" i="1"/>
  <c r="P69" i="1"/>
  <c r="K70" i="1"/>
  <c r="O70" i="1"/>
  <c r="L70" i="1"/>
  <c r="P70" i="1"/>
  <c r="K71" i="1"/>
  <c r="O71" i="1"/>
  <c r="L71" i="1"/>
  <c r="P71" i="1"/>
  <c r="K72" i="1"/>
  <c r="O72" i="1"/>
  <c r="L72" i="1"/>
  <c r="P72" i="1"/>
  <c r="K73" i="1"/>
  <c r="O73" i="1"/>
  <c r="L73" i="1"/>
  <c r="P73" i="1"/>
  <c r="K74" i="1"/>
  <c r="O74" i="1"/>
  <c r="L74" i="1"/>
  <c r="P74" i="1"/>
  <c r="K75" i="1"/>
  <c r="O75" i="1"/>
  <c r="L75" i="1"/>
  <c r="P75" i="1"/>
  <c r="K76" i="1"/>
  <c r="O76" i="1"/>
  <c r="L76" i="1"/>
  <c r="P76" i="1"/>
  <c r="K77" i="1"/>
  <c r="O77" i="1"/>
  <c r="L77" i="1"/>
  <c r="P77" i="1"/>
  <c r="K78" i="1"/>
  <c r="O78" i="1"/>
  <c r="L78" i="1"/>
  <c r="P78" i="1"/>
  <c r="K79" i="1"/>
  <c r="O79" i="1"/>
  <c r="L79" i="1"/>
  <c r="P79" i="1"/>
  <c r="K80" i="1"/>
  <c r="O80" i="1"/>
  <c r="L80" i="1"/>
  <c r="P80" i="1"/>
  <c r="K81" i="1"/>
  <c r="O81" i="1"/>
  <c r="L81" i="1"/>
  <c r="P81" i="1"/>
  <c r="K82" i="1"/>
  <c r="O82" i="1"/>
  <c r="L82" i="1"/>
  <c r="P82" i="1"/>
  <c r="K83" i="1"/>
  <c r="O83" i="1"/>
  <c r="L83" i="1"/>
  <c r="P83" i="1"/>
  <c r="K84" i="1"/>
  <c r="O84" i="1"/>
  <c r="L84" i="1"/>
  <c r="P84" i="1"/>
  <c r="K85" i="1"/>
  <c r="O85" i="1"/>
  <c r="L85" i="1"/>
  <c r="P85" i="1"/>
  <c r="K86" i="1"/>
  <c r="O86" i="1"/>
  <c r="L86" i="1"/>
  <c r="P86" i="1"/>
  <c r="K87" i="1"/>
  <c r="O87" i="1"/>
  <c r="L87" i="1"/>
  <c r="P87" i="1"/>
  <c r="K88" i="1"/>
  <c r="O88" i="1"/>
  <c r="L88" i="1"/>
  <c r="P88" i="1"/>
  <c r="K89" i="1"/>
  <c r="O89" i="1"/>
  <c r="L89" i="1"/>
  <c r="P89" i="1"/>
  <c r="K90" i="1"/>
  <c r="O90" i="1"/>
  <c r="L90" i="1"/>
  <c r="P90" i="1"/>
  <c r="K91" i="1"/>
  <c r="O91" i="1"/>
  <c r="L91" i="1"/>
  <c r="P91" i="1"/>
  <c r="K92" i="1"/>
  <c r="O92" i="1"/>
  <c r="L92" i="1"/>
  <c r="P92" i="1"/>
  <c r="K93" i="1"/>
  <c r="O93" i="1"/>
  <c r="L93" i="1"/>
  <c r="P93" i="1"/>
  <c r="K94" i="1"/>
  <c r="O94" i="1"/>
  <c r="L94" i="1"/>
  <c r="P94" i="1"/>
  <c r="K95" i="1"/>
  <c r="O95" i="1"/>
  <c r="L95" i="1"/>
  <c r="P95" i="1"/>
  <c r="K96" i="1"/>
  <c r="O96" i="1"/>
  <c r="L96" i="1"/>
  <c r="P96" i="1"/>
  <c r="K97" i="1"/>
  <c r="O97" i="1"/>
  <c r="L97" i="1"/>
  <c r="P97" i="1"/>
  <c r="K98" i="1"/>
  <c r="O98" i="1"/>
  <c r="L98" i="1"/>
  <c r="P98" i="1"/>
  <c r="K99" i="1"/>
  <c r="O99" i="1"/>
  <c r="L99" i="1"/>
  <c r="P99" i="1"/>
  <c r="K100" i="1"/>
  <c r="O100" i="1"/>
  <c r="L100" i="1"/>
  <c r="P100" i="1"/>
  <c r="K101" i="1"/>
  <c r="O101" i="1"/>
  <c r="L101" i="1"/>
  <c r="P101" i="1"/>
  <c r="K102" i="1"/>
  <c r="O102" i="1"/>
  <c r="L102" i="1"/>
  <c r="P102" i="1"/>
  <c r="K103" i="1"/>
  <c r="O103" i="1"/>
  <c r="L103" i="1"/>
  <c r="P103" i="1"/>
  <c r="K104" i="1"/>
  <c r="O104" i="1"/>
  <c r="L104" i="1"/>
  <c r="P104" i="1"/>
  <c r="K105" i="1"/>
  <c r="O105" i="1"/>
  <c r="L105" i="1"/>
  <c r="P105" i="1"/>
  <c r="K106" i="1"/>
  <c r="O106" i="1"/>
  <c r="L106" i="1"/>
  <c r="P106" i="1"/>
  <c r="K107" i="1"/>
  <c r="O107" i="1"/>
  <c r="L107" i="1"/>
  <c r="P107" i="1"/>
  <c r="K108" i="1"/>
  <c r="O108" i="1"/>
  <c r="L108" i="1"/>
  <c r="P108" i="1"/>
  <c r="K109" i="1"/>
  <c r="O109" i="1"/>
  <c r="L109" i="1"/>
  <c r="P109" i="1"/>
  <c r="K110" i="1"/>
  <c r="O110" i="1"/>
  <c r="L110" i="1"/>
  <c r="P110" i="1"/>
  <c r="K111" i="1"/>
  <c r="O111" i="1"/>
  <c r="L111" i="1"/>
  <c r="P111" i="1"/>
  <c r="K112" i="1"/>
  <c r="O112" i="1"/>
  <c r="L112" i="1"/>
  <c r="P112" i="1"/>
  <c r="K113" i="1"/>
  <c r="O113" i="1"/>
  <c r="L113" i="1"/>
  <c r="P113" i="1"/>
  <c r="K114" i="1"/>
  <c r="O114" i="1"/>
  <c r="L114" i="1"/>
  <c r="P114" i="1"/>
  <c r="K115" i="1"/>
  <c r="O115" i="1"/>
  <c r="L115" i="1"/>
  <c r="P115" i="1"/>
  <c r="K116" i="1"/>
  <c r="O116" i="1"/>
  <c r="L116" i="1"/>
  <c r="P116" i="1"/>
  <c r="K117" i="1"/>
  <c r="O117" i="1"/>
  <c r="L117" i="1"/>
  <c r="P117" i="1"/>
  <c r="K118" i="1"/>
  <c r="O118" i="1"/>
  <c r="L118" i="1"/>
  <c r="P118" i="1"/>
  <c r="K119" i="1"/>
  <c r="O119" i="1"/>
  <c r="L119" i="1"/>
  <c r="P119" i="1"/>
  <c r="K120" i="1"/>
  <c r="O120" i="1"/>
  <c r="L120" i="1"/>
  <c r="P120" i="1"/>
  <c r="K121" i="1"/>
  <c r="O121" i="1"/>
  <c r="L121" i="1"/>
  <c r="P121" i="1"/>
  <c r="K122" i="1"/>
  <c r="O122" i="1"/>
  <c r="L122" i="1"/>
  <c r="P122" i="1"/>
  <c r="K123" i="1"/>
  <c r="O123" i="1"/>
  <c r="L123" i="1"/>
  <c r="P123" i="1"/>
  <c r="K124" i="1"/>
  <c r="O124" i="1"/>
  <c r="L124" i="1"/>
  <c r="P124" i="1"/>
  <c r="K125" i="1"/>
  <c r="O125" i="1"/>
  <c r="L125" i="1"/>
  <c r="P125" i="1"/>
  <c r="K126" i="1"/>
  <c r="O126" i="1"/>
  <c r="L126" i="1"/>
  <c r="P126" i="1"/>
  <c r="K127" i="1"/>
  <c r="O127" i="1"/>
  <c r="L127" i="1"/>
  <c r="P127" i="1"/>
  <c r="I130" i="1"/>
  <c r="M3" i="1"/>
  <c r="Q3" i="1"/>
  <c r="M4" i="1"/>
  <c r="Q4" i="1"/>
  <c r="M5" i="1"/>
  <c r="Q5" i="1"/>
  <c r="M6" i="1"/>
  <c r="Q6" i="1"/>
  <c r="M7" i="1"/>
  <c r="Q7" i="1"/>
  <c r="M8" i="1"/>
  <c r="Q8" i="1"/>
  <c r="M9" i="1"/>
  <c r="Q9" i="1"/>
  <c r="M10" i="1"/>
  <c r="Q10" i="1"/>
  <c r="M11" i="1"/>
  <c r="Q11" i="1"/>
  <c r="M12" i="1"/>
  <c r="Q12" i="1"/>
  <c r="M13" i="1"/>
  <c r="Q13" i="1"/>
  <c r="M14" i="1"/>
  <c r="Q14" i="1"/>
  <c r="M15" i="1"/>
  <c r="Q15" i="1"/>
  <c r="M16" i="1"/>
  <c r="Q16" i="1"/>
  <c r="M17" i="1"/>
  <c r="Q17" i="1"/>
  <c r="M18" i="1"/>
  <c r="Q18" i="1"/>
  <c r="M19" i="1"/>
  <c r="Q19" i="1"/>
  <c r="M20" i="1"/>
  <c r="Q20" i="1"/>
  <c r="M21" i="1"/>
  <c r="Q21" i="1"/>
  <c r="M22" i="1"/>
  <c r="Q22" i="1"/>
  <c r="M23" i="1"/>
  <c r="Q23" i="1"/>
  <c r="M24" i="1"/>
  <c r="Q24" i="1"/>
  <c r="M25" i="1"/>
  <c r="Q25" i="1"/>
  <c r="M26" i="1"/>
  <c r="Q26" i="1"/>
  <c r="M27" i="1"/>
  <c r="Q27" i="1"/>
  <c r="M28" i="1"/>
  <c r="Q28" i="1"/>
  <c r="M29" i="1"/>
  <c r="Q29" i="1"/>
  <c r="M30" i="1"/>
  <c r="Q30" i="1"/>
  <c r="M31" i="1"/>
  <c r="Q31" i="1"/>
  <c r="M32" i="1"/>
  <c r="Q32" i="1"/>
  <c r="M33" i="1"/>
  <c r="Q33" i="1"/>
  <c r="M34" i="1"/>
  <c r="Q34" i="1"/>
  <c r="M35" i="1"/>
  <c r="Q35" i="1"/>
  <c r="M36" i="1"/>
  <c r="Q36" i="1"/>
  <c r="M37" i="1"/>
  <c r="Q37" i="1"/>
  <c r="M38" i="1"/>
  <c r="Q38" i="1"/>
  <c r="M39" i="1"/>
  <c r="Q39" i="1"/>
  <c r="M40" i="1"/>
  <c r="Q40" i="1"/>
  <c r="M41" i="1"/>
  <c r="Q41" i="1"/>
  <c r="M42" i="1"/>
  <c r="Q42" i="1"/>
  <c r="M43" i="1"/>
  <c r="Q43" i="1"/>
  <c r="M44" i="1"/>
  <c r="Q44" i="1"/>
  <c r="M45" i="1"/>
  <c r="Q45" i="1"/>
  <c r="M46" i="1"/>
  <c r="Q46" i="1"/>
  <c r="M47" i="1"/>
  <c r="Q47" i="1"/>
  <c r="M48" i="1"/>
  <c r="Q48" i="1"/>
  <c r="M49" i="1"/>
  <c r="Q49" i="1"/>
  <c r="M50" i="1"/>
  <c r="Q50" i="1"/>
  <c r="M51" i="1"/>
  <c r="Q51" i="1"/>
  <c r="M52" i="1"/>
  <c r="Q52" i="1"/>
  <c r="M53" i="1"/>
  <c r="Q53" i="1"/>
  <c r="M54" i="1"/>
  <c r="Q54" i="1"/>
  <c r="M55" i="1"/>
  <c r="Q55" i="1"/>
  <c r="M56" i="1"/>
  <c r="Q56" i="1"/>
  <c r="M57" i="1"/>
  <c r="Q57" i="1"/>
  <c r="M58" i="1"/>
  <c r="Q58" i="1"/>
  <c r="M59" i="1"/>
  <c r="Q59" i="1"/>
  <c r="M60" i="1"/>
  <c r="Q60" i="1"/>
  <c r="M61" i="1"/>
  <c r="Q61" i="1"/>
  <c r="M62" i="1"/>
  <c r="Q62" i="1"/>
  <c r="M63" i="1"/>
  <c r="Q63" i="1"/>
  <c r="M64" i="1"/>
  <c r="Q64" i="1"/>
  <c r="M65" i="1"/>
  <c r="Q65" i="1"/>
  <c r="M66" i="1"/>
  <c r="Q66" i="1"/>
  <c r="M67" i="1"/>
  <c r="Q67" i="1"/>
  <c r="M68" i="1"/>
  <c r="Q68" i="1"/>
  <c r="M69" i="1"/>
  <c r="Q69" i="1"/>
  <c r="M70" i="1"/>
  <c r="Q70" i="1"/>
  <c r="M71" i="1"/>
  <c r="Q71" i="1"/>
  <c r="M72" i="1"/>
  <c r="Q72" i="1"/>
  <c r="M73" i="1"/>
  <c r="Q73" i="1"/>
  <c r="M74" i="1"/>
  <c r="Q74" i="1"/>
  <c r="M75" i="1"/>
  <c r="Q75" i="1"/>
  <c r="M76" i="1"/>
  <c r="Q76" i="1"/>
  <c r="M77" i="1"/>
  <c r="Q77" i="1"/>
  <c r="M78" i="1"/>
  <c r="Q78" i="1"/>
  <c r="M79" i="1"/>
  <c r="Q79" i="1"/>
  <c r="M80" i="1"/>
  <c r="Q80" i="1"/>
  <c r="M81" i="1"/>
  <c r="Q81" i="1"/>
  <c r="M82" i="1"/>
  <c r="Q82" i="1"/>
  <c r="M83" i="1"/>
  <c r="Q83" i="1"/>
  <c r="M84" i="1"/>
  <c r="Q84" i="1"/>
  <c r="M85" i="1"/>
  <c r="Q85" i="1"/>
  <c r="M86" i="1"/>
  <c r="Q86" i="1"/>
  <c r="M87" i="1"/>
  <c r="Q87" i="1"/>
  <c r="M88" i="1"/>
  <c r="Q88" i="1"/>
  <c r="M89" i="1"/>
  <c r="Q89" i="1"/>
  <c r="M90" i="1"/>
  <c r="Q90" i="1"/>
  <c r="M91" i="1"/>
  <c r="Q91" i="1"/>
  <c r="M92" i="1"/>
  <c r="Q92" i="1"/>
  <c r="M93" i="1"/>
  <c r="Q93" i="1"/>
  <c r="M94" i="1"/>
  <c r="Q94" i="1"/>
  <c r="M95" i="1"/>
  <c r="Q95" i="1"/>
  <c r="M96" i="1"/>
  <c r="Q96" i="1"/>
  <c r="M97" i="1"/>
  <c r="Q97" i="1"/>
  <c r="M98" i="1"/>
  <c r="Q98" i="1"/>
  <c r="M99" i="1"/>
  <c r="Q99" i="1"/>
  <c r="M100" i="1"/>
  <c r="Q100" i="1"/>
  <c r="M101" i="1"/>
  <c r="Q101" i="1"/>
  <c r="M102" i="1"/>
  <c r="Q102" i="1"/>
  <c r="M103" i="1"/>
  <c r="Q103" i="1"/>
  <c r="M104" i="1"/>
  <c r="Q104" i="1"/>
  <c r="M105" i="1"/>
  <c r="Q105" i="1"/>
  <c r="M106" i="1"/>
  <c r="Q106" i="1"/>
  <c r="M107" i="1"/>
  <c r="Q107" i="1"/>
  <c r="M108" i="1"/>
  <c r="Q108" i="1"/>
  <c r="M109" i="1"/>
  <c r="Q109" i="1"/>
  <c r="M110" i="1"/>
  <c r="Q110" i="1"/>
  <c r="M111" i="1"/>
  <c r="Q111" i="1"/>
  <c r="M112" i="1"/>
  <c r="Q112" i="1"/>
  <c r="M113" i="1"/>
  <c r="Q113" i="1"/>
  <c r="M114" i="1"/>
  <c r="Q114" i="1"/>
  <c r="M115" i="1"/>
  <c r="Q115" i="1"/>
  <c r="M116" i="1"/>
  <c r="Q116" i="1"/>
  <c r="M117" i="1"/>
  <c r="Q117" i="1"/>
  <c r="M118" i="1"/>
  <c r="Q118" i="1"/>
  <c r="M119" i="1"/>
  <c r="Q119" i="1"/>
  <c r="M120" i="1"/>
  <c r="Q120" i="1"/>
  <c r="M121" i="1"/>
  <c r="Q121" i="1"/>
  <c r="M122" i="1"/>
  <c r="Q122" i="1"/>
  <c r="M123" i="1"/>
  <c r="Q123" i="1"/>
  <c r="M124" i="1"/>
  <c r="Q124" i="1"/>
  <c r="M126" i="1"/>
  <c r="Q126" i="1"/>
  <c r="M127" i="1"/>
  <c r="Q127" i="1"/>
  <c r="M125" i="1"/>
  <c r="Q125" i="1"/>
  <c r="C131" i="1"/>
  <c r="D131" i="1"/>
  <c r="B131" i="1"/>
  <c r="Q130" i="1"/>
  <c r="Q131" i="1"/>
  <c r="Q132" i="1"/>
  <c r="Q133" i="1"/>
  <c r="K3" i="1"/>
  <c r="O3" i="1"/>
  <c r="K4" i="1"/>
  <c r="O4" i="1"/>
  <c r="K5" i="1"/>
  <c r="O5" i="1"/>
  <c r="P130" i="1"/>
  <c r="P131" i="1"/>
  <c r="J3" i="1"/>
  <c r="N3" i="1"/>
  <c r="J4" i="1"/>
  <c r="N4" i="1"/>
  <c r="J5" i="1"/>
  <c r="N5" i="1"/>
  <c r="J6" i="1"/>
  <c r="N6" i="1"/>
  <c r="J7" i="1"/>
  <c r="N7" i="1"/>
  <c r="J8" i="1"/>
  <c r="N8" i="1"/>
  <c r="J9" i="1"/>
  <c r="N9" i="1"/>
  <c r="J10" i="1"/>
  <c r="N10" i="1"/>
  <c r="J11" i="1"/>
  <c r="N11" i="1"/>
  <c r="J12" i="1"/>
  <c r="N12" i="1"/>
  <c r="J13" i="1"/>
  <c r="N13" i="1"/>
  <c r="J14" i="1"/>
  <c r="N14" i="1"/>
  <c r="P132" i="1"/>
  <c r="P133" i="1"/>
  <c r="F137" i="1"/>
  <c r="N130" i="1"/>
  <c r="N131" i="1"/>
  <c r="O130" i="1"/>
  <c r="O131" i="1"/>
  <c r="O132" i="1"/>
  <c r="O133" i="1"/>
  <c r="E136" i="1"/>
  <c r="N132" i="1"/>
  <c r="N133" i="1"/>
  <c r="D135" i="1"/>
  <c r="B137" i="1"/>
  <c r="B136" i="1"/>
  <c r="B166" i="3" a="1"/>
  <c r="D166" i="3" a="1"/>
  <c r="C166" i="3" a="1"/>
  <c r="B132" i="1" a="1"/>
  <c r="B164" i="3" a="1"/>
  <c r="C164" i="3" a="1"/>
  <c r="D164" i="3" a="1"/>
  <c r="P173" i="3"/>
  <c r="P163" i="3"/>
  <c r="AC173" i="3"/>
  <c r="AC168" i="3"/>
  <c r="AC166" i="3"/>
  <c r="AC167" i="3"/>
  <c r="P172" i="3"/>
  <c r="AC172" i="3"/>
  <c r="V168" i="3"/>
  <c r="P171" i="3"/>
  <c r="AC163" i="3"/>
  <c r="V173" i="3"/>
  <c r="V166" i="3"/>
  <c r="V167" i="3"/>
  <c r="P170" i="3"/>
  <c r="V163" i="3"/>
  <c r="P168" i="3"/>
  <c r="AC171" i="3"/>
  <c r="V172" i="3"/>
  <c r="AC170" i="3"/>
  <c r="V171" i="3"/>
  <c r="P167" i="3"/>
  <c r="P166" i="3"/>
  <c r="V170" i="3"/>
  <c r="D163" i="3" l="1"/>
  <c r="H4" i="3"/>
  <c r="K4" i="3" s="1"/>
  <c r="Q148" i="3"/>
  <c r="B166" i="3"/>
  <c r="H129" i="3"/>
  <c r="K129" i="3" s="1"/>
  <c r="G131" i="3"/>
  <c r="J59" i="3" s="1"/>
  <c r="M59" i="3" s="1"/>
  <c r="F131" i="3"/>
  <c r="I102" i="3" s="1"/>
  <c r="L102" i="3" s="1"/>
  <c r="B140" i="3"/>
  <c r="B142" i="3"/>
  <c r="E131" i="3"/>
  <c r="E132" i="3" s="1"/>
  <c r="B141" i="3"/>
  <c r="B163" i="3"/>
  <c r="D164" i="3"/>
  <c r="C164" i="3"/>
  <c r="B164" i="3"/>
  <c r="B132" i="1"/>
  <c r="C166" i="3"/>
  <c r="D166" i="3"/>
  <c r="K131" i="3" l="1"/>
  <c r="K132" i="3" s="1"/>
  <c r="G140" i="3"/>
  <c r="F142" i="3"/>
  <c r="V148" i="3" s="1"/>
  <c r="J126" i="3"/>
  <c r="M126" i="3" s="1"/>
  <c r="J55" i="3"/>
  <c r="M55" i="3" s="1"/>
  <c r="J101" i="3"/>
  <c r="M101" i="3" s="1"/>
  <c r="J96" i="3"/>
  <c r="M96" i="3" s="1"/>
  <c r="J115" i="3"/>
  <c r="M115" i="3" s="1"/>
  <c r="J76" i="3"/>
  <c r="M76" i="3" s="1"/>
  <c r="J116" i="3"/>
  <c r="M116" i="3" s="1"/>
  <c r="J48" i="3"/>
  <c r="M48" i="3" s="1"/>
  <c r="J61" i="3"/>
  <c r="M61" i="3" s="1"/>
  <c r="J122" i="3"/>
  <c r="M122" i="3" s="1"/>
  <c r="G132" i="3"/>
  <c r="J99" i="3"/>
  <c r="M99" i="3" s="1"/>
  <c r="J57" i="3"/>
  <c r="M57" i="3" s="1"/>
  <c r="J22" i="3"/>
  <c r="M22" i="3" s="1"/>
  <c r="J80" i="3"/>
  <c r="M80" i="3" s="1"/>
  <c r="J28" i="3"/>
  <c r="M28" i="3" s="1"/>
  <c r="J56" i="3"/>
  <c r="M56" i="3" s="1"/>
  <c r="J27" i="3"/>
  <c r="M27" i="3" s="1"/>
  <c r="J31" i="3"/>
  <c r="M31" i="3" s="1"/>
  <c r="J32" i="3"/>
  <c r="M32" i="3" s="1"/>
  <c r="J37" i="3"/>
  <c r="M37" i="3" s="1"/>
  <c r="J26" i="3"/>
  <c r="M26" i="3" s="1"/>
  <c r="J92" i="3"/>
  <c r="M92" i="3" s="1"/>
  <c r="J11" i="3"/>
  <c r="M11" i="3" s="1"/>
  <c r="J75" i="3"/>
  <c r="M75" i="3" s="1"/>
  <c r="J125" i="3"/>
  <c r="M125" i="3" s="1"/>
  <c r="J45" i="3"/>
  <c r="M45" i="3" s="1"/>
  <c r="J105" i="3"/>
  <c r="M105" i="3" s="1"/>
  <c r="J44" i="3"/>
  <c r="M44" i="3" s="1"/>
  <c r="J120" i="3"/>
  <c r="M120" i="3" s="1"/>
  <c r="J121" i="3"/>
  <c r="M121" i="3" s="1"/>
  <c r="J81" i="3"/>
  <c r="M81" i="3" s="1"/>
  <c r="J53" i="3"/>
  <c r="M53" i="3" s="1"/>
  <c r="J79" i="3"/>
  <c r="M79" i="3" s="1"/>
  <c r="J20" i="3"/>
  <c r="M20" i="3" s="1"/>
  <c r="J21" i="3"/>
  <c r="M21" i="3" s="1"/>
  <c r="J112" i="3"/>
  <c r="M112" i="3" s="1"/>
  <c r="J43" i="3"/>
  <c r="M43" i="3" s="1"/>
  <c r="J4" i="3"/>
  <c r="M4" i="3" s="1"/>
  <c r="J88" i="3"/>
  <c r="M88" i="3" s="1"/>
  <c r="J95" i="3"/>
  <c r="M95" i="3" s="1"/>
  <c r="J91" i="3"/>
  <c r="M91" i="3" s="1"/>
  <c r="J7" i="3"/>
  <c r="M7" i="3" s="1"/>
  <c r="J10" i="3"/>
  <c r="M10" i="3" s="1"/>
  <c r="J18" i="3"/>
  <c r="M18" i="3" s="1"/>
  <c r="J35" i="3"/>
  <c r="M35" i="3" s="1"/>
  <c r="J109" i="3"/>
  <c r="M109" i="3" s="1"/>
  <c r="J15" i="3"/>
  <c r="M15" i="3" s="1"/>
  <c r="J69" i="3"/>
  <c r="M69" i="3" s="1"/>
  <c r="J60" i="3"/>
  <c r="M60" i="3" s="1"/>
  <c r="J117" i="3"/>
  <c r="M117" i="3" s="1"/>
  <c r="J58" i="3"/>
  <c r="M58" i="3" s="1"/>
  <c r="J77" i="3"/>
  <c r="M77" i="3" s="1"/>
  <c r="J49" i="3"/>
  <c r="M49" i="3" s="1"/>
  <c r="J85" i="3"/>
  <c r="M85" i="3" s="1"/>
  <c r="J24" i="3"/>
  <c r="M24" i="3" s="1"/>
  <c r="J6" i="3"/>
  <c r="M6" i="3" s="1"/>
  <c r="J73" i="3"/>
  <c r="M73" i="3" s="1"/>
  <c r="J93" i="3"/>
  <c r="M93" i="3" s="1"/>
  <c r="J107" i="3"/>
  <c r="M107" i="3" s="1"/>
  <c r="J13" i="3"/>
  <c r="M13" i="3" s="1"/>
  <c r="J16" i="3"/>
  <c r="M16" i="3" s="1"/>
  <c r="J104" i="3"/>
  <c r="M104" i="3" s="1"/>
  <c r="J42" i="3"/>
  <c r="M42" i="3" s="1"/>
  <c r="J51" i="3"/>
  <c r="M51" i="3" s="1"/>
  <c r="J17" i="3"/>
  <c r="M17" i="3" s="1"/>
  <c r="J72" i="3"/>
  <c r="M72" i="3" s="1"/>
  <c r="J30" i="3"/>
  <c r="M30" i="3" s="1"/>
  <c r="J108" i="3"/>
  <c r="M108" i="3" s="1"/>
  <c r="J78" i="3"/>
  <c r="M78" i="3" s="1"/>
  <c r="J29" i="3"/>
  <c r="M29" i="3" s="1"/>
  <c r="J5" i="3"/>
  <c r="M5" i="3" s="1"/>
  <c r="J129" i="3"/>
  <c r="M129" i="3" s="1"/>
  <c r="J54" i="3"/>
  <c r="M54" i="3" s="1"/>
  <c r="J50" i="3"/>
  <c r="M50" i="3" s="1"/>
  <c r="J119" i="3"/>
  <c r="M119" i="3" s="1"/>
  <c r="J23" i="3"/>
  <c r="M23" i="3" s="1"/>
  <c r="J41" i="3"/>
  <c r="M41" i="3" s="1"/>
  <c r="J110" i="3"/>
  <c r="M110" i="3" s="1"/>
  <c r="J127" i="3"/>
  <c r="M127" i="3" s="1"/>
  <c r="J98" i="3"/>
  <c r="M98" i="3" s="1"/>
  <c r="J84" i="3"/>
  <c r="M84" i="3" s="1"/>
  <c r="J82" i="3"/>
  <c r="M82" i="3" s="1"/>
  <c r="J8" i="3"/>
  <c r="M8" i="3" s="1"/>
  <c r="J113" i="3"/>
  <c r="M113" i="3" s="1"/>
  <c r="J102" i="3"/>
  <c r="M102" i="3" s="1"/>
  <c r="J100" i="3"/>
  <c r="M100" i="3" s="1"/>
  <c r="J62" i="3"/>
  <c r="M62" i="3" s="1"/>
  <c r="J87" i="3"/>
  <c r="M87" i="3" s="1"/>
  <c r="J12" i="3"/>
  <c r="M12" i="3" s="1"/>
  <c r="J39" i="3"/>
  <c r="M39" i="3" s="1"/>
  <c r="J33" i="3"/>
  <c r="M33" i="3" s="1"/>
  <c r="J94" i="3"/>
  <c r="M94" i="3" s="1"/>
  <c r="J64" i="3"/>
  <c r="M64" i="3" s="1"/>
  <c r="J83" i="3"/>
  <c r="M83" i="3" s="1"/>
  <c r="J19" i="3"/>
  <c r="M19" i="3" s="1"/>
  <c r="J90" i="3"/>
  <c r="M90" i="3" s="1"/>
  <c r="J52" i="3"/>
  <c r="M52" i="3" s="1"/>
  <c r="I89" i="3"/>
  <c r="L89" i="3" s="1"/>
  <c r="I8" i="3"/>
  <c r="L8" i="3" s="1"/>
  <c r="J123" i="3"/>
  <c r="M123" i="3" s="1"/>
  <c r="I49" i="3"/>
  <c r="L49" i="3" s="1"/>
  <c r="J128" i="3"/>
  <c r="M128" i="3" s="1"/>
  <c r="I9" i="3"/>
  <c r="L9" i="3" s="1"/>
  <c r="J71" i="3"/>
  <c r="M71" i="3" s="1"/>
  <c r="I101" i="3"/>
  <c r="L101" i="3" s="1"/>
  <c r="I66" i="3"/>
  <c r="L66" i="3" s="1"/>
  <c r="I78" i="3"/>
  <c r="L78" i="3" s="1"/>
  <c r="E141" i="3"/>
  <c r="I82" i="3"/>
  <c r="L82" i="3" s="1"/>
  <c r="I6" i="3"/>
  <c r="L6" i="3" s="1"/>
  <c r="I17" i="3"/>
  <c r="L17" i="3" s="1"/>
  <c r="I108" i="3"/>
  <c r="L108" i="3" s="1"/>
  <c r="I70" i="3"/>
  <c r="L70" i="3" s="1"/>
  <c r="I28" i="3"/>
  <c r="L28" i="3" s="1"/>
  <c r="I84" i="3"/>
  <c r="L84" i="3" s="1"/>
  <c r="I115" i="3"/>
  <c r="L115" i="3" s="1"/>
  <c r="I109" i="3"/>
  <c r="L109" i="3" s="1"/>
  <c r="I86" i="3"/>
  <c r="L86" i="3" s="1"/>
  <c r="I74" i="3"/>
  <c r="L74" i="3" s="1"/>
  <c r="I90" i="3"/>
  <c r="L90" i="3" s="1"/>
  <c r="I118" i="3"/>
  <c r="L118" i="3" s="1"/>
  <c r="J9" i="3"/>
  <c r="M9" i="3" s="1"/>
  <c r="J67" i="3"/>
  <c r="M67" i="3" s="1"/>
  <c r="J38" i="3"/>
  <c r="M38" i="3" s="1"/>
  <c r="J124" i="3"/>
  <c r="M124" i="3" s="1"/>
  <c r="J97" i="3"/>
  <c r="M97" i="3" s="1"/>
  <c r="J25" i="3"/>
  <c r="M25" i="3" s="1"/>
  <c r="J70" i="3"/>
  <c r="M70" i="3" s="1"/>
  <c r="J89" i="3"/>
  <c r="M89" i="3" s="1"/>
  <c r="J46" i="3"/>
  <c r="M46" i="3" s="1"/>
  <c r="J65" i="3"/>
  <c r="M65" i="3" s="1"/>
  <c r="J114" i="3"/>
  <c r="M114" i="3" s="1"/>
  <c r="I85" i="3"/>
  <c r="L85" i="3" s="1"/>
  <c r="I87" i="3"/>
  <c r="L87" i="3" s="1"/>
  <c r="I95" i="3"/>
  <c r="L95" i="3" s="1"/>
  <c r="I106" i="3"/>
  <c r="L106" i="3" s="1"/>
  <c r="I69" i="3"/>
  <c r="L69" i="3" s="1"/>
  <c r="I34" i="3"/>
  <c r="L34" i="3" s="1"/>
  <c r="J86" i="3"/>
  <c r="M86" i="3" s="1"/>
  <c r="I97" i="3"/>
  <c r="L97" i="3" s="1"/>
  <c r="I55" i="3"/>
  <c r="L55" i="3" s="1"/>
  <c r="I53" i="3"/>
  <c r="L53" i="3" s="1"/>
  <c r="I64" i="3"/>
  <c r="L64" i="3" s="1"/>
  <c r="I19" i="3"/>
  <c r="L19" i="3" s="1"/>
  <c r="I80" i="3"/>
  <c r="L80" i="3" s="1"/>
  <c r="I25" i="3"/>
  <c r="L25" i="3" s="1"/>
  <c r="I73" i="3"/>
  <c r="L73" i="3" s="1"/>
  <c r="I123" i="3"/>
  <c r="L123" i="3" s="1"/>
  <c r="I127" i="3"/>
  <c r="L127" i="3" s="1"/>
  <c r="I10" i="3"/>
  <c r="L10" i="3" s="1"/>
  <c r="I24" i="3"/>
  <c r="L24" i="3" s="1"/>
  <c r="I30" i="3"/>
  <c r="L30" i="3" s="1"/>
  <c r="I43" i="3"/>
  <c r="L43" i="3" s="1"/>
  <c r="I61" i="3"/>
  <c r="L61" i="3" s="1"/>
  <c r="I37" i="3"/>
  <c r="L37" i="3" s="1"/>
  <c r="I72" i="3"/>
  <c r="L72" i="3" s="1"/>
  <c r="I117" i="3"/>
  <c r="L117" i="3" s="1"/>
  <c r="I124" i="3"/>
  <c r="L124" i="3" s="1"/>
  <c r="I65" i="3"/>
  <c r="L65" i="3" s="1"/>
  <c r="I104" i="3"/>
  <c r="L104" i="3" s="1"/>
  <c r="I116" i="3"/>
  <c r="L116" i="3" s="1"/>
  <c r="I92" i="3"/>
  <c r="L92" i="3" s="1"/>
  <c r="I81" i="3"/>
  <c r="L81" i="3" s="1"/>
  <c r="I23" i="3"/>
  <c r="L23" i="3" s="1"/>
  <c r="I51" i="3"/>
  <c r="L51" i="3" s="1"/>
  <c r="J111" i="3"/>
  <c r="M111" i="3" s="1"/>
  <c r="I56" i="3"/>
  <c r="L56" i="3" s="1"/>
  <c r="I31" i="3"/>
  <c r="L31" i="3" s="1"/>
  <c r="I59" i="3"/>
  <c r="L59" i="3" s="1"/>
  <c r="I112" i="3"/>
  <c r="L112" i="3" s="1"/>
  <c r="I48" i="3"/>
  <c r="L48" i="3" s="1"/>
  <c r="I16" i="3"/>
  <c r="L16" i="3" s="1"/>
  <c r="I52" i="3"/>
  <c r="L52" i="3" s="1"/>
  <c r="I67" i="3"/>
  <c r="L67" i="3" s="1"/>
  <c r="I7" i="3"/>
  <c r="L7" i="3" s="1"/>
  <c r="I68" i="3"/>
  <c r="L68" i="3" s="1"/>
  <c r="I113" i="3"/>
  <c r="L113" i="3" s="1"/>
  <c r="I103" i="3"/>
  <c r="L103" i="3" s="1"/>
  <c r="I98" i="3"/>
  <c r="L98" i="3" s="1"/>
  <c r="I125" i="3"/>
  <c r="L125" i="3" s="1"/>
  <c r="I71" i="3"/>
  <c r="L71" i="3" s="1"/>
  <c r="I111" i="3"/>
  <c r="L111" i="3" s="1"/>
  <c r="I54" i="3"/>
  <c r="L54" i="3" s="1"/>
  <c r="I129" i="3"/>
  <c r="L129" i="3" s="1"/>
  <c r="I44" i="3"/>
  <c r="L44" i="3" s="1"/>
  <c r="J34" i="3"/>
  <c r="M34" i="3" s="1"/>
  <c r="J47" i="3"/>
  <c r="M47" i="3" s="1"/>
  <c r="J36" i="3"/>
  <c r="M36" i="3" s="1"/>
  <c r="J68" i="3"/>
  <c r="M68" i="3" s="1"/>
  <c r="J14" i="3"/>
  <c r="M14" i="3" s="1"/>
  <c r="J66" i="3"/>
  <c r="M66" i="3" s="1"/>
  <c r="J40" i="3"/>
  <c r="M40" i="3" s="1"/>
  <c r="J106" i="3"/>
  <c r="M106" i="3" s="1"/>
  <c r="J118" i="3"/>
  <c r="M118" i="3" s="1"/>
  <c r="J103" i="3"/>
  <c r="M103" i="3" s="1"/>
  <c r="I79" i="3"/>
  <c r="L79" i="3" s="1"/>
  <c r="I63" i="3"/>
  <c r="L63" i="3" s="1"/>
  <c r="I36" i="3"/>
  <c r="L36" i="3" s="1"/>
  <c r="I26" i="3"/>
  <c r="L26" i="3" s="1"/>
  <c r="I50" i="3"/>
  <c r="L50" i="3" s="1"/>
  <c r="I39" i="3"/>
  <c r="L39" i="3" s="1"/>
  <c r="I41" i="3"/>
  <c r="L41" i="3" s="1"/>
  <c r="J74" i="3"/>
  <c r="M74" i="3" s="1"/>
  <c r="I14" i="3"/>
  <c r="L14" i="3" s="1"/>
  <c r="I60" i="3"/>
  <c r="L60" i="3" s="1"/>
  <c r="I38" i="3"/>
  <c r="L38" i="3" s="1"/>
  <c r="I88" i="3"/>
  <c r="L88" i="3" s="1"/>
  <c r="I58" i="3"/>
  <c r="L58" i="3" s="1"/>
  <c r="I5" i="3"/>
  <c r="L5" i="3" s="1"/>
  <c r="I20" i="3"/>
  <c r="L20" i="3" s="1"/>
  <c r="I46" i="3"/>
  <c r="L46" i="3" s="1"/>
  <c r="I29" i="3"/>
  <c r="L29" i="3" s="1"/>
  <c r="I121" i="3"/>
  <c r="L121" i="3" s="1"/>
  <c r="I99" i="3"/>
  <c r="L99" i="3" s="1"/>
  <c r="I96" i="3"/>
  <c r="L96" i="3" s="1"/>
  <c r="I119" i="3"/>
  <c r="L119" i="3" s="1"/>
  <c r="I110" i="3"/>
  <c r="L110" i="3" s="1"/>
  <c r="I11" i="3"/>
  <c r="L11" i="3" s="1"/>
  <c r="I12" i="3"/>
  <c r="L12" i="3" s="1"/>
  <c r="I105" i="3"/>
  <c r="L105" i="3" s="1"/>
  <c r="I91" i="3"/>
  <c r="L91" i="3" s="1"/>
  <c r="I76" i="3"/>
  <c r="L76" i="3" s="1"/>
  <c r="I107" i="3"/>
  <c r="L107" i="3" s="1"/>
  <c r="I4" i="3"/>
  <c r="L4" i="3" s="1"/>
  <c r="I93" i="3"/>
  <c r="L93" i="3" s="1"/>
  <c r="I33" i="3"/>
  <c r="L33" i="3" s="1"/>
  <c r="I27" i="3"/>
  <c r="L27" i="3" s="1"/>
  <c r="I18" i="3"/>
  <c r="L18" i="3" s="1"/>
  <c r="I13" i="3"/>
  <c r="L13" i="3" s="1"/>
  <c r="I21" i="3"/>
  <c r="L21" i="3" s="1"/>
  <c r="I114" i="3"/>
  <c r="L114" i="3" s="1"/>
  <c r="I122" i="3"/>
  <c r="L122" i="3" s="1"/>
  <c r="I32" i="3"/>
  <c r="L32" i="3" s="1"/>
  <c r="I57" i="3"/>
  <c r="L57" i="3" s="1"/>
  <c r="I40" i="3"/>
  <c r="L40" i="3" s="1"/>
  <c r="F132" i="3"/>
  <c r="I128" i="3"/>
  <c r="L128" i="3" s="1"/>
  <c r="J63" i="3"/>
  <c r="M63" i="3" s="1"/>
  <c r="I42" i="3"/>
  <c r="L42" i="3" s="1"/>
  <c r="I75" i="3"/>
  <c r="L75" i="3" s="1"/>
  <c r="I45" i="3"/>
  <c r="L45" i="3" s="1"/>
  <c r="I83" i="3"/>
  <c r="L83" i="3" s="1"/>
  <c r="I35" i="3"/>
  <c r="L35" i="3" s="1"/>
  <c r="I94" i="3"/>
  <c r="L94" i="3" s="1"/>
  <c r="I47" i="3"/>
  <c r="L47" i="3" s="1"/>
  <c r="I77" i="3"/>
  <c r="L77" i="3" s="1"/>
  <c r="I15" i="3"/>
  <c r="L15" i="3" s="1"/>
  <c r="I100" i="3"/>
  <c r="L100" i="3" s="1"/>
  <c r="I62" i="3"/>
  <c r="L62" i="3" s="1"/>
  <c r="I126" i="3"/>
  <c r="L126" i="3" s="1"/>
  <c r="I120" i="3"/>
  <c r="L120" i="3" s="1"/>
  <c r="I22" i="3"/>
  <c r="L22" i="3" s="1"/>
  <c r="G141" i="3"/>
  <c r="U149" i="3" s="1"/>
  <c r="F140" i="3"/>
  <c r="E142" i="3"/>
  <c r="O142" i="3"/>
  <c r="AB142" i="3"/>
  <c r="AB156" i="3" s="1"/>
  <c r="O156" i="3" l="1"/>
  <c r="O148" i="3"/>
  <c r="E140" i="3"/>
  <c r="K133" i="3"/>
  <c r="K134" i="3" s="1"/>
  <c r="AC142" i="3" s="1"/>
  <c r="W148" i="3"/>
  <c r="AB149" i="3"/>
  <c r="AC148" i="3"/>
  <c r="O143" i="3"/>
  <c r="O157" i="3" s="1"/>
  <c r="U143" i="3"/>
  <c r="U157" i="3" s="1"/>
  <c r="AB143" i="3"/>
  <c r="AB157" i="3" s="1"/>
  <c r="O149" i="3"/>
  <c r="P148" i="3"/>
  <c r="M131" i="3"/>
  <c r="M132" i="3" s="1"/>
  <c r="U142" i="3"/>
  <c r="U156" i="3" s="1"/>
  <c r="L131" i="3"/>
  <c r="L132" i="3" s="1"/>
  <c r="L133" i="3" s="1"/>
  <c r="L134" i="3" s="1"/>
  <c r="R182" i="3" l="1"/>
  <c r="P182" i="3"/>
  <c r="T182" i="3"/>
  <c r="Y182" i="3"/>
  <c r="W182" i="3"/>
  <c r="X182" i="3"/>
  <c r="V182" i="3"/>
  <c r="S182" i="3"/>
  <c r="U182" i="3"/>
  <c r="Q182" i="3"/>
  <c r="O182" i="3"/>
  <c r="Q181" i="3"/>
  <c r="P142" i="3"/>
  <c r="B165" i="3"/>
  <c r="AB148" i="3"/>
  <c r="AC143" i="3"/>
  <c r="G142" i="3"/>
  <c r="V149" i="3" s="1"/>
  <c r="P149" i="3"/>
  <c r="O153" i="3" s="1" a="1"/>
  <c r="M133" i="3"/>
  <c r="M134" i="3" s="1"/>
  <c r="F141" i="3"/>
  <c r="U148" i="3" s="1"/>
  <c r="U153" i="3" s="1" a="1"/>
  <c r="U153" i="3" s="1"/>
  <c r="C165" i="3"/>
  <c r="V142" i="3"/>
  <c r="W181" i="3" l="1"/>
  <c r="X181" i="3"/>
  <c r="V181" i="3"/>
  <c r="S181" i="3"/>
  <c r="O181" i="3"/>
  <c r="P181" i="3"/>
  <c r="T181" i="3"/>
  <c r="U181" i="3"/>
  <c r="Y181" i="3"/>
  <c r="R181" i="3"/>
  <c r="D165" i="3"/>
  <c r="P143" i="3"/>
  <c r="V143" i="3"/>
  <c r="O153" i="3"/>
  <c r="O159" i="3" s="1"/>
  <c r="O160" i="3"/>
  <c r="AC149" i="3"/>
  <c r="AB153" i="3" s="1" a="1"/>
  <c r="E148" i="3"/>
  <c r="P160" i="3" l="1"/>
  <c r="AB153" i="3"/>
  <c r="AB159" i="3" s="1"/>
  <c r="AB160" i="3"/>
  <c r="P159" i="3"/>
  <c r="O163" i="3" l="1"/>
  <c r="O162" i="3"/>
  <c r="AC160" i="3"/>
  <c r="AC159" i="3"/>
  <c r="U159" i="3"/>
  <c r="U160" i="3"/>
  <c r="AB162" i="3" l="1"/>
  <c r="O192" i="3"/>
  <c r="O166" i="3"/>
  <c r="O184" i="3"/>
  <c r="P192" i="3"/>
  <c r="P184" i="3"/>
  <c r="V160" i="3"/>
  <c r="AB163" i="3"/>
  <c r="V159" i="3"/>
  <c r="AB166" i="3" l="1"/>
  <c r="AB171" i="3" s="1"/>
  <c r="O171" i="3"/>
  <c r="O167" i="3"/>
  <c r="O187" i="3" s="1"/>
  <c r="O168" i="3"/>
  <c r="P187" i="3" s="1"/>
  <c r="O170" i="3"/>
  <c r="O172" i="3"/>
  <c r="U162" i="3"/>
  <c r="U163" i="3"/>
  <c r="AB170" i="3" l="1"/>
  <c r="AB168" i="3"/>
  <c r="AB172" i="3"/>
  <c r="AB167" i="3"/>
  <c r="O173" i="3"/>
  <c r="U166" i="3"/>
  <c r="U170" i="3" s="1"/>
  <c r="AB173" i="3" l="1"/>
  <c r="U167" i="3"/>
  <c r="U171" i="3"/>
  <c r="U172" i="3"/>
  <c r="U168" i="3"/>
  <c r="U173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tc={234FF63B-50DB-450A-80C1-991D750DB501}</author>
  </authors>
  <commentList>
    <comment ref="A131" authorId="0" shapeId="0" xr:uid="{234FF63B-50DB-450A-80C1-991D750DB501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Compounded Annual Growth Rate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tc={E25FB2C2-B506-48D6-9421-AB4125F1A597}</author>
    <author>tc={699E47CF-F956-4BBF-8815-697D03C3C4A1}</author>
    <author>tc={7829007C-F824-4E3C-8C77-71A24050B80E}</author>
    <author>tc={AA20426E-9FB5-4F43-9A9A-38EF17488882}</author>
    <author>tc={8EE448F2-6858-44DF-94D7-7C838C568030}</author>
    <author>tc={73782737-3CAE-467F-897A-74FFA22C7831}</author>
    <author>tc={104C41AC-2B56-4300-89BC-C949E926A798}</author>
    <author>tc={4ADBF3C4-E988-41B5-83FB-4CED98031D74}</author>
    <author>tc={55B55F73-D32D-4B67-A326-25BA6C5BABC9}</author>
    <author>tc={6D921E28-9C11-480B-AC94-6D849B18079F}</author>
    <author>tc={0CBA3864-511F-4D41-9001-0179214C63D5}</author>
    <author>tc={4033E1D7-6783-495F-A0B1-9ACC4965163C}</author>
    <author>tc={375698A8-AA47-4B6F-B2EA-65299912F664}</author>
    <author>tc={1AE8E0F2-D41E-4BAB-A7BD-1E0825C78C8C}</author>
    <author>tc={DD08DFC2-4315-41B6-AC6C-36F66B5BFD31}</author>
  </authors>
  <commentList>
    <comment ref="B1" authorId="0" shapeId="0" xr:uid="{E25FB2C2-B506-48D6-9421-AB4125F1A597}">
      <text>
        <t>[Threaded comment]
Your version of Excel allows you to read this threaded comment; however, any edits to it will get removed if the file is opened in a newer version of Excel. Learn more: https://go.microsoft.com/fwlink/?linkid=870924
Comment:
    Apple</t>
      </text>
    </comment>
    <comment ref="C1" authorId="1" shapeId="0" xr:uid="{699E47CF-F956-4BBF-8815-697D03C3C4A1}">
      <text>
        <t>[Threaded comment]
Your version of Excel allows you to read this threaded comment; however, any edits to it will get removed if the file is opened in a newer version of Excel. Learn more: https://go.microsoft.com/fwlink/?linkid=870924
Comment:
    Verizon</t>
      </text>
    </comment>
    <comment ref="D1" authorId="2" shapeId="0" xr:uid="{7829007C-F824-4E3C-8C77-71A24050B80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EOG Resources </t>
      </text>
    </comment>
    <comment ref="E1" authorId="3" shapeId="0" xr:uid="{AA20426E-9FB5-4F43-9A9A-38EF17488882}">
      <text>
        <t>[Threaded comment]
Your version of Excel allows you to read this threaded comment; however, any edits to it will get removed if the file is opened in a newer version of Excel. Learn more: https://go.microsoft.com/fwlink/?linkid=870924
Comment:
    Apple</t>
      </text>
    </comment>
    <comment ref="F1" authorId="4" shapeId="0" xr:uid="{8EE448F2-6858-44DF-94D7-7C838C568030}">
      <text>
        <t>[Threaded comment]
Your version of Excel allows you to read this threaded comment; however, any edits to it will get removed if the file is opened in a newer version of Excel. Learn more: https://go.microsoft.com/fwlink/?linkid=870924
Comment:
    Verizon</t>
      </text>
    </comment>
    <comment ref="G1" authorId="5" shapeId="0" xr:uid="{73782737-3CAE-467F-897A-74FFA22C783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EOG Resources </t>
      </text>
    </comment>
    <comment ref="H1" authorId="6" shapeId="0" xr:uid="{104C41AC-2B56-4300-89BC-C949E926A798}">
      <text>
        <t>[Threaded comment]
Your version of Excel allows you to read this threaded comment; however, any edits to it will get removed if the file is opened in a newer version of Excel. Learn more: https://go.microsoft.com/fwlink/?linkid=870924
Comment:
    Apple</t>
      </text>
    </comment>
    <comment ref="I1" authorId="7" shapeId="0" xr:uid="{4ADBF3C4-E988-41B5-83FB-4CED98031D74}">
      <text>
        <t>[Threaded comment]
Your version of Excel allows you to read this threaded comment; however, any edits to it will get removed if the file is opened in a newer version of Excel. Learn more: https://go.microsoft.com/fwlink/?linkid=870924
Comment:
    Verizon</t>
      </text>
    </comment>
    <comment ref="J1" authorId="8" shapeId="0" xr:uid="{55B55F73-D32D-4B67-A326-25BA6C5BABC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EOG Resources </t>
      </text>
    </comment>
    <comment ref="K1" authorId="9" shapeId="0" xr:uid="{6D921E28-9C11-480B-AC94-6D849B18079F}">
      <text>
        <t>[Threaded comment]
Your version of Excel allows you to read this threaded comment; however, any edits to it will get removed if the file is opened in a newer version of Excel. Learn more: https://go.microsoft.com/fwlink/?linkid=870924
Comment:
    Apple</t>
      </text>
    </comment>
    <comment ref="L1" authorId="10" shapeId="0" xr:uid="{0CBA3864-511F-4D41-9001-0179214C63D5}">
      <text>
        <t>[Threaded comment]
Your version of Excel allows you to read this threaded comment; however, any edits to it will get removed if the file is opened in a newer version of Excel. Learn more: https://go.microsoft.com/fwlink/?linkid=870924
Comment:
    Verizon</t>
      </text>
    </comment>
    <comment ref="M1" authorId="11" shapeId="0" xr:uid="{4033E1D7-6783-495F-A0B1-9ACC4965163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EOG Resources </t>
      </text>
    </comment>
    <comment ref="N144" authorId="12" shapeId="0" xr:uid="{375698A8-AA47-4B6F-B2EA-65299912F664}">
      <text>
        <t>[Threaded comment]
Your version of Excel allows you to read this threaded comment; however, any edits to it will get removed if the file is opened in a newer version of Excel. Learn more: https://go.microsoft.com/fwlink/?linkid=870924
Comment:
    Found on bloomberg</t>
      </text>
    </comment>
    <comment ref="T144" authorId="13" shapeId="0" xr:uid="{1AE8E0F2-D41E-4BAB-A7BD-1E0825C78C8C}">
      <text>
        <t>[Threaded comment]
Your version of Excel allows you to read this threaded comment; however, any edits to it will get removed if the file is opened in a newer version of Excel. Learn more: https://go.microsoft.com/fwlink/?linkid=870924
Comment:
    Found on bloomberg</t>
      </text>
    </comment>
    <comment ref="AA144" authorId="14" shapeId="0" xr:uid="{DD08DFC2-4315-41B6-AC6C-36F66B5BFD31}">
      <text>
        <t>[Threaded comment]
Your version of Excel allows you to read this threaded comment; however, any edits to it will get removed if the file is opened in a newer version of Excel. Learn more: https://go.microsoft.com/fwlink/?linkid=870924
Comment:
    Found on bloomberg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<sst xmlns="http://schemas.openxmlformats.org/spreadsheetml/2006/main" count="269" uniqueCount="170">
  <si>
    <t xml:space="preserve">Price </t>
  </si>
  <si>
    <t>LG RTN</t>
  </si>
  <si>
    <t>R - R mean</t>
  </si>
  <si>
    <t>squared up</t>
  </si>
  <si>
    <t>LLY</t>
  </si>
  <si>
    <t>XOM</t>
  </si>
  <si>
    <t>PSA</t>
  </si>
  <si>
    <t>TXN UW</t>
  </si>
  <si>
    <t xml:space="preserve">LLY </t>
  </si>
  <si>
    <t xml:space="preserve">XOM </t>
  </si>
  <si>
    <t xml:space="preserve">PSA </t>
  </si>
  <si>
    <t xml:space="preserve">TXN UW </t>
  </si>
  <si>
    <t>02/20/2025</t>
  </si>
  <si>
    <t>02/19/2025</t>
  </si>
  <si>
    <t>02/18/2025</t>
  </si>
  <si>
    <t>02/14/2025</t>
  </si>
  <si>
    <t>02/13/2025</t>
  </si>
  <si>
    <t>01/31/2025</t>
  </si>
  <si>
    <t>01/30/2025</t>
  </si>
  <si>
    <t>01/29/2025</t>
  </si>
  <si>
    <t>01/28/2025</t>
  </si>
  <si>
    <t>01/27/2025</t>
  </si>
  <si>
    <t>01/24/2025</t>
  </si>
  <si>
    <t>01/23/2025</t>
  </si>
  <si>
    <t>01/22/2025</t>
  </si>
  <si>
    <t>01/21/2025</t>
  </si>
  <si>
    <t>01/17/2025</t>
  </si>
  <si>
    <t>01/16/2025</t>
  </si>
  <si>
    <t>01/15/2025</t>
  </si>
  <si>
    <t>01/14/2025</t>
  </si>
  <si>
    <t>01/13/2025</t>
  </si>
  <si>
    <t>12/31/2024</t>
  </si>
  <si>
    <t>12/30/2024</t>
  </si>
  <si>
    <t>12/27/2024</t>
  </si>
  <si>
    <t>12/26/2024</t>
  </si>
  <si>
    <t>12/24/2024</t>
  </si>
  <si>
    <t>12/23/2024</t>
  </si>
  <si>
    <t>12/20/2024</t>
  </si>
  <si>
    <t>12/19/2024</t>
  </si>
  <si>
    <t>12/18/2024</t>
  </si>
  <si>
    <t>12/17/2024</t>
  </si>
  <si>
    <t>12/16/2024</t>
  </si>
  <si>
    <t>12/13/2024</t>
  </si>
  <si>
    <t>11/29/2024</t>
  </si>
  <si>
    <t>11/27/2024</t>
  </si>
  <si>
    <t>11/26/2024</t>
  </si>
  <si>
    <t>11/25/2024</t>
  </si>
  <si>
    <t>11/22/2024</t>
  </si>
  <si>
    <t>11/21/2024</t>
  </si>
  <si>
    <t>11/20/2024</t>
  </si>
  <si>
    <t>11/19/2024</t>
  </si>
  <si>
    <t>11/18/2024</t>
  </si>
  <si>
    <t>11/15/2024</t>
  </si>
  <si>
    <t>11/14/2024</t>
  </si>
  <si>
    <t>11/13/2024</t>
  </si>
  <si>
    <t>10/31/2024</t>
  </si>
  <si>
    <t>10/30/2024</t>
  </si>
  <si>
    <t>10/29/2024</t>
  </si>
  <si>
    <t>10/28/2024</t>
  </si>
  <si>
    <t>10/25/2024</t>
  </si>
  <si>
    <t>10/24/2024</t>
  </si>
  <si>
    <t>10/23/2024</t>
  </si>
  <si>
    <t>10/22/2024</t>
  </si>
  <si>
    <t>10/21/2024</t>
  </si>
  <si>
    <t>10/18/2024</t>
  </si>
  <si>
    <t>10/17/2024</t>
  </si>
  <si>
    <t>10/16/2024</t>
  </si>
  <si>
    <t>10/15/2024</t>
  </si>
  <si>
    <t>10/14/2024</t>
  </si>
  <si>
    <t>09/30/2024</t>
  </si>
  <si>
    <t>09/27/2024</t>
  </si>
  <si>
    <t>09/26/2024</t>
  </si>
  <si>
    <t>09/25/2024</t>
  </si>
  <si>
    <t>09/24/2024</t>
  </si>
  <si>
    <t>09/23/2024</t>
  </si>
  <si>
    <t>09/20/2024</t>
  </si>
  <si>
    <t>09/19/2024</t>
  </si>
  <si>
    <t>09/18/2024</t>
  </si>
  <si>
    <t>09/17/2024</t>
  </si>
  <si>
    <t>09/16/2024</t>
  </si>
  <si>
    <t>09/13/2024</t>
  </si>
  <si>
    <t>08/30/2024</t>
  </si>
  <si>
    <t>08/29/2024</t>
  </si>
  <si>
    <t>08/28/2024</t>
  </si>
  <si>
    <t>08/27/2024</t>
  </si>
  <si>
    <t>08/26/2024</t>
  </si>
  <si>
    <t>08/23/2024</t>
  </si>
  <si>
    <t>08/22/2024</t>
  </si>
  <si>
    <t>08/21/2024</t>
  </si>
  <si>
    <t>08/20/2024</t>
  </si>
  <si>
    <t>count</t>
  </si>
  <si>
    <t>Avg RN</t>
  </si>
  <si>
    <t xml:space="preserve">Sum </t>
  </si>
  <si>
    <t>CAGR</t>
  </si>
  <si>
    <t>annualised</t>
  </si>
  <si>
    <t>/n-1 (variance</t>
  </si>
  <si>
    <t>STDEV</t>
  </si>
  <si>
    <t>Covariance Matrix</t>
  </si>
  <si>
    <t>STDEV annualised</t>
  </si>
  <si>
    <t>Cov (A, B)</t>
  </si>
  <si>
    <t xml:space="preserve">johnson&amp; Johnson </t>
  </si>
  <si>
    <t>Cov(A,C)</t>
  </si>
  <si>
    <t>Verizon</t>
  </si>
  <si>
    <t>Cov(B,C)</t>
  </si>
  <si>
    <t xml:space="preserve">EOG Resources </t>
  </si>
  <si>
    <t>GMVP</t>
  </si>
  <si>
    <t>AAPL</t>
  </si>
  <si>
    <t>VZ</t>
  </si>
  <si>
    <t>EOG</t>
  </si>
  <si>
    <t>Date</t>
  </si>
  <si>
    <t>Close</t>
  </si>
  <si>
    <t xml:space="preserve">Log return </t>
  </si>
  <si>
    <t>R-R mean</t>
  </si>
  <si>
    <t>(R-Rmean)^2</t>
  </si>
  <si>
    <t>Apple</t>
  </si>
  <si>
    <t>average</t>
  </si>
  <si>
    <t>Sum</t>
  </si>
  <si>
    <t>Risk free rate</t>
  </si>
  <si>
    <t xml:space="preserve">Variance </t>
  </si>
  <si>
    <t xml:space="preserve">Low </t>
  </si>
  <si>
    <t xml:space="preserve">Medium </t>
  </si>
  <si>
    <t xml:space="preserve">High </t>
  </si>
  <si>
    <t>STDEV Annualised</t>
  </si>
  <si>
    <t xml:space="preserve">Risk -Aversion Coeffecient </t>
  </si>
  <si>
    <t xml:space="preserve">Covariance Matrix </t>
  </si>
  <si>
    <t>Covariance</t>
  </si>
  <si>
    <t>APPL</t>
  </si>
  <si>
    <t xml:space="preserve">Optimal Risky Portfolio </t>
  </si>
  <si>
    <t>Cov(A,B)</t>
  </si>
  <si>
    <t xml:space="preserve">Cov(A, C) </t>
  </si>
  <si>
    <t xml:space="preserve">Expected Return </t>
  </si>
  <si>
    <t xml:space="preserve">Standard Deviation </t>
  </si>
  <si>
    <t xml:space="preserve">Cov(B, C) </t>
  </si>
  <si>
    <t>APPLE</t>
  </si>
  <si>
    <t xml:space="preserve">EOG </t>
  </si>
  <si>
    <t xml:space="preserve">Covaraiance Matrix </t>
  </si>
  <si>
    <t>Inverse</t>
  </si>
  <si>
    <t>Excess Returns APPL</t>
  </si>
  <si>
    <t>Excess Returns EOG</t>
  </si>
  <si>
    <t>ORP weights</t>
  </si>
  <si>
    <t xml:space="preserve">ORP Expected Return </t>
  </si>
  <si>
    <t xml:space="preserve">ORP Expected Volatility </t>
  </si>
  <si>
    <t xml:space="preserve">CAGR </t>
  </si>
  <si>
    <t xml:space="preserve">OCP </t>
  </si>
  <si>
    <t>w EOG</t>
  </si>
  <si>
    <t>SUM</t>
  </si>
  <si>
    <t>Portfolio Variance</t>
  </si>
  <si>
    <t>OCP Return</t>
  </si>
  <si>
    <t>OCP Vol</t>
  </si>
  <si>
    <t>Risk free weight</t>
  </si>
  <si>
    <t>sum of weight</t>
  </si>
  <si>
    <t xml:space="preserve">APPL weight </t>
  </si>
  <si>
    <t xml:space="preserve">EOG weight </t>
  </si>
  <si>
    <t xml:space="preserve">Correlation </t>
  </si>
  <si>
    <t>CAGR VBA</t>
  </si>
  <si>
    <t>Annualised Volitility VBA</t>
  </si>
  <si>
    <t>w APPL</t>
  </si>
  <si>
    <t>w VZ</t>
  </si>
  <si>
    <t>Portfolio Expected Return</t>
  </si>
  <si>
    <t xml:space="preserve">Portfolio Variance </t>
  </si>
  <si>
    <t>ORP</t>
  </si>
  <si>
    <t>Expected return</t>
  </si>
  <si>
    <t xml:space="preserve">Volatility </t>
  </si>
  <si>
    <t>OCP A= 3</t>
  </si>
  <si>
    <t>OCP A= 12</t>
  </si>
  <si>
    <t>Portfolio</t>
  </si>
  <si>
    <t>Expected Return (Y)</t>
  </si>
  <si>
    <t>Volatility (X)</t>
  </si>
  <si>
    <t>Risk-Free</t>
  </si>
  <si>
    <t>To make Graph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</si>
</sst>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%"/>
    <numFmt numFmtId="165" formatCode="0.000000"/>
    <numFmt numFmtId="166" formatCode="0.000000000E+00"/>
    <numFmt numFmtId="167" formatCode="0.0000E+00"/>
    <numFmt numFmtId="168" formatCode="0.0%"/>
    <numFmt numFmtId="169" formatCode="0.000000000000000%"/>
    <numFmt numFmtId="182" formatCode="0.00000%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8" tint="-0.249977111117893"/>
      <name val="Aptos Narrow"/>
      <family val="2"/>
      <scheme val="minor"/>
    </font>
    <font>
      <sz val="11"/>
      <color theme="9" tint="-0.249977111117893"/>
      <name val="Aptos Narrow"/>
      <family val="2"/>
      <scheme val="minor"/>
    </font>
    <font>
      <sz val="11"/>
      <color theme="5" tint="-0.249977111117893"/>
      <name val="Aptos Narrow"/>
      <family val="2"/>
      <scheme val="minor"/>
    </font>
    <font>
      <sz val="11"/>
      <color theme="6" tint="-0.249977111117893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9">
    <xf numFmtId="0" fontId="0" fillId="0" borderId="0" xfId="0"/>
    <xf numFmtId="14" fontId="0" fillId="0" borderId="0" xfId="0" applyNumberFormat="1"/>
    <xf numFmtId="10" fontId="0" fillId="0" borderId="0" xfId="1" applyNumberFormat="1" applyFont="1"/>
    <xf numFmtId="164" fontId="0" fillId="0" borderId="0" xfId="1" applyNumberFormat="1" applyFont="1"/>
    <xf numFmtId="164" fontId="0" fillId="0" borderId="0" xfId="0" applyNumberFormat="1"/>
    <xf numFmtId="10" fontId="0" fillId="0" borderId="0" xfId="0" applyNumberFormat="1"/>
    <xf numFmtId="0" fontId="0" fillId="2" borderId="1" xfId="0" applyFill="1" applyBorder="1"/>
    <xf numFmtId="0" fontId="0" fillId="0" borderId="1" xfId="0" applyBorder="1"/>
    <xf numFmtId="0" fontId="0" fillId="3" borderId="0" xfId="0" applyFill="1"/>
    <xf numFmtId="9" fontId="0" fillId="3" borderId="0" xfId="1" applyFont="1" applyFill="1"/>
    <xf numFmtId="0" fontId="0" fillId="4" borderId="2" xfId="0" applyFill="1" applyBorder="1"/>
    <xf numFmtId="0" fontId="0" fillId="5" borderId="2" xfId="0" applyFill="1" applyBorder="1"/>
    <xf numFmtId="9" fontId="0" fillId="0" borderId="0" xfId="0" applyNumberFormat="1"/>
    <xf numFmtId="9" fontId="0" fillId="0" borderId="0" xfId="1" applyFont="1"/>
    <xf numFmtId="0" fontId="0" fillId="0" borderId="0" xfId="0" applyAlignment="1">
      <alignment horizontal="center"/>
    </xf>
    <xf numFmtId="0" fontId="3" fillId="0" borderId="0" xfId="0" applyFont="1"/>
    <xf numFmtId="0" fontId="4" fillId="0" borderId="0" xfId="0" applyFont="1"/>
    <xf numFmtId="0" fontId="0" fillId="0" borderId="2" xfId="0" applyBorder="1"/>
    <xf numFmtId="10" fontId="0" fillId="0" borderId="2" xfId="0" applyNumberFormat="1" applyBorder="1"/>
    <xf numFmtId="9" fontId="0" fillId="0" borderId="2" xfId="0" applyNumberFormat="1" applyBorder="1"/>
    <xf numFmtId="0" fontId="3" fillId="0" borderId="2" xfId="0" applyFont="1" applyBorder="1"/>
    <xf numFmtId="9" fontId="4" fillId="0" borderId="2" xfId="1" applyFont="1" applyBorder="1"/>
    <xf numFmtId="10" fontId="0" fillId="0" borderId="2" xfId="1" applyNumberFormat="1" applyFont="1" applyBorder="1"/>
    <xf numFmtId="2" fontId="0" fillId="0" borderId="2" xfId="0" applyNumberFormat="1" applyBorder="1"/>
    <xf numFmtId="165" fontId="0" fillId="0" borderId="2" xfId="0" applyNumberFormat="1" applyBorder="1"/>
    <xf numFmtId="0" fontId="2" fillId="0" borderId="0" xfId="0" applyFont="1"/>
    <xf numFmtId="2" fontId="0" fillId="0" borderId="2" xfId="1" applyNumberFormat="1" applyFont="1" applyBorder="1"/>
    <xf numFmtId="166" fontId="0" fillId="5" borderId="2" xfId="0" applyNumberFormat="1" applyFill="1" applyBorder="1"/>
    <xf numFmtId="167" fontId="0" fillId="4" borderId="2" xfId="0" applyNumberFormat="1" applyFill="1" applyBorder="1"/>
    <xf numFmtId="0" fontId="0" fillId="0" borderId="2" xfId="1" applyNumberFormat="1" applyFont="1" applyBorder="1"/>
    <xf numFmtId="9" fontId="0" fillId="0" borderId="2" xfId="1" applyFont="1" applyBorder="1"/>
    <xf numFmtId="0" fontId="5" fillId="0" borderId="0" xfId="0" applyFont="1"/>
    <xf numFmtId="10" fontId="5" fillId="0" borderId="2" xfId="1" applyNumberFormat="1" applyFont="1" applyBorder="1"/>
    <xf numFmtId="10" fontId="5" fillId="3" borderId="2" xfId="1" applyNumberFormat="1" applyFont="1" applyFill="1" applyBorder="1"/>
    <xf numFmtId="9" fontId="5" fillId="0" borderId="2" xfId="1" applyFont="1" applyBorder="1"/>
    <xf numFmtId="9" fontId="5" fillId="3" borderId="2" xfId="1" applyFont="1" applyFill="1" applyBorder="1"/>
    <xf numFmtId="0" fontId="6" fillId="0" borderId="0" xfId="0" applyFont="1"/>
    <xf numFmtId="10" fontId="6" fillId="0" borderId="2" xfId="1" applyNumberFormat="1" applyFont="1" applyBorder="1"/>
    <xf numFmtId="10" fontId="6" fillId="3" borderId="2" xfId="1" applyNumberFormat="1" applyFont="1" applyFill="1" applyBorder="1"/>
    <xf numFmtId="9" fontId="6" fillId="0" borderId="2" xfId="1" applyFont="1" applyBorder="1"/>
    <xf numFmtId="9" fontId="6" fillId="3" borderId="2" xfId="1" applyFont="1" applyFill="1" applyBorder="1"/>
    <xf numFmtId="10" fontId="3" fillId="0" borderId="2" xfId="1" applyNumberFormat="1" applyFont="1" applyBorder="1"/>
    <xf numFmtId="10" fontId="3" fillId="3" borderId="2" xfId="1" applyNumberFormat="1" applyFont="1" applyFill="1" applyBorder="1"/>
    <xf numFmtId="9" fontId="3" fillId="0" borderId="2" xfId="1" applyFont="1" applyBorder="1"/>
    <xf numFmtId="9" fontId="3" fillId="3" borderId="2" xfId="1" applyFont="1" applyFill="1" applyBorder="1"/>
    <xf numFmtId="168" fontId="0" fillId="0" borderId="0" xfId="0" applyNumberFormat="1"/>
    <xf numFmtId="169" fontId="0" fillId="0" borderId="0" xfId="0" applyNumberFormat="1"/>
    <xf numFmtId="182" fontId="0" fillId="0" borderId="0" xfId="1" applyNumberFormat="1" applyFont="1"/>
    <xf numFmtId="0" fontId="2" fillId="0" borderId="0" xfId="0" applyFon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ustomXml" Target="../customXml/item3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2.xml"/><Relationship Id="rId4" Type="http://schemas.openxmlformats.org/officeDocument/2006/relationships/styles" Target="styles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Efficient</a:t>
            </a:r>
            <a:r>
              <a:rPr lang="en-US" baseline="0"/>
              <a:t> Frontier, Optimal Complete Portfolio, &amp; Capital Market Line (CML)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177559055118112"/>
          <c:y val="0.17171296296296298"/>
          <c:w val="0.75513407699037616"/>
          <c:h val="0.62308654126567509"/>
        </c:manualLayout>
      </c:layout>
      <c:scatterChart>
        <c:scatterStyle val="smoothMarker"/>
        <c:varyColors val="0"/>
        <c:ser>
          <c:idx val="0"/>
          <c:order val="0"/>
          <c:tx>
            <c:v>Efficient Frontier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'New companies lol '!$O$181:$Y$181</c:f>
              <c:numCache>
                <c:formatCode>0.00000%</c:formatCode>
                <c:ptCount val="11"/>
                <c:pt idx="0">
                  <c:v>0.23855910566692767</c:v>
                </c:pt>
                <c:pt idx="1">
                  <c:v>0.21325818874370675</c:v>
                </c:pt>
                <c:pt idx="2">
                  <c:v>0.19069358523213309</c:v>
                </c:pt>
                <c:pt idx="3">
                  <c:v>0.17194595675362476</c:v>
                </c:pt>
                <c:pt idx="4">
                  <c:v>0.15837664238122437</c:v>
                </c:pt>
                <c:pt idx="5">
                  <c:v>0.15138457607291878</c:v>
                </c:pt>
                <c:pt idx="6">
                  <c:v>0.15188087143021223</c:v>
                </c:pt>
                <c:pt idx="7">
                  <c:v>0.15979577138591697</c:v>
                </c:pt>
                <c:pt idx="8">
                  <c:v>0.17412052783068419</c:v>
                </c:pt>
                <c:pt idx="9">
                  <c:v>0.19343631531862923</c:v>
                </c:pt>
                <c:pt idx="10">
                  <c:v>0.21641080880782382</c:v>
                </c:pt>
              </c:numCache>
            </c:numRef>
          </c:xVal>
          <c:yVal>
            <c:numRef>
              <c:f>'New companies lol '!$O$182:$Y$182</c:f>
              <c:numCache>
                <c:formatCode>0.00%</c:formatCode>
                <c:ptCount val="11"/>
                <c:pt idx="0">
                  <c:v>0.12127742237060213</c:v>
                </c:pt>
                <c:pt idx="1">
                  <c:v>0.12529197981881729</c:v>
                </c:pt>
                <c:pt idx="2">
                  <c:v>0.12930653726703248</c:v>
                </c:pt>
                <c:pt idx="3">
                  <c:v>0.13332109471524767</c:v>
                </c:pt>
                <c:pt idx="4">
                  <c:v>0.13733565216346283</c:v>
                </c:pt>
                <c:pt idx="5">
                  <c:v>0.14135020961167799</c:v>
                </c:pt>
                <c:pt idx="6">
                  <c:v>0.14536476705989318</c:v>
                </c:pt>
                <c:pt idx="7" formatCode="0.000000000000000%">
                  <c:v>0.14937932450810837</c:v>
                </c:pt>
                <c:pt idx="8" formatCode="0.000000000000000%">
                  <c:v>0.15339388195632353</c:v>
                </c:pt>
                <c:pt idx="9" formatCode="0.000000000000000%">
                  <c:v>0.15740843940453869</c:v>
                </c:pt>
                <c:pt idx="10" formatCode="0.000000000000000%">
                  <c:v>0.16142299685275385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CE-4E21-9C46-640D2DBDF89C}"/>
            </c:ext>
          </c:extLst>
        </c:ser>
        <c:ser>
          <c:idx val="1"/>
          <c:order val="1"/>
          <c:tx>
            <c:v>ORP &amp; OCP A=12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none"/>
            </c:marker>
            <c:bubble3D val="0"/>
            <c:spPr>
              <a:ln w="19050" cap="rnd">
                <a:solidFill>
                  <a:srgbClr val="FFC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EECE-4E21-9C46-640D2DBDF89C}"/>
              </c:ext>
            </c:extLst>
          </c:dPt>
          <c:xVal>
            <c:numRef>
              <c:f>'New companies lol '!$P$184:$P$185</c:f>
              <c:numCache>
                <c:formatCode>0%</c:formatCode>
                <c:ptCount val="2"/>
                <c:pt idx="0" formatCode="0.00%">
                  <c:v>0.1530297929077592</c:v>
                </c:pt>
                <c:pt idx="1">
                  <c:v>5.6062587849699454E-2</c:v>
                </c:pt>
              </c:numCache>
            </c:numRef>
          </c:xVal>
          <c:yVal>
            <c:numRef>
              <c:f>'New companies lol '!$O$184:$O$185</c:f>
              <c:numCache>
                <c:formatCode>0.00%</c:formatCode>
                <c:ptCount val="2"/>
                <c:pt idx="0">
                  <c:v>0.14626195450215076</c:v>
                </c:pt>
                <c:pt idx="1">
                  <c:v>8.1027165076863222E-2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CE-4E21-9C46-640D2DBDF89C}"/>
            </c:ext>
          </c:extLst>
        </c:ser>
        <c:ser>
          <c:idx val="2"/>
          <c:order val="2"/>
          <c:tx>
            <c:v>ORP &amp; OCP A= 3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square"/>
              <c:size val="7"/>
              <c:spPr>
                <a:solidFill>
                  <a:schemeClr val="accent4">
                    <a:lumMod val="75000"/>
                  </a:schemeClr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EECE-4E21-9C46-640D2DBDF89C}"/>
              </c:ext>
            </c:extLst>
          </c:dPt>
          <c:dPt>
            <c:idx val="1"/>
            <c:marker>
              <c:symbol val="square"/>
              <c:size val="8"/>
              <c:spPr>
                <a:solidFill>
                  <a:srgbClr val="C00000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EECE-4E21-9C46-640D2DBDF89C}"/>
              </c:ext>
            </c:extLst>
          </c:dPt>
          <c:xVal>
            <c:numRef>
              <c:f>'New companies lol '!$P$187:$P$188</c:f>
              <c:numCache>
                <c:formatCode>0.00%</c:formatCode>
                <c:ptCount val="2"/>
                <c:pt idx="0">
                  <c:v>0.22425035139879781</c:v>
                </c:pt>
                <c:pt idx="1">
                  <c:v>0.1530297929077592</c:v>
                </c:pt>
              </c:numCache>
            </c:numRef>
          </c:xVal>
          <c:yVal>
            <c:numRef>
              <c:f>'New companies lol '!$O$187:$O$188</c:f>
              <c:numCache>
                <c:formatCode>0.00%</c:formatCode>
                <c:ptCount val="2"/>
                <c:pt idx="0">
                  <c:v>0.19417566030745287</c:v>
                </c:pt>
                <c:pt idx="1">
                  <c:v>0.14626195450215076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ECE-4E21-9C46-640D2DBDF89C}"/>
            </c:ext>
          </c:extLst>
        </c:ser>
        <c:ser>
          <c:idx val="3"/>
          <c:order val="3"/>
          <c:tx>
            <c:v>Capital Market Line (CML)</c:v>
          </c:tx>
          <c:spPr>
            <a:ln w="19050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accent5">
                    <a:lumMod val="75000"/>
                  </a:schemeClr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EECE-4E21-9C46-640D2DBDF89C}"/>
              </c:ext>
            </c:extLst>
          </c:dPt>
          <c:xVal>
            <c:numRef>
              <c:f>'New companies lol '!$P$191:$P$192</c:f>
              <c:numCache>
                <c:formatCode>0.00%</c:formatCode>
                <c:ptCount val="2"/>
                <c:pt idx="0" formatCode="0%">
                  <c:v>0</c:v>
                </c:pt>
                <c:pt idx="1">
                  <c:v>0.1530297929077592</c:v>
                </c:pt>
              </c:numCache>
            </c:numRef>
          </c:xVal>
          <c:yVal>
            <c:numRef>
              <c:f>'New companies lol '!$O$191:$O$192</c:f>
              <c:numCache>
                <c:formatCode>0.00%</c:formatCode>
                <c:ptCount val="2"/>
                <c:pt idx="0">
                  <c:v>4.3299999999999998E-2</c:v>
                </c:pt>
                <c:pt idx="1">
                  <c:v>0.14626195450215076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ECE-4E21-9C46-640D2DBDF8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815776"/>
        <c:axId val="151814336"/>
      </c:scatterChart>
      <c:valAx>
        <c:axId val="151815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814336"/>
        <c:crosses val="autoZero"/>
        <c:crossBetween val="midCat"/>
      </c:valAx>
      <c:valAx>
        <c:axId val="15181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Expected</a:t>
                </a:r>
                <a:r>
                  <a:rPr lang="en-GB" baseline="0"/>
                  <a:t> Return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815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3390555682878838"/>
          <c:y val="0.84876356059269709"/>
          <c:w val="0.74724527646916217"/>
          <c:h val="0.148977434671559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456767</xdr:colOff>
      <xdr:row>194</xdr:row>
      <xdr:rowOff>148069</xdr:rowOff>
    </xdr:from>
    <xdr:to>
      <xdr:col>19</xdr:col>
      <xdr:colOff>588817</xdr:colOff>
      <xdr:row>216</xdr:row>
      <xdr:rowOff>138545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C8E1672-62D3-0100-A486-7FB8A272DB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Heidi Luong" id="{B9D79D7D-0ED8-4C62-8F6E-E0341D1CBFC4}" userId="S::w1982156@westminster.ac.uk::9cdb7287-63a6-4fde-99e3-7adaa928dd06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31" dT="2025-03-05T14:28:22.10" personId="{B9D79D7D-0ED8-4C62-8F6E-E0341D1CBFC4}" id="{234FF63B-50DB-450A-80C1-991D750DB501}">
    <text>Compounded Annual Growth Rate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1" dT="2025-03-06T15:26:39.04" personId="{B9D79D7D-0ED8-4C62-8F6E-E0341D1CBFC4}" id="{E25FB2C2-B506-48D6-9421-AB4125F1A597}">
    <text>Apple</text>
  </threadedComment>
  <threadedComment ref="C1" dT="2025-03-06T15:26:49.93" personId="{B9D79D7D-0ED8-4C62-8F6E-E0341D1CBFC4}" id="{699E47CF-F956-4BBF-8815-697D03C3C4A1}">
    <text>Verizon</text>
  </threadedComment>
  <threadedComment ref="D1" dT="2025-03-06T15:27:03.18" personId="{B9D79D7D-0ED8-4C62-8F6E-E0341D1CBFC4}" id="{7829007C-F824-4E3C-8C77-71A24050B80E}">
    <text xml:space="preserve">EOG Resources </text>
  </threadedComment>
  <threadedComment ref="E1" dT="2025-03-06T15:26:39.04" personId="{B9D79D7D-0ED8-4C62-8F6E-E0341D1CBFC4}" id="{AA20426E-9FB5-4F43-9A9A-38EF17488882}">
    <text>Apple</text>
  </threadedComment>
  <threadedComment ref="F1" dT="2025-03-06T15:26:49.93" personId="{B9D79D7D-0ED8-4C62-8F6E-E0341D1CBFC4}" id="{8EE448F2-6858-44DF-94D7-7C838C568030}">
    <text>Verizon</text>
  </threadedComment>
  <threadedComment ref="G1" dT="2025-03-06T15:27:03.18" personId="{B9D79D7D-0ED8-4C62-8F6E-E0341D1CBFC4}" id="{73782737-3CAE-467F-897A-74FFA22C7831}">
    <text xml:space="preserve">EOG Resources </text>
  </threadedComment>
  <threadedComment ref="H1" dT="2025-03-06T15:26:39.04" personId="{B9D79D7D-0ED8-4C62-8F6E-E0341D1CBFC4}" id="{104C41AC-2B56-4300-89BC-C949E926A798}">
    <text>Apple</text>
  </threadedComment>
  <threadedComment ref="I1" dT="2025-03-06T15:26:49.93" personId="{B9D79D7D-0ED8-4C62-8F6E-E0341D1CBFC4}" id="{4ADBF3C4-E988-41B5-83FB-4CED98031D74}">
    <text>Verizon</text>
  </threadedComment>
  <threadedComment ref="J1" dT="2025-03-06T15:27:03.18" personId="{B9D79D7D-0ED8-4C62-8F6E-E0341D1CBFC4}" id="{55B55F73-D32D-4B67-A326-25BA6C5BABC9}">
    <text xml:space="preserve">EOG Resources </text>
  </threadedComment>
  <threadedComment ref="K1" dT="2025-03-06T15:26:39.04" personId="{B9D79D7D-0ED8-4C62-8F6E-E0341D1CBFC4}" id="{6D921E28-9C11-480B-AC94-6D849B18079F}">
    <text>Apple</text>
  </threadedComment>
  <threadedComment ref="L1" dT="2025-03-06T15:26:49.93" personId="{B9D79D7D-0ED8-4C62-8F6E-E0341D1CBFC4}" id="{0CBA3864-511F-4D41-9001-0179214C63D5}">
    <text>Verizon</text>
  </threadedComment>
  <threadedComment ref="M1" dT="2025-03-06T15:27:03.18" personId="{B9D79D7D-0ED8-4C62-8F6E-E0341D1CBFC4}" id="{4033E1D7-6783-495F-A0B1-9ACC4965163C}">
    <text xml:space="preserve">EOG Resources </text>
  </threadedComment>
  <threadedComment ref="N144" dT="2025-03-06T16:59:11.27" personId="{B9D79D7D-0ED8-4C62-8F6E-E0341D1CBFC4}" id="{375698A8-AA47-4B6F-B2EA-65299912F664}">
    <text>Found on bloomberg</text>
  </threadedComment>
  <threadedComment ref="T144" dT="2025-03-06T16:59:11.27" personId="{B9D79D7D-0ED8-4C62-8F6E-E0341D1CBFC4}" id="{1AE8E0F2-D41E-4BAB-A7BD-1E0825C78C8C}">
    <text>Found on bloomberg</text>
  </threadedComment>
  <threadedComment ref="AA144" dT="2025-03-06T16:59:11.27" personId="{B9D79D7D-0ED8-4C62-8F6E-E0341D1CBFC4}" id="{DD08DFC2-4315-41B6-AC6C-36F66B5BFD31}">
    <text>Found on bloomberg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ADEBD-A68C-498D-86FF-F256B14BE5F7}">
  <sheetPr codeName="Sheet1"/>
  <dimension ref="A1:Q139"/>
  <sheetViews>
    <sheetView topLeftCell="A109" workbookViewId="0">
      <selection activeCell="B132" sqref="B132"/>
    </sheetView>
  </sheetViews>
  <sheetFormatPr defaultRowHeight="14.25" x14ac:dyDescent="0.2"/>
  <cols>
    <col min="1" max="1" width="10.375" bestFit="1" customWidth="1"/>
    <col min="2" max="2" width="12.375" bestFit="1" customWidth="1"/>
    <col min="6" max="8" width="9.875" bestFit="1" customWidth="1"/>
    <col min="9" max="9" width="12.875" bestFit="1" customWidth="1"/>
    <col min="11" max="12" width="9.375" customWidth="1"/>
    <col min="13" max="13" width="16.625" bestFit="1" customWidth="1"/>
    <col min="14" max="14" width="12" bestFit="1" customWidth="1"/>
  </cols>
  <sheetData>
    <row r="1" spans="1:17" x14ac:dyDescent="0.2">
      <c r="B1" t="s">
        <v>0</v>
      </c>
      <c r="F1" t="s">
        <v>1</v>
      </c>
      <c r="J1" t="s">
        <v>2</v>
      </c>
      <c r="N1" t="s">
        <v>3</v>
      </c>
    </row>
    <row r="2" spans="1:17" x14ac:dyDescent="0.2">
      <c r="B2" t="s">
        <v>4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  <c r="J2" t="s">
        <v>8</v>
      </c>
      <c r="K2" t="s">
        <v>9</v>
      </c>
      <c r="L2" t="s">
        <v>10</v>
      </c>
      <c r="M2" t="s">
        <v>11</v>
      </c>
      <c r="N2" t="s">
        <v>8</v>
      </c>
      <c r="O2" t="s">
        <v>9</v>
      </c>
      <c r="P2" t="s">
        <v>10</v>
      </c>
      <c r="Q2" t="s">
        <v>11</v>
      </c>
    </row>
    <row r="3" spans="1:17" x14ac:dyDescent="0.2">
      <c r="A3" t="s">
        <v>12</v>
      </c>
      <c r="B3">
        <v>874.5</v>
      </c>
      <c r="C3">
        <v>111.125</v>
      </c>
      <c r="D3">
        <v>299.79000000000002</v>
      </c>
      <c r="E3">
        <v>201.78</v>
      </c>
      <c r="F3">
        <f t="shared" ref="F3:F34" si="0">LOG(B3/B4)</f>
        <v>3.7156712427828657E-3</v>
      </c>
      <c r="G3">
        <f t="shared" ref="G3:G34" si="1">LOG(C3/C4)</f>
        <v>3.2362615380795642E-3</v>
      </c>
      <c r="H3">
        <f t="shared" ref="H3:H34" si="2">LOG(D3/D4)</f>
        <v>3.4323710267304803E-3</v>
      </c>
      <c r="I3">
        <f t="shared" ref="I3:I34" si="3">LOG(E3/E4)</f>
        <v>1.1913572315350228E-2</v>
      </c>
      <c r="J3" s="4">
        <f>F3-$F$130</f>
        <v>4.0032718563429923E-3</v>
      </c>
      <c r="K3" s="4">
        <f>G3-$G$130</f>
        <v>3.3426378895621556E-3</v>
      </c>
      <c r="L3" s="4">
        <f>H3-$H$130</f>
        <v>3.7187754871497907E-3</v>
      </c>
      <c r="M3" s="4">
        <f>I3-$I$130</f>
        <v>1.1926633818911054E-2</v>
      </c>
      <c r="N3">
        <f>J3^2</f>
        <v>1.6026185555787866E-5</v>
      </c>
      <c r="O3">
        <f t="shared" ref="O3:Q3" si="4">K3^2</f>
        <v>1.1173228060736541E-5</v>
      </c>
      <c r="P3">
        <f t="shared" si="4"/>
        <v>1.3829291123826163E-5</v>
      </c>
      <c r="Q3">
        <f t="shared" si="4"/>
        <v>1.4224459425039287E-4</v>
      </c>
    </row>
    <row r="4" spans="1:17" x14ac:dyDescent="0.2">
      <c r="A4" t="s">
        <v>13</v>
      </c>
      <c r="B4">
        <v>867.05</v>
      </c>
      <c r="C4">
        <v>110.3</v>
      </c>
      <c r="D4">
        <v>297.43</v>
      </c>
      <c r="E4">
        <v>196.32</v>
      </c>
      <c r="F4">
        <f t="shared" si="0"/>
        <v>4.9619802021213851E-3</v>
      </c>
      <c r="G4">
        <f t="shared" si="1"/>
        <v>6.3044029492687439E-4</v>
      </c>
      <c r="H4">
        <f t="shared" si="2"/>
        <v>6.2832178655885368E-4</v>
      </c>
      <c r="I4">
        <f t="shared" si="3"/>
        <v>2.2378865498104257E-2</v>
      </c>
      <c r="J4" s="4">
        <f t="shared" ref="J4:J67" si="5">F4-$F$130</f>
        <v>5.2495808156815113E-3</v>
      </c>
      <c r="K4" s="4">
        <f t="shared" ref="K4:K67" si="6">G4-$G$130</f>
        <v>7.3681664640946572E-4</v>
      </c>
      <c r="L4" s="4">
        <f t="shared" ref="L4:L67" si="7">H4-$H$130</f>
        <v>9.1472624697816387E-4</v>
      </c>
      <c r="M4" s="4">
        <f t="shared" ref="M4:M67" si="8">I4-$I$130</f>
        <v>2.2391927001665084E-2</v>
      </c>
      <c r="N4">
        <f t="shared" ref="N4:N67" si="9">J4^2</f>
        <v>2.7558098740371361E-5</v>
      </c>
      <c r="O4">
        <f>K4^2</f>
        <v>5.4289877042609167E-7</v>
      </c>
      <c r="P4">
        <f t="shared" ref="P4:P67" si="10">L4^2</f>
        <v>8.3672410691075689E-7</v>
      </c>
      <c r="Q4">
        <f t="shared" ref="Q4:Q67" si="11">M4^2</f>
        <v>5.0139839484789788E-4</v>
      </c>
    </row>
    <row r="5" spans="1:17" x14ac:dyDescent="0.2">
      <c r="A5" t="s">
        <v>14</v>
      </c>
      <c r="B5">
        <v>857.2</v>
      </c>
      <c r="C5">
        <v>110.14</v>
      </c>
      <c r="D5">
        <v>297</v>
      </c>
      <c r="E5">
        <v>186.46</v>
      </c>
      <c r="F5">
        <f t="shared" si="0"/>
        <v>6.6008048932489315E-3</v>
      </c>
      <c r="G5">
        <f t="shared" si="1"/>
        <v>7.5572885556971928E-3</v>
      </c>
      <c r="H5">
        <f t="shared" si="2"/>
        <v>-5.8451486872302717E-4</v>
      </c>
      <c r="I5">
        <f t="shared" si="3"/>
        <v>8.0634001727747494E-3</v>
      </c>
      <c r="J5" s="4">
        <f t="shared" si="5"/>
        <v>6.8884055068090576E-3</v>
      </c>
      <c r="K5" s="4">
        <f>G5-$G$130</f>
        <v>7.6636649071797841E-3</v>
      </c>
      <c r="L5" s="4">
        <f t="shared" si="7"/>
        <v>-2.9811040830371699E-4</v>
      </c>
      <c r="M5" s="4">
        <f t="shared" si="8"/>
        <v>8.0764616763355761E-3</v>
      </c>
      <c r="N5">
        <f t="shared" si="9"/>
        <v>4.745013042623735E-5</v>
      </c>
      <c r="O5">
        <f t="shared" ref="O5:O67" si="12">K5^2</f>
        <v>5.8731759809538932E-5</v>
      </c>
      <c r="P5">
        <f t="shared" si="10"/>
        <v>8.8869815539008852E-8</v>
      </c>
      <c r="Q5">
        <f t="shared" si="11"/>
        <v>6.5229233209317263E-5</v>
      </c>
    </row>
    <row r="6" spans="1:17" x14ac:dyDescent="0.2">
      <c r="A6" t="s">
        <v>15</v>
      </c>
      <c r="B6">
        <v>844.27</v>
      </c>
      <c r="C6">
        <v>108.24</v>
      </c>
      <c r="D6">
        <v>297.39999999999998</v>
      </c>
      <c r="E6">
        <v>183.03</v>
      </c>
      <c r="F6">
        <f t="shared" si="0"/>
        <v>-1.3965395679853752E-2</v>
      </c>
      <c r="G6">
        <f t="shared" si="1"/>
        <v>4.4158059920586853E-4</v>
      </c>
      <c r="H6">
        <f t="shared" si="2"/>
        <v>-5.5716747433705339E-3</v>
      </c>
      <c r="I6">
        <f t="shared" si="3"/>
        <v>5.3238535727054082E-3</v>
      </c>
      <c r="J6" s="4">
        <f t="shared" si="5"/>
        <v>-1.3677795066293625E-2</v>
      </c>
      <c r="K6" s="4">
        <f t="shared" si="6"/>
        <v>5.4795695068845986E-4</v>
      </c>
      <c r="L6" s="4">
        <f>H6-$H$130</f>
        <v>-5.285270282951224E-3</v>
      </c>
      <c r="M6" s="4">
        <f t="shared" si="8"/>
        <v>5.3369150762662349E-3</v>
      </c>
      <c r="N6">
        <f t="shared" si="9"/>
        <v>1.8708207787552621E-4</v>
      </c>
      <c r="O6">
        <f t="shared" si="12"/>
        <v>3.0025681980779522E-7</v>
      </c>
      <c r="P6">
        <f t="shared" si="10"/>
        <v>2.7934081963847311E-5</v>
      </c>
      <c r="Q6">
        <f t="shared" si="11"/>
        <v>2.8482662531277832E-5</v>
      </c>
    </row>
    <row r="7" spans="1:17" x14ac:dyDescent="0.2">
      <c r="A7" t="s">
        <v>16</v>
      </c>
      <c r="B7">
        <v>871.86</v>
      </c>
      <c r="C7">
        <v>108.13</v>
      </c>
      <c r="D7">
        <v>301.24</v>
      </c>
      <c r="E7">
        <v>180.8</v>
      </c>
      <c r="F7">
        <f t="shared" si="0"/>
        <v>-5.5256608373814564E-4</v>
      </c>
      <c r="G7">
        <f t="shared" si="1"/>
        <v>3.1441542180931461E-3</v>
      </c>
      <c r="H7">
        <f t="shared" si="2"/>
        <v>1.6321720867180343E-3</v>
      </c>
      <c r="I7">
        <f t="shared" si="3"/>
        <v>1.9500491774876822E-3</v>
      </c>
      <c r="J7" s="4">
        <f t="shared" si="5"/>
        <v>-2.6496547017801928E-4</v>
      </c>
      <c r="K7" s="4">
        <f t="shared" si="6"/>
        <v>3.2505305695757374E-3</v>
      </c>
      <c r="L7" s="4">
        <f t="shared" si="7"/>
        <v>1.9185765471373445E-3</v>
      </c>
      <c r="M7" s="4">
        <f t="shared" si="8"/>
        <v>1.9631106810485085E-3</v>
      </c>
      <c r="N7">
        <f t="shared" si="9"/>
        <v>7.0206700386658826E-8</v>
      </c>
      <c r="O7">
        <f t="shared" si="12"/>
        <v>1.0565948983746368E-5</v>
      </c>
      <c r="P7">
        <f t="shared" si="10"/>
        <v>3.6809359672254551E-6</v>
      </c>
      <c r="Q7">
        <f t="shared" si="11"/>
        <v>3.8538035460467386E-6</v>
      </c>
    </row>
    <row r="8" spans="1:17" x14ac:dyDescent="0.2">
      <c r="A8" s="1">
        <v>45993</v>
      </c>
      <c r="B8">
        <v>872.97</v>
      </c>
      <c r="C8">
        <v>107.35</v>
      </c>
      <c r="D8">
        <v>300.11</v>
      </c>
      <c r="E8">
        <v>179.99</v>
      </c>
      <c r="F8">
        <f t="shared" si="0"/>
        <v>3.9832117753198695E-3</v>
      </c>
      <c r="G8">
        <f t="shared" si="1"/>
        <v>-1.7134467365811624E-2</v>
      </c>
      <c r="H8">
        <f t="shared" si="2"/>
        <v>-7.5032344143503779E-3</v>
      </c>
      <c r="I8">
        <f t="shared" si="3"/>
        <v>1.7892126220191552E-3</v>
      </c>
      <c r="J8" s="4">
        <f t="shared" si="5"/>
        <v>4.2708123888799956E-3</v>
      </c>
      <c r="K8" s="4">
        <f t="shared" si="6"/>
        <v>-1.7028091014329033E-2</v>
      </c>
      <c r="L8" s="4">
        <f t="shared" si="7"/>
        <v>-7.2168299539310679E-3</v>
      </c>
      <c r="M8" s="4">
        <f t="shared" si="8"/>
        <v>1.8022741255799817E-3</v>
      </c>
      <c r="N8">
        <f t="shared" si="9"/>
        <v>1.8239838461010856E-5</v>
      </c>
      <c r="O8">
        <f t="shared" si="12"/>
        <v>2.8995588359227319E-4</v>
      </c>
      <c r="P8">
        <f t="shared" si="10"/>
        <v>5.2082634583956699E-5</v>
      </c>
      <c r="Q8">
        <f t="shared" si="11"/>
        <v>3.2481920237350879E-6</v>
      </c>
    </row>
    <row r="9" spans="1:17" x14ac:dyDescent="0.2">
      <c r="A9" s="1">
        <v>45963</v>
      </c>
      <c r="B9">
        <v>865</v>
      </c>
      <c r="C9">
        <v>111.67</v>
      </c>
      <c r="D9">
        <v>305.33999999999997</v>
      </c>
      <c r="E9">
        <v>179.25</v>
      </c>
      <c r="F9">
        <f t="shared" si="0"/>
        <v>-1.9436932226820883E-3</v>
      </c>
      <c r="G9">
        <f t="shared" si="1"/>
        <v>2.7309301030226003E-3</v>
      </c>
      <c r="H9">
        <f t="shared" si="2"/>
        <v>2.4533253261366864E-3</v>
      </c>
      <c r="I9">
        <f t="shared" si="3"/>
        <v>-2.5606490402839224E-3</v>
      </c>
      <c r="J9" s="4">
        <f t="shared" si="5"/>
        <v>-1.6560926091219619E-3</v>
      </c>
      <c r="K9" s="4">
        <f t="shared" si="6"/>
        <v>2.8373064545051917E-3</v>
      </c>
      <c r="L9" s="4">
        <f t="shared" si="7"/>
        <v>2.7397297865559963E-3</v>
      </c>
      <c r="M9" s="4">
        <f t="shared" si="8"/>
        <v>-2.5475875367230961E-3</v>
      </c>
      <c r="N9">
        <f t="shared" si="9"/>
        <v>2.7426427299883872E-6</v>
      </c>
      <c r="O9">
        <f t="shared" si="12"/>
        <v>8.0503079167768208E-6</v>
      </c>
      <c r="P9">
        <f t="shared" si="10"/>
        <v>7.5061193033421651E-6</v>
      </c>
      <c r="Q9">
        <f t="shared" si="11"/>
        <v>6.4902022572668528E-6</v>
      </c>
    </row>
    <row r="10" spans="1:17" x14ac:dyDescent="0.2">
      <c r="A10" s="1">
        <v>45932</v>
      </c>
      <c r="B10">
        <v>868.88</v>
      </c>
      <c r="C10">
        <v>110.97</v>
      </c>
      <c r="D10">
        <v>303.62</v>
      </c>
      <c r="E10">
        <v>180.31</v>
      </c>
      <c r="F10">
        <f t="shared" si="0"/>
        <v>-4.6880267533445964E-3</v>
      </c>
      <c r="G10">
        <f t="shared" si="1"/>
        <v>8.2175882281504842E-3</v>
      </c>
      <c r="H10">
        <f t="shared" si="2"/>
        <v>1.4471003828929441E-3</v>
      </c>
      <c r="I10">
        <f t="shared" si="3"/>
        <v>7.4730827681554392E-4</v>
      </c>
      <c r="J10" s="4">
        <f t="shared" si="5"/>
        <v>-4.4004261397844703E-3</v>
      </c>
      <c r="K10" s="4">
        <f t="shared" si="6"/>
        <v>8.3239645796330756E-3</v>
      </c>
      <c r="L10" s="4">
        <f t="shared" si="7"/>
        <v>1.7335048433122543E-3</v>
      </c>
      <c r="M10" s="4">
        <f t="shared" si="8"/>
        <v>7.6036978037637029E-4</v>
      </c>
      <c r="N10">
        <f t="shared" si="9"/>
        <v>1.9363750211698456E-5</v>
      </c>
      <c r="O10">
        <f t="shared" si="12"/>
        <v>6.9288386322986044E-5</v>
      </c>
      <c r="P10">
        <f t="shared" si="10"/>
        <v>3.0050390417870432E-6</v>
      </c>
      <c r="Q10">
        <f t="shared" si="11"/>
        <v>5.7816220290960955E-7</v>
      </c>
    </row>
    <row r="11" spans="1:17" x14ac:dyDescent="0.2">
      <c r="A11" s="1">
        <v>45840</v>
      </c>
      <c r="B11">
        <v>878.31</v>
      </c>
      <c r="C11">
        <v>108.89</v>
      </c>
      <c r="D11">
        <v>302.61</v>
      </c>
      <c r="E11">
        <v>180</v>
      </c>
      <c r="F11">
        <f t="shared" si="0"/>
        <v>3.9439141342937772E-3</v>
      </c>
      <c r="G11">
        <f t="shared" si="1"/>
        <v>1.8385400334431669E-3</v>
      </c>
      <c r="H11">
        <f t="shared" si="2"/>
        <v>-3.8732107181295059E-4</v>
      </c>
      <c r="I11">
        <f t="shared" si="3"/>
        <v>-7.8425710780350519E-3</v>
      </c>
      <c r="J11" s="4">
        <f t="shared" si="5"/>
        <v>4.2315147478539034E-3</v>
      </c>
      <c r="K11" s="4">
        <f t="shared" si="6"/>
        <v>1.9449163849257582E-3</v>
      </c>
      <c r="L11" s="4">
        <f t="shared" si="7"/>
        <v>-1.0091661139364041E-4</v>
      </c>
      <c r="M11" s="4">
        <f t="shared" si="8"/>
        <v>-7.8295095744742253E-3</v>
      </c>
      <c r="N11">
        <f t="shared" si="9"/>
        <v>1.7905717061305084E-5</v>
      </c>
      <c r="O11">
        <f t="shared" si="12"/>
        <v>3.7826997443526801E-6</v>
      </c>
      <c r="P11">
        <f t="shared" si="10"/>
        <v>1.0184162455175032E-8</v>
      </c>
      <c r="Q11">
        <f t="shared" si="11"/>
        <v>6.1301220176783559E-5</v>
      </c>
    </row>
    <row r="12" spans="1:17" x14ac:dyDescent="0.2">
      <c r="A12" s="1">
        <v>45810</v>
      </c>
      <c r="B12">
        <v>870.37</v>
      </c>
      <c r="C12">
        <v>108.43</v>
      </c>
      <c r="D12">
        <v>302.88</v>
      </c>
      <c r="E12">
        <v>183.28</v>
      </c>
      <c r="F12">
        <f t="shared" si="0"/>
        <v>1.4298989678455059E-2</v>
      </c>
      <c r="G12">
        <f t="shared" si="1"/>
        <v>-5.7691929750614563E-3</v>
      </c>
      <c r="H12">
        <f t="shared" si="2"/>
        <v>1.0479980352463361E-3</v>
      </c>
      <c r="I12">
        <f t="shared" si="3"/>
        <v>4.0231475491266473E-3</v>
      </c>
      <c r="J12" s="4">
        <f t="shared" si="5"/>
        <v>1.4586590292015186E-2</v>
      </c>
      <c r="K12" s="4">
        <f t="shared" si="6"/>
        <v>-5.662816623578865E-3</v>
      </c>
      <c r="L12" s="4">
        <f t="shared" si="7"/>
        <v>1.3344024956656463E-3</v>
      </c>
      <c r="M12" s="4">
        <f t="shared" si="8"/>
        <v>4.036209052687474E-3</v>
      </c>
      <c r="N12">
        <f t="shared" si="9"/>
        <v>2.1276861634711167E-4</v>
      </c>
      <c r="O12">
        <f t="shared" si="12"/>
        <v>3.2067492112281138E-5</v>
      </c>
      <c r="P12">
        <f t="shared" si="10"/>
        <v>1.780630020438705E-6</v>
      </c>
      <c r="Q12">
        <f t="shared" si="11"/>
        <v>1.6290983516996318E-5</v>
      </c>
    </row>
    <row r="13" spans="1:17" x14ac:dyDescent="0.2">
      <c r="A13" s="1">
        <v>45779</v>
      </c>
      <c r="B13">
        <v>842.18</v>
      </c>
      <c r="C13">
        <v>109.88</v>
      </c>
      <c r="D13">
        <v>302.14999999999998</v>
      </c>
      <c r="E13">
        <v>181.59</v>
      </c>
      <c r="F13">
        <f t="shared" si="0"/>
        <v>8.3880732500289223E-3</v>
      </c>
      <c r="G13">
        <f t="shared" si="1"/>
        <v>-3.160804229065461E-4</v>
      </c>
      <c r="H13">
        <f t="shared" si="2"/>
        <v>7.8465062333167232E-3</v>
      </c>
      <c r="I13">
        <f t="shared" si="3"/>
        <v>2.4703825625088569E-3</v>
      </c>
      <c r="J13" s="4">
        <f t="shared" si="5"/>
        <v>8.6756738635890493E-3</v>
      </c>
      <c r="K13" s="4">
        <f t="shared" si="6"/>
        <v>-2.0970407142395471E-4</v>
      </c>
      <c r="L13" s="4">
        <f t="shared" si="7"/>
        <v>8.132910693736034E-3</v>
      </c>
      <c r="M13" s="4">
        <f t="shared" si="8"/>
        <v>2.4834440660696832E-3</v>
      </c>
      <c r="N13">
        <f t="shared" si="9"/>
        <v>7.5267316987362136E-5</v>
      </c>
      <c r="O13">
        <f t="shared" si="12"/>
        <v>4.3975797571783094E-8</v>
      </c>
      <c r="P13">
        <f t="shared" si="10"/>
        <v>6.6144236352285937E-5</v>
      </c>
      <c r="Q13">
        <f t="shared" si="11"/>
        <v>6.1674944292967206E-6</v>
      </c>
    </row>
    <row r="14" spans="1:17" x14ac:dyDescent="0.2">
      <c r="A14" s="1">
        <v>45749</v>
      </c>
      <c r="B14">
        <v>826.07</v>
      </c>
      <c r="C14">
        <v>109.96</v>
      </c>
      <c r="D14">
        <v>296.74</v>
      </c>
      <c r="E14">
        <v>180.56</v>
      </c>
      <c r="F14">
        <f t="shared" si="0"/>
        <v>8.3013412818763732E-3</v>
      </c>
      <c r="G14">
        <f t="shared" si="1"/>
        <v>1.1485812604593991E-2</v>
      </c>
      <c r="H14">
        <f t="shared" si="2"/>
        <v>1.2164503691826671E-3</v>
      </c>
      <c r="I14">
        <f t="shared" si="3"/>
        <v>-9.1303991097311241E-4</v>
      </c>
      <c r="J14" s="4">
        <f t="shared" si="5"/>
        <v>8.5889418954365002E-3</v>
      </c>
      <c r="K14" s="4">
        <f t="shared" si="6"/>
        <v>1.1592188956076582E-2</v>
      </c>
      <c r="L14" s="4">
        <f t="shared" si="7"/>
        <v>1.5028548296019773E-3</v>
      </c>
      <c r="M14" s="4">
        <f t="shared" si="8"/>
        <v>-8.9997840741228604E-4</v>
      </c>
      <c r="N14">
        <f t="shared" si="9"/>
        <v>7.3769922883184347E-5</v>
      </c>
      <c r="O14">
        <f t="shared" si="12"/>
        <v>1.3437884479338389E-4</v>
      </c>
      <c r="P14">
        <f t="shared" si="10"/>
        <v>2.258572638857988E-6</v>
      </c>
      <c r="Q14">
        <f t="shared" si="11"/>
        <v>8.0996113380835469E-7</v>
      </c>
    </row>
    <row r="15" spans="1:17" x14ac:dyDescent="0.2">
      <c r="A15" s="1">
        <v>45718</v>
      </c>
      <c r="B15">
        <v>810.43</v>
      </c>
      <c r="C15">
        <v>107.09</v>
      </c>
      <c r="D15">
        <v>295.91000000000003</v>
      </c>
      <c r="E15">
        <v>180.94</v>
      </c>
      <c r="F15">
        <f t="shared" si="0"/>
        <v>-3.4818339493134995E-4</v>
      </c>
      <c r="G15">
        <f t="shared" si="1"/>
        <v>1.0556901729207964E-3</v>
      </c>
      <c r="H15">
        <f t="shared" si="2"/>
        <v>-3.7555940507968265E-3</v>
      </c>
      <c r="I15">
        <f t="shared" si="3"/>
        <v>-8.720636316972185E-3</v>
      </c>
      <c r="J15" s="4">
        <f t="shared" si="5"/>
        <v>-6.058278137122358E-5</v>
      </c>
      <c r="K15" s="4">
        <f t="shared" si="6"/>
        <v>1.1620665244033877E-3</v>
      </c>
      <c r="L15" s="4">
        <f t="shared" si="7"/>
        <v>-3.4691895903775161E-3</v>
      </c>
      <c r="M15" s="4">
        <f t="shared" si="8"/>
        <v>-8.7075748134113583E-3</v>
      </c>
      <c r="N15">
        <f t="shared" si="9"/>
        <v>3.6702733986734747E-9</v>
      </c>
      <c r="O15">
        <f t="shared" si="12"/>
        <v>1.3503986071389693E-6</v>
      </c>
      <c r="P15">
        <f t="shared" si="10"/>
        <v>1.2035276413983718E-5</v>
      </c>
      <c r="Q15">
        <f t="shared" si="11"/>
        <v>7.5821859131155857E-5</v>
      </c>
    </row>
    <row r="16" spans="1:17" x14ac:dyDescent="0.2">
      <c r="A16" t="s">
        <v>17</v>
      </c>
      <c r="B16">
        <v>811.08</v>
      </c>
      <c r="C16">
        <v>106.83</v>
      </c>
      <c r="D16">
        <v>298.48</v>
      </c>
      <c r="E16">
        <v>184.61</v>
      </c>
      <c r="F16">
        <f t="shared" si="0"/>
        <v>-6.457496033249915E-3</v>
      </c>
      <c r="G16">
        <f t="shared" si="1"/>
        <v>-1.099843325510981E-2</v>
      </c>
      <c r="H16">
        <f t="shared" si="2"/>
        <v>6.2610986727629659E-4</v>
      </c>
      <c r="I16">
        <f t="shared" si="3"/>
        <v>-1.5498792163214973E-3</v>
      </c>
      <c r="J16" s="4">
        <f t="shared" si="5"/>
        <v>-6.1698954196897889E-3</v>
      </c>
      <c r="K16" s="4">
        <f t="shared" si="6"/>
        <v>-1.0892056903627219E-2</v>
      </c>
      <c r="L16" s="4">
        <f t="shared" si="7"/>
        <v>9.1251432769560677E-4</v>
      </c>
      <c r="M16" s="4">
        <f t="shared" si="8"/>
        <v>-1.5368177127606708E-3</v>
      </c>
      <c r="N16">
        <f t="shared" si="9"/>
        <v>3.8067609489909036E-5</v>
      </c>
      <c r="O16">
        <f t="shared" si="12"/>
        <v>1.1863690359185335E-4</v>
      </c>
      <c r="P16">
        <f t="shared" si="10"/>
        <v>8.3268239824976522E-7</v>
      </c>
      <c r="Q16">
        <f t="shared" si="11"/>
        <v>2.3618086822549395E-6</v>
      </c>
    </row>
    <row r="17" spans="1:17" x14ac:dyDescent="0.2">
      <c r="A17" t="s">
        <v>18</v>
      </c>
      <c r="B17">
        <v>823.23</v>
      </c>
      <c r="C17">
        <v>109.57</v>
      </c>
      <c r="D17">
        <v>298.05</v>
      </c>
      <c r="E17">
        <v>185.27</v>
      </c>
      <c r="F17">
        <f t="shared" si="0"/>
        <v>1.0221928544409715E-2</v>
      </c>
      <c r="G17">
        <f t="shared" si="1"/>
        <v>3.58199458844618E-3</v>
      </c>
      <c r="H17">
        <f t="shared" si="2"/>
        <v>5.5578955301469725E-3</v>
      </c>
      <c r="I17">
        <f t="shared" si="3"/>
        <v>1.1881642781071259E-2</v>
      </c>
      <c r="J17" s="4">
        <f t="shared" si="5"/>
        <v>1.0509529157969842E-2</v>
      </c>
      <c r="K17" s="4">
        <f t="shared" si="6"/>
        <v>3.6883709399287714E-3</v>
      </c>
      <c r="L17" s="4">
        <f t="shared" si="7"/>
        <v>5.8442999905662825E-3</v>
      </c>
      <c r="M17" s="4">
        <f t="shared" si="8"/>
        <v>1.1894704284632086E-2</v>
      </c>
      <c r="N17">
        <f t="shared" si="9"/>
        <v>1.1045020312221831E-4</v>
      </c>
      <c r="O17">
        <f t="shared" si="12"/>
        <v>1.3604080190511048E-5</v>
      </c>
      <c r="P17">
        <f t="shared" si="10"/>
        <v>3.4155842379733047E-5</v>
      </c>
      <c r="Q17">
        <f t="shared" si="11"/>
        <v>1.414839900188449E-4</v>
      </c>
    </row>
    <row r="18" spans="1:17" x14ac:dyDescent="0.2">
      <c r="A18" t="s">
        <v>19</v>
      </c>
      <c r="B18">
        <v>804.08</v>
      </c>
      <c r="C18">
        <v>108.67</v>
      </c>
      <c r="D18">
        <v>294.26</v>
      </c>
      <c r="E18">
        <v>180.27</v>
      </c>
      <c r="F18">
        <f t="shared" si="0"/>
        <v>-4.9122539189271823E-4</v>
      </c>
      <c r="G18">
        <f t="shared" si="1"/>
        <v>2.5250915451663658E-3</v>
      </c>
      <c r="H18">
        <f t="shared" si="2"/>
        <v>-4.7265421800968595E-3</v>
      </c>
      <c r="I18">
        <f t="shared" si="3"/>
        <v>-7.2213931155119847E-4</v>
      </c>
      <c r="J18" s="4">
        <f t="shared" si="5"/>
        <v>-2.0362477833259186E-4</v>
      </c>
      <c r="K18" s="4">
        <f t="shared" si="6"/>
        <v>2.6314678966489571E-3</v>
      </c>
      <c r="L18" s="4">
        <f t="shared" si="7"/>
        <v>-4.4401377196775496E-3</v>
      </c>
      <c r="M18" s="4">
        <f t="shared" si="8"/>
        <v>-7.0907780799037211E-4</v>
      </c>
      <c r="N18">
        <f t="shared" si="9"/>
        <v>4.1463050350997174E-8</v>
      </c>
      <c r="O18">
        <f t="shared" si="12"/>
        <v>6.9246232910940864E-6</v>
      </c>
      <c r="P18">
        <f t="shared" si="10"/>
        <v>1.9714822969703349E-5</v>
      </c>
      <c r="Q18">
        <f t="shared" si="11"/>
        <v>5.0279133778443096E-7</v>
      </c>
    </row>
    <row r="19" spans="1:17" x14ac:dyDescent="0.2">
      <c r="A19" t="s">
        <v>20</v>
      </c>
      <c r="B19">
        <v>804.99</v>
      </c>
      <c r="C19">
        <v>108.04</v>
      </c>
      <c r="D19">
        <v>297.48</v>
      </c>
      <c r="E19">
        <v>180.57</v>
      </c>
      <c r="F19">
        <f t="shared" si="0"/>
        <v>-1.712239630750529E-3</v>
      </c>
      <c r="G19">
        <f t="shared" si="1"/>
        <v>-8.4787739167427757E-3</v>
      </c>
      <c r="H19">
        <f t="shared" si="2"/>
        <v>2.3364868453452521E-4</v>
      </c>
      <c r="I19">
        <f t="shared" si="3"/>
        <v>-1.5265675815443346E-2</v>
      </c>
      <c r="J19" s="4">
        <f t="shared" si="5"/>
        <v>-1.4246390171904026E-3</v>
      </c>
      <c r="K19" s="4">
        <f t="shared" si="6"/>
        <v>-8.3723975652601843E-3</v>
      </c>
      <c r="L19" s="4">
        <f t="shared" si="7"/>
        <v>5.2005314495383542E-4</v>
      </c>
      <c r="M19" s="4">
        <f t="shared" si="8"/>
        <v>-1.5252614311882519E-2</v>
      </c>
      <c r="N19">
        <f t="shared" si="9"/>
        <v>2.0295963293012364E-6</v>
      </c>
      <c r="O19">
        <f t="shared" si="12"/>
        <v>7.0097040990774661E-5</v>
      </c>
      <c r="P19">
        <f t="shared" si="10"/>
        <v>2.7045527357637496E-7</v>
      </c>
      <c r="Q19">
        <f t="shared" si="11"/>
        <v>2.3264224334704344E-4</v>
      </c>
    </row>
    <row r="20" spans="1:17" x14ac:dyDescent="0.2">
      <c r="A20" t="s">
        <v>21</v>
      </c>
      <c r="B20">
        <v>808.17</v>
      </c>
      <c r="C20">
        <v>110.17</v>
      </c>
      <c r="D20">
        <v>297.32</v>
      </c>
      <c r="E20">
        <v>187.03</v>
      </c>
      <c r="F20">
        <f t="shared" si="0"/>
        <v>1.2406298507250722E-2</v>
      </c>
      <c r="G20">
        <f t="shared" si="1"/>
        <v>5.9936487344540495E-3</v>
      </c>
      <c r="H20">
        <f t="shared" si="2"/>
        <v>7.5587757055815526E-3</v>
      </c>
      <c r="I20">
        <f t="shared" si="3"/>
        <v>3.5205382299647197E-3</v>
      </c>
      <c r="J20" s="4">
        <f t="shared" si="5"/>
        <v>1.2693899120810849E-2</v>
      </c>
      <c r="K20" s="4">
        <f t="shared" si="6"/>
        <v>6.1000250859366409E-3</v>
      </c>
      <c r="L20" s="4">
        <f t="shared" si="7"/>
        <v>7.8451801660008626E-3</v>
      </c>
      <c r="M20" s="4">
        <f t="shared" si="8"/>
        <v>3.533599733525546E-3</v>
      </c>
      <c r="N20">
        <f t="shared" si="9"/>
        <v>1.6113507488932244E-4</v>
      </c>
      <c r="O20">
        <f t="shared" si="12"/>
        <v>3.7210306049056321E-5</v>
      </c>
      <c r="P20">
        <f t="shared" si="10"/>
        <v>6.1546851837013318E-5</v>
      </c>
      <c r="Q20">
        <f t="shared" si="11"/>
        <v>1.248632707677181E-5</v>
      </c>
    </row>
    <row r="21" spans="1:17" x14ac:dyDescent="0.2">
      <c r="A21" t="s">
        <v>22</v>
      </c>
      <c r="B21">
        <v>785.41</v>
      </c>
      <c r="C21">
        <v>108.66</v>
      </c>
      <c r="D21">
        <v>292.19</v>
      </c>
      <c r="E21">
        <v>185.52</v>
      </c>
      <c r="F21">
        <f t="shared" si="0"/>
        <v>1.0527611577017506E-2</v>
      </c>
      <c r="G21">
        <f t="shared" si="1"/>
        <v>-5.9148007890844085E-3</v>
      </c>
      <c r="H21">
        <f t="shared" si="2"/>
        <v>8.9272253552573268E-4</v>
      </c>
      <c r="I21">
        <f t="shared" si="3"/>
        <v>-3.3961842289631672E-2</v>
      </c>
      <c r="J21" s="4">
        <f t="shared" si="5"/>
        <v>1.0815212190577633E-2</v>
      </c>
      <c r="K21" s="4">
        <f t="shared" si="6"/>
        <v>-5.8084244376018172E-3</v>
      </c>
      <c r="L21" s="4">
        <f t="shared" si="7"/>
        <v>1.179126995945043E-3</v>
      </c>
      <c r="M21" s="4">
        <f t="shared" si="8"/>
        <v>-3.3948780786070845E-2</v>
      </c>
      <c r="N21">
        <f t="shared" si="9"/>
        <v>1.1696881472721905E-4</v>
      </c>
      <c r="O21">
        <f t="shared" si="12"/>
        <v>3.3737794447329983E-5</v>
      </c>
      <c r="P21">
        <f t="shared" si="10"/>
        <v>1.3903404725663814E-6</v>
      </c>
      <c r="Q21">
        <f t="shared" si="11"/>
        <v>1.1525197168606931E-3</v>
      </c>
    </row>
    <row r="22" spans="1:17" x14ac:dyDescent="0.2">
      <c r="A22" t="s">
        <v>23</v>
      </c>
      <c r="B22">
        <v>766.6</v>
      </c>
      <c r="C22">
        <v>110.15</v>
      </c>
      <c r="D22">
        <v>291.58999999999997</v>
      </c>
      <c r="E22">
        <v>200.61</v>
      </c>
      <c r="F22">
        <f t="shared" si="0"/>
        <v>7.208988948874403E-3</v>
      </c>
      <c r="G22">
        <f t="shared" si="1"/>
        <v>2.4514138173965709E-3</v>
      </c>
      <c r="H22">
        <f t="shared" si="2"/>
        <v>1.2529024893184286E-3</v>
      </c>
      <c r="I22">
        <f t="shared" si="3"/>
        <v>7.7761387179407018E-3</v>
      </c>
      <c r="J22" s="4">
        <f t="shared" si="5"/>
        <v>7.4965895624345292E-3</v>
      </c>
      <c r="K22" s="4">
        <f t="shared" si="6"/>
        <v>2.5577901688791623E-3</v>
      </c>
      <c r="L22" s="4">
        <f t="shared" si="7"/>
        <v>1.5393069497377388E-3</v>
      </c>
      <c r="M22" s="4">
        <f t="shared" si="8"/>
        <v>7.7892002215015285E-3</v>
      </c>
      <c r="N22">
        <f t="shared" si="9"/>
        <v>5.6198855067602328E-5</v>
      </c>
      <c r="O22">
        <f t="shared" si="12"/>
        <v>6.5422905480148934E-6</v>
      </c>
      <c r="P22">
        <f t="shared" si="10"/>
        <v>2.3694658855109016E-6</v>
      </c>
      <c r="Q22">
        <f t="shared" si="11"/>
        <v>6.0671640090639464E-5</v>
      </c>
    </row>
    <row r="23" spans="1:17" x14ac:dyDescent="0.2">
      <c r="A23" t="s">
        <v>24</v>
      </c>
      <c r="B23">
        <v>753.98</v>
      </c>
      <c r="C23">
        <v>109.53</v>
      </c>
      <c r="D23">
        <v>290.75</v>
      </c>
      <c r="E23">
        <v>197.05</v>
      </c>
      <c r="F23">
        <f t="shared" si="0"/>
        <v>6.7511131026214413E-3</v>
      </c>
      <c r="G23">
        <f t="shared" si="1"/>
        <v>-7.6249134589191497E-3</v>
      </c>
      <c r="H23">
        <f t="shared" si="2"/>
        <v>-9.2952128176164751E-3</v>
      </c>
      <c r="I23">
        <f t="shared" si="3"/>
        <v>4.0298849213152525E-3</v>
      </c>
      <c r="J23" s="4">
        <f t="shared" si="5"/>
        <v>7.0387137161815674E-3</v>
      </c>
      <c r="K23" s="4">
        <f t="shared" si="6"/>
        <v>-7.5185371074365584E-3</v>
      </c>
      <c r="L23" s="4">
        <f t="shared" si="7"/>
        <v>-9.0088083571971643E-3</v>
      </c>
      <c r="M23" s="4">
        <f t="shared" si="8"/>
        <v>4.0429464248760792E-3</v>
      </c>
      <c r="N23">
        <f t="shared" si="9"/>
        <v>4.9543490778362533E-5</v>
      </c>
      <c r="O23">
        <f t="shared" si="12"/>
        <v>5.6528400235900491E-5</v>
      </c>
      <c r="P23">
        <f t="shared" si="10"/>
        <v>8.1158628016705464E-5</v>
      </c>
      <c r="Q23">
        <f t="shared" si="11"/>
        <v>1.6345415794418271E-5</v>
      </c>
    </row>
    <row r="24" spans="1:17" x14ac:dyDescent="0.2">
      <c r="A24" t="s">
        <v>25</v>
      </c>
      <c r="B24">
        <v>742.35</v>
      </c>
      <c r="C24">
        <v>111.47</v>
      </c>
      <c r="D24">
        <v>297.04000000000002</v>
      </c>
      <c r="E24">
        <v>195.23</v>
      </c>
      <c r="F24">
        <f t="shared" si="0"/>
        <v>9.8396209690483419E-3</v>
      </c>
      <c r="G24">
        <f t="shared" si="1"/>
        <v>-3.2990936574209899E-3</v>
      </c>
      <c r="H24">
        <f t="shared" si="2"/>
        <v>1.4205325252697181E-3</v>
      </c>
      <c r="I24">
        <f t="shared" si="3"/>
        <v>6.296343968222584E-3</v>
      </c>
      <c r="J24" s="4">
        <f t="shared" si="5"/>
        <v>1.0127221582608469E-2</v>
      </c>
      <c r="K24" s="4">
        <f t="shared" si="6"/>
        <v>-3.1927173059383986E-3</v>
      </c>
      <c r="L24" s="4">
        <f t="shared" si="7"/>
        <v>1.7069369856890283E-3</v>
      </c>
      <c r="M24" s="4">
        <f t="shared" si="8"/>
        <v>6.3094054717834107E-3</v>
      </c>
      <c r="N24">
        <f t="shared" si="9"/>
        <v>1.0256061698325078E-4</v>
      </c>
      <c r="O24">
        <f t="shared" si="12"/>
        <v>1.0193443795638546E-5</v>
      </c>
      <c r="P24">
        <f t="shared" si="10"/>
        <v>2.9136338731131457E-6</v>
      </c>
      <c r="Q24">
        <f t="shared" si="11"/>
        <v>3.9808597407370442E-5</v>
      </c>
    </row>
    <row r="25" spans="1:17" x14ac:dyDescent="0.2">
      <c r="A25" t="s">
        <v>26</v>
      </c>
      <c r="B25">
        <v>725.72</v>
      </c>
      <c r="C25">
        <v>112.32</v>
      </c>
      <c r="D25">
        <v>296.07</v>
      </c>
      <c r="E25">
        <v>192.42</v>
      </c>
      <c r="F25">
        <f t="shared" si="0"/>
        <v>-1.8670874097427861E-2</v>
      </c>
      <c r="G25">
        <f t="shared" si="1"/>
        <v>3.88389712372471E-3</v>
      </c>
      <c r="H25">
        <f t="shared" si="2"/>
        <v>-2.3844309538919423E-3</v>
      </c>
      <c r="I25">
        <f t="shared" si="3"/>
        <v>1.1550153522498368E-2</v>
      </c>
      <c r="J25" s="4">
        <f t="shared" si="5"/>
        <v>-1.8383273483867736E-2</v>
      </c>
      <c r="K25" s="4">
        <f t="shared" si="6"/>
        <v>3.9902734752073014E-3</v>
      </c>
      <c r="L25" s="4">
        <f t="shared" si="7"/>
        <v>-2.0980264934726319E-3</v>
      </c>
      <c r="M25" s="4">
        <f t="shared" si="8"/>
        <v>1.1563215026059195E-2</v>
      </c>
      <c r="N25">
        <f t="shared" si="9"/>
        <v>3.3794474398267464E-4</v>
      </c>
      <c r="O25">
        <f t="shared" si="12"/>
        <v>1.5922282406942955E-5</v>
      </c>
      <c r="P25">
        <f t="shared" si="10"/>
        <v>4.4017151673130678E-6</v>
      </c>
      <c r="Q25">
        <f t="shared" si="11"/>
        <v>1.3370794173888113E-4</v>
      </c>
    </row>
    <row r="26" spans="1:17" x14ac:dyDescent="0.2">
      <c r="A26" t="s">
        <v>27</v>
      </c>
      <c r="B26">
        <v>757.6</v>
      </c>
      <c r="C26">
        <v>111.32</v>
      </c>
      <c r="D26">
        <v>297.7</v>
      </c>
      <c r="E26">
        <v>187.37</v>
      </c>
      <c r="F26">
        <f t="shared" si="0"/>
        <v>6.2705505528620068E-3</v>
      </c>
      <c r="G26">
        <f t="shared" si="1"/>
        <v>-7.4061815338303811E-4</v>
      </c>
      <c r="H26">
        <f t="shared" si="2"/>
        <v>1.0647648073801124E-2</v>
      </c>
      <c r="I26">
        <f t="shared" si="3"/>
        <v>-2.2889032210233896E-2</v>
      </c>
      <c r="J26" s="4">
        <f t="shared" si="5"/>
        <v>6.5581511664221329E-3</v>
      </c>
      <c r="K26" s="4">
        <f t="shared" si="6"/>
        <v>-6.3424180190044678E-4</v>
      </c>
      <c r="L26" s="4">
        <f t="shared" si="7"/>
        <v>1.0934052534220435E-2</v>
      </c>
      <c r="M26" s="4">
        <f t="shared" si="8"/>
        <v>-2.287597070667307E-2</v>
      </c>
      <c r="N26">
        <f t="shared" si="9"/>
        <v>4.3009346721643984E-5</v>
      </c>
      <c r="O26">
        <f t="shared" si="12"/>
        <v>4.0226266327792557E-7</v>
      </c>
      <c r="P26">
        <f t="shared" si="10"/>
        <v>1.1955350482109232E-4</v>
      </c>
      <c r="Q26">
        <f t="shared" si="11"/>
        <v>5.2331003577256441E-4</v>
      </c>
    </row>
    <row r="27" spans="1:17" x14ac:dyDescent="0.2">
      <c r="A27" t="s">
        <v>28</v>
      </c>
      <c r="B27">
        <v>746.74</v>
      </c>
      <c r="C27">
        <v>111.51</v>
      </c>
      <c r="D27">
        <v>290.49</v>
      </c>
      <c r="E27">
        <v>197.51</v>
      </c>
      <c r="F27">
        <f t="shared" si="0"/>
        <v>1.0656109685470436E-3</v>
      </c>
      <c r="G27">
        <f t="shared" si="1"/>
        <v>7.0280168828965759E-3</v>
      </c>
      <c r="H27">
        <f t="shared" si="2"/>
        <v>7.6314105039948076E-4</v>
      </c>
      <c r="I27">
        <f t="shared" si="3"/>
        <v>8.9081196448894256E-3</v>
      </c>
      <c r="J27" s="4">
        <f t="shared" si="5"/>
        <v>1.35321158210717E-3</v>
      </c>
      <c r="K27" s="4">
        <f t="shared" si="6"/>
        <v>7.1343932343791673E-3</v>
      </c>
      <c r="L27" s="4">
        <f t="shared" si="7"/>
        <v>1.0495455108187909E-3</v>
      </c>
      <c r="M27" s="4">
        <f t="shared" si="8"/>
        <v>8.9211811484502523E-3</v>
      </c>
      <c r="N27">
        <f t="shared" si="9"/>
        <v>1.83118158594899E-6</v>
      </c>
      <c r="O27">
        <f t="shared" si="12"/>
        <v>5.0899566822755238E-5</v>
      </c>
      <c r="P27">
        <f t="shared" si="10"/>
        <v>1.1015457792798767E-6</v>
      </c>
      <c r="Q27">
        <f t="shared" si="11"/>
        <v>7.9587473083464163E-5</v>
      </c>
    </row>
    <row r="28" spans="1:17" x14ac:dyDescent="0.2">
      <c r="A28" t="s">
        <v>29</v>
      </c>
      <c r="B28">
        <v>744.91</v>
      </c>
      <c r="C28">
        <v>109.72</v>
      </c>
      <c r="D28">
        <v>289.98</v>
      </c>
      <c r="E28">
        <v>193.5</v>
      </c>
      <c r="F28">
        <f t="shared" si="0"/>
        <v>-2.9615995721173925E-2</v>
      </c>
      <c r="G28">
        <f t="shared" si="1"/>
        <v>1.7053729709134186E-3</v>
      </c>
      <c r="H28">
        <f t="shared" si="2"/>
        <v>-3.8921985747710327E-4</v>
      </c>
      <c r="I28">
        <f t="shared" si="3"/>
        <v>5.4430089270924333E-3</v>
      </c>
      <c r="J28" s="4">
        <f t="shared" si="5"/>
        <v>-2.93283951076138E-2</v>
      </c>
      <c r="K28" s="4">
        <f t="shared" si="6"/>
        <v>1.8117493223960099E-3</v>
      </c>
      <c r="L28" s="4">
        <f t="shared" si="7"/>
        <v>-1.0281539705779308E-4</v>
      </c>
      <c r="M28" s="4">
        <f t="shared" si="8"/>
        <v>5.4560704306532599E-3</v>
      </c>
      <c r="N28">
        <f t="shared" si="9"/>
        <v>8.6015475958830503E-4</v>
      </c>
      <c r="O28">
        <f t="shared" si="12"/>
        <v>3.2824356072024013E-6</v>
      </c>
      <c r="P28">
        <f t="shared" si="10"/>
        <v>1.0571005872151646E-8</v>
      </c>
      <c r="Q28">
        <f t="shared" si="11"/>
        <v>2.9768704544248849E-5</v>
      </c>
    </row>
    <row r="29" spans="1:17" x14ac:dyDescent="0.2">
      <c r="A29" t="s">
        <v>30</v>
      </c>
      <c r="B29">
        <v>797.48</v>
      </c>
      <c r="C29">
        <v>109.29</v>
      </c>
      <c r="D29">
        <v>290.24</v>
      </c>
      <c r="E29">
        <v>191.09</v>
      </c>
      <c r="F29">
        <f t="shared" si="0"/>
        <v>-1.3158965935153098E-3</v>
      </c>
      <c r="G29">
        <f t="shared" si="1"/>
        <v>1.106773351276751E-2</v>
      </c>
      <c r="H29">
        <f t="shared" si="2"/>
        <v>1.8744503741738787E-3</v>
      </c>
      <c r="I29">
        <f t="shared" si="3"/>
        <v>2.1416306802365436E-3</v>
      </c>
      <c r="J29" s="4">
        <f t="shared" si="5"/>
        <v>-1.0282959799551834E-3</v>
      </c>
      <c r="K29" s="4">
        <f t="shared" si="6"/>
        <v>1.1174109864250102E-2</v>
      </c>
      <c r="L29" s="4">
        <f t="shared" si="7"/>
        <v>2.1608548345931891E-3</v>
      </c>
      <c r="M29" s="4">
        <f t="shared" si="8"/>
        <v>2.1546921837973698E-3</v>
      </c>
      <c r="N29">
        <f t="shared" si="9"/>
        <v>1.0573926223919911E-6</v>
      </c>
      <c r="O29">
        <f t="shared" si="12"/>
        <v>1.2486073125833144E-4</v>
      </c>
      <c r="P29">
        <f t="shared" si="10"/>
        <v>4.6692936161847583E-6</v>
      </c>
      <c r="Q29">
        <f t="shared" si="11"/>
        <v>4.642698406917479E-6</v>
      </c>
    </row>
    <row r="30" spans="1:17" x14ac:dyDescent="0.2">
      <c r="A30" s="1">
        <v>45931</v>
      </c>
      <c r="B30">
        <v>799.9</v>
      </c>
      <c r="C30">
        <v>106.54</v>
      </c>
      <c r="D30">
        <v>288.99</v>
      </c>
      <c r="E30">
        <v>190.15</v>
      </c>
      <c r="F30">
        <f t="shared" si="0"/>
        <v>6.9395776008563548E-3</v>
      </c>
      <c r="G30">
        <f t="shared" si="1"/>
        <v>-1.5868743747320219E-3</v>
      </c>
      <c r="H30">
        <f t="shared" si="2"/>
        <v>-9.6158784850941675E-3</v>
      </c>
      <c r="I30">
        <f t="shared" si="3"/>
        <v>-3.4351540646267394E-3</v>
      </c>
      <c r="J30" s="4">
        <f t="shared" si="5"/>
        <v>7.227178214416481E-3</v>
      </c>
      <c r="K30" s="4">
        <f t="shared" si="6"/>
        <v>-1.4804980232494306E-3</v>
      </c>
      <c r="L30" s="4">
        <f t="shared" si="7"/>
        <v>-9.3294740246748567E-3</v>
      </c>
      <c r="M30" s="4">
        <f t="shared" si="8"/>
        <v>-3.4220925610659132E-3</v>
      </c>
      <c r="N30">
        <f t="shared" si="9"/>
        <v>5.2232104942936195E-5</v>
      </c>
      <c r="O30">
        <f t="shared" si="12"/>
        <v>2.1918743968454715E-6</v>
      </c>
      <c r="P30">
        <f t="shared" si="10"/>
        <v>8.7039085577082873E-5</v>
      </c>
      <c r="Q30">
        <f t="shared" si="11"/>
        <v>1.1710717496502661E-5</v>
      </c>
    </row>
    <row r="31" spans="1:17" x14ac:dyDescent="0.2">
      <c r="A31" s="1">
        <v>45870</v>
      </c>
      <c r="B31">
        <v>787.22</v>
      </c>
      <c r="C31">
        <v>106.93</v>
      </c>
      <c r="D31">
        <v>295.45999999999998</v>
      </c>
      <c r="E31">
        <v>191.66</v>
      </c>
      <c r="F31">
        <f t="shared" si="0"/>
        <v>7.7537251649001538E-3</v>
      </c>
      <c r="G31">
        <f t="shared" si="1"/>
        <v>-7.32969880313204E-3</v>
      </c>
      <c r="H31">
        <f t="shared" si="2"/>
        <v>-4.0089456260541815E-3</v>
      </c>
      <c r="I31">
        <f t="shared" si="3"/>
        <v>-1.2444948992950226E-3</v>
      </c>
      <c r="J31" s="4">
        <f t="shared" si="5"/>
        <v>8.0413257784602808E-3</v>
      </c>
      <c r="K31" s="4">
        <f t="shared" si="6"/>
        <v>-7.2233224516494486E-3</v>
      </c>
      <c r="L31" s="4">
        <f t="shared" si="7"/>
        <v>-3.7225411656348715E-3</v>
      </c>
      <c r="M31" s="4">
        <f t="shared" si="8"/>
        <v>-1.2314333957341962E-3</v>
      </c>
      <c r="N31">
        <f t="shared" si="9"/>
        <v>6.4662920275329844E-5</v>
      </c>
      <c r="O31">
        <f t="shared" si="12"/>
        <v>5.2176387240503E-5</v>
      </c>
      <c r="P31">
        <f t="shared" si="10"/>
        <v>1.3857312729846228E-5</v>
      </c>
      <c r="Q31">
        <f t="shared" si="11"/>
        <v>1.5164282081294534E-6</v>
      </c>
    </row>
    <row r="32" spans="1:17" x14ac:dyDescent="0.2">
      <c r="A32" s="1">
        <v>45839</v>
      </c>
      <c r="B32">
        <v>773.29</v>
      </c>
      <c r="C32">
        <v>108.75</v>
      </c>
      <c r="D32">
        <v>298.2</v>
      </c>
      <c r="E32">
        <v>192.21</v>
      </c>
      <c r="F32">
        <f t="shared" si="0"/>
        <v>4.6241920587810894E-3</v>
      </c>
      <c r="G32">
        <f t="shared" si="1"/>
        <v>4.0522944167388315E-3</v>
      </c>
      <c r="H32">
        <f t="shared" si="2"/>
        <v>3.4654255960265101E-3</v>
      </c>
      <c r="I32">
        <f t="shared" si="3"/>
        <v>6.7789664057604299E-5</v>
      </c>
      <c r="J32" s="4">
        <f t="shared" si="5"/>
        <v>4.9117926723412156E-3</v>
      </c>
      <c r="K32" s="4">
        <f t="shared" si="6"/>
        <v>4.1586707682214228E-3</v>
      </c>
      <c r="L32" s="4">
        <f t="shared" si="7"/>
        <v>3.7518300564458205E-3</v>
      </c>
      <c r="M32" s="4">
        <f t="shared" si="8"/>
        <v>8.0851167618430694E-5</v>
      </c>
      <c r="N32">
        <f t="shared" si="9"/>
        <v>2.4125707256064861E-5</v>
      </c>
      <c r="O32">
        <f t="shared" si="12"/>
        <v>1.7294542558459359E-5</v>
      </c>
      <c r="P32">
        <f t="shared" si="10"/>
        <v>1.4076228772450249E-5</v>
      </c>
      <c r="Q32">
        <f t="shared" si="11"/>
        <v>6.536911305263576E-9</v>
      </c>
    </row>
    <row r="33" spans="1:17" x14ac:dyDescent="0.2">
      <c r="A33" s="1">
        <v>45809</v>
      </c>
      <c r="B33">
        <v>765.1</v>
      </c>
      <c r="C33">
        <v>107.74</v>
      </c>
      <c r="D33">
        <v>295.83</v>
      </c>
      <c r="E33">
        <v>192.18</v>
      </c>
      <c r="F33">
        <f t="shared" si="0"/>
        <v>-9.4774436780971708E-3</v>
      </c>
      <c r="G33">
        <f t="shared" si="1"/>
        <v>-4.8344474220749514E-4</v>
      </c>
      <c r="H33">
        <f t="shared" si="2"/>
        <v>-6.7299948283082237E-3</v>
      </c>
      <c r="I33">
        <f t="shared" si="3"/>
        <v>3.7904120235702898E-3</v>
      </c>
      <c r="J33" s="4">
        <f t="shared" si="5"/>
        <v>-9.1898430645370437E-3</v>
      </c>
      <c r="K33" s="4">
        <f t="shared" si="6"/>
        <v>-3.7706839072490375E-4</v>
      </c>
      <c r="L33" s="4">
        <f t="shared" si="7"/>
        <v>-6.4435903678889137E-3</v>
      </c>
      <c r="M33" s="4">
        <f t="shared" si="8"/>
        <v>3.803473527131116E-3</v>
      </c>
      <c r="N33">
        <f t="shared" si="9"/>
        <v>8.4453215550819597E-5</v>
      </c>
      <c r="O33">
        <f t="shared" si="12"/>
        <v>1.4218057128386869E-7</v>
      </c>
      <c r="P33">
        <f t="shared" si="10"/>
        <v>4.1519856829150789E-5</v>
      </c>
      <c r="Q33">
        <f t="shared" si="11"/>
        <v>1.4466410871587213E-5</v>
      </c>
    </row>
    <row r="34" spans="1:17" x14ac:dyDescent="0.2">
      <c r="A34" s="1">
        <v>45717</v>
      </c>
      <c r="B34">
        <v>781.98</v>
      </c>
      <c r="C34">
        <v>107.86</v>
      </c>
      <c r="D34">
        <v>300.45</v>
      </c>
      <c r="E34">
        <v>190.51</v>
      </c>
      <c r="F34">
        <f t="shared" si="0"/>
        <v>2.1769750711616706E-3</v>
      </c>
      <c r="G34">
        <f t="shared" si="1"/>
        <v>2.2202210835115806E-3</v>
      </c>
      <c r="H34">
        <f t="shared" si="2"/>
        <v>5.6303475048370749E-3</v>
      </c>
      <c r="I34">
        <f t="shared" si="3"/>
        <v>8.1923075336567761E-3</v>
      </c>
      <c r="J34" s="4">
        <f t="shared" si="5"/>
        <v>2.4645756847217967E-3</v>
      </c>
      <c r="K34" s="4">
        <f t="shared" si="6"/>
        <v>2.3265974349941719E-3</v>
      </c>
      <c r="L34" s="4">
        <f t="shared" si="7"/>
        <v>5.9167519652563848E-3</v>
      </c>
      <c r="M34" s="4">
        <f t="shared" si="8"/>
        <v>8.2053690372176028E-3</v>
      </c>
      <c r="N34">
        <f t="shared" si="9"/>
        <v>6.0741333057219135E-6</v>
      </c>
      <c r="O34">
        <f t="shared" si="12"/>
        <v>5.4130556245214596E-6</v>
      </c>
      <c r="P34">
        <f t="shared" si="10"/>
        <v>3.5007953818365292E-5</v>
      </c>
      <c r="Q34">
        <f t="shared" si="11"/>
        <v>6.7328081036929327E-5</v>
      </c>
    </row>
    <row r="35" spans="1:17" x14ac:dyDescent="0.2">
      <c r="A35" s="1">
        <v>45689</v>
      </c>
      <c r="B35">
        <v>778.07</v>
      </c>
      <c r="C35">
        <v>107.31</v>
      </c>
      <c r="D35">
        <v>296.58</v>
      </c>
      <c r="E35">
        <v>186.95</v>
      </c>
      <c r="F35">
        <f t="shared" ref="F35:F66" si="13">LOG(B35/B36)</f>
        <v>3.401370235158979E-3</v>
      </c>
      <c r="G35">
        <f t="shared" ref="G35:G66" si="14">LOG(C35/C36)</f>
        <v>-1.0509737565143748E-3</v>
      </c>
      <c r="H35">
        <f t="shared" ref="H35:H66" si="15">LOG(D35/D36)</f>
        <v>-4.1679532619450805E-3</v>
      </c>
      <c r="I35">
        <f t="shared" ref="I35:I66" si="16">LOG(E35/E36)</f>
        <v>-1.2989643282260959E-3</v>
      </c>
      <c r="J35" s="4">
        <f t="shared" si="5"/>
        <v>3.6889708487191052E-3</v>
      </c>
      <c r="K35" s="4">
        <f t="shared" si="6"/>
        <v>-9.4459740503178343E-4</v>
      </c>
      <c r="L35" s="4">
        <f t="shared" si="7"/>
        <v>-3.8815488015257705E-3</v>
      </c>
      <c r="M35" s="4">
        <f t="shared" si="8"/>
        <v>-1.2859028246652695E-3</v>
      </c>
      <c r="N35">
        <f t="shared" si="9"/>
        <v>1.3608505922699355E-5</v>
      </c>
      <c r="O35">
        <f t="shared" si="12"/>
        <v>8.9226425759277913E-7</v>
      </c>
      <c r="P35">
        <f t="shared" si="10"/>
        <v>1.5066421098626146E-5</v>
      </c>
      <c r="Q35">
        <f t="shared" si="11"/>
        <v>1.6535460744821186E-6</v>
      </c>
    </row>
    <row r="36" spans="1:17" x14ac:dyDescent="0.2">
      <c r="A36" t="s">
        <v>31</v>
      </c>
      <c r="B36">
        <v>772</v>
      </c>
      <c r="C36">
        <v>107.57</v>
      </c>
      <c r="D36">
        <v>299.44</v>
      </c>
      <c r="E36">
        <v>187.51</v>
      </c>
      <c r="F36">
        <f t="shared" si="13"/>
        <v>-1.0338744295525621E-3</v>
      </c>
      <c r="G36">
        <f t="shared" si="14"/>
        <v>7.3697264835812862E-3</v>
      </c>
      <c r="H36">
        <f t="shared" si="15"/>
        <v>5.2969626624947272E-3</v>
      </c>
      <c r="I36">
        <f t="shared" si="16"/>
        <v>-1.0410025324497825E-3</v>
      </c>
      <c r="J36" s="4">
        <f t="shared" si="5"/>
        <v>-7.4627381599243572E-4</v>
      </c>
      <c r="K36" s="4">
        <f t="shared" si="6"/>
        <v>7.4761028350638775E-3</v>
      </c>
      <c r="L36" s="4">
        <f t="shared" si="7"/>
        <v>5.5833671229140371E-3</v>
      </c>
      <c r="M36" s="4">
        <f t="shared" si="8"/>
        <v>-1.027941028888956E-3</v>
      </c>
      <c r="N36">
        <f t="shared" si="9"/>
        <v>5.5692460843591177E-7</v>
      </c>
      <c r="O36">
        <f t="shared" si="12"/>
        <v>5.5892113600450145E-5</v>
      </c>
      <c r="P36">
        <f t="shared" si="10"/>
        <v>3.1173988429237372E-5</v>
      </c>
      <c r="Q36">
        <f t="shared" si="11"/>
        <v>1.0566627588732854E-6</v>
      </c>
    </row>
    <row r="37" spans="1:17" x14ac:dyDescent="0.2">
      <c r="A37" t="s">
        <v>32</v>
      </c>
      <c r="B37">
        <v>773.84</v>
      </c>
      <c r="C37">
        <v>105.76</v>
      </c>
      <c r="D37">
        <v>295.81</v>
      </c>
      <c r="E37">
        <v>187.96</v>
      </c>
      <c r="F37">
        <f t="shared" si="13"/>
        <v>-5.2048683249991999E-3</v>
      </c>
      <c r="G37">
        <f t="shared" si="14"/>
        <v>-2.9466003250536851E-3</v>
      </c>
      <c r="H37">
        <f t="shared" si="15"/>
        <v>-3.3491245887601021E-3</v>
      </c>
      <c r="I37">
        <f t="shared" si="16"/>
        <v>-7.3770209199584668E-3</v>
      </c>
      <c r="J37" s="4">
        <f t="shared" si="5"/>
        <v>-4.9172677114390738E-3</v>
      </c>
      <c r="K37" s="4">
        <f t="shared" si="6"/>
        <v>-2.8402239735710938E-3</v>
      </c>
      <c r="L37" s="4">
        <f t="shared" si="7"/>
        <v>-3.0627201283407917E-3</v>
      </c>
      <c r="M37" s="4">
        <f t="shared" si="8"/>
        <v>-7.3639594163976401E-3</v>
      </c>
      <c r="N37">
        <f t="shared" si="9"/>
        <v>2.4179521745961268E-5</v>
      </c>
      <c r="O37">
        <f t="shared" si="12"/>
        <v>8.0668722200479728E-6</v>
      </c>
      <c r="P37">
        <f t="shared" si="10"/>
        <v>9.3802545845438352E-6</v>
      </c>
      <c r="Q37">
        <f t="shared" si="11"/>
        <v>5.4227898286351473E-5</v>
      </c>
    </row>
    <row r="38" spans="1:17" x14ac:dyDescent="0.2">
      <c r="A38" t="s">
        <v>33</v>
      </c>
      <c r="B38">
        <v>783.17</v>
      </c>
      <c r="C38">
        <v>106.48</v>
      </c>
      <c r="D38">
        <v>298.10000000000002</v>
      </c>
      <c r="E38">
        <v>191.18</v>
      </c>
      <c r="F38">
        <f t="shared" si="13"/>
        <v>-6.0410284398143364E-3</v>
      </c>
      <c r="G38">
        <f t="shared" si="14"/>
        <v>-4.0784568927281731E-5</v>
      </c>
      <c r="H38">
        <f t="shared" si="15"/>
        <v>-4.6659827279164484E-3</v>
      </c>
      <c r="I38">
        <f t="shared" si="16"/>
        <v>-1.2476149973454889E-3</v>
      </c>
      <c r="J38" s="4">
        <f t="shared" si="5"/>
        <v>-5.7534278262542102E-3</v>
      </c>
      <c r="K38" s="4">
        <f t="shared" si="6"/>
        <v>6.5591782555309645E-5</v>
      </c>
      <c r="L38" s="4">
        <f t="shared" si="7"/>
        <v>-4.3795782674971384E-3</v>
      </c>
      <c r="M38" s="4">
        <f t="shared" si="8"/>
        <v>-1.2345534937846625E-3</v>
      </c>
      <c r="N38">
        <f t="shared" si="9"/>
        <v>3.3101931751916243E-5</v>
      </c>
      <c r="O38">
        <f t="shared" si="12"/>
        <v>4.302281938783023E-9</v>
      </c>
      <c r="P38">
        <f t="shared" si="10"/>
        <v>1.9180705801133236E-5</v>
      </c>
      <c r="Q38">
        <f t="shared" si="11"/>
        <v>1.5241223290159165E-6</v>
      </c>
    </row>
    <row r="39" spans="1:17" x14ac:dyDescent="0.2">
      <c r="A39" t="s">
        <v>34</v>
      </c>
      <c r="B39">
        <v>794.14</v>
      </c>
      <c r="C39">
        <v>106.49</v>
      </c>
      <c r="D39">
        <v>301.32</v>
      </c>
      <c r="E39">
        <v>191.73</v>
      </c>
      <c r="F39">
        <f t="shared" si="13"/>
        <v>-8.359121686874006E-4</v>
      </c>
      <c r="G39">
        <f t="shared" si="14"/>
        <v>3.6719907651659478E-4</v>
      </c>
      <c r="H39">
        <f t="shared" si="15"/>
        <v>7.5012684094262949E-4</v>
      </c>
      <c r="I39">
        <f t="shared" si="16"/>
        <v>-1.6052759623083391E-3</v>
      </c>
      <c r="J39" s="4">
        <f t="shared" si="5"/>
        <v>-5.4831155512727423E-4</v>
      </c>
      <c r="K39" s="4">
        <f t="shared" si="6"/>
        <v>4.7357542799918617E-4</v>
      </c>
      <c r="L39" s="4">
        <f t="shared" si="7"/>
        <v>1.0365313013619396E-3</v>
      </c>
      <c r="M39" s="4">
        <f t="shared" si="8"/>
        <v>-1.5922144587475126E-3</v>
      </c>
      <c r="N39">
        <f t="shared" si="9"/>
        <v>3.0064556148608989E-7</v>
      </c>
      <c r="O39">
        <f t="shared" si="12"/>
        <v>2.2427368600461237E-7</v>
      </c>
      <c r="P39">
        <f t="shared" si="10"/>
        <v>1.0743971387030759E-6</v>
      </c>
      <c r="Q39">
        <f t="shared" si="11"/>
        <v>2.5351468826446345E-6</v>
      </c>
    </row>
    <row r="40" spans="1:17" x14ac:dyDescent="0.2">
      <c r="A40" t="s">
        <v>35</v>
      </c>
      <c r="B40">
        <v>795.67</v>
      </c>
      <c r="C40">
        <v>106.4</v>
      </c>
      <c r="D40">
        <v>300.8</v>
      </c>
      <c r="E40">
        <v>192.44</v>
      </c>
      <c r="F40">
        <f t="shared" si="13"/>
        <v>-3.3282407980983833E-4</v>
      </c>
      <c r="G40">
        <f t="shared" si="14"/>
        <v>4.0836343573269842E-4</v>
      </c>
      <c r="H40">
        <f t="shared" si="15"/>
        <v>2.8681705066363411E-3</v>
      </c>
      <c r="I40">
        <f t="shared" si="16"/>
        <v>5.2218586565824284E-3</v>
      </c>
      <c r="J40" s="4">
        <f t="shared" si="5"/>
        <v>-4.5223466249711959E-5</v>
      </c>
      <c r="K40" s="4">
        <f t="shared" si="6"/>
        <v>5.1473978721528976E-4</v>
      </c>
      <c r="L40" s="4">
        <f t="shared" si="7"/>
        <v>3.1545749670556511E-3</v>
      </c>
      <c r="M40" s="4">
        <f t="shared" si="8"/>
        <v>5.2349201601432551E-3</v>
      </c>
      <c r="N40">
        <f t="shared" si="9"/>
        <v>2.0451618996388366E-9</v>
      </c>
      <c r="O40">
        <f t="shared" si="12"/>
        <v>2.649570485424418E-7</v>
      </c>
      <c r="P40">
        <f t="shared" si="10"/>
        <v>9.9513432227741629E-6</v>
      </c>
      <c r="Q40">
        <f t="shared" si="11"/>
        <v>2.7404389083074282E-5</v>
      </c>
    </row>
    <row r="41" spans="1:17" x14ac:dyDescent="0.2">
      <c r="A41" t="s">
        <v>36</v>
      </c>
      <c r="B41">
        <v>796.28</v>
      </c>
      <c r="C41">
        <v>106.3</v>
      </c>
      <c r="D41">
        <v>298.82</v>
      </c>
      <c r="E41">
        <v>190.14</v>
      </c>
      <c r="F41">
        <f t="shared" si="13"/>
        <v>1.5840325982886327E-2</v>
      </c>
      <c r="G41">
        <f t="shared" si="14"/>
        <v>1.7603514436650527E-3</v>
      </c>
      <c r="H41">
        <f t="shared" si="15"/>
        <v>1.9226913483999502E-3</v>
      </c>
      <c r="I41">
        <f t="shared" si="16"/>
        <v>7.5339039801406403E-3</v>
      </c>
      <c r="J41" s="4">
        <f t="shared" si="5"/>
        <v>1.6127926596446452E-2</v>
      </c>
      <c r="K41" s="4">
        <f t="shared" si="6"/>
        <v>1.866727795147644E-3</v>
      </c>
      <c r="L41" s="4">
        <f t="shared" si="7"/>
        <v>2.2090958088192602E-3</v>
      </c>
      <c r="M41" s="4">
        <f t="shared" si="8"/>
        <v>7.546965483701467E-3</v>
      </c>
      <c r="N41">
        <f t="shared" si="9"/>
        <v>2.6011001630036484E-4</v>
      </c>
      <c r="O41">
        <f t="shared" si="12"/>
        <v>3.4846726611767844E-6</v>
      </c>
      <c r="P41">
        <f t="shared" si="10"/>
        <v>4.880104292542821E-6</v>
      </c>
      <c r="Q41">
        <f t="shared" si="11"/>
        <v>5.695668801218132E-5</v>
      </c>
    </row>
    <row r="42" spans="1:17" x14ac:dyDescent="0.2">
      <c r="A42" t="s">
        <v>37</v>
      </c>
      <c r="B42">
        <v>767.76</v>
      </c>
      <c r="C42">
        <v>105.87</v>
      </c>
      <c r="D42">
        <v>297.5</v>
      </c>
      <c r="E42">
        <v>186.87</v>
      </c>
      <c r="F42">
        <f t="shared" si="13"/>
        <v>5.8199121848933055E-3</v>
      </c>
      <c r="G42">
        <f t="shared" si="14"/>
        <v>1.4792900430266314E-3</v>
      </c>
      <c r="H42">
        <f t="shared" si="15"/>
        <v>1.2093503029209189E-2</v>
      </c>
      <c r="I42">
        <f t="shared" si="16"/>
        <v>5.6138378294926673E-3</v>
      </c>
      <c r="J42" s="4">
        <f t="shared" si="5"/>
        <v>6.1075127984534317E-3</v>
      </c>
      <c r="K42" s="4">
        <f t="shared" si="6"/>
        <v>1.5856663945092227E-3</v>
      </c>
      <c r="L42" s="4">
        <f t="shared" si="7"/>
        <v>1.23799074896285E-2</v>
      </c>
      <c r="M42" s="4">
        <f t="shared" si="8"/>
        <v>5.6268993330534939E-3</v>
      </c>
      <c r="N42">
        <f t="shared" si="9"/>
        <v>3.7301712583272466E-5</v>
      </c>
      <c r="O42">
        <f t="shared" si="12"/>
        <v>2.514337914675878E-6</v>
      </c>
      <c r="P42">
        <f t="shared" si="10"/>
        <v>1.5326210945175984E-4</v>
      </c>
      <c r="Q42">
        <f t="shared" si="11"/>
        <v>3.1661996104317852E-5</v>
      </c>
    </row>
    <row r="43" spans="1:17" x14ac:dyDescent="0.2">
      <c r="A43" t="s">
        <v>38</v>
      </c>
      <c r="B43">
        <v>757.54</v>
      </c>
      <c r="C43">
        <v>105.51</v>
      </c>
      <c r="D43">
        <v>289.33</v>
      </c>
      <c r="E43">
        <v>184.47</v>
      </c>
      <c r="F43">
        <f t="shared" si="13"/>
        <v>-4.0911998201958446E-3</v>
      </c>
      <c r="G43">
        <f t="shared" si="14"/>
        <v>-3.7296315520985918E-3</v>
      </c>
      <c r="H43">
        <f t="shared" si="15"/>
        <v>-1.555403513871567E-2</v>
      </c>
      <c r="I43">
        <f t="shared" si="16"/>
        <v>-1.2459806387030538E-3</v>
      </c>
      <c r="J43" s="4">
        <f t="shared" si="5"/>
        <v>-3.8035992066357185E-3</v>
      </c>
      <c r="K43" s="4">
        <f t="shared" si="6"/>
        <v>-3.6232552006160005E-3</v>
      </c>
      <c r="L43" s="4">
        <f t="shared" si="7"/>
        <v>-1.5267630678296359E-2</v>
      </c>
      <c r="M43" s="4">
        <f t="shared" si="8"/>
        <v>-1.2329191351422273E-3</v>
      </c>
      <c r="N43">
        <f t="shared" si="9"/>
        <v>1.4467366924719867E-5</v>
      </c>
      <c r="O43">
        <f t="shared" si="12"/>
        <v>1.3127978248790894E-5</v>
      </c>
      <c r="P43">
        <f t="shared" si="10"/>
        <v>2.3310054652885613E-4</v>
      </c>
      <c r="Q43">
        <f t="shared" si="11"/>
        <v>1.5200895937998578E-6</v>
      </c>
    </row>
    <row r="44" spans="1:17" x14ac:dyDescent="0.2">
      <c r="A44" t="s">
        <v>39</v>
      </c>
      <c r="B44">
        <v>764.71</v>
      </c>
      <c r="C44">
        <v>106.42</v>
      </c>
      <c r="D44">
        <v>299.88</v>
      </c>
      <c r="E44">
        <v>185</v>
      </c>
      <c r="F44">
        <f t="shared" si="13"/>
        <v>-7.8287855869895642E-3</v>
      </c>
      <c r="G44">
        <f t="shared" si="14"/>
        <v>-6.4407114887014795E-3</v>
      </c>
      <c r="H44">
        <f t="shared" si="15"/>
        <v>-1.909605636573462E-2</v>
      </c>
      <c r="I44">
        <f t="shared" si="16"/>
        <v>-7.2632416710281065E-3</v>
      </c>
      <c r="J44" s="4">
        <f t="shared" si="5"/>
        <v>-7.541184973429438E-3</v>
      </c>
      <c r="K44" s="4">
        <f t="shared" si="6"/>
        <v>-6.3343351372188881E-3</v>
      </c>
      <c r="L44" s="4">
        <f t="shared" si="7"/>
        <v>-1.8809651905315309E-2</v>
      </c>
      <c r="M44" s="4">
        <f t="shared" si="8"/>
        <v>-7.2501801674672798E-3</v>
      </c>
      <c r="N44">
        <f t="shared" si="9"/>
        <v>5.6869470803477957E-5</v>
      </c>
      <c r="O44">
        <f t="shared" si="12"/>
        <v>4.0123801630605831E-5</v>
      </c>
      <c r="P44">
        <f t="shared" si="10"/>
        <v>3.5380300479913182E-4</v>
      </c>
      <c r="Q44">
        <f t="shared" si="11"/>
        <v>5.2565112460735876E-5</v>
      </c>
    </row>
    <row r="45" spans="1:17" x14ac:dyDescent="0.2">
      <c r="A45" t="s">
        <v>40</v>
      </c>
      <c r="B45">
        <v>778.62</v>
      </c>
      <c r="C45">
        <v>108.01</v>
      </c>
      <c r="D45">
        <v>313.36</v>
      </c>
      <c r="E45">
        <v>188.12</v>
      </c>
      <c r="F45">
        <f t="shared" si="13"/>
        <v>-2.1190265455929878E-4</v>
      </c>
      <c r="G45">
        <f t="shared" si="14"/>
        <v>-1.8456740793962813E-3</v>
      </c>
      <c r="H45">
        <f t="shared" si="15"/>
        <v>-2.5426502777082102E-3</v>
      </c>
      <c r="I45">
        <f t="shared" si="16"/>
        <v>-3.0825628951292464E-3</v>
      </c>
      <c r="J45" s="4">
        <f t="shared" si="5"/>
        <v>7.5697959000827592E-5</v>
      </c>
      <c r="K45" s="4">
        <f t="shared" si="6"/>
        <v>-1.7392977279136899E-3</v>
      </c>
      <c r="L45" s="4">
        <f t="shared" si="7"/>
        <v>-2.2562458172889002E-3</v>
      </c>
      <c r="M45" s="4">
        <f t="shared" si="8"/>
        <v>-3.0695013915684201E-3</v>
      </c>
      <c r="N45">
        <f t="shared" si="9"/>
        <v>5.7301809968909751E-9</v>
      </c>
      <c r="O45">
        <f t="shared" si="12"/>
        <v>3.0251565863257241E-6</v>
      </c>
      <c r="P45">
        <f t="shared" si="10"/>
        <v>5.0906451880336577E-6</v>
      </c>
      <c r="Q45">
        <f t="shared" si="11"/>
        <v>9.4218387928404679E-6</v>
      </c>
    </row>
    <row r="46" spans="1:17" x14ac:dyDescent="0.2">
      <c r="A46" t="s">
        <v>41</v>
      </c>
      <c r="B46">
        <v>779</v>
      </c>
      <c r="C46">
        <v>108.47</v>
      </c>
      <c r="D46">
        <v>315.2</v>
      </c>
      <c r="E46">
        <v>189.46</v>
      </c>
      <c r="F46">
        <f t="shared" si="13"/>
        <v>-5.6055929070543643E-3</v>
      </c>
      <c r="G46">
        <f t="shared" si="14"/>
        <v>-9.3868769533927629E-3</v>
      </c>
      <c r="H46">
        <f t="shared" si="15"/>
        <v>-3.3216325954892054E-3</v>
      </c>
      <c r="I46">
        <f t="shared" si="16"/>
        <v>-4.8553044552093385E-3</v>
      </c>
      <c r="J46" s="4">
        <f t="shared" si="5"/>
        <v>-5.3179922934942381E-3</v>
      </c>
      <c r="K46" s="4">
        <f t="shared" si="6"/>
        <v>-9.2805006019101716E-3</v>
      </c>
      <c r="L46" s="4">
        <f t="shared" si="7"/>
        <v>-3.0352281350698954E-3</v>
      </c>
      <c r="M46" s="4">
        <f t="shared" si="8"/>
        <v>-4.8422429516485118E-3</v>
      </c>
      <c r="N46">
        <f t="shared" si="9"/>
        <v>2.8281042033664109E-5</v>
      </c>
      <c r="O46">
        <f t="shared" si="12"/>
        <v>8.6127691422055051E-5</v>
      </c>
      <c r="P46">
        <f t="shared" si="10"/>
        <v>9.2126098319198755E-6</v>
      </c>
      <c r="Q46">
        <f t="shared" si="11"/>
        <v>2.3447316802789691E-5</v>
      </c>
    </row>
    <row r="47" spans="1:17" x14ac:dyDescent="0.2">
      <c r="A47" t="s">
        <v>42</v>
      </c>
      <c r="B47">
        <v>789.12</v>
      </c>
      <c r="C47">
        <v>110.84</v>
      </c>
      <c r="D47">
        <v>317.62</v>
      </c>
      <c r="E47">
        <v>191.59</v>
      </c>
      <c r="F47">
        <f t="shared" si="13"/>
        <v>3.741963679898065E-3</v>
      </c>
      <c r="G47">
        <f t="shared" si="14"/>
        <v>-3.8229708124598804E-3</v>
      </c>
      <c r="H47">
        <f t="shared" si="15"/>
        <v>-4.3129801301984285E-3</v>
      </c>
      <c r="I47">
        <f t="shared" si="16"/>
        <v>-2.7192976535902775E-4</v>
      </c>
      <c r="J47" s="4">
        <f t="shared" si="5"/>
        <v>4.0295642934581911E-3</v>
      </c>
      <c r="K47" s="4">
        <f t="shared" si="6"/>
        <v>-3.716594460977289E-3</v>
      </c>
      <c r="L47" s="4">
        <f t="shared" si="7"/>
        <v>-4.0265756697791186E-3</v>
      </c>
      <c r="M47" s="4">
        <f t="shared" si="8"/>
        <v>-2.5886826179820132E-4</v>
      </c>
      <c r="N47">
        <f t="shared" si="9"/>
        <v>1.6237388395113211E-5</v>
      </c>
      <c r="O47">
        <f t="shared" si="12"/>
        <v>1.3813074387367066E-5</v>
      </c>
      <c r="P47">
        <f t="shared" si="10"/>
        <v>1.6213311624457157E-5</v>
      </c>
      <c r="Q47">
        <f t="shared" si="11"/>
        <v>6.7012776966422096E-8</v>
      </c>
    </row>
    <row r="48" spans="1:17" x14ac:dyDescent="0.2">
      <c r="A48" s="1">
        <v>45638</v>
      </c>
      <c r="B48">
        <v>782.35</v>
      </c>
      <c r="C48">
        <v>111.82</v>
      </c>
      <c r="D48">
        <v>320.79000000000002</v>
      </c>
      <c r="E48">
        <v>191.71</v>
      </c>
      <c r="F48">
        <f t="shared" si="13"/>
        <v>-7.5283484119998646E-3</v>
      </c>
      <c r="G48">
        <f t="shared" si="14"/>
        <v>-3.8821356111717469E-4</v>
      </c>
      <c r="H48">
        <f t="shared" si="15"/>
        <v>-3.4386124364636944E-3</v>
      </c>
      <c r="I48">
        <f t="shared" si="16"/>
        <v>2.2654311676920957E-5</v>
      </c>
      <c r="J48" s="4">
        <f t="shared" si="5"/>
        <v>-7.2407477984397384E-3</v>
      </c>
      <c r="K48" s="4">
        <f t="shared" si="6"/>
        <v>-2.818372096345833E-4</v>
      </c>
      <c r="L48" s="4">
        <f t="shared" si="7"/>
        <v>-3.152207976044384E-3</v>
      </c>
      <c r="M48" s="4">
        <f t="shared" si="8"/>
        <v>3.5715815237747358E-5</v>
      </c>
      <c r="N48">
        <f t="shared" si="9"/>
        <v>5.2428428680609917E-5</v>
      </c>
      <c r="O48">
        <f t="shared" si="12"/>
        <v>7.9432212734608058E-8</v>
      </c>
      <c r="P48">
        <f t="shared" si="10"/>
        <v>9.9364151242378321E-6</v>
      </c>
      <c r="Q48">
        <f t="shared" si="11"/>
        <v>1.2756194580969065E-9</v>
      </c>
    </row>
    <row r="49" spans="1:17" x14ac:dyDescent="0.2">
      <c r="A49" s="1">
        <v>45608</v>
      </c>
      <c r="B49">
        <v>796.03</v>
      </c>
      <c r="C49">
        <v>111.92</v>
      </c>
      <c r="D49">
        <v>323.33999999999997</v>
      </c>
      <c r="E49">
        <v>191.7</v>
      </c>
      <c r="F49">
        <f t="shared" si="13"/>
        <v>-1.9324872050593602E-3</v>
      </c>
      <c r="G49">
        <f t="shared" si="14"/>
        <v>-2.9005928333203537E-3</v>
      </c>
      <c r="H49">
        <f t="shared" si="15"/>
        <v>-6.2011688447423663E-3</v>
      </c>
      <c r="I49">
        <f t="shared" si="16"/>
        <v>3.4572698157918384E-3</v>
      </c>
      <c r="J49" s="4">
        <f t="shared" si="5"/>
        <v>-1.6448865914992338E-3</v>
      </c>
      <c r="K49" s="4">
        <f t="shared" si="6"/>
        <v>-2.7942164818377624E-3</v>
      </c>
      <c r="L49" s="4">
        <f t="shared" si="7"/>
        <v>-5.9147643843230563E-3</v>
      </c>
      <c r="M49" s="4">
        <f t="shared" si="8"/>
        <v>3.4703313193526646E-3</v>
      </c>
      <c r="N49">
        <f t="shared" si="9"/>
        <v>2.7056518988939675E-6</v>
      </c>
      <c r="O49">
        <f t="shared" si="12"/>
        <v>7.8076457473738029E-6</v>
      </c>
      <c r="P49">
        <f t="shared" si="10"/>
        <v>3.4984437722056507E-5</v>
      </c>
      <c r="Q49">
        <f t="shared" si="11"/>
        <v>1.2043199466080005E-5</v>
      </c>
    </row>
    <row r="50" spans="1:17" x14ac:dyDescent="0.2">
      <c r="A50" s="1">
        <v>45577</v>
      </c>
      <c r="B50">
        <v>799.58</v>
      </c>
      <c r="C50">
        <v>112.67</v>
      </c>
      <c r="D50">
        <v>327.99</v>
      </c>
      <c r="E50">
        <v>190.18</v>
      </c>
      <c r="F50">
        <f t="shared" si="13"/>
        <v>-2.1671967021306211E-3</v>
      </c>
      <c r="G50">
        <f t="shared" si="14"/>
        <v>-8.8564760787629578E-4</v>
      </c>
      <c r="H50">
        <f t="shared" si="15"/>
        <v>-9.9225250866330772E-3</v>
      </c>
      <c r="I50">
        <f t="shared" si="16"/>
        <v>-7.403890994992968E-3</v>
      </c>
      <c r="J50" s="4">
        <f t="shared" si="5"/>
        <v>-1.8795960885704948E-3</v>
      </c>
      <c r="K50" s="4">
        <f t="shared" si="6"/>
        <v>-7.7927125639370444E-4</v>
      </c>
      <c r="L50" s="4">
        <f t="shared" si="7"/>
        <v>-9.6361206262137664E-3</v>
      </c>
      <c r="M50" s="4">
        <f t="shared" si="8"/>
        <v>-7.3908294914321413E-3</v>
      </c>
      <c r="N50">
        <f t="shared" si="9"/>
        <v>3.5328814561695033E-6</v>
      </c>
      <c r="O50">
        <f t="shared" si="12"/>
        <v>6.0726369104142266E-7</v>
      </c>
      <c r="P50">
        <f t="shared" si="10"/>
        <v>9.2854820722942382E-5</v>
      </c>
      <c r="Q50">
        <f t="shared" si="11"/>
        <v>5.4624360571423086E-5</v>
      </c>
    </row>
    <row r="51" spans="1:17" x14ac:dyDescent="0.2">
      <c r="A51" s="1">
        <v>45547</v>
      </c>
      <c r="B51">
        <v>803.58</v>
      </c>
      <c r="C51">
        <v>112.9</v>
      </c>
      <c r="D51">
        <v>335.57</v>
      </c>
      <c r="E51">
        <v>193.45</v>
      </c>
      <c r="F51">
        <f t="shared" si="13"/>
        <v>-1.2324071727540744E-2</v>
      </c>
      <c r="G51">
        <f t="shared" si="14"/>
        <v>-2.5696838592161562E-3</v>
      </c>
      <c r="H51">
        <f t="shared" si="15"/>
        <v>2.0366610994799923E-3</v>
      </c>
      <c r="I51">
        <f t="shared" si="16"/>
        <v>7.8646027786902109E-4</v>
      </c>
      <c r="J51" s="4">
        <f t="shared" si="5"/>
        <v>-1.2036471113980617E-2</v>
      </c>
      <c r="K51" s="4">
        <f t="shared" si="6"/>
        <v>-2.4633075077335649E-3</v>
      </c>
      <c r="L51" s="4">
        <f t="shared" si="7"/>
        <v>2.3230655598993023E-3</v>
      </c>
      <c r="M51" s="4">
        <f t="shared" si="8"/>
        <v>7.9952178142984746E-4</v>
      </c>
      <c r="N51">
        <f t="shared" si="9"/>
        <v>1.4487663687768977E-4</v>
      </c>
      <c r="O51">
        <f t="shared" si="12"/>
        <v>6.0678838776565469E-6</v>
      </c>
      <c r="P51">
        <f t="shared" si="10"/>
        <v>5.3966335955902593E-6</v>
      </c>
      <c r="Q51">
        <f t="shared" si="11"/>
        <v>6.3923507898075672E-7</v>
      </c>
    </row>
    <row r="52" spans="1:17" x14ac:dyDescent="0.2">
      <c r="A52" s="1">
        <v>45455</v>
      </c>
      <c r="B52">
        <v>826.71</v>
      </c>
      <c r="C52">
        <v>113.57</v>
      </c>
      <c r="D52">
        <v>334</v>
      </c>
      <c r="E52">
        <v>193.1</v>
      </c>
      <c r="F52">
        <f t="shared" si="13"/>
        <v>5.7298609108556199E-4</v>
      </c>
      <c r="G52">
        <f t="shared" si="14"/>
        <v>-4.6025946267554702E-3</v>
      </c>
      <c r="H52">
        <f t="shared" si="15"/>
        <v>1.732828617542262E-3</v>
      </c>
      <c r="I52">
        <f t="shared" si="16"/>
        <v>2.4746765936411048E-4</v>
      </c>
      <c r="J52" s="4">
        <f t="shared" si="5"/>
        <v>8.6058670464568836E-4</v>
      </c>
      <c r="K52" s="4">
        <f t="shared" si="6"/>
        <v>-4.4962182752728789E-3</v>
      </c>
      <c r="L52" s="4">
        <f t="shared" si="7"/>
        <v>2.0192330779615721E-3</v>
      </c>
      <c r="M52" s="4">
        <f t="shared" si="8"/>
        <v>2.605291629249369E-4</v>
      </c>
      <c r="N52">
        <f t="shared" si="9"/>
        <v>7.4060947621292525E-7</v>
      </c>
      <c r="O52">
        <f t="shared" si="12"/>
        <v>2.0215978778897821E-5</v>
      </c>
      <c r="P52">
        <f t="shared" si="10"/>
        <v>4.0773022231341641E-6</v>
      </c>
      <c r="Q52">
        <f t="shared" si="11"/>
        <v>6.7875444734368314E-8</v>
      </c>
    </row>
    <row r="53" spans="1:17" x14ac:dyDescent="0.2">
      <c r="A53" s="1">
        <v>45424</v>
      </c>
      <c r="B53">
        <v>825.62</v>
      </c>
      <c r="C53">
        <v>114.78</v>
      </c>
      <c r="D53">
        <v>332.67</v>
      </c>
      <c r="E53">
        <v>192.99</v>
      </c>
      <c r="F53">
        <f t="shared" si="13"/>
        <v>-2.2141600321312484E-3</v>
      </c>
      <c r="G53">
        <f t="shared" si="14"/>
        <v>1.8959887002340965E-3</v>
      </c>
      <c r="H53">
        <f t="shared" si="15"/>
        <v>-2.5252777507119802E-3</v>
      </c>
      <c r="I53">
        <f t="shared" si="16"/>
        <v>-8.1591446257349987E-3</v>
      </c>
      <c r="J53" s="4">
        <f t="shared" si="5"/>
        <v>-1.926559418571122E-3</v>
      </c>
      <c r="K53" s="4">
        <f t="shared" si="6"/>
        <v>2.0023650517166881E-3</v>
      </c>
      <c r="L53" s="4">
        <f t="shared" si="7"/>
        <v>-2.2388732902926698E-3</v>
      </c>
      <c r="M53" s="4">
        <f t="shared" si="8"/>
        <v>-8.146083122174172E-3</v>
      </c>
      <c r="N53">
        <f t="shared" si="9"/>
        <v>3.7116311932850996E-6</v>
      </c>
      <c r="O53">
        <f t="shared" si="12"/>
        <v>4.0094658003363753E-6</v>
      </c>
      <c r="P53">
        <f t="shared" si="10"/>
        <v>5.0125536099859259E-6</v>
      </c>
      <c r="Q53">
        <f t="shared" si="11"/>
        <v>6.6358670233370909E-5</v>
      </c>
    </row>
    <row r="54" spans="1:17" x14ac:dyDescent="0.2">
      <c r="A54" s="1">
        <v>45394</v>
      </c>
      <c r="B54">
        <v>829.84</v>
      </c>
      <c r="C54">
        <v>114.28</v>
      </c>
      <c r="D54">
        <v>334.61</v>
      </c>
      <c r="E54">
        <v>196.65</v>
      </c>
      <c r="F54">
        <f t="shared" si="13"/>
        <v>8.727573167494956E-3</v>
      </c>
      <c r="G54">
        <f t="shared" si="14"/>
        <v>-1.2695521743022442E-2</v>
      </c>
      <c r="H54">
        <f t="shared" si="15"/>
        <v>-1.9166747472119342E-3</v>
      </c>
      <c r="I54">
        <f t="shared" si="16"/>
        <v>-1.2790239746423488E-3</v>
      </c>
      <c r="J54" s="4">
        <f t="shared" si="5"/>
        <v>9.015173781055083E-3</v>
      </c>
      <c r="K54" s="4">
        <f t="shared" si="6"/>
        <v>-1.258914539153985E-2</v>
      </c>
      <c r="L54" s="4">
        <f t="shared" si="7"/>
        <v>-1.630270286792624E-3</v>
      </c>
      <c r="M54" s="4">
        <f t="shared" si="8"/>
        <v>-1.2659624710815223E-3</v>
      </c>
      <c r="N54">
        <f t="shared" si="9"/>
        <v>8.1273358302622997E-5</v>
      </c>
      <c r="O54">
        <f t="shared" si="12"/>
        <v>1.5848658168932906E-4</v>
      </c>
      <c r="P54">
        <f t="shared" si="10"/>
        <v>2.6577812079989046E-6</v>
      </c>
      <c r="Q54">
        <f t="shared" si="11"/>
        <v>1.6026609781868343E-6</v>
      </c>
    </row>
    <row r="55" spans="1:17" x14ac:dyDescent="0.2">
      <c r="A55" s="1">
        <v>45363</v>
      </c>
      <c r="B55">
        <v>813.33</v>
      </c>
      <c r="C55">
        <v>117.67</v>
      </c>
      <c r="D55">
        <v>336.09</v>
      </c>
      <c r="E55">
        <v>197.23</v>
      </c>
      <c r="F55">
        <f t="shared" si="13"/>
        <v>7.2853919224991808E-3</v>
      </c>
      <c r="G55">
        <f t="shared" si="14"/>
        <v>-6.6383340661472514E-4</v>
      </c>
      <c r="H55">
        <f t="shared" si="15"/>
        <v>-1.0191216766406781E-2</v>
      </c>
      <c r="I55">
        <f t="shared" si="16"/>
        <v>-9.9051429778713521E-3</v>
      </c>
      <c r="J55" s="4">
        <f t="shared" si="5"/>
        <v>7.5729925360593069E-3</v>
      </c>
      <c r="K55" s="4">
        <f t="shared" si="6"/>
        <v>-5.574570551321338E-4</v>
      </c>
      <c r="L55" s="4">
        <f t="shared" si="7"/>
        <v>-9.9048123059874704E-3</v>
      </c>
      <c r="M55" s="4">
        <f t="shared" si="8"/>
        <v>-9.8920814743105254E-3</v>
      </c>
      <c r="N55">
        <f t="shared" si="9"/>
        <v>5.7350215951209976E-5</v>
      </c>
      <c r="O55">
        <f t="shared" si="12"/>
        <v>3.1075836831659087E-7</v>
      </c>
      <c r="P55">
        <f t="shared" si="10"/>
        <v>9.8105306816840838E-5</v>
      </c>
      <c r="Q55">
        <f t="shared" si="11"/>
        <v>9.7853275894397497E-5</v>
      </c>
    </row>
    <row r="56" spans="1:17" x14ac:dyDescent="0.2">
      <c r="A56" s="1">
        <v>45334</v>
      </c>
      <c r="B56">
        <v>799.8</v>
      </c>
      <c r="C56">
        <v>117.85</v>
      </c>
      <c r="D56">
        <v>344.07</v>
      </c>
      <c r="E56">
        <v>201.78</v>
      </c>
      <c r="F56">
        <f t="shared" si="13"/>
        <v>2.4231143879653865E-3</v>
      </c>
      <c r="G56">
        <f t="shared" si="14"/>
        <v>-4.0517701941789801E-4</v>
      </c>
      <c r="H56">
        <f t="shared" si="15"/>
        <v>-4.9948306384542587E-3</v>
      </c>
      <c r="I56">
        <f t="shared" si="16"/>
        <v>1.6172450427019841E-3</v>
      </c>
      <c r="J56" s="4">
        <f t="shared" si="5"/>
        <v>2.710715001525513E-3</v>
      </c>
      <c r="K56" s="4">
        <f t="shared" si="6"/>
        <v>-2.9880066793530662E-4</v>
      </c>
      <c r="L56" s="4">
        <f t="shared" si="7"/>
        <v>-4.7084261780349487E-3</v>
      </c>
      <c r="M56" s="4">
        <f>I56-$I$130</f>
        <v>1.6303065462628106E-3</v>
      </c>
      <c r="N56">
        <f t="shared" si="9"/>
        <v>7.347975819495462E-6</v>
      </c>
      <c r="O56">
        <f t="shared" si="12"/>
        <v>8.9281839158585376E-8</v>
      </c>
      <c r="P56">
        <f t="shared" si="10"/>
        <v>2.2169277074004796E-5</v>
      </c>
      <c r="Q56">
        <f t="shared" si="11"/>
        <v>2.6578994347873737E-6</v>
      </c>
    </row>
    <row r="57" spans="1:17" x14ac:dyDescent="0.2">
      <c r="A57" t="s">
        <v>43</v>
      </c>
      <c r="B57">
        <v>795.35</v>
      </c>
      <c r="C57">
        <v>117.96</v>
      </c>
      <c r="D57">
        <v>348.05</v>
      </c>
      <c r="E57">
        <v>201.03</v>
      </c>
      <c r="F57">
        <f t="shared" si="13"/>
        <v>3.9273648677342525E-3</v>
      </c>
      <c r="G57">
        <f t="shared" si="14"/>
        <v>1.1059198283327207E-3</v>
      </c>
      <c r="H57">
        <f t="shared" si="15"/>
        <v>-4.1106803371718558E-3</v>
      </c>
      <c r="I57">
        <f t="shared" si="16"/>
        <v>3.9933410469753195E-3</v>
      </c>
      <c r="J57" s="4">
        <f t="shared" si="5"/>
        <v>4.2149654812943787E-3</v>
      </c>
      <c r="K57" s="4">
        <f t="shared" si="6"/>
        <v>1.212296179815312E-3</v>
      </c>
      <c r="L57" s="4">
        <f t="shared" si="7"/>
        <v>-3.8242758767525458E-3</v>
      </c>
      <c r="M57" s="4">
        <f t="shared" si="8"/>
        <v>4.0064025505361462E-3</v>
      </c>
      <c r="N57">
        <f t="shared" si="9"/>
        <v>1.7765934008503152E-5</v>
      </c>
      <c r="O57">
        <f t="shared" si="12"/>
        <v>1.4696620275947993E-6</v>
      </c>
      <c r="P57">
        <f t="shared" si="10"/>
        <v>1.4625085981511453E-5</v>
      </c>
      <c r="Q57">
        <f t="shared" si="11"/>
        <v>1.6051261396942539E-5</v>
      </c>
    </row>
    <row r="58" spans="1:17" x14ac:dyDescent="0.2">
      <c r="A58" t="s">
        <v>44</v>
      </c>
      <c r="B58">
        <v>788.19</v>
      </c>
      <c r="C58">
        <v>117.66</v>
      </c>
      <c r="D58">
        <v>351.36</v>
      </c>
      <c r="E58">
        <v>199.19</v>
      </c>
      <c r="F58">
        <f t="shared" si="13"/>
        <v>-6.2218667201832786E-4</v>
      </c>
      <c r="G58">
        <f t="shared" si="14"/>
        <v>-1.1427353653279545E-3</v>
      </c>
      <c r="H58">
        <f t="shared" si="15"/>
        <v>1.6346432646215587E-3</v>
      </c>
      <c r="I58">
        <f t="shared" si="16"/>
        <v>-3.8204789194517547E-3</v>
      </c>
      <c r="J58" s="4">
        <f t="shared" si="5"/>
        <v>-3.3458605845820149E-4</v>
      </c>
      <c r="K58" s="4">
        <f t="shared" si="6"/>
        <v>-1.0363590138453632E-3</v>
      </c>
      <c r="L58" s="4">
        <f t="shared" si="7"/>
        <v>1.9210477250408689E-3</v>
      </c>
      <c r="M58" s="4">
        <f t="shared" si="8"/>
        <v>-3.8074174158909285E-3</v>
      </c>
      <c r="N58">
        <f t="shared" si="9"/>
        <v>1.1194783051459502E-7</v>
      </c>
      <c r="O58">
        <f t="shared" si="12"/>
        <v>1.0740400055785336E-6</v>
      </c>
      <c r="P58">
        <f t="shared" si="10"/>
        <v>3.6904243618846976E-6</v>
      </c>
      <c r="Q58">
        <f t="shared" si="11"/>
        <v>1.4496427378829556E-5</v>
      </c>
    </row>
    <row r="59" spans="1:17" x14ac:dyDescent="0.2">
      <c r="A59" t="s">
        <v>45</v>
      </c>
      <c r="B59">
        <v>789.32</v>
      </c>
      <c r="C59">
        <v>117.97</v>
      </c>
      <c r="D59">
        <v>350.04</v>
      </c>
      <c r="E59">
        <v>200.95</v>
      </c>
      <c r="F59">
        <f t="shared" si="13"/>
        <v>1.9306155584633312E-2</v>
      </c>
      <c r="G59">
        <f t="shared" si="14"/>
        <v>-7.3010794364284908E-3</v>
      </c>
      <c r="H59">
        <f t="shared" si="15"/>
        <v>2.7506384095678962E-3</v>
      </c>
      <c r="I59">
        <f t="shared" si="16"/>
        <v>-4.2582448412006703E-3</v>
      </c>
      <c r="J59" s="4">
        <f t="shared" si="5"/>
        <v>1.9593756198193438E-2</v>
      </c>
      <c r="K59" s="4">
        <f t="shared" si="6"/>
        <v>-7.1947030849458995E-3</v>
      </c>
      <c r="L59" s="4">
        <f t="shared" si="7"/>
        <v>3.0370428699872066E-3</v>
      </c>
      <c r="M59" s="4">
        <f t="shared" si="8"/>
        <v>-4.2451833376398436E-3</v>
      </c>
      <c r="N59">
        <f t="shared" si="9"/>
        <v>3.8391528195424378E-4</v>
      </c>
      <c r="O59">
        <f t="shared" si="12"/>
        <v>5.176375248053004E-5</v>
      </c>
      <c r="P59">
        <f t="shared" si="10"/>
        <v>9.2236293941401295E-6</v>
      </c>
      <c r="Q59">
        <f t="shared" si="11"/>
        <v>1.8021581570174962E-5</v>
      </c>
    </row>
    <row r="60" spans="1:17" x14ac:dyDescent="0.2">
      <c r="A60" t="s">
        <v>46</v>
      </c>
      <c r="B60">
        <v>755</v>
      </c>
      <c r="C60">
        <v>119.97</v>
      </c>
      <c r="D60">
        <v>347.83</v>
      </c>
      <c r="E60">
        <v>202.93</v>
      </c>
      <c r="F60">
        <f t="shared" si="13"/>
        <v>4.0395477275759258E-3</v>
      </c>
      <c r="G60">
        <f t="shared" si="14"/>
        <v>-6.5389716184623527E-3</v>
      </c>
      <c r="H60">
        <f t="shared" si="15"/>
        <v>1.299032791438212E-2</v>
      </c>
      <c r="I60">
        <f t="shared" si="16"/>
        <v>1.0681065107723195E-2</v>
      </c>
      <c r="J60" s="4">
        <f t="shared" si="5"/>
        <v>4.327148341136052E-3</v>
      </c>
      <c r="K60" s="4">
        <f t="shared" si="6"/>
        <v>-6.4325952669797614E-3</v>
      </c>
      <c r="L60" s="4">
        <f t="shared" si="7"/>
        <v>1.3276732374801431E-2</v>
      </c>
      <c r="M60" s="4">
        <f t="shared" si="8"/>
        <v>1.0694126611284022E-2</v>
      </c>
      <c r="N60">
        <f t="shared" si="9"/>
        <v>1.8724212766196486E-5</v>
      </c>
      <c r="O60">
        <f t="shared" si="12"/>
        <v>4.1378281868770426E-5</v>
      </c>
      <c r="P60">
        <f t="shared" si="10"/>
        <v>1.7627162255210043E-4</v>
      </c>
      <c r="Q60">
        <f t="shared" si="11"/>
        <v>1.1436434397817307E-4</v>
      </c>
    </row>
    <row r="61" spans="1:17" x14ac:dyDescent="0.2">
      <c r="A61" t="s">
        <v>47</v>
      </c>
      <c r="B61">
        <v>748.01</v>
      </c>
      <c r="C61">
        <v>121.79</v>
      </c>
      <c r="D61">
        <v>337.58</v>
      </c>
      <c r="E61">
        <v>198</v>
      </c>
      <c r="F61">
        <f t="shared" si="13"/>
        <v>-1.1075322745226128E-3</v>
      </c>
      <c r="G61">
        <f t="shared" si="14"/>
        <v>-4.9894332967319224E-4</v>
      </c>
      <c r="H61">
        <f t="shared" si="15"/>
        <v>2.2313562106959116E-3</v>
      </c>
      <c r="I61">
        <f t="shared" si="16"/>
        <v>-4.3845988772538976E-4</v>
      </c>
      <c r="J61" s="4">
        <f t="shared" si="5"/>
        <v>-8.1993166096248644E-4</v>
      </c>
      <c r="K61" s="4">
        <f t="shared" si="6"/>
        <v>-3.9256697819060085E-4</v>
      </c>
      <c r="L61" s="4">
        <f t="shared" si="7"/>
        <v>2.5177606711152215E-3</v>
      </c>
      <c r="M61" s="4">
        <f t="shared" si="8"/>
        <v>-4.2539838416456334E-4</v>
      </c>
      <c r="N61">
        <f t="shared" si="9"/>
        <v>6.7228792864870182E-7</v>
      </c>
      <c r="O61">
        <f t="shared" si="12"/>
        <v>1.5410883236569969E-7</v>
      </c>
      <c r="P61">
        <f t="shared" si="10"/>
        <v>6.339118797014571E-6</v>
      </c>
      <c r="Q61">
        <f t="shared" si="11"/>
        <v>1.8096378524982143E-7</v>
      </c>
    </row>
    <row r="62" spans="1:17" x14ac:dyDescent="0.2">
      <c r="A62" t="s">
        <v>48</v>
      </c>
      <c r="B62">
        <v>749.92</v>
      </c>
      <c r="C62">
        <v>121.93</v>
      </c>
      <c r="D62">
        <v>335.85</v>
      </c>
      <c r="E62">
        <v>198.2</v>
      </c>
      <c r="F62">
        <f t="shared" si="13"/>
        <v>-2.0164441137273739E-3</v>
      </c>
      <c r="G62">
        <f t="shared" si="14"/>
        <v>5.7727505537526124E-3</v>
      </c>
      <c r="H62">
        <f t="shared" si="15"/>
        <v>3.8837437893186138E-3</v>
      </c>
      <c r="I62">
        <f t="shared" si="16"/>
        <v>2.1912484270307682E-5</v>
      </c>
      <c r="J62" s="4">
        <f t="shared" si="5"/>
        <v>-1.7288435001672476E-3</v>
      </c>
      <c r="K62" s="4">
        <f t="shared" si="6"/>
        <v>5.8791269052352038E-3</v>
      </c>
      <c r="L62" s="4">
        <f t="shared" si="7"/>
        <v>4.1701482497379242E-3</v>
      </c>
      <c r="M62" s="4">
        <f t="shared" si="8"/>
        <v>3.4973987831134083E-5</v>
      </c>
      <c r="N62">
        <f t="shared" si="9"/>
        <v>2.9888998480705398E-6</v>
      </c>
      <c r="O62">
        <f t="shared" si="12"/>
        <v>3.4564133167860463E-5</v>
      </c>
      <c r="P62">
        <f t="shared" si="10"/>
        <v>1.7390136424792271E-5</v>
      </c>
      <c r="Q62">
        <f t="shared" si="11"/>
        <v>1.2231798248123148E-9</v>
      </c>
    </row>
    <row r="63" spans="1:17" x14ac:dyDescent="0.2">
      <c r="A63" t="s">
        <v>49</v>
      </c>
      <c r="B63">
        <v>753.41</v>
      </c>
      <c r="C63">
        <v>120.32</v>
      </c>
      <c r="D63">
        <v>332.86</v>
      </c>
      <c r="E63">
        <v>198.19</v>
      </c>
      <c r="F63">
        <f t="shared" si="13"/>
        <v>1.3869179348091619E-2</v>
      </c>
      <c r="G63">
        <f t="shared" si="14"/>
        <v>6.1432928457486559E-3</v>
      </c>
      <c r="H63">
        <f t="shared" si="15"/>
        <v>-2.0695914432591611E-3</v>
      </c>
      <c r="I63">
        <f t="shared" si="16"/>
        <v>-6.2655402595958691E-3</v>
      </c>
      <c r="J63" s="4">
        <f t="shared" si="5"/>
        <v>1.4156779961651746E-2</v>
      </c>
      <c r="K63" s="4">
        <f t="shared" si="6"/>
        <v>6.2496691972312472E-3</v>
      </c>
      <c r="L63" s="4">
        <f t="shared" si="7"/>
        <v>-1.7831869828398509E-3</v>
      </c>
      <c r="M63" s="4">
        <f t="shared" si="8"/>
        <v>-6.2524787560350424E-3</v>
      </c>
      <c r="N63">
        <f t="shared" si="9"/>
        <v>2.0041441888262441E-4</v>
      </c>
      <c r="O63">
        <f t="shared" si="12"/>
        <v>3.9058365074821059E-5</v>
      </c>
      <c r="P63">
        <f t="shared" si="10"/>
        <v>3.1797558157694908E-6</v>
      </c>
      <c r="Q63">
        <f t="shared" si="11"/>
        <v>3.909349059466951E-5</v>
      </c>
    </row>
    <row r="64" spans="1:17" x14ac:dyDescent="0.2">
      <c r="A64" t="s">
        <v>50</v>
      </c>
      <c r="B64">
        <v>729.73</v>
      </c>
      <c r="C64">
        <v>118.63</v>
      </c>
      <c r="D64">
        <v>334.45</v>
      </c>
      <c r="E64">
        <v>201.07</v>
      </c>
      <c r="F64">
        <f t="shared" si="13"/>
        <v>1.5083307278595938E-3</v>
      </c>
      <c r="G64">
        <f t="shared" si="14"/>
        <v>-6.1071963920934016E-3</v>
      </c>
      <c r="H64">
        <f t="shared" si="15"/>
        <v>-3.6722650950398012E-3</v>
      </c>
      <c r="I64">
        <f t="shared" si="16"/>
        <v>-1.3000550808515829E-2</v>
      </c>
      <c r="J64" s="4">
        <f t="shared" si="5"/>
        <v>1.7959313414197201E-3</v>
      </c>
      <c r="K64" s="4">
        <f t="shared" si="6"/>
        <v>-6.0008200406108103E-3</v>
      </c>
      <c r="L64" s="4">
        <f t="shared" si="7"/>
        <v>-3.3858606346204908E-3</v>
      </c>
      <c r="M64" s="4">
        <f t="shared" si="8"/>
        <v>-1.2987489304955002E-2</v>
      </c>
      <c r="N64">
        <f t="shared" si="9"/>
        <v>3.2253693830936353E-6</v>
      </c>
      <c r="O64">
        <f t="shared" si="12"/>
        <v>3.6009841159796324E-5</v>
      </c>
      <c r="P64">
        <f t="shared" si="10"/>
        <v>1.1464052237072673E-5</v>
      </c>
      <c r="Q64">
        <f t="shared" si="11"/>
        <v>1.6867487844632055E-4</v>
      </c>
    </row>
    <row r="65" spans="1:17" x14ac:dyDescent="0.2">
      <c r="A65" t="s">
        <v>51</v>
      </c>
      <c r="B65">
        <v>727.2</v>
      </c>
      <c r="C65">
        <v>120.31</v>
      </c>
      <c r="D65">
        <v>337.29</v>
      </c>
      <c r="E65">
        <v>207.18</v>
      </c>
      <c r="F65">
        <f t="shared" si="13"/>
        <v>-1.1201374490899257E-2</v>
      </c>
      <c r="G65">
        <f t="shared" si="14"/>
        <v>3.624881088268988E-3</v>
      </c>
      <c r="H65">
        <f t="shared" si="15"/>
        <v>2.9456945259504607E-3</v>
      </c>
      <c r="I65">
        <f t="shared" si="16"/>
        <v>1.2892568391215345E-2</v>
      </c>
      <c r="J65" s="4">
        <f t="shared" si="5"/>
        <v>-1.091377387733913E-2</v>
      </c>
      <c r="K65" s="4">
        <f t="shared" si="6"/>
        <v>3.7312574397515793E-3</v>
      </c>
      <c r="L65" s="4">
        <f t="shared" si="7"/>
        <v>3.2320989863697707E-3</v>
      </c>
      <c r="M65" s="4">
        <f t="shared" si="8"/>
        <v>1.2905629894776172E-2</v>
      </c>
      <c r="N65">
        <f t="shared" si="9"/>
        <v>1.1911046024568999E-4</v>
      </c>
      <c r="O65">
        <f t="shared" si="12"/>
        <v>1.3922282081701511E-5</v>
      </c>
      <c r="P65">
        <f t="shared" si="10"/>
        <v>1.0446463857692499E-5</v>
      </c>
      <c r="Q65">
        <f t="shared" si="11"/>
        <v>1.6655528298094042E-4</v>
      </c>
    </row>
    <row r="66" spans="1:17" x14ac:dyDescent="0.2">
      <c r="A66" t="s">
        <v>52</v>
      </c>
      <c r="B66">
        <v>746.2</v>
      </c>
      <c r="C66">
        <v>119.31</v>
      </c>
      <c r="D66">
        <v>335.01</v>
      </c>
      <c r="E66">
        <v>201.12</v>
      </c>
      <c r="F66">
        <f t="shared" si="13"/>
        <v>-2.2694366371583632E-2</v>
      </c>
      <c r="G66">
        <f t="shared" si="14"/>
        <v>-4.5263936009326232E-3</v>
      </c>
      <c r="H66">
        <f t="shared" si="15"/>
        <v>4.1944784107063289E-3</v>
      </c>
      <c r="I66">
        <f t="shared" si="16"/>
        <v>-1.0411960027270855E-2</v>
      </c>
      <c r="J66" s="4">
        <f t="shared" si="5"/>
        <v>-2.2406765758023507E-2</v>
      </c>
      <c r="K66" s="4">
        <f t="shared" si="6"/>
        <v>-4.4200172494500319E-3</v>
      </c>
      <c r="L66" s="4">
        <f t="shared" si="7"/>
        <v>4.4808828711256389E-3</v>
      </c>
      <c r="M66" s="4">
        <f t="shared" si="8"/>
        <v>-1.0398898523710029E-2</v>
      </c>
      <c r="N66">
        <f t="shared" si="9"/>
        <v>5.020631517349348E-4</v>
      </c>
      <c r="O66">
        <f t="shared" si="12"/>
        <v>1.9536552485435826E-5</v>
      </c>
      <c r="P66">
        <f t="shared" si="10"/>
        <v>2.0078311304747147E-5</v>
      </c>
      <c r="Q66">
        <f t="shared" si="11"/>
        <v>1.0813709050641861E-4</v>
      </c>
    </row>
    <row r="67" spans="1:17" x14ac:dyDescent="0.2">
      <c r="A67" t="s">
        <v>53</v>
      </c>
      <c r="B67">
        <v>786.23</v>
      </c>
      <c r="C67">
        <v>120.56</v>
      </c>
      <c r="D67">
        <v>331.79</v>
      </c>
      <c r="E67">
        <v>206</v>
      </c>
      <c r="F67">
        <f t="shared" ref="F67:F98" si="17">LOG(B67/B68)</f>
        <v>-1.3904785643811235E-2</v>
      </c>
      <c r="G67">
        <f t="shared" ref="G67:G98" si="18">LOG(C67/C68)</f>
        <v>-3.2657921815004531E-3</v>
      </c>
      <c r="H67">
        <f t="shared" ref="H67:H98" si="19">LOG(D67/D68)</f>
        <v>-4.1037235369280672E-3</v>
      </c>
      <c r="I67">
        <f t="shared" ref="I67:I98" si="20">LOG(E67/E68)</f>
        <v>5.9070472010096546E-4</v>
      </c>
      <c r="J67" s="4">
        <f t="shared" si="5"/>
        <v>-1.3617185030251108E-2</v>
      </c>
      <c r="K67" s="4">
        <f t="shared" si="6"/>
        <v>-3.1594158300178618E-3</v>
      </c>
      <c r="L67" s="4">
        <f t="shared" si="7"/>
        <v>-3.8173190765087572E-3</v>
      </c>
      <c r="M67" s="4">
        <f t="shared" si="8"/>
        <v>6.0376622366179182E-4</v>
      </c>
      <c r="N67">
        <f t="shared" si="9"/>
        <v>1.8542772814809485E-4</v>
      </c>
      <c r="O67">
        <f t="shared" si="12"/>
        <v>9.9819083869674546E-6</v>
      </c>
      <c r="P67">
        <f t="shared" si="10"/>
        <v>1.4571924931877672E-5</v>
      </c>
      <c r="Q67">
        <f t="shared" si="11"/>
        <v>3.6453365283482081E-7</v>
      </c>
    </row>
    <row r="68" spans="1:17" x14ac:dyDescent="0.2">
      <c r="A68" t="s">
        <v>54</v>
      </c>
      <c r="B68">
        <v>811.81</v>
      </c>
      <c r="C68">
        <v>121.47</v>
      </c>
      <c r="D68">
        <v>334.94</v>
      </c>
      <c r="E68">
        <v>205.72</v>
      </c>
      <c r="F68">
        <f t="shared" si="17"/>
        <v>-3.7552603213550821E-3</v>
      </c>
      <c r="G68">
        <f t="shared" si="18"/>
        <v>4.0229368770270807E-3</v>
      </c>
      <c r="H68">
        <f t="shared" si="19"/>
        <v>6.1373403728647146E-3</v>
      </c>
      <c r="I68">
        <f t="shared" si="20"/>
        <v>-1.4654288905183912E-2</v>
      </c>
      <c r="J68" s="4">
        <f t="shared" ref="J68:J127" si="21">F68-$F$130</f>
        <v>-3.467659707794956E-3</v>
      </c>
      <c r="K68" s="4">
        <f t="shared" ref="K68:K127" si="22">G68-$G$130</f>
        <v>4.129313228509672E-3</v>
      </c>
      <c r="L68" s="4">
        <f t="shared" ref="L68:L127" si="23">H68-$H$130</f>
        <v>6.4237448332840246E-3</v>
      </c>
      <c r="M68" s="4">
        <f t="shared" ref="M68:M127" si="24">I68-$I$130</f>
        <v>-1.4641227401623085E-2</v>
      </c>
      <c r="N68">
        <f t="shared" ref="N68:N127" si="25">J68^2</f>
        <v>1.2024663849064599E-5</v>
      </c>
      <c r="O68">
        <f t="shared" ref="O68:O127" si="26">K68^2</f>
        <v>1.7051227739144972E-5</v>
      </c>
      <c r="P68">
        <f t="shared" ref="P68:P127" si="27">L68^2</f>
        <v>4.1264497683143201E-5</v>
      </c>
      <c r="Q68">
        <f t="shared" ref="Q68:Q127" si="28">M68^2</f>
        <v>2.1436553982603869E-4</v>
      </c>
    </row>
    <row r="69" spans="1:17" x14ac:dyDescent="0.2">
      <c r="A69" s="1">
        <v>45637</v>
      </c>
      <c r="B69">
        <v>818.86</v>
      </c>
      <c r="C69">
        <v>120.35</v>
      </c>
      <c r="D69">
        <v>330.24</v>
      </c>
      <c r="E69">
        <v>212.78</v>
      </c>
      <c r="F69">
        <f t="shared" si="17"/>
        <v>-7.1432835055967245E-3</v>
      </c>
      <c r="G69">
        <f t="shared" si="18"/>
        <v>-4.3281573076831876E-4</v>
      </c>
      <c r="H69">
        <f t="shared" si="19"/>
        <v>-8.6713353700216458E-3</v>
      </c>
      <c r="I69">
        <f t="shared" si="20"/>
        <v>-6.2614869706372946E-3</v>
      </c>
      <c r="J69" s="4">
        <f t="shared" si="21"/>
        <v>-6.8556828920365983E-3</v>
      </c>
      <c r="K69" s="4">
        <f t="shared" si="22"/>
        <v>-3.2643937928572737E-4</v>
      </c>
      <c r="L69" s="4">
        <f t="shared" si="23"/>
        <v>-8.3849309096023349E-3</v>
      </c>
      <c r="M69" s="4">
        <f t="shared" si="24"/>
        <v>-6.2484254670764679E-3</v>
      </c>
      <c r="N69">
        <f t="shared" si="25"/>
        <v>4.70003879161633E-5</v>
      </c>
      <c r="O69">
        <f t="shared" si="26"/>
        <v>1.0656266834845097E-7</v>
      </c>
      <c r="P69">
        <f t="shared" si="27"/>
        <v>7.0307066358804644E-5</v>
      </c>
      <c r="Q69">
        <f t="shared" si="28"/>
        <v>3.9042820817609774E-5</v>
      </c>
    </row>
    <row r="70" spans="1:17" x14ac:dyDescent="0.2">
      <c r="A70" s="1">
        <v>45607</v>
      </c>
      <c r="B70">
        <v>832.44</v>
      </c>
      <c r="C70">
        <v>120.47</v>
      </c>
      <c r="D70">
        <v>336.9</v>
      </c>
      <c r="E70">
        <v>215.87</v>
      </c>
      <c r="F70">
        <f t="shared" si="17"/>
        <v>4.697953963723964E-4</v>
      </c>
      <c r="G70">
        <f t="shared" si="18"/>
        <v>-2.3010937881597425E-3</v>
      </c>
      <c r="H70">
        <f t="shared" si="19"/>
        <v>-3.2364181429327022E-3</v>
      </c>
      <c r="I70">
        <f t="shared" si="20"/>
        <v>-8.8024914026034445E-3</v>
      </c>
      <c r="J70" s="4">
        <f t="shared" si="21"/>
        <v>7.5739600993252271E-4</v>
      </c>
      <c r="K70" s="4">
        <f t="shared" si="22"/>
        <v>-2.1947174366771511E-3</v>
      </c>
      <c r="L70" s="4">
        <f t="shared" si="23"/>
        <v>-2.9500136825133918E-3</v>
      </c>
      <c r="M70" s="4">
        <f t="shared" si="24"/>
        <v>-8.7894298990426178E-3</v>
      </c>
      <c r="N70">
        <f t="shared" si="25"/>
        <v>5.73648715861706E-7</v>
      </c>
      <c r="O70">
        <f t="shared" si="26"/>
        <v>4.816784626854725E-6</v>
      </c>
      <c r="P70">
        <f t="shared" si="27"/>
        <v>8.7025807270162228E-6</v>
      </c>
      <c r="Q70">
        <f t="shared" si="28"/>
        <v>7.7254077950184328E-5</v>
      </c>
    </row>
    <row r="71" spans="1:17" x14ac:dyDescent="0.2">
      <c r="A71" s="1">
        <v>45515</v>
      </c>
      <c r="B71">
        <v>831.54</v>
      </c>
      <c r="C71">
        <v>121.11</v>
      </c>
      <c r="D71">
        <v>339.42</v>
      </c>
      <c r="E71">
        <v>220.29</v>
      </c>
      <c r="F71">
        <f t="shared" si="17"/>
        <v>1.8179682769322639E-2</v>
      </c>
      <c r="G71">
        <f t="shared" si="18"/>
        <v>-1.4341434354820057E-4</v>
      </c>
      <c r="H71">
        <f t="shared" si="19"/>
        <v>8.1236843110385638E-3</v>
      </c>
      <c r="I71">
        <f t="shared" si="20"/>
        <v>5.4556587307660062E-3</v>
      </c>
      <c r="J71" s="4">
        <f t="shared" si="21"/>
        <v>1.8467283382882765E-2</v>
      </c>
      <c r="K71" s="4">
        <f t="shared" si="22"/>
        <v>-3.7037992065609192E-5</v>
      </c>
      <c r="L71" s="4">
        <f t="shared" si="23"/>
        <v>8.4100887714578746E-3</v>
      </c>
      <c r="M71" s="4">
        <f t="shared" si="24"/>
        <v>5.4687202343268329E-3</v>
      </c>
      <c r="N71">
        <f t="shared" si="25"/>
        <v>3.4104055554369788E-4</v>
      </c>
      <c r="O71">
        <f t="shared" si="26"/>
        <v>1.3718128562521294E-9</v>
      </c>
      <c r="P71">
        <f t="shared" si="27"/>
        <v>7.0729593143801822E-5</v>
      </c>
      <c r="Q71">
        <f t="shared" si="28"/>
        <v>2.990690100133573E-5</v>
      </c>
    </row>
    <row r="72" spans="1:17" x14ac:dyDescent="0.2">
      <c r="A72" s="1">
        <v>45484</v>
      </c>
      <c r="B72">
        <v>797.45</v>
      </c>
      <c r="C72">
        <v>121.15</v>
      </c>
      <c r="D72">
        <v>333.13</v>
      </c>
      <c r="E72">
        <v>217.54</v>
      </c>
      <c r="F72">
        <f t="shared" si="17"/>
        <v>1.1629123199286584E-2</v>
      </c>
      <c r="G72">
        <f t="shared" si="18"/>
        <v>5.3804815707491282E-4</v>
      </c>
      <c r="H72">
        <f t="shared" si="19"/>
        <v>1.0316331152840788E-2</v>
      </c>
      <c r="I72">
        <f t="shared" si="20"/>
        <v>5.1612677393853574E-3</v>
      </c>
      <c r="J72" s="4">
        <f t="shared" si="21"/>
        <v>1.1916723812846711E-2</v>
      </c>
      <c r="K72" s="4">
        <f t="shared" si="22"/>
        <v>6.4442450855750415E-4</v>
      </c>
      <c r="L72" s="4">
        <f t="shared" si="23"/>
        <v>1.0602735613260099E-2</v>
      </c>
      <c r="M72" s="4">
        <f t="shared" si="24"/>
        <v>5.1743292429461841E-3</v>
      </c>
      <c r="N72">
        <f t="shared" si="25"/>
        <v>1.4200830643166785E-4</v>
      </c>
      <c r="O72">
        <f t="shared" si="26"/>
        <v>4.1528294722958076E-7</v>
      </c>
      <c r="P72">
        <f t="shared" si="27"/>
        <v>1.1241800248469402E-4</v>
      </c>
      <c r="Q72">
        <f t="shared" si="28"/>
        <v>2.677368311440803E-5</v>
      </c>
    </row>
    <row r="73" spans="1:17" x14ac:dyDescent="0.2">
      <c r="A73" s="1">
        <v>45454</v>
      </c>
      <c r="B73">
        <v>776.38</v>
      </c>
      <c r="C73">
        <v>121</v>
      </c>
      <c r="D73">
        <v>325.31</v>
      </c>
      <c r="E73">
        <v>214.97</v>
      </c>
      <c r="F73">
        <f t="shared" si="17"/>
        <v>-1.6293031033676856E-2</v>
      </c>
      <c r="G73">
        <f t="shared" si="18"/>
        <v>7.3844148025522648E-3</v>
      </c>
      <c r="H73">
        <f t="shared" si="19"/>
        <v>-1.9947229966408728E-2</v>
      </c>
      <c r="I73">
        <f t="shared" si="20"/>
        <v>2.6038623944827973E-2</v>
      </c>
      <c r="J73" s="4">
        <f t="shared" si="21"/>
        <v>-1.6005430420116731E-2</v>
      </c>
      <c r="K73" s="4">
        <f t="shared" si="22"/>
        <v>7.4907911540348562E-3</v>
      </c>
      <c r="L73" s="4">
        <f t="shared" si="23"/>
        <v>-1.9660825505989417E-2</v>
      </c>
      <c r="M73" s="4">
        <f t="shared" si="24"/>
        <v>2.60516854483888E-2</v>
      </c>
      <c r="N73">
        <f t="shared" si="25"/>
        <v>2.5617380293319801E-4</v>
      </c>
      <c r="O73">
        <f t="shared" si="26"/>
        <v>5.6111952113366852E-5</v>
      </c>
      <c r="P73">
        <f t="shared" si="27"/>
        <v>3.8654805957696403E-4</v>
      </c>
      <c r="Q73">
        <f t="shared" si="28"/>
        <v>6.7869031470179275E-4</v>
      </c>
    </row>
    <row r="74" spans="1:17" x14ac:dyDescent="0.2">
      <c r="A74" s="1">
        <v>45423</v>
      </c>
      <c r="B74">
        <v>806.06</v>
      </c>
      <c r="C74">
        <v>118.96</v>
      </c>
      <c r="D74">
        <v>340.6</v>
      </c>
      <c r="E74">
        <v>202.46</v>
      </c>
      <c r="F74">
        <f t="shared" si="17"/>
        <v>-4.3100804590977113E-5</v>
      </c>
      <c r="G74">
        <f t="shared" si="18"/>
        <v>1.2796496075998603E-3</v>
      </c>
      <c r="H74">
        <f t="shared" si="19"/>
        <v>1.0374632128423928E-2</v>
      </c>
      <c r="I74">
        <f t="shared" si="20"/>
        <v>-2.5665069190686919E-3</v>
      </c>
      <c r="J74" s="4">
        <f t="shared" si="21"/>
        <v>2.4449980896914928E-4</v>
      </c>
      <c r="K74" s="4">
        <f t="shared" si="22"/>
        <v>1.3860259590824516E-3</v>
      </c>
      <c r="L74" s="4">
        <f t="shared" si="23"/>
        <v>1.0661036588843239E-2</v>
      </c>
      <c r="M74" s="4">
        <f t="shared" si="24"/>
        <v>-2.5534454155078656E-3</v>
      </c>
      <c r="N74">
        <f t="shared" si="25"/>
        <v>5.9780156585950493E-8</v>
      </c>
      <c r="O74">
        <f t="shared" si="26"/>
        <v>1.92106795925043E-6</v>
      </c>
      <c r="P74">
        <f t="shared" si="27"/>
        <v>1.1365770114865427E-4</v>
      </c>
      <c r="Q74">
        <f t="shared" si="28"/>
        <v>6.5200834899781369E-6</v>
      </c>
    </row>
    <row r="75" spans="1:17" x14ac:dyDescent="0.2">
      <c r="A75" s="1">
        <v>45393</v>
      </c>
      <c r="B75">
        <v>806.14</v>
      </c>
      <c r="C75">
        <v>118.61</v>
      </c>
      <c r="D75">
        <v>332.56</v>
      </c>
      <c r="E75">
        <v>203.66</v>
      </c>
      <c r="F75">
        <f t="shared" si="17"/>
        <v>-6.8363099671073088E-3</v>
      </c>
      <c r="G75">
        <f t="shared" si="18"/>
        <v>1.3612330300999998E-2</v>
      </c>
      <c r="H75">
        <f t="shared" si="19"/>
        <v>1.1780981705379568E-2</v>
      </c>
      <c r="I75">
        <f t="shared" si="20"/>
        <v>-2.6786077727369651E-3</v>
      </c>
      <c r="J75" s="4">
        <f t="shared" si="21"/>
        <v>-6.5487093535471826E-3</v>
      </c>
      <c r="K75" s="4">
        <f t="shared" si="22"/>
        <v>1.3718706652482589E-2</v>
      </c>
      <c r="L75" s="4">
        <f t="shared" si="23"/>
        <v>1.2067386165798879E-2</v>
      </c>
      <c r="M75" s="4">
        <f t="shared" si="24"/>
        <v>-2.6655462691761388E-3</v>
      </c>
      <c r="N75">
        <f t="shared" si="25"/>
        <v>4.2885594197236357E-5</v>
      </c>
      <c r="O75">
        <f t="shared" si="26"/>
        <v>1.8820291221687005E-4</v>
      </c>
      <c r="P75">
        <f t="shared" si="27"/>
        <v>1.4562180887451418E-4</v>
      </c>
      <c r="Q75">
        <f t="shared" si="28"/>
        <v>7.1051369131188323E-6</v>
      </c>
    </row>
    <row r="76" spans="1:17" x14ac:dyDescent="0.2">
      <c r="A76" s="1">
        <v>45302</v>
      </c>
      <c r="B76">
        <v>818.93</v>
      </c>
      <c r="C76">
        <v>114.95</v>
      </c>
      <c r="D76">
        <v>323.66000000000003</v>
      </c>
      <c r="E76">
        <v>204.92</v>
      </c>
      <c r="F76">
        <f t="shared" si="17"/>
        <v>-5.6952460213953761E-3</v>
      </c>
      <c r="G76">
        <f t="shared" si="18"/>
        <v>-6.8594953099706526E-3</v>
      </c>
      <c r="H76">
        <f t="shared" si="19"/>
        <v>-7.1860635770247356E-3</v>
      </c>
      <c r="I76">
        <f t="shared" si="20"/>
        <v>3.7461430477434333E-3</v>
      </c>
      <c r="J76" s="4">
        <f t="shared" si="21"/>
        <v>-5.4076454078352499E-3</v>
      </c>
      <c r="K76" s="4">
        <f t="shared" si="22"/>
        <v>-6.7531189584880613E-3</v>
      </c>
      <c r="L76" s="4">
        <f t="shared" si="23"/>
        <v>-6.8996591166054257E-3</v>
      </c>
      <c r="M76" s="4">
        <f t="shared" si="24"/>
        <v>3.7592045513042596E-3</v>
      </c>
      <c r="N76">
        <f t="shared" si="25"/>
        <v>2.9242628856881667E-5</v>
      </c>
      <c r="O76">
        <f t="shared" si="26"/>
        <v>4.5604615667490878E-5</v>
      </c>
      <c r="P76">
        <f t="shared" si="27"/>
        <v>4.7605295925356365E-5</v>
      </c>
      <c r="Q76">
        <f t="shared" si="28"/>
        <v>1.4131618858546659E-5</v>
      </c>
    </row>
    <row r="77" spans="1:17" x14ac:dyDescent="0.2">
      <c r="A77" t="s">
        <v>55</v>
      </c>
      <c r="B77">
        <v>829.74</v>
      </c>
      <c r="C77">
        <v>116.78</v>
      </c>
      <c r="D77">
        <v>329.06</v>
      </c>
      <c r="E77">
        <v>203.16</v>
      </c>
      <c r="F77">
        <f t="shared" si="17"/>
        <v>-8.8542080300593826E-3</v>
      </c>
      <c r="G77">
        <f t="shared" si="18"/>
        <v>3.3483107300637065E-4</v>
      </c>
      <c r="H77">
        <f t="shared" si="19"/>
        <v>-8.8443960870833085E-3</v>
      </c>
      <c r="I77">
        <f t="shared" si="20"/>
        <v>-1.0078949410196172E-2</v>
      </c>
      <c r="J77" s="4">
        <f t="shared" si="21"/>
        <v>-8.5666074164992556E-3</v>
      </c>
      <c r="K77" s="4">
        <f t="shared" si="22"/>
        <v>4.4120742448896204E-4</v>
      </c>
      <c r="L77" s="4">
        <f t="shared" si="23"/>
        <v>-8.5579916266639976E-3</v>
      </c>
      <c r="M77" s="4">
        <f t="shared" si="24"/>
        <v>-1.0065887906635346E-2</v>
      </c>
      <c r="N77">
        <f t="shared" si="25"/>
        <v>7.3386762628420055E-5</v>
      </c>
      <c r="O77">
        <f t="shared" si="26"/>
        <v>1.9466399142418314E-7</v>
      </c>
      <c r="P77">
        <f t="shared" si="27"/>
        <v>7.3239220682051092E-5</v>
      </c>
      <c r="Q77">
        <f t="shared" si="28"/>
        <v>1.0132209934894771E-4</v>
      </c>
    </row>
    <row r="78" spans="1:17" x14ac:dyDescent="0.2">
      <c r="A78" t="s">
        <v>56</v>
      </c>
      <c r="B78">
        <v>846.83</v>
      </c>
      <c r="C78">
        <v>116.69</v>
      </c>
      <c r="D78">
        <v>335.83</v>
      </c>
      <c r="E78">
        <v>207.93</v>
      </c>
      <c r="F78">
        <f t="shared" si="17"/>
        <v>-2.8170374564604635E-2</v>
      </c>
      <c r="G78">
        <f t="shared" si="18"/>
        <v>-2.1903174547905852E-3</v>
      </c>
      <c r="H78">
        <f t="shared" si="19"/>
        <v>5.9504919331049783E-3</v>
      </c>
      <c r="I78">
        <f t="shared" si="20"/>
        <v>-7.085098598281432E-3</v>
      </c>
      <c r="J78" s="4">
        <f t="shared" si="21"/>
        <v>-2.788277395104451E-2</v>
      </c>
      <c r="K78" s="4">
        <f t="shared" si="22"/>
        <v>-2.0839411033079938E-3</v>
      </c>
      <c r="L78" s="4">
        <f t="shared" si="23"/>
        <v>6.2368963935242883E-3</v>
      </c>
      <c r="M78" s="4">
        <f t="shared" si="24"/>
        <v>-7.0720370947206053E-3</v>
      </c>
      <c r="N78">
        <f t="shared" si="25"/>
        <v>7.774490832050463E-4</v>
      </c>
      <c r="O78">
        <f t="shared" si="26"/>
        <v>4.3428105220565386E-6</v>
      </c>
      <c r="P78">
        <f t="shared" si="27"/>
        <v>3.8898876623556276E-5</v>
      </c>
      <c r="Q78">
        <f t="shared" si="28"/>
        <v>5.0013708669104258E-5</v>
      </c>
    </row>
    <row r="79" spans="1:17" x14ac:dyDescent="0.2">
      <c r="A79" t="s">
        <v>57</v>
      </c>
      <c r="B79">
        <v>903.58</v>
      </c>
      <c r="C79">
        <v>117.28</v>
      </c>
      <c r="D79">
        <v>331.26</v>
      </c>
      <c r="E79">
        <v>211.35</v>
      </c>
      <c r="F79">
        <f t="shared" si="17"/>
        <v>3.8573739251403405E-3</v>
      </c>
      <c r="G79">
        <f t="shared" si="18"/>
        <v>-5.9578973216388616E-3</v>
      </c>
      <c r="H79">
        <f t="shared" si="19"/>
        <v>-6.9580163153944129E-3</v>
      </c>
      <c r="I79">
        <f t="shared" si="20"/>
        <v>1.1493578118964305E-2</v>
      </c>
      <c r="J79" s="4">
        <f t="shared" si="21"/>
        <v>4.1449745387004671E-3</v>
      </c>
      <c r="K79" s="4">
        <f t="shared" si="22"/>
        <v>-5.8515209701562702E-3</v>
      </c>
      <c r="L79" s="4">
        <f t="shared" si="23"/>
        <v>-6.6716118549751029E-3</v>
      </c>
      <c r="M79" s="4">
        <f t="shared" si="24"/>
        <v>1.1506639622525131E-2</v>
      </c>
      <c r="N79">
        <f t="shared" si="25"/>
        <v>1.718081392647515E-5</v>
      </c>
      <c r="O79">
        <f t="shared" si="26"/>
        <v>3.4240297664178575E-5</v>
      </c>
      <c r="P79">
        <f t="shared" si="27"/>
        <v>4.4510404743444332E-5</v>
      </c>
      <c r="Q79">
        <f t="shared" si="28"/>
        <v>1.324027554026653E-4</v>
      </c>
    </row>
    <row r="80" spans="1:17" x14ac:dyDescent="0.2">
      <c r="A80" t="s">
        <v>58</v>
      </c>
      <c r="B80">
        <v>895.59</v>
      </c>
      <c r="C80">
        <v>118.9</v>
      </c>
      <c r="D80">
        <v>336.61</v>
      </c>
      <c r="E80">
        <v>205.83</v>
      </c>
      <c r="F80">
        <f t="shared" si="17"/>
        <v>1.4037009046084389E-3</v>
      </c>
      <c r="G80">
        <f t="shared" si="18"/>
        <v>-2.1497065102988361E-3</v>
      </c>
      <c r="H80">
        <f t="shared" si="19"/>
        <v>3.4849399333052608E-4</v>
      </c>
      <c r="I80">
        <f t="shared" si="20"/>
        <v>-2.3147837050824069E-3</v>
      </c>
      <c r="J80" s="4">
        <f t="shared" si="21"/>
        <v>1.6913015181685652E-3</v>
      </c>
      <c r="K80" s="4">
        <f t="shared" si="22"/>
        <v>-2.0433301588162448E-3</v>
      </c>
      <c r="L80" s="4">
        <f t="shared" si="23"/>
        <v>6.3489845374983627E-4</v>
      </c>
      <c r="M80" s="4">
        <f t="shared" si="24"/>
        <v>-2.3017222015215806E-3</v>
      </c>
      <c r="N80">
        <f t="shared" si="25"/>
        <v>2.8605008253592935E-6</v>
      </c>
      <c r="O80">
        <f t="shared" si="26"/>
        <v>4.1751981379280201E-6</v>
      </c>
      <c r="P80">
        <f t="shared" si="27"/>
        <v>4.0309604657393296E-7</v>
      </c>
      <c r="Q80">
        <f t="shared" si="28"/>
        <v>5.297925092977352E-6</v>
      </c>
    </row>
    <row r="81" spans="1:17" x14ac:dyDescent="0.2">
      <c r="A81" t="s">
        <v>59</v>
      </c>
      <c r="B81">
        <v>892.7</v>
      </c>
      <c r="C81">
        <v>119.49</v>
      </c>
      <c r="D81">
        <v>336.34</v>
      </c>
      <c r="E81">
        <v>206.93</v>
      </c>
      <c r="F81">
        <f t="shared" si="17"/>
        <v>6.7188316786039579E-4</v>
      </c>
      <c r="G81">
        <f t="shared" si="18"/>
        <v>-3.633047575956653E-4</v>
      </c>
      <c r="H81">
        <f t="shared" si="19"/>
        <v>-2.6646680928053973E-3</v>
      </c>
      <c r="I81">
        <f t="shared" si="20"/>
        <v>6.7212004617317575E-4</v>
      </c>
      <c r="J81" s="4">
        <f t="shared" si="21"/>
        <v>9.5948378142052216E-4</v>
      </c>
      <c r="K81" s="4">
        <f t="shared" si="22"/>
        <v>-2.5692840611307391E-4</v>
      </c>
      <c r="L81" s="4">
        <f t="shared" si="23"/>
        <v>-2.3782636323860873E-3</v>
      </c>
      <c r="M81" s="4">
        <f t="shared" si="24"/>
        <v>6.8518154973400212E-4</v>
      </c>
      <c r="N81">
        <f t="shared" si="25"/>
        <v>9.2060912680902434E-7</v>
      </c>
      <c r="O81">
        <f t="shared" si="26"/>
        <v>6.6012205867804629E-8</v>
      </c>
      <c r="P81">
        <f t="shared" si="27"/>
        <v>5.6561379051302666E-6</v>
      </c>
      <c r="Q81">
        <f t="shared" si="28"/>
        <v>4.6947375609588884E-7</v>
      </c>
    </row>
    <row r="82" spans="1:17" x14ac:dyDescent="0.2">
      <c r="A82" t="s">
        <v>60</v>
      </c>
      <c r="B82">
        <v>891.32</v>
      </c>
      <c r="C82">
        <v>119.59</v>
      </c>
      <c r="D82">
        <v>338.41</v>
      </c>
      <c r="E82">
        <v>206.61</v>
      </c>
      <c r="F82">
        <f t="shared" si="17"/>
        <v>-5.7743186340590332E-3</v>
      </c>
      <c r="G82">
        <f t="shared" si="18"/>
        <v>-2.4624450835979334E-3</v>
      </c>
      <c r="H82">
        <f t="shared" si="19"/>
        <v>-1.7418422458448113E-3</v>
      </c>
      <c r="I82">
        <f t="shared" si="20"/>
        <v>1.0359321212755219E-2</v>
      </c>
      <c r="J82" s="4">
        <f t="shared" si="21"/>
        <v>-5.4867180204989071E-3</v>
      </c>
      <c r="K82" s="4">
        <f t="shared" si="22"/>
        <v>-2.3560687321153421E-3</v>
      </c>
      <c r="L82" s="4">
        <f t="shared" si="23"/>
        <v>-1.4554377854255011E-3</v>
      </c>
      <c r="M82" s="4">
        <f t="shared" si="24"/>
        <v>1.0372382716316046E-2</v>
      </c>
      <c r="N82">
        <f t="shared" si="25"/>
        <v>3.0104074636467446E-5</v>
      </c>
      <c r="O82">
        <f t="shared" si="26"/>
        <v>5.551059870451596E-6</v>
      </c>
      <c r="P82">
        <f t="shared" si="27"/>
        <v>2.1182991472442869E-6</v>
      </c>
      <c r="Q82">
        <f t="shared" si="28"/>
        <v>1.0758632321373183E-4</v>
      </c>
    </row>
    <row r="83" spans="1:17" x14ac:dyDescent="0.2">
      <c r="A83" t="s">
        <v>61</v>
      </c>
      <c r="B83">
        <v>903.25</v>
      </c>
      <c r="C83">
        <v>120.27</v>
      </c>
      <c r="D83">
        <v>339.77</v>
      </c>
      <c r="E83">
        <v>201.74</v>
      </c>
      <c r="F83">
        <f t="shared" si="17"/>
        <v>-2.8275728256314898E-3</v>
      </c>
      <c r="G83">
        <f t="shared" si="18"/>
        <v>-1.5499591271651799E-3</v>
      </c>
      <c r="H83">
        <f t="shared" si="19"/>
        <v>6.243947648239977E-3</v>
      </c>
      <c r="I83">
        <f t="shared" si="20"/>
        <v>1.7057450695738805E-2</v>
      </c>
      <c r="J83" s="4">
        <f t="shared" si="21"/>
        <v>-2.5399722120713637E-3</v>
      </c>
      <c r="K83" s="4">
        <f t="shared" si="22"/>
        <v>-1.4435827756825886E-3</v>
      </c>
      <c r="L83" s="4">
        <f t="shared" si="23"/>
        <v>6.530352108659287E-3</v>
      </c>
      <c r="M83" s="4">
        <f t="shared" si="24"/>
        <v>1.7070512199299632E-2</v>
      </c>
      <c r="N83">
        <f t="shared" si="25"/>
        <v>6.4514588380946965E-6</v>
      </c>
      <c r="O83">
        <f t="shared" si="26"/>
        <v>2.0839312302474468E-6</v>
      </c>
      <c r="P83">
        <f t="shared" si="27"/>
        <v>4.2645498663070793E-5</v>
      </c>
      <c r="Q83">
        <f t="shared" si="28"/>
        <v>2.9140238674643757E-4</v>
      </c>
    </row>
    <row r="84" spans="1:17" x14ac:dyDescent="0.2">
      <c r="A84" t="s">
        <v>62</v>
      </c>
      <c r="B84">
        <v>909.15</v>
      </c>
      <c r="C84">
        <v>120.7</v>
      </c>
      <c r="D84">
        <v>334.92</v>
      </c>
      <c r="E84">
        <v>193.97</v>
      </c>
      <c r="F84">
        <f t="shared" si="17"/>
        <v>1.4450338739822311E-3</v>
      </c>
      <c r="G84">
        <f t="shared" si="18"/>
        <v>2.2365908621352969E-3</v>
      </c>
      <c r="H84">
        <f t="shared" si="19"/>
        <v>3.9992605581942713E-3</v>
      </c>
      <c r="I84">
        <f t="shared" si="20"/>
        <v>-4.0115750277181696E-3</v>
      </c>
      <c r="J84" s="4">
        <f t="shared" si="21"/>
        <v>1.7326344875423574E-3</v>
      </c>
      <c r="K84" s="4">
        <f t="shared" si="22"/>
        <v>2.3429672136178882E-3</v>
      </c>
      <c r="L84" s="4">
        <f t="shared" si="23"/>
        <v>4.2856650186135813E-3</v>
      </c>
      <c r="M84" s="4">
        <f t="shared" si="24"/>
        <v>-3.9985135241573429E-3</v>
      </c>
      <c r="N84">
        <f t="shared" si="25"/>
        <v>3.0020222674211674E-6</v>
      </c>
      <c r="O84">
        <f t="shared" si="26"/>
        <v>5.4894953640883712E-6</v>
      </c>
      <c r="P84">
        <f t="shared" si="27"/>
        <v>1.8366924651768147E-5</v>
      </c>
      <c r="Q84">
        <f t="shared" si="28"/>
        <v>1.5988110402869176E-5</v>
      </c>
    </row>
    <row r="85" spans="1:17" x14ac:dyDescent="0.2">
      <c r="A85" t="s">
        <v>63</v>
      </c>
      <c r="B85">
        <v>906.13</v>
      </c>
      <c r="C85">
        <v>120.08</v>
      </c>
      <c r="D85">
        <v>331.85</v>
      </c>
      <c r="E85">
        <v>195.77</v>
      </c>
      <c r="F85">
        <f t="shared" si="17"/>
        <v>-5.6379791474950054E-3</v>
      </c>
      <c r="G85">
        <f t="shared" si="18"/>
        <v>2.5324348864704411E-4</v>
      </c>
      <c r="H85">
        <f t="shared" si="19"/>
        <v>-1.7657043884117919E-2</v>
      </c>
      <c r="I85">
        <f t="shared" si="20"/>
        <v>-5.9487288688667194E-3</v>
      </c>
      <c r="J85" s="4">
        <f t="shared" si="21"/>
        <v>-5.3503785339348792E-3</v>
      </c>
      <c r="K85" s="4">
        <f t="shared" si="22"/>
        <v>3.596198401296355E-4</v>
      </c>
      <c r="L85" s="4">
        <f t="shared" si="23"/>
        <v>-1.7370639423698608E-2</v>
      </c>
      <c r="M85" s="4">
        <f t="shared" si="24"/>
        <v>-5.9356673653058927E-3</v>
      </c>
      <c r="N85">
        <f t="shared" si="25"/>
        <v>2.8626550456391148E-5</v>
      </c>
      <c r="O85">
        <f t="shared" si="26"/>
        <v>1.2932642941486459E-7</v>
      </c>
      <c r="P85">
        <f t="shared" si="27"/>
        <v>3.0173911398815228E-4</v>
      </c>
      <c r="Q85">
        <f t="shared" si="28"/>
        <v>3.5232147071557397E-5</v>
      </c>
    </row>
    <row r="86" spans="1:17" x14ac:dyDescent="0.2">
      <c r="A86" t="s">
        <v>64</v>
      </c>
      <c r="B86">
        <v>917.97</v>
      </c>
      <c r="C86">
        <v>120.01</v>
      </c>
      <c r="D86">
        <v>345.62</v>
      </c>
      <c r="E86">
        <v>198.47</v>
      </c>
      <c r="F86">
        <f t="shared" si="17"/>
        <v>4.0232395797247154E-4</v>
      </c>
      <c r="G86">
        <f t="shared" si="18"/>
        <v>-1.2286588644818306E-3</v>
      </c>
      <c r="H86">
        <f t="shared" si="19"/>
        <v>2.765326307396419E-4</v>
      </c>
      <c r="I86">
        <f t="shared" si="20"/>
        <v>3.7215548777078789E-4</v>
      </c>
      <c r="J86" s="4">
        <f t="shared" si="21"/>
        <v>6.899245715325979E-4</v>
      </c>
      <c r="K86" s="4">
        <f t="shared" si="22"/>
        <v>-1.1222825129992393E-3</v>
      </c>
      <c r="L86" s="4">
        <f t="shared" si="23"/>
        <v>5.6293709115895203E-4</v>
      </c>
      <c r="M86" s="4">
        <f t="shared" si="24"/>
        <v>3.8521699133161431E-4</v>
      </c>
      <c r="N86">
        <f t="shared" si="25"/>
        <v>4.7599591440443878E-7</v>
      </c>
      <c r="O86">
        <f t="shared" si="26"/>
        <v>1.2595180389838876E-6</v>
      </c>
      <c r="P86">
        <f t="shared" si="27"/>
        <v>3.1689816860250227E-7</v>
      </c>
      <c r="Q86">
        <f t="shared" si="28"/>
        <v>1.4839213041058103E-7</v>
      </c>
    </row>
    <row r="87" spans="1:17" x14ac:dyDescent="0.2">
      <c r="A87" t="s">
        <v>65</v>
      </c>
      <c r="B87">
        <v>917.12</v>
      </c>
      <c r="C87">
        <v>120.35</v>
      </c>
      <c r="D87">
        <v>345.4</v>
      </c>
      <c r="E87">
        <v>198.3</v>
      </c>
      <c r="F87">
        <f t="shared" si="17"/>
        <v>3.316056940150226E-4</v>
      </c>
      <c r="G87">
        <f t="shared" si="18"/>
        <v>-1.1172263693367786E-3</v>
      </c>
      <c r="H87">
        <f t="shared" si="19"/>
        <v>-2.8074080199466684E-3</v>
      </c>
      <c r="I87">
        <f t="shared" si="20"/>
        <v>-5.2030187554386155E-3</v>
      </c>
      <c r="J87" s="4">
        <f t="shared" si="21"/>
        <v>6.1920630757514891E-4</v>
      </c>
      <c r="K87" s="4">
        <f t="shared" si="22"/>
        <v>-1.0108500178541873E-3</v>
      </c>
      <c r="L87" s="4">
        <f t="shared" si="23"/>
        <v>-2.5210035595273584E-3</v>
      </c>
      <c r="M87" s="4">
        <f t="shared" si="24"/>
        <v>-5.1899572518777888E-3</v>
      </c>
      <c r="N87">
        <f t="shared" si="25"/>
        <v>3.8341645134084994E-7</v>
      </c>
      <c r="O87">
        <f t="shared" si="26"/>
        <v>1.0218177585958108E-6</v>
      </c>
      <c r="P87">
        <f t="shared" si="27"/>
        <v>6.3554589471496112E-6</v>
      </c>
      <c r="Q87">
        <f t="shared" si="28"/>
        <v>2.6935656276318851E-5</v>
      </c>
    </row>
    <row r="88" spans="1:17" x14ac:dyDescent="0.2">
      <c r="A88" t="s">
        <v>66</v>
      </c>
      <c r="B88">
        <v>916.42</v>
      </c>
      <c r="C88">
        <v>120.66</v>
      </c>
      <c r="D88">
        <v>347.64</v>
      </c>
      <c r="E88">
        <v>200.69</v>
      </c>
      <c r="F88">
        <f t="shared" si="17"/>
        <v>1.4715906981986077E-3</v>
      </c>
      <c r="G88">
        <f t="shared" si="18"/>
        <v>1.1172263693367583E-3</v>
      </c>
      <c r="H88">
        <f t="shared" si="19"/>
        <v>3.3232346064065925E-3</v>
      </c>
      <c r="I88">
        <f t="shared" si="20"/>
        <v>1.8433119306810041E-3</v>
      </c>
      <c r="J88" s="4">
        <f t="shared" si="21"/>
        <v>1.7591913117587341E-3</v>
      </c>
      <c r="K88" s="4">
        <f t="shared" si="22"/>
        <v>1.2236027208193496E-3</v>
      </c>
      <c r="L88" s="4">
        <f t="shared" si="23"/>
        <v>3.6096390668259029E-3</v>
      </c>
      <c r="M88" s="4">
        <f t="shared" si="24"/>
        <v>1.8563734342418306E-3</v>
      </c>
      <c r="N88">
        <f t="shared" si="25"/>
        <v>3.0947540713674153E-6</v>
      </c>
      <c r="O88">
        <f t="shared" si="26"/>
        <v>1.4972036183965152E-6</v>
      </c>
      <c r="P88">
        <f t="shared" si="27"/>
        <v>1.3029494192755774E-5</v>
      </c>
      <c r="Q88">
        <f t="shared" si="28"/>
        <v>3.4461223273588079E-6</v>
      </c>
    </row>
    <row r="89" spans="1:17" x14ac:dyDescent="0.2">
      <c r="A89" t="s">
        <v>67</v>
      </c>
      <c r="B89">
        <v>913.32</v>
      </c>
      <c r="C89">
        <v>120.35</v>
      </c>
      <c r="D89">
        <v>344.99</v>
      </c>
      <c r="E89">
        <v>199.84</v>
      </c>
      <c r="F89">
        <f t="shared" si="17"/>
        <v>-7.6310984389181763E-3</v>
      </c>
      <c r="G89">
        <f t="shared" si="18"/>
        <v>-1.3255690194499748E-2</v>
      </c>
      <c r="H89">
        <f t="shared" si="19"/>
        <v>1.6017035245405788E-3</v>
      </c>
      <c r="I89">
        <f t="shared" si="20"/>
        <v>1.3634153488186478</v>
      </c>
      <c r="J89" s="4">
        <f t="shared" si="21"/>
        <v>-7.3434978253580502E-3</v>
      </c>
      <c r="K89" s="4">
        <f t="shared" si="22"/>
        <v>-1.3149313843017157E-2</v>
      </c>
      <c r="L89" s="4">
        <f t="shared" si="23"/>
        <v>1.888107984959889E-3</v>
      </c>
      <c r="M89" s="4">
        <f t="shared" si="24"/>
        <v>1.3634284103222085</v>
      </c>
      <c r="N89">
        <f t="shared" si="25"/>
        <v>5.3926960311038411E-5</v>
      </c>
      <c r="O89">
        <f t="shared" si="26"/>
        <v>1.7290445454216263E-4</v>
      </c>
      <c r="P89">
        <f t="shared" si="27"/>
        <v>3.5649517628692924E-6</v>
      </c>
      <c r="Q89">
        <f t="shared" si="28"/>
        <v>1.8589370300737447</v>
      </c>
    </row>
    <row r="90" spans="1:17" x14ac:dyDescent="0.2">
      <c r="A90" t="s">
        <v>68</v>
      </c>
      <c r="B90">
        <v>929.51</v>
      </c>
      <c r="C90">
        <v>124.08</v>
      </c>
      <c r="D90">
        <v>343.72</v>
      </c>
      <c r="E90">
        <v>8.6549999999999994</v>
      </c>
      <c r="F90">
        <f t="shared" si="17"/>
        <v>-1.1898038983456213E-3</v>
      </c>
      <c r="G90">
        <f t="shared" si="18"/>
        <v>1.6481783800731608E-3</v>
      </c>
      <c r="H90">
        <f t="shared" si="19"/>
        <v>1.1259844305862346E-3</v>
      </c>
      <c r="I90">
        <f t="shared" si="20"/>
        <v>-1.3747197624082879</v>
      </c>
      <c r="J90" s="4">
        <f t="shared" si="21"/>
        <v>-9.0220328478549496E-4</v>
      </c>
      <c r="K90" s="4">
        <f t="shared" si="22"/>
        <v>1.7545547315557521E-3</v>
      </c>
      <c r="L90" s="4">
        <f t="shared" si="23"/>
        <v>1.4123888910055448E-3</v>
      </c>
      <c r="M90" s="4">
        <f t="shared" si="24"/>
        <v>-1.3747067009047271</v>
      </c>
      <c r="N90">
        <f t="shared" si="25"/>
        <v>8.1397076707773688E-7</v>
      </c>
      <c r="O90">
        <f t="shared" si="26"/>
        <v>3.0784623060246776E-6</v>
      </c>
      <c r="P90">
        <f t="shared" si="27"/>
        <v>1.9948423794358726E-6</v>
      </c>
      <c r="Q90">
        <f t="shared" si="28"/>
        <v>1.8898185135123589</v>
      </c>
    </row>
    <row r="91" spans="1:17" x14ac:dyDescent="0.2">
      <c r="A91" s="1">
        <v>45606</v>
      </c>
      <c r="B91">
        <v>932.06</v>
      </c>
      <c r="C91">
        <v>123.61</v>
      </c>
      <c r="D91">
        <v>342.83</v>
      </c>
      <c r="E91">
        <v>205.11</v>
      </c>
      <c r="F91">
        <f t="shared" si="17"/>
        <v>1.0073302575148492E-2</v>
      </c>
      <c r="G91">
        <f t="shared" si="18"/>
        <v>1.6544571700123918E-3</v>
      </c>
      <c r="H91">
        <f t="shared" si="19"/>
        <v>9.6383104604631624E-4</v>
      </c>
      <c r="I91">
        <f t="shared" si="20"/>
        <v>5.6261517586490839E-3</v>
      </c>
      <c r="J91" s="4">
        <f t="shared" si="21"/>
        <v>1.0360903188708619E-2</v>
      </c>
      <c r="K91" s="4">
        <f t="shared" si="22"/>
        <v>1.7608335214949831E-3</v>
      </c>
      <c r="L91" s="4">
        <f t="shared" si="23"/>
        <v>1.2502355064656265E-3</v>
      </c>
      <c r="M91" s="4">
        <f t="shared" si="24"/>
        <v>5.6392132622099106E-3</v>
      </c>
      <c r="N91">
        <f t="shared" si="25"/>
        <v>1.0734831488579244E-4</v>
      </c>
      <c r="O91">
        <f t="shared" si="26"/>
        <v>3.1005346904204232E-6</v>
      </c>
      <c r="P91">
        <f t="shared" si="27"/>
        <v>1.5630888216273616E-6</v>
      </c>
      <c r="Q91">
        <f t="shared" si="28"/>
        <v>3.180072621668414E-5</v>
      </c>
    </row>
    <row r="92" spans="1:17" x14ac:dyDescent="0.2">
      <c r="A92" s="1">
        <v>45575</v>
      </c>
      <c r="B92">
        <v>910.69</v>
      </c>
      <c r="C92">
        <v>123.14</v>
      </c>
      <c r="D92">
        <v>342.07</v>
      </c>
      <c r="E92">
        <v>202.47</v>
      </c>
      <c r="F92">
        <f t="shared" si="17"/>
        <v>-4.2945068510488529E-3</v>
      </c>
      <c r="G92">
        <f t="shared" si="18"/>
        <v>3.7190555208384949E-3</v>
      </c>
      <c r="H92">
        <f t="shared" si="19"/>
        <v>-7.4143345276856424E-3</v>
      </c>
      <c r="I92">
        <f t="shared" si="20"/>
        <v>-5.3296182538274351E-3</v>
      </c>
      <c r="J92" s="4">
        <f t="shared" si="21"/>
        <v>-4.0069062374887268E-3</v>
      </c>
      <c r="K92" s="4">
        <f t="shared" si="22"/>
        <v>3.8254318723210863E-3</v>
      </c>
      <c r="L92" s="4">
        <f t="shared" si="23"/>
        <v>-7.1279300672663325E-3</v>
      </c>
      <c r="M92" s="4">
        <f t="shared" si="24"/>
        <v>-5.3165567502666084E-3</v>
      </c>
      <c r="N92">
        <f t="shared" si="25"/>
        <v>1.6055297596026064E-5</v>
      </c>
      <c r="O92">
        <f t="shared" si="26"/>
        <v>1.4633929009770012E-5</v>
      </c>
      <c r="P92">
        <f t="shared" si="27"/>
        <v>5.0807387043839425E-5</v>
      </c>
      <c r="Q92">
        <f t="shared" si="28"/>
        <v>2.8265775678805439E-5</v>
      </c>
    </row>
    <row r="93" spans="1:17" x14ac:dyDescent="0.2">
      <c r="A93" s="1">
        <v>45545</v>
      </c>
      <c r="B93">
        <v>919.74</v>
      </c>
      <c r="C93">
        <v>122.09</v>
      </c>
      <c r="D93">
        <v>347.96</v>
      </c>
      <c r="E93">
        <v>204.97</v>
      </c>
      <c r="F93">
        <f t="shared" si="17"/>
        <v>2.8519435126991024E-3</v>
      </c>
      <c r="G93">
        <f t="shared" si="18"/>
        <v>1.7789476425498154E-4</v>
      </c>
      <c r="H93">
        <f t="shared" si="19"/>
        <v>2.4963039633444711E-5</v>
      </c>
      <c r="I93">
        <f t="shared" si="20"/>
        <v>5.8876719299743689E-3</v>
      </c>
      <c r="J93" s="4">
        <f t="shared" si="21"/>
        <v>3.139544126259229E-3</v>
      </c>
      <c r="K93" s="4">
        <f t="shared" si="22"/>
        <v>2.842711157375729E-4</v>
      </c>
      <c r="L93" s="4">
        <f t="shared" si="23"/>
        <v>3.113675000527549E-4</v>
      </c>
      <c r="M93" s="4">
        <f t="shared" si="24"/>
        <v>5.9007334335351956E-3</v>
      </c>
      <c r="N93">
        <f t="shared" si="25"/>
        <v>9.8567373207288251E-6</v>
      </c>
      <c r="O93">
        <f t="shared" si="26"/>
        <v>8.0810067242684573E-8</v>
      </c>
      <c r="P93">
        <f t="shared" si="27"/>
        <v>9.6949720089102329E-8</v>
      </c>
      <c r="Q93">
        <f t="shared" si="28"/>
        <v>3.4818655053640058E-5</v>
      </c>
    </row>
    <row r="94" spans="1:17" x14ac:dyDescent="0.2">
      <c r="A94" s="1">
        <v>45514</v>
      </c>
      <c r="B94">
        <v>913.72</v>
      </c>
      <c r="C94">
        <v>122.04</v>
      </c>
      <c r="D94">
        <v>347.94</v>
      </c>
      <c r="E94">
        <v>202.21</v>
      </c>
      <c r="F94">
        <f t="shared" si="17"/>
        <v>7.3433878360816707E-3</v>
      </c>
      <c r="G94">
        <f t="shared" si="18"/>
        <v>-1.169142689291891E-2</v>
      </c>
      <c r="H94">
        <f t="shared" si="19"/>
        <v>1.5379911351461779E-3</v>
      </c>
      <c r="I94">
        <f t="shared" si="20"/>
        <v>2.0235825893726769E-3</v>
      </c>
      <c r="J94" s="4">
        <f t="shared" si="21"/>
        <v>7.6309884496417969E-3</v>
      </c>
      <c r="K94" s="4">
        <f t="shared" si="22"/>
        <v>-1.1585050541436319E-2</v>
      </c>
      <c r="L94" s="4">
        <f t="shared" si="23"/>
        <v>1.8243955955654881E-3</v>
      </c>
      <c r="M94" s="4">
        <f t="shared" si="24"/>
        <v>2.0366440929335031E-3</v>
      </c>
      <c r="N94">
        <f t="shared" si="25"/>
        <v>5.8231984718566513E-5</v>
      </c>
      <c r="O94">
        <f t="shared" si="26"/>
        <v>1.3421339604763395E-4</v>
      </c>
      <c r="P94">
        <f t="shared" si="27"/>
        <v>3.3284192891187521E-6</v>
      </c>
      <c r="Q94">
        <f t="shared" si="28"/>
        <v>4.1479191612809321E-6</v>
      </c>
    </row>
    <row r="95" spans="1:17" x14ac:dyDescent="0.2">
      <c r="A95" s="1">
        <v>45483</v>
      </c>
      <c r="B95">
        <v>898.4</v>
      </c>
      <c r="C95">
        <v>125.37</v>
      </c>
      <c r="D95">
        <v>346.71</v>
      </c>
      <c r="E95">
        <v>201.27</v>
      </c>
      <c r="F95">
        <f t="shared" si="17"/>
        <v>5.4677910082592063E-3</v>
      </c>
      <c r="G95">
        <f t="shared" si="18"/>
        <v>1.874655350678666E-3</v>
      </c>
      <c r="H95">
        <f t="shared" si="19"/>
        <v>1.6440347652728999E-3</v>
      </c>
      <c r="I95">
        <f t="shared" si="20"/>
        <v>-3.0961270491057422E-3</v>
      </c>
      <c r="J95" s="4">
        <f t="shared" si="21"/>
        <v>5.7553916218193325E-3</v>
      </c>
      <c r="K95" s="4">
        <f t="shared" si="22"/>
        <v>1.9810317021612574E-3</v>
      </c>
      <c r="L95" s="4">
        <f t="shared" si="23"/>
        <v>1.9304392256922101E-3</v>
      </c>
      <c r="M95" s="4">
        <f t="shared" si="24"/>
        <v>-3.083065545544916E-3</v>
      </c>
      <c r="N95">
        <f t="shared" si="25"/>
        <v>3.3124532720508165E-5</v>
      </c>
      <c r="O95">
        <f t="shared" si="26"/>
        <v>3.9244866049679287E-6</v>
      </c>
      <c r="P95">
        <f t="shared" si="27"/>
        <v>3.7265956040911397E-6</v>
      </c>
      <c r="Q95">
        <f t="shared" si="28"/>
        <v>9.50529315812617E-6</v>
      </c>
    </row>
    <row r="96" spans="1:17" x14ac:dyDescent="0.2">
      <c r="A96" s="1">
        <v>45392</v>
      </c>
      <c r="B96">
        <v>887.16</v>
      </c>
      <c r="C96">
        <v>124.83</v>
      </c>
      <c r="D96">
        <v>345.4</v>
      </c>
      <c r="E96">
        <v>202.71</v>
      </c>
      <c r="F96">
        <f t="shared" si="17"/>
        <v>7.888648545039444E-4</v>
      </c>
      <c r="G96">
        <f t="shared" si="18"/>
        <v>7.8993534965185238E-3</v>
      </c>
      <c r="H96">
        <f t="shared" si="19"/>
        <v>-9.4523721563826036E-3</v>
      </c>
      <c r="I96">
        <f t="shared" si="20"/>
        <v>2.2338753499677416E-3</v>
      </c>
      <c r="J96" s="4">
        <f t="shared" si="21"/>
        <v>1.0764654680640708E-3</v>
      </c>
      <c r="K96" s="4">
        <f t="shared" si="22"/>
        <v>8.0057298480011151E-3</v>
      </c>
      <c r="L96" s="4">
        <f t="shared" si="23"/>
        <v>-9.1659676959632928E-3</v>
      </c>
      <c r="M96" s="4">
        <f t="shared" si="24"/>
        <v>2.2469368535285679E-3</v>
      </c>
      <c r="N96">
        <f t="shared" si="25"/>
        <v>1.1587779039343989E-6</v>
      </c>
      <c r="O96">
        <f t="shared" si="26"/>
        <v>6.4091710399175961E-5</v>
      </c>
      <c r="P96">
        <f t="shared" si="27"/>
        <v>8.4014963803442639E-5</v>
      </c>
      <c r="Q96">
        <f t="shared" si="28"/>
        <v>5.0487252237448606E-6</v>
      </c>
    </row>
    <row r="97" spans="1:17" x14ac:dyDescent="0.2">
      <c r="A97" s="1">
        <v>45361</v>
      </c>
      <c r="B97">
        <v>885.55</v>
      </c>
      <c r="C97">
        <v>122.58</v>
      </c>
      <c r="D97">
        <v>353</v>
      </c>
      <c r="E97">
        <v>201.67</v>
      </c>
      <c r="F97">
        <f t="shared" si="17"/>
        <v>-2.6987349622947139E-3</v>
      </c>
      <c r="G97">
        <f t="shared" si="18"/>
        <v>3.7718561613613441E-3</v>
      </c>
      <c r="H97">
        <f t="shared" si="19"/>
        <v>-2.8205021015053717E-3</v>
      </c>
      <c r="I97">
        <f t="shared" si="20"/>
        <v>-3.7737008020022615E-3</v>
      </c>
      <c r="J97" s="4">
        <f t="shared" si="21"/>
        <v>-2.4111343487345878E-3</v>
      </c>
      <c r="K97" s="4">
        <f t="shared" si="22"/>
        <v>3.8782325128439354E-3</v>
      </c>
      <c r="L97" s="4">
        <f t="shared" si="23"/>
        <v>-2.5340976410860618E-3</v>
      </c>
      <c r="M97" s="4">
        <f t="shared" si="24"/>
        <v>-3.7606392984414353E-3</v>
      </c>
      <c r="N97">
        <f t="shared" si="25"/>
        <v>5.8135688476477649E-6</v>
      </c>
      <c r="O97">
        <f t="shared" si="26"/>
        <v>1.5040687423679786E-5</v>
      </c>
      <c r="P97">
        <f t="shared" si="27"/>
        <v>6.4216508545579428E-6</v>
      </c>
      <c r="Q97">
        <f t="shared" si="28"/>
        <v>1.414240793298209E-5</v>
      </c>
    </row>
    <row r="98" spans="1:17" x14ac:dyDescent="0.2">
      <c r="A98" s="1">
        <v>45332</v>
      </c>
      <c r="B98">
        <v>891.07</v>
      </c>
      <c r="C98">
        <v>121.52</v>
      </c>
      <c r="D98">
        <v>355.3</v>
      </c>
      <c r="E98">
        <v>203.43</v>
      </c>
      <c r="F98">
        <f t="shared" si="17"/>
        <v>3.223805330866197E-3</v>
      </c>
      <c r="G98">
        <f t="shared" si="18"/>
        <v>5.7199271740102572E-3</v>
      </c>
      <c r="H98">
        <f t="shared" si="19"/>
        <v>-5.779669660412168E-3</v>
      </c>
      <c r="I98">
        <f t="shared" si="20"/>
        <v>3.9244713231843557E-3</v>
      </c>
      <c r="J98" s="4">
        <f t="shared" si="21"/>
        <v>3.5114059444263232E-3</v>
      </c>
      <c r="K98" s="4">
        <f t="shared" si="22"/>
        <v>5.8263035254928486E-3</v>
      </c>
      <c r="L98" s="4">
        <f t="shared" si="23"/>
        <v>-5.493265199992858E-3</v>
      </c>
      <c r="M98" s="4">
        <f t="shared" si="24"/>
        <v>3.9375328267451824E-3</v>
      </c>
      <c r="N98">
        <f t="shared" si="25"/>
        <v>1.2329971706552519E-5</v>
      </c>
      <c r="O98">
        <f t="shared" si="26"/>
        <v>3.3945812771170395E-5</v>
      </c>
      <c r="P98">
        <f t="shared" si="27"/>
        <v>3.0175962557452576E-5</v>
      </c>
      <c r="Q98">
        <f t="shared" si="28"/>
        <v>1.5504164761695907E-5</v>
      </c>
    </row>
    <row r="99" spans="1:17" x14ac:dyDescent="0.2">
      <c r="A99" s="1">
        <v>45301</v>
      </c>
      <c r="B99">
        <v>884.48</v>
      </c>
      <c r="C99">
        <v>119.93</v>
      </c>
      <c r="D99">
        <v>360.06</v>
      </c>
      <c r="E99">
        <v>201.6</v>
      </c>
      <c r="F99">
        <f t="shared" ref="F99:F127" si="29">LOG(B99/B100)</f>
        <v>-7.1629340757102392E-4</v>
      </c>
      <c r="G99">
        <f t="shared" ref="G99:G127" si="30">LOG(C99/C100)</f>
        <v>9.9261166351196084E-3</v>
      </c>
      <c r="H99">
        <f t="shared" ref="H99:H127" si="31">LOG(D99/D100)</f>
        <v>-4.5713736232590322E-3</v>
      </c>
      <c r="I99">
        <f t="shared" ref="I99:I127" si="32">LOG(E99/E100)</f>
        <v>-1.057672174072863E-2</v>
      </c>
      <c r="J99" s="4">
        <f t="shared" si="21"/>
        <v>-4.2869279401089755E-4</v>
      </c>
      <c r="K99" s="4">
        <f t="shared" si="22"/>
        <v>1.00324929866022E-2</v>
      </c>
      <c r="L99" s="4">
        <f t="shared" si="23"/>
        <v>-4.2849691628397222E-3</v>
      </c>
      <c r="M99" s="4">
        <f t="shared" si="24"/>
        <v>-1.0563660237167804E-2</v>
      </c>
      <c r="N99">
        <f t="shared" si="25"/>
        <v>1.8377751163686985E-7</v>
      </c>
      <c r="O99">
        <f t="shared" si="26"/>
        <v>1.0065091552622233E-4</v>
      </c>
      <c r="P99">
        <f t="shared" si="27"/>
        <v>1.8360960726487348E-5</v>
      </c>
      <c r="Q99">
        <f t="shared" si="28"/>
        <v>1.1159091760632013E-4</v>
      </c>
    </row>
    <row r="100" spans="1:17" x14ac:dyDescent="0.2">
      <c r="A100" t="s">
        <v>69</v>
      </c>
      <c r="B100">
        <v>885.94</v>
      </c>
      <c r="C100">
        <v>117.22</v>
      </c>
      <c r="D100">
        <v>363.87</v>
      </c>
      <c r="E100">
        <v>206.57</v>
      </c>
      <c r="F100">
        <f t="shared" si="29"/>
        <v>4.0136814822656066E-3</v>
      </c>
      <c r="G100">
        <f t="shared" si="30"/>
        <v>5.2181564482449115E-3</v>
      </c>
      <c r="H100">
        <f t="shared" si="31"/>
        <v>8.7161996368366867E-3</v>
      </c>
      <c r="I100">
        <f t="shared" si="32"/>
        <v>-5.3698541686482311E-3</v>
      </c>
      <c r="J100" s="4">
        <f t="shared" si="21"/>
        <v>4.3012820958257328E-3</v>
      </c>
      <c r="K100" s="4">
        <f t="shared" si="22"/>
        <v>5.3245327997275028E-3</v>
      </c>
      <c r="L100" s="4">
        <f t="shared" si="23"/>
        <v>9.0026040972559975E-3</v>
      </c>
      <c r="M100" s="4">
        <f t="shared" si="24"/>
        <v>-5.3567926650874044E-3</v>
      </c>
      <c r="N100">
        <f t="shared" si="25"/>
        <v>1.850102766787101E-5</v>
      </c>
      <c r="O100">
        <f t="shared" si="26"/>
        <v>2.8350649535374001E-5</v>
      </c>
      <c r="P100">
        <f t="shared" si="27"/>
        <v>8.1046880531930474E-5</v>
      </c>
      <c r="Q100">
        <f t="shared" si="28"/>
        <v>2.8695227656734215E-5</v>
      </c>
    </row>
    <row r="101" spans="1:17" x14ac:dyDescent="0.2">
      <c r="A101" t="s">
        <v>70</v>
      </c>
      <c r="B101">
        <v>877.79</v>
      </c>
      <c r="C101">
        <v>115.82</v>
      </c>
      <c r="D101">
        <v>356.64</v>
      </c>
      <c r="E101">
        <v>209.14</v>
      </c>
      <c r="F101">
        <f t="shared" si="29"/>
        <v>-1.5326114316440258E-2</v>
      </c>
      <c r="G101">
        <f t="shared" si="30"/>
        <v>1.1474460950031622E-2</v>
      </c>
      <c r="H101">
        <f t="shared" si="31"/>
        <v>1.7051694827809277E-4</v>
      </c>
      <c r="I101">
        <f t="shared" si="32"/>
        <v>-2.4911730046542666E-4</v>
      </c>
      <c r="J101" s="4">
        <f t="shared" si="21"/>
        <v>-1.5038513702880131E-2</v>
      </c>
      <c r="K101" s="4">
        <f t="shared" si="22"/>
        <v>1.1580837301514213E-2</v>
      </c>
      <c r="L101" s="4">
        <f t="shared" si="23"/>
        <v>4.5692140869740296E-4</v>
      </c>
      <c r="M101" s="4">
        <f t="shared" si="24"/>
        <v>-2.3605579690460027E-4</v>
      </c>
      <c r="N101">
        <f t="shared" si="25"/>
        <v>2.2615689439171345E-4</v>
      </c>
      <c r="O101">
        <f t="shared" si="26"/>
        <v>1.3411579260414299E-4</v>
      </c>
      <c r="P101">
        <f t="shared" si="27"/>
        <v>2.0877717372601916E-7</v>
      </c>
      <c r="Q101">
        <f t="shared" si="28"/>
        <v>5.5722339252265887E-8</v>
      </c>
    </row>
    <row r="102" spans="1:17" x14ac:dyDescent="0.2">
      <c r="A102" t="s">
        <v>71</v>
      </c>
      <c r="B102">
        <v>909.32</v>
      </c>
      <c r="C102">
        <v>112.8</v>
      </c>
      <c r="D102">
        <v>356.5</v>
      </c>
      <c r="E102">
        <v>209.26</v>
      </c>
      <c r="F102">
        <f t="shared" si="29"/>
        <v>-7.2183570051815998E-3</v>
      </c>
      <c r="G102">
        <f t="shared" si="30"/>
        <v>-7.5192819936593025E-3</v>
      </c>
      <c r="H102">
        <f t="shared" si="31"/>
        <v>-3.7359938922441557E-3</v>
      </c>
      <c r="I102">
        <f t="shared" si="32"/>
        <v>8.8052679454258768E-3</v>
      </c>
      <c r="J102" s="4">
        <f t="shared" si="21"/>
        <v>-6.9307563916214737E-3</v>
      </c>
      <c r="K102" s="4">
        <f t="shared" si="22"/>
        <v>-7.4129056421767111E-3</v>
      </c>
      <c r="L102" s="4">
        <f t="shared" si="23"/>
        <v>-3.4495894318248453E-3</v>
      </c>
      <c r="M102" s="4">
        <f t="shared" si="24"/>
        <v>8.8183294489867035E-3</v>
      </c>
      <c r="N102">
        <f t="shared" si="25"/>
        <v>4.8035384160001909E-5</v>
      </c>
      <c r="O102">
        <f t="shared" si="26"/>
        <v>5.495117005981532E-5</v>
      </c>
      <c r="P102">
        <f t="shared" si="27"/>
        <v>1.1899667248157659E-5</v>
      </c>
      <c r="Q102">
        <f t="shared" si="28"/>
        <v>7.7762934270866134E-5</v>
      </c>
    </row>
    <row r="103" spans="1:17" x14ac:dyDescent="0.2">
      <c r="A103" t="s">
        <v>72</v>
      </c>
      <c r="B103">
        <v>924.56</v>
      </c>
      <c r="C103">
        <v>114.77</v>
      </c>
      <c r="D103">
        <v>359.58</v>
      </c>
      <c r="E103">
        <v>205.06</v>
      </c>
      <c r="F103">
        <f t="shared" si="29"/>
        <v>6.1069321889713744E-5</v>
      </c>
      <c r="G103">
        <f t="shared" si="30"/>
        <v>-8.5430363916603747E-3</v>
      </c>
      <c r="H103">
        <f t="shared" si="31"/>
        <v>-2.9010452021931148E-3</v>
      </c>
      <c r="I103">
        <f t="shared" si="32"/>
        <v>2.5422116739762284E-4</v>
      </c>
      <c r="J103" s="4">
        <f t="shared" si="21"/>
        <v>3.4866993544984011E-4</v>
      </c>
      <c r="K103" s="4">
        <f t="shared" si="22"/>
        <v>-8.4366600401777833E-3</v>
      </c>
      <c r="L103" s="4">
        <f t="shared" si="23"/>
        <v>-2.6146407417738044E-3</v>
      </c>
      <c r="M103" s="4">
        <f t="shared" si="24"/>
        <v>2.6728267095844926E-4</v>
      </c>
      <c r="N103">
        <f t="shared" si="25"/>
        <v>1.2157072388659568E-7</v>
      </c>
      <c r="O103">
        <f t="shared" si="26"/>
        <v>7.1177232633532595E-5</v>
      </c>
      <c r="P103">
        <f t="shared" si="27"/>
        <v>6.8363462085434699E-6</v>
      </c>
      <c r="Q103">
        <f t="shared" si="28"/>
        <v>7.144002619468266E-8</v>
      </c>
    </row>
    <row r="104" spans="1:17" x14ac:dyDescent="0.2">
      <c r="A104" t="s">
        <v>73</v>
      </c>
      <c r="B104">
        <v>924.43</v>
      </c>
      <c r="C104">
        <v>117.05</v>
      </c>
      <c r="D104">
        <v>361.99</v>
      </c>
      <c r="E104">
        <v>204.94</v>
      </c>
      <c r="F104">
        <f t="shared" si="29"/>
        <v>2.7854138054694598E-3</v>
      </c>
      <c r="G104">
        <f t="shared" si="30"/>
        <v>-1.1486828025831387E-3</v>
      </c>
      <c r="H104">
        <f t="shared" si="31"/>
        <v>-3.6081894901194493E-3</v>
      </c>
      <c r="I104">
        <f t="shared" si="32"/>
        <v>2.316016082330796E-3</v>
      </c>
      <c r="J104" s="4">
        <f t="shared" si="21"/>
        <v>3.073014419029586E-3</v>
      </c>
      <c r="K104" s="4">
        <f t="shared" si="22"/>
        <v>-1.0423064511005473E-3</v>
      </c>
      <c r="L104" s="4">
        <f t="shared" si="23"/>
        <v>-3.3217850297001389E-3</v>
      </c>
      <c r="M104" s="4">
        <f t="shared" si="24"/>
        <v>2.3290775858916223E-3</v>
      </c>
      <c r="N104">
        <f t="shared" si="25"/>
        <v>9.4434176195637434E-6</v>
      </c>
      <c r="O104">
        <f t="shared" si="26"/>
        <v>1.0864027380058177E-6</v>
      </c>
      <c r="P104">
        <f t="shared" si="27"/>
        <v>1.1034255783539953E-5</v>
      </c>
      <c r="Q104">
        <f t="shared" si="28"/>
        <v>5.424602401102747E-6</v>
      </c>
    </row>
    <row r="105" spans="1:17" x14ac:dyDescent="0.2">
      <c r="A105" t="s">
        <v>74</v>
      </c>
      <c r="B105">
        <v>918.52</v>
      </c>
      <c r="C105">
        <v>117.36</v>
      </c>
      <c r="D105">
        <v>365.01</v>
      </c>
      <c r="E105">
        <v>203.85</v>
      </c>
      <c r="F105">
        <f t="shared" si="29"/>
        <v>-1.4020094797803219E-3</v>
      </c>
      <c r="G105">
        <f t="shared" si="30"/>
        <v>7.8038076753290447E-3</v>
      </c>
      <c r="H105">
        <f t="shared" si="31"/>
        <v>3.9322406032840946E-3</v>
      </c>
      <c r="I105">
        <f t="shared" si="32"/>
        <v>1.1733371501369044E-3</v>
      </c>
      <c r="J105" s="4">
        <f t="shared" si="21"/>
        <v>-1.1144088662201955E-3</v>
      </c>
      <c r="K105" s="4">
        <f t="shared" si="22"/>
        <v>7.9101840268116369E-3</v>
      </c>
      <c r="L105" s="4">
        <f t="shared" si="23"/>
        <v>4.2186450637034046E-3</v>
      </c>
      <c r="M105" s="4">
        <f t="shared" si="24"/>
        <v>1.1863986536977309E-3</v>
      </c>
      <c r="N105">
        <f t="shared" si="25"/>
        <v>1.2419071211101816E-6</v>
      </c>
      <c r="O105">
        <f t="shared" si="26"/>
        <v>6.2571011338025958E-5</v>
      </c>
      <c r="P105">
        <f t="shared" si="27"/>
        <v>1.7796966173509102E-5</v>
      </c>
      <c r="Q105">
        <f t="shared" si="28"/>
        <v>1.4075417654957884E-6</v>
      </c>
    </row>
    <row r="106" spans="1:17" x14ac:dyDescent="0.2">
      <c r="A106" t="s">
        <v>75</v>
      </c>
      <c r="B106">
        <v>921.49</v>
      </c>
      <c r="C106">
        <v>115.27</v>
      </c>
      <c r="D106">
        <v>361.72</v>
      </c>
      <c r="E106">
        <v>203.3</v>
      </c>
      <c r="F106">
        <f t="shared" si="29"/>
        <v>3.050547418818102E-3</v>
      </c>
      <c r="G106">
        <f t="shared" si="30"/>
        <v>-2.7416960670212437E-3</v>
      </c>
      <c r="H106">
        <f t="shared" si="31"/>
        <v>3.7380159518316902E-3</v>
      </c>
      <c r="I106">
        <f t="shared" si="32"/>
        <v>-9.0899705383816008E-3</v>
      </c>
      <c r="J106" s="4">
        <f t="shared" si="21"/>
        <v>3.3381480323782286E-3</v>
      </c>
      <c r="K106" s="4">
        <f t="shared" si="22"/>
        <v>-2.6353197155386523E-3</v>
      </c>
      <c r="L106" s="4">
        <f t="shared" si="23"/>
        <v>4.0244204122510006E-3</v>
      </c>
      <c r="M106" s="4">
        <f t="shared" si="24"/>
        <v>-9.0769090348207741E-3</v>
      </c>
      <c r="N106">
        <f t="shared" si="25"/>
        <v>1.1143232286070639E-5</v>
      </c>
      <c r="O106">
        <f t="shared" si="26"/>
        <v>6.9449100031067238E-6</v>
      </c>
      <c r="P106">
        <f t="shared" si="27"/>
        <v>1.6195959654542514E-5</v>
      </c>
      <c r="Q106">
        <f t="shared" si="28"/>
        <v>8.2390277626410999E-5</v>
      </c>
    </row>
    <row r="107" spans="1:17" x14ac:dyDescent="0.2">
      <c r="A107" t="s">
        <v>76</v>
      </c>
      <c r="B107">
        <v>915.04</v>
      </c>
      <c r="C107">
        <v>116</v>
      </c>
      <c r="D107">
        <v>358.62</v>
      </c>
      <c r="E107">
        <v>207.6</v>
      </c>
      <c r="F107">
        <f t="shared" si="29"/>
        <v>4.8058967381775916E-3</v>
      </c>
      <c r="G107">
        <f t="shared" si="30"/>
        <v>5.3491713133247297E-3</v>
      </c>
      <c r="H107">
        <f t="shared" si="31"/>
        <v>-2.5357160811889812E-3</v>
      </c>
      <c r="I107">
        <f t="shared" si="32"/>
        <v>1.4658338240366239E-2</v>
      </c>
      <c r="J107" s="4">
        <f t="shared" si="21"/>
        <v>5.0934973517377177E-3</v>
      </c>
      <c r="K107" s="4">
        <f t="shared" si="22"/>
        <v>5.455547664807321E-3</v>
      </c>
      <c r="L107" s="4">
        <f t="shared" si="23"/>
        <v>-2.2493116207696713E-3</v>
      </c>
      <c r="M107" s="4">
        <f t="shared" si="24"/>
        <v>1.4671399743927066E-2</v>
      </c>
      <c r="N107">
        <f t="shared" si="25"/>
        <v>2.5943715272159145E-5</v>
      </c>
      <c r="O107">
        <f t="shared" si="26"/>
        <v>2.9763000322984613E-5</v>
      </c>
      <c r="P107">
        <f t="shared" si="27"/>
        <v>5.0594027673294854E-6</v>
      </c>
      <c r="Q107">
        <f t="shared" si="28"/>
        <v>2.1524997044610318E-4</v>
      </c>
    </row>
    <row r="108" spans="1:17" x14ac:dyDescent="0.2">
      <c r="A108" t="s">
        <v>77</v>
      </c>
      <c r="B108">
        <v>904.97</v>
      </c>
      <c r="C108">
        <v>114.58</v>
      </c>
      <c r="D108">
        <v>360.72</v>
      </c>
      <c r="E108">
        <v>200.71</v>
      </c>
      <c r="F108">
        <f t="shared" si="29"/>
        <v>-5.8029031420432642E-4</v>
      </c>
      <c r="G108">
        <f t="shared" si="30"/>
        <v>1.5187792429295886E-3</v>
      </c>
      <c r="H108">
        <f t="shared" si="31"/>
        <v>3.8091478038264903E-3</v>
      </c>
      <c r="I108">
        <f t="shared" si="32"/>
        <v>-1.4688909685288388E-3</v>
      </c>
      <c r="J108" s="4">
        <f t="shared" si="21"/>
        <v>-2.9268970064420005E-4</v>
      </c>
      <c r="K108" s="4">
        <f t="shared" si="22"/>
        <v>1.6251555944121799E-3</v>
      </c>
      <c r="L108" s="4">
        <f t="shared" si="23"/>
        <v>4.0955522642458003E-3</v>
      </c>
      <c r="M108" s="4">
        <f t="shared" si="24"/>
        <v>-1.4558294649680123E-3</v>
      </c>
      <c r="N108">
        <f t="shared" si="25"/>
        <v>8.5667260863191436E-8</v>
      </c>
      <c r="O108">
        <f t="shared" si="26"/>
        <v>2.6411307060492061E-6</v>
      </c>
      <c r="P108">
        <f t="shared" si="27"/>
        <v>1.6773548349168901E-5</v>
      </c>
      <c r="Q108">
        <f t="shared" si="28"/>
        <v>2.1194394310690488E-6</v>
      </c>
    </row>
    <row r="109" spans="1:17" x14ac:dyDescent="0.2">
      <c r="A109" t="s">
        <v>78</v>
      </c>
      <c r="B109">
        <v>906.18</v>
      </c>
      <c r="C109">
        <v>114.18</v>
      </c>
      <c r="D109">
        <v>357.57</v>
      </c>
      <c r="E109">
        <v>201.39</v>
      </c>
      <c r="F109">
        <f t="shared" si="29"/>
        <v>-8.2412373961971968E-3</v>
      </c>
      <c r="G109">
        <f t="shared" si="30"/>
        <v>5.627588887617066E-3</v>
      </c>
      <c r="H109">
        <f t="shared" si="31"/>
        <v>-6.5335863413137603E-3</v>
      </c>
      <c r="I109">
        <f t="shared" si="32"/>
        <v>6.3430322115094152E-3</v>
      </c>
      <c r="J109" s="4">
        <f t="shared" si="21"/>
        <v>-7.9536367826370698E-3</v>
      </c>
      <c r="K109" s="4">
        <f t="shared" si="22"/>
        <v>5.7339652390996573E-3</v>
      </c>
      <c r="L109" s="4">
        <f t="shared" si="23"/>
        <v>-6.2471818808944504E-3</v>
      </c>
      <c r="M109" s="4">
        <f t="shared" si="24"/>
        <v>6.3560937150702419E-3</v>
      </c>
      <c r="N109">
        <f t="shared" si="25"/>
        <v>6.3260338070117352E-5</v>
      </c>
      <c r="O109">
        <f t="shared" si="26"/>
        <v>3.287835736320319E-5</v>
      </c>
      <c r="P109">
        <f t="shared" si="27"/>
        <v>3.902728145297592E-5</v>
      </c>
      <c r="Q109">
        <f t="shared" si="28"/>
        <v>4.039992731475543E-5</v>
      </c>
    </row>
    <row r="110" spans="1:17" x14ac:dyDescent="0.2">
      <c r="A110" t="s">
        <v>79</v>
      </c>
      <c r="B110">
        <v>923.54</v>
      </c>
      <c r="C110">
        <v>112.71</v>
      </c>
      <c r="D110">
        <v>362.99</v>
      </c>
      <c r="E110">
        <v>198.47</v>
      </c>
      <c r="F110">
        <f t="shared" si="29"/>
        <v>-7.99351058406002E-5</v>
      </c>
      <c r="G110">
        <f t="shared" si="30"/>
        <v>6.0529827480375773E-3</v>
      </c>
      <c r="H110">
        <f t="shared" si="31"/>
        <v>4.6066979481852333E-3</v>
      </c>
      <c r="I110">
        <f t="shared" si="32"/>
        <v>-3.1830962954962011E-3</v>
      </c>
      <c r="J110" s="4">
        <f t="shared" si="21"/>
        <v>2.0766550771952617E-4</v>
      </c>
      <c r="K110" s="4">
        <f t="shared" si="22"/>
        <v>6.1593590995201687E-3</v>
      </c>
      <c r="L110" s="4">
        <f t="shared" si="23"/>
        <v>4.8931024086045433E-3</v>
      </c>
      <c r="M110" s="4">
        <f t="shared" si="24"/>
        <v>-3.1700347919353749E-3</v>
      </c>
      <c r="N110">
        <f t="shared" si="25"/>
        <v>4.3124963096408584E-8</v>
      </c>
      <c r="O110">
        <f t="shared" si="26"/>
        <v>3.7937704516841905E-5</v>
      </c>
      <c r="P110">
        <f t="shared" si="27"/>
        <v>2.3942451181091584E-5</v>
      </c>
      <c r="Q110">
        <f t="shared" si="28"/>
        <v>1.0049120582080755E-5</v>
      </c>
    </row>
    <row r="111" spans="1:17" x14ac:dyDescent="0.2">
      <c r="A111" t="s">
        <v>80</v>
      </c>
      <c r="B111">
        <v>923.71</v>
      </c>
      <c r="C111">
        <v>111.15</v>
      </c>
      <c r="D111">
        <v>359.16</v>
      </c>
      <c r="E111">
        <v>199.93</v>
      </c>
      <c r="F111">
        <f t="shared" si="29"/>
        <v>-5.285255214040341E-3</v>
      </c>
      <c r="G111">
        <f t="shared" si="30"/>
        <v>-3.1247018662696792E-4</v>
      </c>
      <c r="H111">
        <f t="shared" si="31"/>
        <v>4.8370494219806206E-5</v>
      </c>
      <c r="I111">
        <f t="shared" si="32"/>
        <v>8.6662126567152546E-3</v>
      </c>
      <c r="J111" s="4">
        <f t="shared" si="21"/>
        <v>-4.9976546004802148E-3</v>
      </c>
      <c r="K111" s="4">
        <f t="shared" si="22"/>
        <v>-2.0609383514437653E-4</v>
      </c>
      <c r="L111" s="4">
        <f t="shared" si="23"/>
        <v>3.3477495463911638E-4</v>
      </c>
      <c r="M111" s="4">
        <f t="shared" si="24"/>
        <v>8.6792741602760813E-3</v>
      </c>
      <c r="N111">
        <f t="shared" si="25"/>
        <v>2.4976551505701055E-5</v>
      </c>
      <c r="O111">
        <f t="shared" si="26"/>
        <v>4.2474668884517452E-8</v>
      </c>
      <c r="P111">
        <f t="shared" si="27"/>
        <v>1.1207427025362243E-7</v>
      </c>
      <c r="Q111">
        <f t="shared" si="28"/>
        <v>7.532979994923608E-5</v>
      </c>
    </row>
    <row r="112" spans="1:17" x14ac:dyDescent="0.2">
      <c r="A112" s="1">
        <v>45635</v>
      </c>
      <c r="B112">
        <v>935.02</v>
      </c>
      <c r="C112">
        <v>111.23</v>
      </c>
      <c r="D112">
        <v>359.12</v>
      </c>
      <c r="E112">
        <v>195.98</v>
      </c>
      <c r="F112">
        <f t="shared" si="29"/>
        <v>6.6131435292252991E-3</v>
      </c>
      <c r="G112">
        <f t="shared" si="30"/>
        <v>5.936138289144602E-3</v>
      </c>
      <c r="H112">
        <f t="shared" si="31"/>
        <v>-3.3848037935851525E-4</v>
      </c>
      <c r="I112">
        <f t="shared" si="32"/>
        <v>-1.4020211543102673E-2</v>
      </c>
      <c r="J112" s="4">
        <f t="shared" si="21"/>
        <v>6.9007441427854253E-3</v>
      </c>
      <c r="K112" s="4">
        <f t="shared" si="22"/>
        <v>6.0425146406271934E-3</v>
      </c>
      <c r="L112" s="4">
        <f t="shared" si="23"/>
        <v>-5.2075918939205063E-5</v>
      </c>
      <c r="M112" s="4">
        <f t="shared" si="24"/>
        <v>-1.4007150039541847E-2</v>
      </c>
      <c r="N112">
        <f t="shared" si="25"/>
        <v>4.7620269724187356E-5</v>
      </c>
      <c r="O112">
        <f t="shared" si="26"/>
        <v>3.651198318219398E-5</v>
      </c>
      <c r="P112">
        <f t="shared" si="27"/>
        <v>2.7119013333626567E-9</v>
      </c>
      <c r="Q112">
        <f t="shared" si="28"/>
        <v>1.9620025223023716E-4</v>
      </c>
    </row>
    <row r="113" spans="1:17" x14ac:dyDescent="0.2">
      <c r="A113" s="1">
        <v>45605</v>
      </c>
      <c r="B113">
        <v>920.89</v>
      </c>
      <c r="C113">
        <v>109.72</v>
      </c>
      <c r="D113">
        <v>359.4</v>
      </c>
      <c r="E113">
        <v>202.41</v>
      </c>
      <c r="F113">
        <f t="shared" si="29"/>
        <v>9.3624792379911996E-3</v>
      </c>
      <c r="G113">
        <f t="shared" si="30"/>
        <v>-4.3323468913931693E-3</v>
      </c>
      <c r="H113">
        <f t="shared" si="31"/>
        <v>3.1429445882749456E-4</v>
      </c>
      <c r="I113">
        <f t="shared" si="32"/>
        <v>5.6364809849935452E-3</v>
      </c>
      <c r="J113" s="4">
        <f t="shared" si="21"/>
        <v>9.6500798515513266E-3</v>
      </c>
      <c r="K113" s="4">
        <f t="shared" si="22"/>
        <v>-4.225970539910578E-3</v>
      </c>
      <c r="L113" s="4">
        <f t="shared" si="23"/>
        <v>6.0069891924680475E-4</v>
      </c>
      <c r="M113" s="4">
        <f t="shared" si="24"/>
        <v>5.6495424885543719E-3</v>
      </c>
      <c r="N113">
        <f t="shared" si="25"/>
        <v>9.3124041141316873E-5</v>
      </c>
      <c r="O113">
        <f t="shared" si="26"/>
        <v>1.7858827004192101E-5</v>
      </c>
      <c r="P113">
        <f t="shared" si="27"/>
        <v>3.6083919158427927E-7</v>
      </c>
      <c r="Q113">
        <f t="shared" si="28"/>
        <v>3.1917330329981128E-5</v>
      </c>
    </row>
    <row r="114" spans="1:17" x14ac:dyDescent="0.2">
      <c r="A114" s="1">
        <v>45574</v>
      </c>
      <c r="B114">
        <v>901.25</v>
      </c>
      <c r="C114">
        <v>110.82</v>
      </c>
      <c r="D114">
        <v>359.14</v>
      </c>
      <c r="E114">
        <v>199.8</v>
      </c>
      <c r="F114">
        <f t="shared" si="29"/>
        <v>-3.3696920266515933E-3</v>
      </c>
      <c r="G114">
        <f t="shared" si="30"/>
        <v>-1.6117457625433561E-2</v>
      </c>
      <c r="H114">
        <f t="shared" si="31"/>
        <v>9.3384489582847181E-3</v>
      </c>
      <c r="I114">
        <f t="shared" si="32"/>
        <v>-2.9677320272848973E-3</v>
      </c>
      <c r="J114" s="4">
        <f t="shared" si="21"/>
        <v>-3.0820914130914668E-3</v>
      </c>
      <c r="K114" s="4">
        <f t="shared" si="22"/>
        <v>-1.6011081273950969E-2</v>
      </c>
      <c r="L114" s="4">
        <f t="shared" si="23"/>
        <v>9.624853418704029E-3</v>
      </c>
      <c r="M114" s="4">
        <f t="shared" si="24"/>
        <v>-2.954670523724071E-3</v>
      </c>
      <c r="N114">
        <f t="shared" si="25"/>
        <v>9.4992874786521539E-6</v>
      </c>
      <c r="O114">
        <f t="shared" si="26"/>
        <v>2.5635472356106342E-4</v>
      </c>
      <c r="P114">
        <f t="shared" si="27"/>
        <v>9.2637803331538634E-5</v>
      </c>
      <c r="Q114">
        <f t="shared" si="28"/>
        <v>8.7300779037638768E-6</v>
      </c>
    </row>
    <row r="115" spans="1:17" x14ac:dyDescent="0.2">
      <c r="A115" s="1">
        <v>45544</v>
      </c>
      <c r="B115">
        <v>908.27</v>
      </c>
      <c r="C115">
        <v>115.01</v>
      </c>
      <c r="D115">
        <v>351.5</v>
      </c>
      <c r="E115">
        <v>201.17</v>
      </c>
      <c r="F115">
        <f t="shared" si="29"/>
        <v>2.6667162599818021E-3</v>
      </c>
      <c r="G115">
        <f t="shared" si="30"/>
        <v>9.0429616512815465E-3</v>
      </c>
      <c r="H115">
        <f t="shared" si="31"/>
        <v>7.3138980113649768E-3</v>
      </c>
      <c r="I115">
        <f t="shared" si="32"/>
        <v>8.106077844685455E-3</v>
      </c>
      <c r="J115" s="4">
        <f t="shared" si="21"/>
        <v>2.9543168735419283E-3</v>
      </c>
      <c r="K115" s="4">
        <f t="shared" si="22"/>
        <v>9.1493380027641378E-3</v>
      </c>
      <c r="L115" s="4">
        <f t="shared" si="23"/>
        <v>7.6003024717842867E-3</v>
      </c>
      <c r="M115" s="4">
        <f t="shared" si="24"/>
        <v>8.1191393482462817E-3</v>
      </c>
      <c r="N115">
        <f t="shared" si="25"/>
        <v>8.7279881892945544E-6</v>
      </c>
      <c r="O115">
        <f t="shared" si="26"/>
        <v>8.3710385888824065E-5</v>
      </c>
      <c r="P115">
        <f t="shared" si="27"/>
        <v>5.7764597662610338E-5</v>
      </c>
      <c r="Q115">
        <f t="shared" si="28"/>
        <v>6.5920423756241054E-5</v>
      </c>
    </row>
    <row r="116" spans="1:17" x14ac:dyDescent="0.2">
      <c r="A116" s="1">
        <v>45452</v>
      </c>
      <c r="B116">
        <v>902.71</v>
      </c>
      <c r="C116">
        <v>112.64</v>
      </c>
      <c r="D116">
        <v>345.63</v>
      </c>
      <c r="E116">
        <v>197.45</v>
      </c>
      <c r="F116">
        <f t="shared" si="29"/>
        <v>-4.8035881276097909E-3</v>
      </c>
      <c r="G116">
        <f t="shared" si="30"/>
        <v>-2.0386740895703644E-3</v>
      </c>
      <c r="H116">
        <f t="shared" si="31"/>
        <v>5.6405958574056742E-3</v>
      </c>
      <c r="I116">
        <f t="shared" si="32"/>
        <v>-8.925664416507011E-3</v>
      </c>
      <c r="J116" s="4">
        <f t="shared" si="21"/>
        <v>-4.5159875140496648E-3</v>
      </c>
      <c r="K116" s="4">
        <f t="shared" si="22"/>
        <v>-1.9322977380877731E-3</v>
      </c>
      <c r="L116" s="4">
        <f t="shared" si="23"/>
        <v>5.9270003178249842E-3</v>
      </c>
      <c r="M116" s="4">
        <f t="shared" si="24"/>
        <v>-8.9126029129461843E-3</v>
      </c>
      <c r="N116">
        <f t="shared" si="25"/>
        <v>2.039414322705247E-5</v>
      </c>
      <c r="O116">
        <f t="shared" si="26"/>
        <v>3.7337745486191241E-6</v>
      </c>
      <c r="P116">
        <f t="shared" si="27"/>
        <v>3.5129332767497465E-5</v>
      </c>
      <c r="Q116">
        <f t="shared" si="28"/>
        <v>7.9434490683856813E-5</v>
      </c>
    </row>
    <row r="117" spans="1:17" x14ac:dyDescent="0.2">
      <c r="A117" s="1">
        <v>45421</v>
      </c>
      <c r="B117">
        <v>912.75</v>
      </c>
      <c r="C117">
        <v>113.17</v>
      </c>
      <c r="D117">
        <v>341.17</v>
      </c>
      <c r="E117">
        <v>201.55</v>
      </c>
      <c r="F117">
        <f t="shared" si="29"/>
        <v>-1.5681587840461107E-2</v>
      </c>
      <c r="G117">
        <f t="shared" si="30"/>
        <v>-3.402051361479406E-3</v>
      </c>
      <c r="H117">
        <f t="shared" si="31"/>
        <v>-3.5244782985479348E-3</v>
      </c>
      <c r="I117">
        <f t="shared" si="32"/>
        <v>-5.2473649368287648E-3</v>
      </c>
      <c r="J117" s="4">
        <f t="shared" si="21"/>
        <v>-1.539398722690098E-2</v>
      </c>
      <c r="K117" s="4">
        <f t="shared" si="22"/>
        <v>-3.2956750099968147E-3</v>
      </c>
      <c r="L117" s="4">
        <f t="shared" si="23"/>
        <v>-3.2380738381286248E-3</v>
      </c>
      <c r="M117" s="4">
        <f t="shared" si="24"/>
        <v>-5.2343034332679381E-3</v>
      </c>
      <c r="N117">
        <f t="shared" si="25"/>
        <v>2.3697484274199054E-4</v>
      </c>
      <c r="O117">
        <f t="shared" si="26"/>
        <v>1.0861473771517504E-5</v>
      </c>
      <c r="P117">
        <f t="shared" si="27"/>
        <v>1.0485122181173043E-5</v>
      </c>
      <c r="Q117">
        <f t="shared" si="28"/>
        <v>2.7397932431520523E-5</v>
      </c>
    </row>
    <row r="118" spans="1:17" x14ac:dyDescent="0.2">
      <c r="A118" s="1">
        <v>45391</v>
      </c>
      <c r="B118">
        <v>946.31</v>
      </c>
      <c r="C118">
        <v>114.06</v>
      </c>
      <c r="D118">
        <v>343.95</v>
      </c>
      <c r="E118">
        <v>204</v>
      </c>
      <c r="F118">
        <f t="shared" si="29"/>
        <v>-4.6651660512619384E-3</v>
      </c>
      <c r="G118">
        <f t="shared" si="30"/>
        <v>-5.3357985651666072E-3</v>
      </c>
      <c r="H118">
        <f t="shared" si="31"/>
        <v>2.8757553668524154E-3</v>
      </c>
      <c r="I118">
        <f t="shared" si="32"/>
        <v>4.6444472192265565E-3</v>
      </c>
      <c r="J118" s="4">
        <f t="shared" si="21"/>
        <v>-4.3775654377018122E-3</v>
      </c>
      <c r="K118" s="4">
        <f t="shared" si="22"/>
        <v>-5.2294222136840159E-3</v>
      </c>
      <c r="L118" s="4">
        <f t="shared" si="23"/>
        <v>3.1621598272717254E-3</v>
      </c>
      <c r="M118" s="4">
        <f t="shared" si="24"/>
        <v>4.6575087227873832E-3</v>
      </c>
      <c r="N118">
        <f t="shared" si="25"/>
        <v>1.9163079161361459E-5</v>
      </c>
      <c r="O118">
        <f t="shared" si="26"/>
        <v>2.7346856688971833E-5</v>
      </c>
      <c r="P118">
        <f t="shared" si="27"/>
        <v>9.9992547732111478E-6</v>
      </c>
      <c r="Q118">
        <f t="shared" si="28"/>
        <v>2.1692387502840561E-5</v>
      </c>
    </row>
    <row r="119" spans="1:17" x14ac:dyDescent="0.2">
      <c r="A119" s="1">
        <v>45360</v>
      </c>
      <c r="B119">
        <v>956.53</v>
      </c>
      <c r="C119">
        <v>115.47</v>
      </c>
      <c r="D119">
        <v>341.68</v>
      </c>
      <c r="E119">
        <v>201.83</v>
      </c>
      <c r="F119">
        <f t="shared" si="29"/>
        <v>-1.5816852335399935E-3</v>
      </c>
      <c r="G119">
        <f t="shared" si="30"/>
        <v>-9.191957627534381E-3</v>
      </c>
      <c r="H119">
        <f t="shared" si="31"/>
        <v>-2.5852447016717966E-3</v>
      </c>
      <c r="I119">
        <f t="shared" si="32"/>
        <v>-2.6117506169826825E-2</v>
      </c>
      <c r="J119" s="4">
        <f t="shared" si="21"/>
        <v>-1.2940846199798672E-3</v>
      </c>
      <c r="K119" s="4">
        <f t="shared" si="22"/>
        <v>-9.0855812760517896E-3</v>
      </c>
      <c r="L119" s="4">
        <f t="shared" si="23"/>
        <v>-2.2988402412524866E-3</v>
      </c>
      <c r="M119" s="4">
        <f t="shared" si="24"/>
        <v>-2.6104444666265998E-2</v>
      </c>
      <c r="N119">
        <f t="shared" si="25"/>
        <v>1.6746550036684373E-6</v>
      </c>
      <c r="O119">
        <f t="shared" si="26"/>
        <v>8.2547787123742861E-5</v>
      </c>
      <c r="P119">
        <f t="shared" si="27"/>
        <v>5.2846664548017913E-6</v>
      </c>
      <c r="Q119">
        <f t="shared" si="28"/>
        <v>6.8144203133414327E-4</v>
      </c>
    </row>
    <row r="120" spans="1:17" x14ac:dyDescent="0.2">
      <c r="A120" t="s">
        <v>81</v>
      </c>
      <c r="B120">
        <v>960.02</v>
      </c>
      <c r="C120">
        <v>117.94</v>
      </c>
      <c r="D120">
        <v>343.72</v>
      </c>
      <c r="E120">
        <v>214.34</v>
      </c>
      <c r="F120">
        <f t="shared" si="29"/>
        <v>9.0600338947942789E-3</v>
      </c>
      <c r="G120">
        <f t="shared" si="30"/>
        <v>-6.9908052170065526E-4</v>
      </c>
      <c r="H120">
        <f t="shared" si="31"/>
        <v>2.5344054295149414E-3</v>
      </c>
      <c r="I120">
        <f t="shared" si="32"/>
        <v>6.6355664828024472E-3</v>
      </c>
      <c r="J120" s="4">
        <f t="shared" si="21"/>
        <v>9.3476345083544059E-3</v>
      </c>
      <c r="K120" s="4">
        <f t="shared" si="22"/>
        <v>-5.9270417021806392E-4</v>
      </c>
      <c r="L120" s="4">
        <f t="shared" si="23"/>
        <v>2.8208098899342518E-3</v>
      </c>
      <c r="M120" s="4">
        <f t="shared" si="24"/>
        <v>6.6486279863632739E-3</v>
      </c>
      <c r="N120">
        <f t="shared" si="25"/>
        <v>8.7378270901778118E-5</v>
      </c>
      <c r="O120">
        <f t="shared" si="26"/>
        <v>3.5129823339388369E-7</v>
      </c>
      <c r="P120">
        <f t="shared" si="27"/>
        <v>7.9569684351508855E-6</v>
      </c>
      <c r="Q120">
        <f t="shared" si="28"/>
        <v>4.4204254101052962E-5</v>
      </c>
    </row>
    <row r="121" spans="1:17" x14ac:dyDescent="0.2">
      <c r="A121" t="s">
        <v>82</v>
      </c>
      <c r="B121">
        <v>940.2</v>
      </c>
      <c r="C121">
        <v>118.13</v>
      </c>
      <c r="D121">
        <v>341.72</v>
      </c>
      <c r="E121">
        <v>211.09</v>
      </c>
      <c r="F121">
        <f t="shared" si="29"/>
        <v>-4.0185066786524197E-3</v>
      </c>
      <c r="G121">
        <f t="shared" si="30"/>
        <v>5.9597280078587927E-3</v>
      </c>
      <c r="H121">
        <f t="shared" si="31"/>
        <v>1.2090434270805722E-3</v>
      </c>
      <c r="I121">
        <f t="shared" si="32"/>
        <v>6.947532608887229E-3</v>
      </c>
      <c r="J121" s="4">
        <f t="shared" si="21"/>
        <v>-3.7309060650922935E-3</v>
      </c>
      <c r="K121" s="4">
        <f t="shared" si="22"/>
        <v>6.066104359341384E-3</v>
      </c>
      <c r="L121" s="4">
        <f t="shared" si="23"/>
        <v>1.4954478874998824E-3</v>
      </c>
      <c r="M121" s="4">
        <f t="shared" si="24"/>
        <v>6.9605941124480557E-3</v>
      </c>
      <c r="N121">
        <f t="shared" si="25"/>
        <v>1.3919660066542462E-5</v>
      </c>
      <c r="O121">
        <f t="shared" si="26"/>
        <v>3.6797622098420541E-5</v>
      </c>
      <c r="P121">
        <f t="shared" si="27"/>
        <v>2.236364384227861E-6</v>
      </c>
      <c r="Q121">
        <f t="shared" si="28"/>
        <v>4.8449870398246536E-5</v>
      </c>
    </row>
    <row r="122" spans="1:17" x14ac:dyDescent="0.2">
      <c r="A122" t="s">
        <v>83</v>
      </c>
      <c r="B122">
        <v>948.94</v>
      </c>
      <c r="C122">
        <v>116.52</v>
      </c>
      <c r="D122">
        <v>340.77</v>
      </c>
      <c r="E122">
        <v>207.74</v>
      </c>
      <c r="F122">
        <f t="shared" si="29"/>
        <v>-2.5280791667001597E-3</v>
      </c>
      <c r="G122">
        <f t="shared" si="30"/>
        <v>-4.302183763844062E-3</v>
      </c>
      <c r="H122">
        <f t="shared" si="31"/>
        <v>-2.3133277509296913E-3</v>
      </c>
      <c r="I122">
        <f t="shared" si="32"/>
        <v>-6.1237958511398327E-3</v>
      </c>
      <c r="J122" s="4">
        <f t="shared" si="21"/>
        <v>-2.2404785531400335E-3</v>
      </c>
      <c r="K122" s="4">
        <f t="shared" si="22"/>
        <v>-4.1958074123614707E-3</v>
      </c>
      <c r="L122" s="4">
        <f t="shared" si="23"/>
        <v>-2.0269232905103813E-3</v>
      </c>
      <c r="M122" s="4">
        <f t="shared" si="24"/>
        <v>-6.110734347579006E-3</v>
      </c>
      <c r="N122">
        <f t="shared" si="25"/>
        <v>5.0197441470804577E-6</v>
      </c>
      <c r="O122">
        <f t="shared" si="26"/>
        <v>1.7604799841627459E-5</v>
      </c>
      <c r="P122">
        <f t="shared" si="27"/>
        <v>4.1084180256134314E-6</v>
      </c>
      <c r="Q122">
        <f t="shared" si="28"/>
        <v>3.7341074266681821E-5</v>
      </c>
    </row>
    <row r="123" spans="1:17" x14ac:dyDescent="0.2">
      <c r="A123" t="s">
        <v>84</v>
      </c>
      <c r="B123">
        <v>954.48</v>
      </c>
      <c r="C123">
        <v>117.68</v>
      </c>
      <c r="D123">
        <v>342.59</v>
      </c>
      <c r="E123">
        <v>210.69</v>
      </c>
      <c r="F123">
        <f t="shared" si="29"/>
        <v>1.8010043642452075E-3</v>
      </c>
      <c r="G123">
        <f t="shared" si="30"/>
        <v>-4.150336161773579E-3</v>
      </c>
      <c r="H123">
        <f t="shared" si="31"/>
        <v>3.7302767465361322E-3</v>
      </c>
      <c r="I123">
        <f t="shared" si="32"/>
        <v>5.0589130571240155E-3</v>
      </c>
      <c r="J123" s="4">
        <f t="shared" si="21"/>
        <v>2.0886049778053341E-3</v>
      </c>
      <c r="K123" s="4">
        <f t="shared" si="22"/>
        <v>-4.0439598102909877E-3</v>
      </c>
      <c r="L123" s="4">
        <f t="shared" si="23"/>
        <v>4.0166812069554426E-3</v>
      </c>
      <c r="M123" s="4">
        <f t="shared" si="24"/>
        <v>5.0719745606848422E-3</v>
      </c>
      <c r="N123">
        <f t="shared" si="25"/>
        <v>4.3622707533132199E-6</v>
      </c>
      <c r="O123">
        <f t="shared" si="26"/>
        <v>1.6353610947248721E-5</v>
      </c>
      <c r="P123">
        <f t="shared" si="27"/>
        <v>1.613372791830903E-5</v>
      </c>
      <c r="Q123">
        <f t="shared" si="28"/>
        <v>2.57249259442342E-5</v>
      </c>
    </row>
    <row r="124" spans="1:17" x14ac:dyDescent="0.2">
      <c r="A124" t="s">
        <v>85</v>
      </c>
      <c r="B124">
        <v>950.53</v>
      </c>
      <c r="C124">
        <v>118.81</v>
      </c>
      <c r="D124">
        <v>339.66</v>
      </c>
      <c r="E124">
        <v>208.25</v>
      </c>
      <c r="F124">
        <f t="shared" si="29"/>
        <v>-1.0085707612328043E-3</v>
      </c>
      <c r="G124">
        <f t="shared" si="30"/>
        <v>9.1986023662846469E-3</v>
      </c>
      <c r="H124">
        <f t="shared" si="31"/>
        <v>-1.633551549343312E-3</v>
      </c>
      <c r="I124">
        <f t="shared" si="32"/>
        <v>-3.3860454474761502E-3</v>
      </c>
      <c r="J124" s="4">
        <f t="shared" si="21"/>
        <v>-7.2097014767267794E-4</v>
      </c>
      <c r="K124" s="4">
        <f t="shared" si="22"/>
        <v>9.3049787177672382E-3</v>
      </c>
      <c r="L124" s="4">
        <f t="shared" si="23"/>
        <v>-1.3471470889240018E-3</v>
      </c>
      <c r="M124" s="4">
        <f t="shared" si="24"/>
        <v>-3.3729839439153239E-3</v>
      </c>
      <c r="N124">
        <f t="shared" si="25"/>
        <v>5.1979795383516302E-7</v>
      </c>
      <c r="O124">
        <f t="shared" si="26"/>
        <v>8.658262893810123E-5</v>
      </c>
      <c r="P124">
        <f t="shared" si="27"/>
        <v>1.8148052791964123E-6</v>
      </c>
      <c r="Q124">
        <f t="shared" si="28"/>
        <v>1.1377020685910573E-5</v>
      </c>
    </row>
    <row r="125" spans="1:17" x14ac:dyDescent="0.2">
      <c r="A125" t="s">
        <v>86</v>
      </c>
      <c r="B125">
        <v>952.74</v>
      </c>
      <c r="C125">
        <v>116.32</v>
      </c>
      <c r="D125">
        <v>340.94</v>
      </c>
      <c r="E125">
        <v>209.88</v>
      </c>
      <c r="F125">
        <f t="shared" si="29"/>
        <v>-6.5135871702088439E-4</v>
      </c>
      <c r="G125">
        <f t="shared" si="30"/>
        <v>5.9773999302066413E-3</v>
      </c>
      <c r="H125">
        <f t="shared" si="31"/>
        <v>9.9208310196983729E-3</v>
      </c>
      <c r="I125">
        <f t="shared" si="32"/>
        <v>1.2830810073233691E-2</v>
      </c>
      <c r="J125" s="4">
        <f t="shared" si="21"/>
        <v>-3.6375810346075802E-4</v>
      </c>
      <c r="K125" s="4">
        <f t="shared" si="22"/>
        <v>6.0837762816892326E-3</v>
      </c>
      <c r="L125" s="4">
        <f t="shared" si="23"/>
        <v>1.0207235480117684E-2</v>
      </c>
      <c r="M125" s="4">
        <f t="shared" si="24"/>
        <v>1.2843871576794518E-2</v>
      </c>
      <c r="N125">
        <f t="shared" si="25"/>
        <v>1.3231995783336754E-7</v>
      </c>
      <c r="O125">
        <f t="shared" si="26"/>
        <v>3.7012333845644465E-5</v>
      </c>
      <c r="P125">
        <f t="shared" si="27"/>
        <v>1.0418765614657328E-4</v>
      </c>
      <c r="Q125">
        <f t="shared" si="28"/>
        <v>1.6496503708119011E-4</v>
      </c>
    </row>
    <row r="126" spans="1:17" x14ac:dyDescent="0.2">
      <c r="A126" t="s">
        <v>87</v>
      </c>
      <c r="B126">
        <v>954.17</v>
      </c>
      <c r="C126">
        <v>114.73</v>
      </c>
      <c r="D126">
        <v>333.24</v>
      </c>
      <c r="E126">
        <v>203.77</v>
      </c>
      <c r="F126">
        <f t="shared" si="29"/>
        <v>1.0024953932419815E-3</v>
      </c>
      <c r="G126">
        <f t="shared" si="30"/>
        <v>3.3439586335943447E-3</v>
      </c>
      <c r="H126">
        <f t="shared" si="31"/>
        <v>7.1614255294307812E-3</v>
      </c>
      <c r="I126">
        <f t="shared" si="32"/>
        <v>-9.6949462745963364E-3</v>
      </c>
      <c r="J126" s="4">
        <f t="shared" si="21"/>
        <v>1.2900960068021078E-3</v>
      </c>
      <c r="K126" s="4">
        <f t="shared" si="22"/>
        <v>3.450334985076936E-3</v>
      </c>
      <c r="L126" s="4">
        <f t="shared" si="23"/>
        <v>7.4478299898500912E-3</v>
      </c>
      <c r="M126" s="4">
        <f t="shared" si="24"/>
        <v>-9.6818847710355097E-3</v>
      </c>
      <c r="N126">
        <f t="shared" si="25"/>
        <v>1.6643477067667443E-6</v>
      </c>
      <c r="O126">
        <f t="shared" si="26"/>
        <v>1.1904811509245861E-5</v>
      </c>
      <c r="P126">
        <f t="shared" si="27"/>
        <v>5.547017155771041E-5</v>
      </c>
      <c r="Q126">
        <f t="shared" si="28"/>
        <v>9.3738892719609325E-5</v>
      </c>
    </row>
    <row r="127" spans="1:17" x14ac:dyDescent="0.2">
      <c r="A127" t="s">
        <v>88</v>
      </c>
      <c r="B127">
        <v>951.97</v>
      </c>
      <c r="C127">
        <v>113.85</v>
      </c>
      <c r="D127">
        <v>327.79</v>
      </c>
      <c r="E127">
        <v>208.37</v>
      </c>
      <c r="F127">
        <f t="shared" si="29"/>
        <v>9.1337190864174838E-4</v>
      </c>
      <c r="G127">
        <f t="shared" si="30"/>
        <v>-2.775782962432157E-3</v>
      </c>
      <c r="H127">
        <f t="shared" si="31"/>
        <v>2.9780005855361488E-3</v>
      </c>
      <c r="I127">
        <f t="shared" si="32"/>
        <v>1.2324386084281519E-2</v>
      </c>
      <c r="J127" s="4">
        <f t="shared" si="21"/>
        <v>1.2009725222018749E-3</v>
      </c>
      <c r="K127" s="4">
        <f t="shared" si="22"/>
        <v>-2.6694066109495657E-3</v>
      </c>
      <c r="L127" s="4">
        <f t="shared" si="23"/>
        <v>3.2644050459554588E-3</v>
      </c>
      <c r="M127" s="4">
        <f t="shared" si="24"/>
        <v>1.2337447587842346E-2</v>
      </c>
      <c r="N127">
        <f t="shared" si="25"/>
        <v>1.4423349990839329E-6</v>
      </c>
      <c r="O127">
        <f t="shared" si="26"/>
        <v>7.1257316545812459E-6</v>
      </c>
      <c r="P127">
        <f t="shared" si="27"/>
        <v>1.065634030405946E-5</v>
      </c>
      <c r="Q127">
        <f t="shared" si="28"/>
        <v>1.5221261298275691E-4</v>
      </c>
    </row>
    <row r="128" spans="1:17" x14ac:dyDescent="0.2">
      <c r="A128" t="s">
        <v>89</v>
      </c>
      <c r="B128">
        <v>949.97</v>
      </c>
      <c r="C128">
        <v>114.58</v>
      </c>
      <c r="D128">
        <v>325.55</v>
      </c>
      <c r="E128">
        <v>202.54</v>
      </c>
    </row>
    <row r="130" spans="1:17" x14ac:dyDescent="0.2">
      <c r="A130" t="s">
        <v>90</v>
      </c>
      <c r="B130">
        <f>COUNT(B3:B128)</f>
        <v>126</v>
      </c>
      <c r="E130" t="s">
        <v>91</v>
      </c>
      <c r="F130" s="3">
        <f>AVERAGE(F3:F127)</f>
        <v>-2.8760061356012637E-4</v>
      </c>
      <c r="G130" s="3">
        <f t="shared" ref="G130:I130" si="33">AVERAGE(G3:G127)</f>
        <v>-1.0637635148259138E-4</v>
      </c>
      <c r="H130" s="3">
        <f t="shared" si="33"/>
        <v>-2.8640446041931019E-4</v>
      </c>
      <c r="I130" s="3">
        <f t="shared" si="33"/>
        <v>-1.3061503560826401E-5</v>
      </c>
      <c r="M130" t="s">
        <v>92</v>
      </c>
      <c r="N130">
        <f>SUM(N3:N127)</f>
        <v>8.1785579783169252E-3</v>
      </c>
      <c r="O130">
        <f t="shared" ref="O130:Q130" si="34">SUM(O3:O127)</f>
        <v>4.0355077964420293E-3</v>
      </c>
      <c r="P130">
        <f t="shared" si="34"/>
        <v>4.5329990758192001E-3</v>
      </c>
      <c r="Q130">
        <f t="shared" si="34"/>
        <v>3.7576867237382632</v>
      </c>
    </row>
    <row r="131" spans="1:17" x14ac:dyDescent="0.2">
      <c r="A131" t="s">
        <v>93</v>
      </c>
      <c r="B131" s="5">
        <f>(B128/B3)^(1/$B$130)-1</f>
        <v>6.5718498394695679E-4</v>
      </c>
      <c r="C131" s="5">
        <f>(C128/C3)^(1/$B$130)-1</f>
        <v>2.4302615421789575E-4</v>
      </c>
      <c r="D131" s="5">
        <f t="shared" ref="D131" si="35">(D128/D3)^(1/$B$130)-1</f>
        <v>6.5445080669124245E-4</v>
      </c>
      <c r="E131" t="s">
        <v>94</v>
      </c>
      <c r="F131" s="5">
        <f>F130*SQRT(252)</f>
        <v>-4.56551820233811E-3</v>
      </c>
      <c r="G131" s="5">
        <f t="shared" ref="G131:I131" si="36">G130*SQRT(252)</f>
        <v>-1.688672228408003E-3</v>
      </c>
      <c r="H131" s="5">
        <f t="shared" si="36"/>
        <v>-4.54652985989482E-3</v>
      </c>
      <c r="I131" s="5">
        <f t="shared" si="36"/>
        <v>-2.0734494102318764E-4</v>
      </c>
      <c r="M131" t="s">
        <v>95</v>
      </c>
      <c r="N131">
        <f>N130/($B$130-1)</f>
        <v>6.5428463826535405E-5</v>
      </c>
      <c r="O131">
        <f t="shared" ref="O131:Q131" si="37">O130/($B$130-1)</f>
        <v>3.2284062371536238E-5</v>
      </c>
      <c r="P131">
        <f t="shared" si="37"/>
        <v>3.62639926065536E-5</v>
      </c>
      <c r="Q131">
        <f t="shared" si="37"/>
        <v>3.0061493789906104E-2</v>
      </c>
    </row>
    <row r="132" spans="1:17" x14ac:dyDescent="0.2">
      <c r="B132" cm="1">
        <f t="array" ref="B132">CalculateCAGR(B128,B3,B130)</f>
        <v>-6.5675337549042645E-4</v>
      </c>
      <c r="M132" t="s">
        <v>96</v>
      </c>
      <c r="N132" s="2">
        <f>SQRT(N131)</f>
        <v>8.0887863012033771E-3</v>
      </c>
      <c r="O132" s="2">
        <f t="shared" ref="O132:Q132" si="38">SQRT(O131)</f>
        <v>5.6819065789166434E-3</v>
      </c>
      <c r="P132" s="2">
        <f t="shared" si="38"/>
        <v>6.021959200007386E-3</v>
      </c>
      <c r="Q132" s="2">
        <f t="shared" si="38"/>
        <v>0.17338250716236084</v>
      </c>
    </row>
    <row r="133" spans="1:17" x14ac:dyDescent="0.2">
      <c r="C133" t="s">
        <v>97</v>
      </c>
      <c r="M133" t="s">
        <v>98</v>
      </c>
      <c r="N133" s="5">
        <f>N132*SQRT(252)</f>
        <v>0.12840550176798082</v>
      </c>
      <c r="O133" s="5">
        <f t="shared" ref="O133:P133" si="39">O132*SQRT(252)</f>
        <v>9.0197470683091391E-2</v>
      </c>
      <c r="P133" s="5">
        <f t="shared" si="39"/>
        <v>9.5595638691582094E-2</v>
      </c>
      <c r="Q133" s="5">
        <f>Q132*SQRT(252)</f>
        <v>2.7523619738428917</v>
      </c>
    </row>
    <row r="135" spans="1:17" x14ac:dyDescent="0.2">
      <c r="A135" t="s">
        <v>99</v>
      </c>
      <c r="B135">
        <f>_xlfn.COVARIANCE.S(F3:F127,G3:G127)</f>
        <v>-1.4299989570819407E-6</v>
      </c>
      <c r="D135" s="6">
        <f>N131</f>
        <v>6.5428463826535405E-5</v>
      </c>
      <c r="E135" s="7">
        <f>B135</f>
        <v>-1.4299989570819407E-6</v>
      </c>
      <c r="F135" s="7">
        <f>B136</f>
        <v>1.0951025381946672E-5</v>
      </c>
      <c r="H135" t="s">
        <v>100</v>
      </c>
    </row>
    <row r="136" spans="1:17" x14ac:dyDescent="0.2">
      <c r="A136" t="s">
        <v>101</v>
      </c>
      <c r="B136">
        <f>_xlfn.COVARIANCE.S(F3:F127,H3:H127)</f>
        <v>1.0951025381946672E-5</v>
      </c>
      <c r="D136" s="7">
        <f>B135</f>
        <v>-1.4299989570819407E-6</v>
      </c>
      <c r="E136" s="6">
        <f>O131</f>
        <v>3.2284062371536238E-5</v>
      </c>
      <c r="F136" s="7">
        <f>B137</f>
        <v>5.1202788691398776E-6</v>
      </c>
      <c r="H136" t="s">
        <v>102</v>
      </c>
    </row>
    <row r="137" spans="1:17" x14ac:dyDescent="0.2">
      <c r="A137" t="s">
        <v>103</v>
      </c>
      <c r="B137">
        <f>_xlfn.COVARIANCE.S(G3:G127,H3:H127)</f>
        <v>5.1202788691398776E-6</v>
      </c>
      <c r="D137" s="7">
        <f>B136</f>
        <v>1.0951025381946672E-5</v>
      </c>
      <c r="E137" s="7">
        <f>B137</f>
        <v>5.1202788691398776E-6</v>
      </c>
      <c r="F137" s="6">
        <f>P131</f>
        <v>3.62639926065536E-5</v>
      </c>
      <c r="H137" t="s">
        <v>104</v>
      </c>
    </row>
    <row r="139" spans="1:17" x14ac:dyDescent="0.2">
      <c r="B139" t="s">
        <v>105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5A876-183A-4A49-B4AE-FC76BF3981D7}">
  <sheetPr codeName="Sheet2"/>
  <dimension ref="A1:AE192"/>
  <sheetViews>
    <sheetView tabSelected="1" topLeftCell="A128" zoomScale="92" zoomScaleNormal="92" workbookViewId="0">
      <selection activeCell="G133" sqref="G133"/>
    </sheetView>
  </sheetViews>
  <sheetFormatPr defaultRowHeight="14.25" x14ac:dyDescent="0.2"/>
  <cols>
    <col min="1" max="1" width="19.75" bestFit="1" customWidth="1"/>
    <col min="2" max="2" width="13" bestFit="1" customWidth="1"/>
    <col min="3" max="3" width="12.375" bestFit="1" customWidth="1"/>
    <col min="4" max="4" width="16" bestFit="1" customWidth="1"/>
    <col min="5" max="5" width="14.25" customWidth="1"/>
    <col min="6" max="7" width="13.875" customWidth="1"/>
    <col min="11" max="11" width="12.375" bestFit="1" customWidth="1"/>
    <col min="14" max="14" width="20.375" bestFit="1" customWidth="1"/>
    <col min="15" max="15" width="19.625" customWidth="1"/>
    <col min="16" max="16" width="18.625" customWidth="1"/>
    <col min="17" max="17" width="21.375" customWidth="1"/>
    <col min="18" max="18" width="11.375" customWidth="1"/>
    <col min="19" max="19" width="11.625" customWidth="1"/>
    <col min="20" max="20" width="22.125" customWidth="1"/>
    <col min="21" max="21" width="16.25" customWidth="1"/>
    <col min="22" max="22" width="29.25" customWidth="1"/>
    <col min="23" max="23" width="11.875" customWidth="1"/>
    <col min="24" max="24" width="11.25" customWidth="1"/>
    <col min="25" max="25" width="11.125" customWidth="1"/>
    <col min="27" max="27" width="21.75" bestFit="1" customWidth="1"/>
    <col min="28" max="28" width="22.625" bestFit="1" customWidth="1"/>
    <col min="29" max="29" width="29.875" customWidth="1"/>
  </cols>
  <sheetData>
    <row r="1" spans="1:23" ht="15" x14ac:dyDescent="0.2">
      <c r="B1" t="s">
        <v>106</v>
      </c>
      <c r="C1" t="s">
        <v>107</v>
      </c>
      <c r="D1" t="s">
        <v>108</v>
      </c>
      <c r="E1" t="s">
        <v>106</v>
      </c>
      <c r="F1" t="s">
        <v>107</v>
      </c>
      <c r="G1" t="s">
        <v>108</v>
      </c>
      <c r="H1" t="s">
        <v>106</v>
      </c>
      <c r="I1" t="s">
        <v>107</v>
      </c>
      <c r="J1" t="s">
        <v>108</v>
      </c>
      <c r="K1" t="s">
        <v>106</v>
      </c>
      <c r="L1" t="s">
        <v>107</v>
      </c>
      <c r="M1" t="s">
        <v>108</v>
      </c>
    </row>
    <row r="2" spans="1:23" ht="15" x14ac:dyDescent="0.2">
      <c r="A2" t="s">
        <v>109</v>
      </c>
      <c r="B2" t="s">
        <v>110</v>
      </c>
      <c r="C2" t="s">
        <v>110</v>
      </c>
      <c r="D2" t="s">
        <v>110</v>
      </c>
      <c r="E2" t="s">
        <v>111</v>
      </c>
      <c r="H2" t="s">
        <v>112</v>
      </c>
      <c r="K2" t="s">
        <v>113</v>
      </c>
    </row>
    <row r="3" spans="1:23" ht="15" x14ac:dyDescent="0.2">
      <c r="A3" s="1">
        <v>45523</v>
      </c>
      <c r="B3">
        <v>226.51</v>
      </c>
      <c r="C3">
        <v>40.85</v>
      </c>
      <c r="D3">
        <v>125.25</v>
      </c>
    </row>
    <row r="4" spans="1:23" ht="15" x14ac:dyDescent="0.2">
      <c r="A4" s="1">
        <v>45524</v>
      </c>
      <c r="B4">
        <v>226.4</v>
      </c>
      <c r="C4">
        <v>41.05</v>
      </c>
      <c r="D4">
        <v>124.98</v>
      </c>
      <c r="E4" s="2">
        <f>LN(B4/B3)</f>
        <v>-4.8574772984859386E-4</v>
      </c>
      <c r="F4" s="2">
        <f t="shared" ref="F4:F67" si="0">LN(C4/C3)</f>
        <v>4.8840145924251375E-3</v>
      </c>
      <c r="G4" s="2">
        <f>LN(D4/D3)</f>
        <v>-2.1580154640385659E-3</v>
      </c>
      <c r="H4" s="5">
        <f>E4-$E4107</f>
        <v>-4.8574772984859386E-4</v>
      </c>
      <c r="I4" s="5">
        <f>F4-$F$131</f>
        <v>4.5213458237677315E-3</v>
      </c>
      <c r="J4" s="5">
        <f>G4-$G$131</f>
        <v>-2.6392750766203203E-3</v>
      </c>
      <c r="K4">
        <f>H4^2</f>
        <v>2.3595085705306252E-7</v>
      </c>
      <c r="L4">
        <f t="shared" ref="L4:L67" si="1">I4^2</f>
        <v>2.0442568058101905E-5</v>
      </c>
      <c r="M4">
        <f t="shared" ref="M4:M67" si="2">J4^2</f>
        <v>6.9657729300691976E-6</v>
      </c>
    </row>
    <row r="5" spans="1:23" ht="15" x14ac:dyDescent="0.2">
      <c r="A5" s="1">
        <v>45525</v>
      </c>
      <c r="B5">
        <v>224.53</v>
      </c>
      <c r="C5">
        <v>40.869999999999997</v>
      </c>
      <c r="D5">
        <v>125.22</v>
      </c>
      <c r="E5" s="2">
        <f t="shared" ref="E5:E68" si="3">LN(B5/B4)</f>
        <v>-8.2940177849183654E-3</v>
      </c>
      <c r="F5" s="2">
        <f t="shared" si="0"/>
        <v>-4.3945383222513306E-3</v>
      </c>
      <c r="G5" s="2">
        <f t="shared" ref="G5:G67" si="4">LN(D5/D4)</f>
        <v>1.9184658162287034E-3</v>
      </c>
      <c r="H5" s="5">
        <f>E5-$E4108</f>
        <v>-8.2940177849183654E-3</v>
      </c>
      <c r="I5" s="5">
        <f t="shared" ref="I5:I68" si="5">F5-$F$131</f>
        <v>-4.7572070909087365E-3</v>
      </c>
      <c r="J5" s="5">
        <f t="shared" ref="J5:J68" si="6">G5-$G$131</f>
        <v>1.437206203646949E-3</v>
      </c>
      <c r="K5">
        <f t="shared" ref="K5:K68" si="7">H5^2</f>
        <v>6.879073101654215E-5</v>
      </c>
      <c r="L5">
        <f t="shared" si="1"/>
        <v>2.2631019305792364E-5</v>
      </c>
      <c r="M5">
        <f t="shared" si="2"/>
        <v>2.0655616718012755E-6</v>
      </c>
    </row>
    <row r="6" spans="1:23" ht="15" x14ac:dyDescent="0.2">
      <c r="A6" s="1">
        <v>45526</v>
      </c>
      <c r="B6">
        <v>226.84</v>
      </c>
      <c r="C6">
        <v>41.21</v>
      </c>
      <c r="D6">
        <v>126.9</v>
      </c>
      <c r="E6" s="2">
        <f t="shared" si="3"/>
        <v>1.0235594601717834E-2</v>
      </c>
      <c r="F6" s="2">
        <f t="shared" si="0"/>
        <v>8.284647774540195E-3</v>
      </c>
      <c r="G6" s="2">
        <f t="shared" si="4"/>
        <v>1.3327184403177561E-2</v>
      </c>
      <c r="H6" s="5">
        <f>E6-$E4109</f>
        <v>1.0235594601717834E-2</v>
      </c>
      <c r="I6" s="5">
        <f t="shared" si="5"/>
        <v>7.9219790058827899E-3</v>
      </c>
      <c r="J6" s="5">
        <f t="shared" si="6"/>
        <v>1.2845924790595807E-2</v>
      </c>
      <c r="K6">
        <f t="shared" si="7"/>
        <v>1.0476739685071526E-4</v>
      </c>
      <c r="L6">
        <f t="shared" si="1"/>
        <v>6.2757751369647675E-5</v>
      </c>
      <c r="M6">
        <f t="shared" si="2"/>
        <v>1.6501778372564395E-4</v>
      </c>
    </row>
    <row r="7" spans="1:23" ht="15" x14ac:dyDescent="0.2">
      <c r="A7" s="1">
        <v>45529</v>
      </c>
      <c r="B7">
        <v>227.18</v>
      </c>
      <c r="C7">
        <v>41.49</v>
      </c>
      <c r="D7">
        <v>130.06</v>
      </c>
      <c r="E7" s="2">
        <f t="shared" si="3"/>
        <v>1.497731657448228E-3</v>
      </c>
      <c r="F7" s="2">
        <f t="shared" si="0"/>
        <v>6.7714889940506786E-3</v>
      </c>
      <c r="G7" s="2">
        <f t="shared" si="4"/>
        <v>2.459650772066382E-2</v>
      </c>
      <c r="H7" s="5">
        <f>E7-$E4110</f>
        <v>1.497731657448228E-3</v>
      </c>
      <c r="I7" s="5">
        <f t="shared" si="5"/>
        <v>6.4088202253932726E-3</v>
      </c>
      <c r="J7" s="5">
        <f t="shared" si="6"/>
        <v>2.4115248108082066E-2</v>
      </c>
      <c r="K7">
        <f t="shared" si="7"/>
        <v>2.2432001177226164E-6</v>
      </c>
      <c r="L7">
        <f t="shared" si="1"/>
        <v>4.1072976681409877E-5</v>
      </c>
      <c r="M7">
        <f t="shared" si="2"/>
        <v>5.8154519131435568E-4</v>
      </c>
    </row>
    <row r="8" spans="1:23" ht="15" x14ac:dyDescent="0.2">
      <c r="A8" s="1">
        <v>45530</v>
      </c>
      <c r="B8">
        <v>228.03</v>
      </c>
      <c r="C8">
        <v>41.45</v>
      </c>
      <c r="D8">
        <v>128.56</v>
      </c>
      <c r="E8" s="2">
        <f t="shared" si="3"/>
        <v>3.7345444427833042E-3</v>
      </c>
      <c r="F8" s="2">
        <f t="shared" si="0"/>
        <v>-9.6455276347258423E-4</v>
      </c>
      <c r="G8" s="2">
        <f t="shared" si="4"/>
        <v>-1.1600161011748602E-2</v>
      </c>
      <c r="H8" s="5">
        <f>E8-$E4111</f>
        <v>3.7345444427833042E-3</v>
      </c>
      <c r="I8" s="5">
        <f t="shared" si="5"/>
        <v>-1.32722153212999E-3</v>
      </c>
      <c r="J8" s="5">
        <f t="shared" si="6"/>
        <v>-1.2081420624330355E-2</v>
      </c>
      <c r="K8">
        <f t="shared" si="7"/>
        <v>1.394682219512366E-5</v>
      </c>
      <c r="L8">
        <f t="shared" si="1"/>
        <v>1.7615169953494781E-6</v>
      </c>
      <c r="M8">
        <f t="shared" si="2"/>
        <v>1.4596072430199486E-4</v>
      </c>
    </row>
    <row r="9" spans="1:23" ht="15" x14ac:dyDescent="0.2">
      <c r="A9" s="1">
        <v>45531</v>
      </c>
      <c r="B9">
        <v>226.49</v>
      </c>
      <c r="C9">
        <v>41.49</v>
      </c>
      <c r="D9">
        <v>128.72</v>
      </c>
      <c r="E9" s="2">
        <f t="shared" si="3"/>
        <v>-6.7764054079900871E-3</v>
      </c>
      <c r="F9" s="2">
        <f t="shared" si="0"/>
        <v>9.6455276347250844E-4</v>
      </c>
      <c r="G9" s="2">
        <f t="shared" si="4"/>
        <v>1.2437812548705546E-3</v>
      </c>
      <c r="H9" s="5">
        <f>E9-$E4112</f>
        <v>-6.7764054079900871E-3</v>
      </c>
      <c r="I9" s="5">
        <f t="shared" si="5"/>
        <v>6.0188399481510258E-4</v>
      </c>
      <c r="J9" s="5">
        <f t="shared" si="6"/>
        <v>7.6252164228880011E-4</v>
      </c>
      <c r="K9">
        <f t="shared" si="7"/>
        <v>4.5919670253437297E-5</v>
      </c>
      <c r="L9">
        <f t="shared" si="1"/>
        <v>3.6226434321458642E-7</v>
      </c>
      <c r="M9">
        <f t="shared" si="2"/>
        <v>5.8143925495880884E-7</v>
      </c>
    </row>
    <row r="10" spans="1:23" ht="15" x14ac:dyDescent="0.2">
      <c r="A10" s="1">
        <v>45532</v>
      </c>
      <c r="B10">
        <v>229.79</v>
      </c>
      <c r="C10">
        <v>41.25</v>
      </c>
      <c r="D10">
        <v>129.97999999999999</v>
      </c>
      <c r="E10" s="2">
        <f t="shared" si="3"/>
        <v>1.4465054528776243E-2</v>
      </c>
      <c r="F10" s="2">
        <f t="shared" si="0"/>
        <v>-5.8013215640866245E-3</v>
      </c>
      <c r="G10" s="2">
        <f t="shared" si="4"/>
        <v>9.7410897820749548E-3</v>
      </c>
      <c r="H10" s="5">
        <f>E10-$E4113</f>
        <v>1.4465054528776243E-2</v>
      </c>
      <c r="I10" s="5">
        <f t="shared" si="5"/>
        <v>-6.1639903327440305E-3</v>
      </c>
      <c r="J10" s="5">
        <f t="shared" si="6"/>
        <v>9.2598301694932009E-3</v>
      </c>
      <c r="K10">
        <f t="shared" si="7"/>
        <v>2.0923780252047011E-4</v>
      </c>
      <c r="L10">
        <f t="shared" si="1"/>
        <v>3.7994776822161863E-5</v>
      </c>
      <c r="M10">
        <f t="shared" si="2"/>
        <v>8.5744454767856481E-5</v>
      </c>
    </row>
    <row r="11" spans="1:23" ht="15" x14ac:dyDescent="0.2">
      <c r="A11" s="1">
        <v>45533</v>
      </c>
      <c r="B11">
        <v>229</v>
      </c>
      <c r="C11">
        <v>41.78</v>
      </c>
      <c r="D11">
        <v>128.82</v>
      </c>
      <c r="E11" s="2">
        <f t="shared" si="3"/>
        <v>-3.4438448126052909E-3</v>
      </c>
      <c r="F11" s="2">
        <f t="shared" si="0"/>
        <v>1.2766643347729775E-2</v>
      </c>
      <c r="G11" s="2">
        <f t="shared" si="4"/>
        <v>-8.9645113474581227E-3</v>
      </c>
      <c r="H11" s="5">
        <f>E11-$E4114</f>
        <v>-3.4438448126052909E-3</v>
      </c>
      <c r="I11" s="5">
        <f t="shared" si="5"/>
        <v>1.240397457907237E-2</v>
      </c>
      <c r="J11" s="5">
        <f t="shared" si="6"/>
        <v>-9.4457709600398766E-3</v>
      </c>
      <c r="K11">
        <f t="shared" si="7"/>
        <v>1.1860067093308372E-5</v>
      </c>
      <c r="L11">
        <f t="shared" si="1"/>
        <v>1.5385858535827356E-4</v>
      </c>
      <c r="M11">
        <f t="shared" si="2"/>
        <v>8.9222589029532649E-5</v>
      </c>
      <c r="W11" t="s">
        <v>114</v>
      </c>
    </row>
    <row r="12" spans="1:23" ht="15" x14ac:dyDescent="0.2">
      <c r="A12" s="1">
        <v>45537</v>
      </c>
      <c r="B12">
        <v>222.77</v>
      </c>
      <c r="C12">
        <v>42.93</v>
      </c>
      <c r="D12">
        <v>123.63</v>
      </c>
      <c r="E12" s="2">
        <f t="shared" si="3"/>
        <v>-2.7582154477457006E-2</v>
      </c>
      <c r="F12" s="2">
        <f t="shared" si="0"/>
        <v>2.7153126108049389E-2</v>
      </c>
      <c r="G12" s="2">
        <f t="shared" si="4"/>
        <v>-4.1122847099908967E-2</v>
      </c>
      <c r="H12" s="5">
        <f>E12-$E4115</f>
        <v>-2.7582154477457006E-2</v>
      </c>
      <c r="I12" s="5">
        <f t="shared" si="5"/>
        <v>2.6790457339391983E-2</v>
      </c>
      <c r="J12" s="5">
        <f t="shared" si="6"/>
        <v>-4.1604106712490721E-2</v>
      </c>
      <c r="K12">
        <f t="shared" si="7"/>
        <v>7.6077524561830152E-4</v>
      </c>
      <c r="L12">
        <f t="shared" si="1"/>
        <v>7.1772860445378178E-4</v>
      </c>
      <c r="M12">
        <f t="shared" si="2"/>
        <v>1.7309016953443155E-3</v>
      </c>
      <c r="W12" t="s">
        <v>102</v>
      </c>
    </row>
    <row r="13" spans="1:23" ht="15" x14ac:dyDescent="0.2">
      <c r="A13" s="1">
        <v>45538</v>
      </c>
      <c r="B13">
        <v>220.85</v>
      </c>
      <c r="C13">
        <v>41.48</v>
      </c>
      <c r="D13">
        <v>122.78</v>
      </c>
      <c r="E13" s="2">
        <f t="shared" si="3"/>
        <v>-8.6561110342471426E-3</v>
      </c>
      <c r="F13" s="2">
        <f t="shared" si="0"/>
        <v>-3.4359498875142738E-2</v>
      </c>
      <c r="G13" s="2">
        <f t="shared" si="4"/>
        <v>-6.8990980194853953E-3</v>
      </c>
      <c r="H13" s="5">
        <f>E13-$E4116</f>
        <v>-8.6561110342471426E-3</v>
      </c>
      <c r="I13" s="5">
        <f t="shared" si="5"/>
        <v>-3.4722167643800143E-2</v>
      </c>
      <c r="J13" s="5">
        <f t="shared" si="6"/>
        <v>-7.3803576320671501E-3</v>
      </c>
      <c r="K13">
        <f t="shared" si="7"/>
        <v>7.4928258237215138E-5</v>
      </c>
      <c r="L13">
        <f t="shared" si="1"/>
        <v>1.2056289258841617E-3</v>
      </c>
      <c r="M13">
        <f t="shared" si="2"/>
        <v>5.4469678777211829E-5</v>
      </c>
      <c r="W13" t="s">
        <v>104</v>
      </c>
    </row>
    <row r="14" spans="1:23" ht="15" x14ac:dyDescent="0.2">
      <c r="A14" s="1">
        <v>45539</v>
      </c>
      <c r="B14">
        <v>222.38</v>
      </c>
      <c r="C14">
        <v>41.31</v>
      </c>
      <c r="D14">
        <v>121.55</v>
      </c>
      <c r="E14" s="2">
        <f t="shared" si="3"/>
        <v>6.9038922325676197E-3</v>
      </c>
      <c r="F14" s="2">
        <f t="shared" si="0"/>
        <v>-4.1067819526532483E-3</v>
      </c>
      <c r="G14" s="2">
        <f t="shared" si="4"/>
        <v>-1.0068435237218001E-2</v>
      </c>
      <c r="H14" s="5">
        <f>E14-$E4117</f>
        <v>6.9038922325676197E-3</v>
      </c>
      <c r="I14" s="5">
        <f t="shared" si="5"/>
        <v>-4.4694507213106542E-3</v>
      </c>
      <c r="J14" s="5">
        <f t="shared" si="6"/>
        <v>-1.0549694849799755E-2</v>
      </c>
      <c r="K14">
        <f t="shared" si="7"/>
        <v>4.766372795890751E-5</v>
      </c>
      <c r="L14">
        <f t="shared" si="1"/>
        <v>1.9975989750224328E-5</v>
      </c>
      <c r="M14">
        <f t="shared" si="2"/>
        <v>1.1129606142389147E-4</v>
      </c>
    </row>
    <row r="15" spans="1:23" ht="15" x14ac:dyDescent="0.2">
      <c r="A15" s="1">
        <v>45540</v>
      </c>
      <c r="B15">
        <v>220.82</v>
      </c>
      <c r="C15">
        <v>41.15</v>
      </c>
      <c r="D15">
        <v>120.35</v>
      </c>
      <c r="E15" s="2">
        <f t="shared" si="3"/>
        <v>-7.0397402641122122E-3</v>
      </c>
      <c r="F15" s="2">
        <f t="shared" si="0"/>
        <v>-3.8806742855944771E-3</v>
      </c>
      <c r="G15" s="2">
        <f t="shared" si="4"/>
        <v>-9.9215365330514154E-3</v>
      </c>
      <c r="H15" s="5">
        <f>E15-$E4118</f>
        <v>-7.0397402641122122E-3</v>
      </c>
      <c r="I15" s="5">
        <f t="shared" si="5"/>
        <v>-4.2433430542518826E-3</v>
      </c>
      <c r="J15" s="5">
        <f t="shared" si="6"/>
        <v>-1.0402796145633169E-2</v>
      </c>
      <c r="K15">
        <f t="shared" si="7"/>
        <v>4.955794298616268E-5</v>
      </c>
      <c r="L15">
        <f t="shared" si="1"/>
        <v>1.8005960276067696E-5</v>
      </c>
      <c r="M15">
        <f t="shared" si="2"/>
        <v>1.0821816764760032E-4</v>
      </c>
    </row>
    <row r="16" spans="1:23" ht="15" x14ac:dyDescent="0.2">
      <c r="A16" s="1">
        <v>45543</v>
      </c>
      <c r="B16">
        <v>220.91</v>
      </c>
      <c r="C16">
        <v>42.73</v>
      </c>
      <c r="D16">
        <v>120.5</v>
      </c>
      <c r="E16" s="2">
        <f t="shared" si="3"/>
        <v>4.0748874310253498E-4</v>
      </c>
      <c r="F16" s="2">
        <f t="shared" si="0"/>
        <v>3.7677322532854739E-2</v>
      </c>
      <c r="G16" s="2">
        <f t="shared" si="4"/>
        <v>1.2455887016287366E-3</v>
      </c>
      <c r="H16" s="5">
        <f>E16-$E4119</f>
        <v>4.0748874310253498E-4</v>
      </c>
      <c r="I16" s="5">
        <f t="shared" si="5"/>
        <v>3.7314653764197334E-2</v>
      </c>
      <c r="J16" s="5">
        <f t="shared" si="6"/>
        <v>7.6432908904698214E-4</v>
      </c>
      <c r="K16">
        <f t="shared" si="7"/>
        <v>1.6604707575528375E-7</v>
      </c>
      <c r="L16">
        <f t="shared" si="1"/>
        <v>1.3923833855419262E-3</v>
      </c>
      <c r="M16">
        <f t="shared" si="2"/>
        <v>5.841989563633896E-7</v>
      </c>
    </row>
    <row r="17" spans="1:13" ht="15" x14ac:dyDescent="0.2">
      <c r="A17" s="1">
        <v>45544</v>
      </c>
      <c r="B17">
        <v>220.11</v>
      </c>
      <c r="C17">
        <v>43.65</v>
      </c>
      <c r="D17">
        <v>118.97</v>
      </c>
      <c r="E17" s="2">
        <f t="shared" si="3"/>
        <v>-3.6279573600808664E-3</v>
      </c>
      <c r="F17" s="2">
        <f t="shared" si="0"/>
        <v>2.1302032629677718E-2</v>
      </c>
      <c r="G17" s="2">
        <f t="shared" si="4"/>
        <v>-1.2778392442275036E-2</v>
      </c>
      <c r="H17" s="5">
        <f>E17-$E4120</f>
        <v>-3.6279573600808664E-3</v>
      </c>
      <c r="I17" s="5">
        <f t="shared" si="5"/>
        <v>2.0939363861020313E-2</v>
      </c>
      <c r="J17" s="5">
        <f t="shared" si="6"/>
        <v>-1.3259652054856789E-2</v>
      </c>
      <c r="K17">
        <f t="shared" si="7"/>
        <v>1.316207460656493E-5</v>
      </c>
      <c r="L17">
        <f t="shared" si="1"/>
        <v>4.3845695890420354E-4</v>
      </c>
      <c r="M17">
        <f t="shared" si="2"/>
        <v>1.7581837261586788E-4</v>
      </c>
    </row>
    <row r="18" spans="1:13" ht="15" x14ac:dyDescent="0.2">
      <c r="A18" s="1">
        <v>45545</v>
      </c>
      <c r="B18">
        <v>222.66</v>
      </c>
      <c r="C18">
        <v>43.8</v>
      </c>
      <c r="D18">
        <v>117.9</v>
      </c>
      <c r="E18" s="2">
        <f t="shared" si="3"/>
        <v>1.1518522906548473E-2</v>
      </c>
      <c r="F18" s="2">
        <f t="shared" si="0"/>
        <v>3.4305350967892222E-3</v>
      </c>
      <c r="G18" s="2">
        <f t="shared" si="4"/>
        <v>-9.0345529451094017E-3</v>
      </c>
      <c r="H18" s="5">
        <f>E18-$E4121</f>
        <v>1.1518522906548473E-2</v>
      </c>
      <c r="I18" s="5">
        <f t="shared" si="5"/>
        <v>3.0678663281318162E-3</v>
      </c>
      <c r="J18" s="5">
        <f t="shared" si="6"/>
        <v>-9.5158125576911556E-3</v>
      </c>
      <c r="K18">
        <f t="shared" si="7"/>
        <v>1.3267636994868188E-4</v>
      </c>
      <c r="L18">
        <f t="shared" si="1"/>
        <v>9.4118038072849929E-6</v>
      </c>
      <c r="M18">
        <f t="shared" si="2"/>
        <v>9.0550688633112697E-5</v>
      </c>
    </row>
    <row r="19" spans="1:13" ht="15" x14ac:dyDescent="0.2">
      <c r="A19" s="1">
        <v>45546</v>
      </c>
      <c r="B19">
        <v>222.77</v>
      </c>
      <c r="C19">
        <v>43.86</v>
      </c>
      <c r="D19">
        <v>118.22</v>
      </c>
      <c r="E19" s="2">
        <f t="shared" si="3"/>
        <v>4.9390477622147076E-4</v>
      </c>
      <c r="F19" s="2">
        <f t="shared" si="0"/>
        <v>1.3689256073417405E-3</v>
      </c>
      <c r="G19" s="2">
        <f t="shared" si="4"/>
        <v>2.7104878528982118E-3</v>
      </c>
      <c r="H19" s="5">
        <f>E19-$E4122</f>
        <v>4.9390477622147076E-4</v>
      </c>
      <c r="I19" s="5">
        <f t="shared" si="5"/>
        <v>1.0062568386843347E-3</v>
      </c>
      <c r="J19" s="5">
        <f t="shared" si="6"/>
        <v>2.2292282403164575E-3</v>
      </c>
      <c r="K19">
        <f t="shared" si="7"/>
        <v>2.4394192797438112E-7</v>
      </c>
      <c r="L19">
        <f t="shared" si="1"/>
        <v>1.0125528253989912E-6</v>
      </c>
      <c r="M19">
        <f t="shared" si="2"/>
        <v>4.9694585474244094E-6</v>
      </c>
    </row>
    <row r="20" spans="1:13" ht="15" x14ac:dyDescent="0.2">
      <c r="A20" s="1">
        <v>45547</v>
      </c>
      <c r="B20">
        <v>222.5</v>
      </c>
      <c r="C20">
        <v>44.43</v>
      </c>
      <c r="D20">
        <v>119.37</v>
      </c>
      <c r="E20" s="2">
        <f t="shared" si="3"/>
        <v>-1.2127474704876769E-3</v>
      </c>
      <c r="F20" s="2">
        <f t="shared" si="0"/>
        <v>1.2912173958075032E-2</v>
      </c>
      <c r="G20" s="2">
        <f t="shared" si="4"/>
        <v>9.6806177107234964E-3</v>
      </c>
      <c r="H20" s="5">
        <f>E20-$E4123</f>
        <v>-1.2127474704876769E-3</v>
      </c>
      <c r="I20" s="5">
        <f t="shared" si="5"/>
        <v>1.2549505189417626E-2</v>
      </c>
      <c r="J20" s="5">
        <f t="shared" si="6"/>
        <v>9.1993580981417425E-3</v>
      </c>
      <c r="K20">
        <f t="shared" si="7"/>
        <v>1.4707564271742588E-6</v>
      </c>
      <c r="L20">
        <f t="shared" si="1"/>
        <v>1.5749008049921993E-4</v>
      </c>
      <c r="M20">
        <f t="shared" si="2"/>
        <v>8.4628189417846063E-5</v>
      </c>
    </row>
    <row r="21" spans="1:13" ht="15" x14ac:dyDescent="0.2">
      <c r="A21" s="1">
        <v>45550</v>
      </c>
      <c r="B21">
        <v>216.32</v>
      </c>
      <c r="C21">
        <v>45</v>
      </c>
      <c r="D21">
        <v>121.67</v>
      </c>
      <c r="E21" s="2">
        <f t="shared" si="3"/>
        <v>-2.8168308751695719E-2</v>
      </c>
      <c r="F21" s="2">
        <f t="shared" si="0"/>
        <v>1.2747572822502684E-2</v>
      </c>
      <c r="G21" s="2">
        <f t="shared" si="4"/>
        <v>1.9084548692410698E-2</v>
      </c>
      <c r="H21" s="5">
        <f>E21-$E4124</f>
        <v>-2.8168308751695719E-2</v>
      </c>
      <c r="I21" s="5">
        <f t="shared" si="5"/>
        <v>1.2384904053845279E-2</v>
      </c>
      <c r="J21" s="5">
        <f t="shared" si="6"/>
        <v>1.8603289079828944E-2</v>
      </c>
      <c r="K21">
        <f t="shared" si="7"/>
        <v>7.9345361793085769E-4</v>
      </c>
      <c r="L21">
        <f t="shared" si="1"/>
        <v>1.5338584842295323E-4</v>
      </c>
      <c r="M21">
        <f t="shared" si="2"/>
        <v>3.4608236458768285E-4</v>
      </c>
    </row>
    <row r="22" spans="1:13" ht="15" x14ac:dyDescent="0.2">
      <c r="A22" s="1">
        <v>45551</v>
      </c>
      <c r="B22">
        <v>216.79</v>
      </c>
      <c r="C22">
        <v>44.08</v>
      </c>
      <c r="D22">
        <v>123.19</v>
      </c>
      <c r="E22" s="2">
        <f t="shared" si="3"/>
        <v>2.1703501858254429E-3</v>
      </c>
      <c r="F22" s="2">
        <f t="shared" si="0"/>
        <v>-2.0656324925660753E-2</v>
      </c>
      <c r="G22" s="2">
        <f t="shared" si="4"/>
        <v>1.241541717452495E-2</v>
      </c>
      <c r="H22" s="5">
        <f>E22-$E4125</f>
        <v>2.1703501858254429E-3</v>
      </c>
      <c r="I22" s="5">
        <f t="shared" si="5"/>
        <v>-2.1018993694318158E-2</v>
      </c>
      <c r="J22" s="5">
        <f t="shared" si="6"/>
        <v>1.1934157561943196E-2</v>
      </c>
      <c r="K22">
        <f t="shared" si="7"/>
        <v>4.7104199291125347E-6</v>
      </c>
      <c r="L22">
        <f t="shared" si="1"/>
        <v>4.4179809592178649E-4</v>
      </c>
      <c r="M22">
        <f t="shared" si="2"/>
        <v>1.4242411671328597E-4</v>
      </c>
    </row>
    <row r="23" spans="1:13" ht="15" x14ac:dyDescent="0.2">
      <c r="A23" s="1">
        <v>45552</v>
      </c>
      <c r="B23">
        <v>220.69</v>
      </c>
      <c r="C23">
        <v>43.88</v>
      </c>
      <c r="D23">
        <v>124.38</v>
      </c>
      <c r="E23" s="2">
        <f t="shared" si="3"/>
        <v>1.7829858819643829E-2</v>
      </c>
      <c r="F23" s="2">
        <f t="shared" si="0"/>
        <v>-4.5475294376294073E-3</v>
      </c>
      <c r="G23" s="2">
        <f t="shared" si="4"/>
        <v>9.6135167018605219E-3</v>
      </c>
      <c r="H23" s="5">
        <f>E23-$E4126</f>
        <v>1.7829858819643829E-2</v>
      </c>
      <c r="I23" s="5">
        <f t="shared" si="5"/>
        <v>-4.9101982062868133E-3</v>
      </c>
      <c r="J23" s="5">
        <f t="shared" si="6"/>
        <v>9.1322570892787679E-3</v>
      </c>
      <c r="K23">
        <f t="shared" si="7"/>
        <v>3.1790386552843085E-4</v>
      </c>
      <c r="L23">
        <f t="shared" si="1"/>
        <v>2.4110046425022238E-5</v>
      </c>
      <c r="M23">
        <f t="shared" si="2"/>
        <v>8.3398119544682316E-5</v>
      </c>
    </row>
    <row r="24" spans="1:13" ht="15" x14ac:dyDescent="0.2">
      <c r="A24" s="1">
        <v>45553</v>
      </c>
      <c r="B24">
        <v>228.87</v>
      </c>
      <c r="C24">
        <v>43.94</v>
      </c>
      <c r="D24">
        <v>125.2</v>
      </c>
      <c r="E24" s="2">
        <f t="shared" si="3"/>
        <v>3.6395154910179209E-2</v>
      </c>
      <c r="F24" s="2">
        <f t="shared" si="0"/>
        <v>1.3664315494345757E-3</v>
      </c>
      <c r="G24" s="2">
        <f t="shared" si="4"/>
        <v>6.5710629902550827E-3</v>
      </c>
      <c r="H24" s="5">
        <f>E24-$E4127</f>
        <v>3.6395154910179209E-2</v>
      </c>
      <c r="I24" s="5">
        <f t="shared" si="5"/>
        <v>1.00376278077717E-3</v>
      </c>
      <c r="J24" s="5">
        <f t="shared" si="6"/>
        <v>6.0898033776733279E-3</v>
      </c>
      <c r="K24">
        <f t="shared" si="7"/>
        <v>1.3246073009359417E-3</v>
      </c>
      <c r="L24">
        <f t="shared" si="1"/>
        <v>1.0075397200735169E-6</v>
      </c>
      <c r="M24">
        <f t="shared" si="2"/>
        <v>3.7085705178721475E-5</v>
      </c>
    </row>
    <row r="25" spans="1:13" ht="15" x14ac:dyDescent="0.2">
      <c r="A25" s="1">
        <v>45554</v>
      </c>
      <c r="B25">
        <v>228.2</v>
      </c>
      <c r="C25">
        <v>44.33</v>
      </c>
      <c r="D25">
        <v>126.03</v>
      </c>
      <c r="E25" s="2">
        <f t="shared" si="3"/>
        <v>-2.9317193422724623E-3</v>
      </c>
      <c r="F25" s="2">
        <f t="shared" si="0"/>
        <v>8.8365818004979436E-3</v>
      </c>
      <c r="G25" s="2">
        <f t="shared" si="4"/>
        <v>6.6075151834022114E-3</v>
      </c>
      <c r="H25" s="5">
        <f>E25-$E4128</f>
        <v>-2.9317193422724623E-3</v>
      </c>
      <c r="I25" s="5">
        <f t="shared" si="5"/>
        <v>8.4739130318405385E-3</v>
      </c>
      <c r="J25" s="5">
        <f t="shared" si="6"/>
        <v>6.1262555708204566E-3</v>
      </c>
      <c r="K25">
        <f t="shared" si="7"/>
        <v>8.5949783018544782E-6</v>
      </c>
      <c r="L25">
        <f t="shared" si="1"/>
        <v>7.1807202071196905E-5</v>
      </c>
      <c r="M25">
        <f t="shared" si="2"/>
        <v>3.7531007319008677E-5</v>
      </c>
    </row>
    <row r="26" spans="1:13" ht="15" x14ac:dyDescent="0.2">
      <c r="A26" s="1">
        <v>45557</v>
      </c>
      <c r="B26">
        <v>226.47</v>
      </c>
      <c r="C26">
        <v>44.26</v>
      </c>
      <c r="D26">
        <v>127.73</v>
      </c>
      <c r="E26" s="2">
        <f t="shared" si="3"/>
        <v>-7.6099516083320351E-3</v>
      </c>
      <c r="F26" s="2">
        <f t="shared" si="0"/>
        <v>-1.5803141340585227E-3</v>
      </c>
      <c r="G26" s="2">
        <f t="shared" si="4"/>
        <v>1.3398687205285153E-2</v>
      </c>
      <c r="H26" s="5">
        <f>E26-$E4129</f>
        <v>-7.6099516083320351E-3</v>
      </c>
      <c r="I26" s="5">
        <f t="shared" si="5"/>
        <v>-1.9429829027159285E-3</v>
      </c>
      <c r="J26" s="5">
        <f t="shared" si="6"/>
        <v>1.2917427592703399E-2</v>
      </c>
      <c r="K26">
        <f t="shared" si="7"/>
        <v>5.7911363481155326E-5</v>
      </c>
      <c r="L26">
        <f t="shared" si="1"/>
        <v>3.7751825602464151E-6</v>
      </c>
      <c r="M26">
        <f t="shared" si="2"/>
        <v>1.6685993561273512E-4</v>
      </c>
    </row>
    <row r="27" spans="1:13" ht="15" x14ac:dyDescent="0.2">
      <c r="A27" s="1">
        <v>45558</v>
      </c>
      <c r="B27">
        <v>227.37</v>
      </c>
      <c r="C27">
        <v>44.66</v>
      </c>
      <c r="D27">
        <v>127.9</v>
      </c>
      <c r="E27" s="2">
        <f t="shared" si="3"/>
        <v>3.9661606724042875E-3</v>
      </c>
      <c r="F27" s="2">
        <f t="shared" si="0"/>
        <v>8.9969117891082664E-3</v>
      </c>
      <c r="G27" s="2">
        <f t="shared" si="4"/>
        <v>1.330047530111523E-3</v>
      </c>
      <c r="H27" s="5">
        <f>E27-$E4130</f>
        <v>3.9661606724042875E-3</v>
      </c>
      <c r="I27" s="5">
        <f t="shared" si="5"/>
        <v>8.6342430204508613E-3</v>
      </c>
      <c r="J27" s="5">
        <f t="shared" si="6"/>
        <v>8.4878791752976857E-4</v>
      </c>
      <c r="K27">
        <f t="shared" si="7"/>
        <v>1.5730430479326431E-5</v>
      </c>
      <c r="L27">
        <f t="shared" si="1"/>
        <v>7.4550152536204407E-5</v>
      </c>
      <c r="M27">
        <f t="shared" si="2"/>
        <v>7.2044092894452119E-7</v>
      </c>
    </row>
    <row r="28" spans="1:13" ht="15" x14ac:dyDescent="0.2">
      <c r="A28" s="1">
        <v>45559</v>
      </c>
      <c r="B28">
        <v>226.37</v>
      </c>
      <c r="C28">
        <v>44.55</v>
      </c>
      <c r="D28">
        <v>124.56</v>
      </c>
      <c r="E28" s="2">
        <f t="shared" si="3"/>
        <v>-4.407817777012997E-3</v>
      </c>
      <c r="F28" s="2">
        <f t="shared" si="0"/>
        <v>-2.4660924951934427E-3</v>
      </c>
      <c r="G28" s="2">
        <f t="shared" si="4"/>
        <v>-2.6461181059054178E-2</v>
      </c>
      <c r="H28" s="5">
        <f>E28-$E4131</f>
        <v>-4.407817777012997E-3</v>
      </c>
      <c r="I28" s="5">
        <f t="shared" si="5"/>
        <v>-2.8287612638508487E-3</v>
      </c>
      <c r="J28" s="5">
        <f t="shared" si="6"/>
        <v>-2.6942440671635932E-2</v>
      </c>
      <c r="K28">
        <f t="shared" si="7"/>
        <v>1.9428857555351797E-5</v>
      </c>
      <c r="L28">
        <f t="shared" si="1"/>
        <v>8.0018902878630508E-6</v>
      </c>
      <c r="M28">
        <f t="shared" si="2"/>
        <v>7.2589510934462206E-4</v>
      </c>
    </row>
    <row r="29" spans="1:13" ht="15" x14ac:dyDescent="0.2">
      <c r="A29" s="1">
        <v>45560</v>
      </c>
      <c r="B29">
        <v>227.52</v>
      </c>
      <c r="C29">
        <v>44.62</v>
      </c>
      <c r="D29">
        <v>120.37</v>
      </c>
      <c r="E29" s="2">
        <f t="shared" si="3"/>
        <v>5.0673178998415468E-3</v>
      </c>
      <c r="F29" s="2">
        <f t="shared" si="0"/>
        <v>1.5700350875681975E-3</v>
      </c>
      <c r="G29" s="2">
        <f t="shared" si="4"/>
        <v>-3.4217195134099418E-2</v>
      </c>
      <c r="H29" s="5">
        <f>E29-$E4132</f>
        <v>5.0673178998415468E-3</v>
      </c>
      <c r="I29" s="5">
        <f t="shared" si="5"/>
        <v>1.2073663189107917E-3</v>
      </c>
      <c r="J29" s="5">
        <f t="shared" si="6"/>
        <v>-3.4698454746681172E-2</v>
      </c>
      <c r="K29">
        <f t="shared" si="7"/>
        <v>2.5677710698054543E-5</v>
      </c>
      <c r="L29">
        <f t="shared" si="1"/>
        <v>1.4577334280401957E-6</v>
      </c>
      <c r="M29">
        <f t="shared" si="2"/>
        <v>1.2039827618074812E-3</v>
      </c>
    </row>
    <row r="30" spans="1:13" ht="15" x14ac:dyDescent="0.2">
      <c r="A30" s="1">
        <v>45561</v>
      </c>
      <c r="B30">
        <v>227.79</v>
      </c>
      <c r="C30">
        <v>44.89</v>
      </c>
      <c r="D30">
        <v>122.44</v>
      </c>
      <c r="E30" s="2">
        <f t="shared" si="3"/>
        <v>1.1860052783758518E-3</v>
      </c>
      <c r="F30" s="2">
        <f t="shared" si="0"/>
        <v>6.0328637894544578E-3</v>
      </c>
      <c r="G30" s="2">
        <f t="shared" si="4"/>
        <v>1.7050781685568329E-2</v>
      </c>
      <c r="H30" s="5">
        <f>E30-$E4133</f>
        <v>1.1860052783758518E-3</v>
      </c>
      <c r="I30" s="5">
        <f t="shared" si="5"/>
        <v>5.6701950207970519E-3</v>
      </c>
      <c r="J30" s="5">
        <f t="shared" si="6"/>
        <v>1.6569522072986575E-2</v>
      </c>
      <c r="K30">
        <f t="shared" si="7"/>
        <v>1.4066085203353818E-6</v>
      </c>
      <c r="L30">
        <f t="shared" si="1"/>
        <v>3.2151111573871681E-5</v>
      </c>
      <c r="M30">
        <f t="shared" si="2"/>
        <v>2.7454906172718929E-4</v>
      </c>
    </row>
    <row r="31" spans="1:13" ht="15" x14ac:dyDescent="0.2">
      <c r="A31" s="1">
        <v>45564</v>
      </c>
      <c r="B31">
        <v>233</v>
      </c>
      <c r="C31">
        <v>44.91</v>
      </c>
      <c r="D31">
        <v>122.93</v>
      </c>
      <c r="E31" s="2">
        <f t="shared" si="3"/>
        <v>2.2614301672448562E-2</v>
      </c>
      <c r="F31" s="2">
        <f t="shared" si="0"/>
        <v>4.45434305805824E-4</v>
      </c>
      <c r="G31" s="2">
        <f t="shared" si="4"/>
        <v>3.9939736020380128E-3</v>
      </c>
      <c r="H31" s="5">
        <f>E31-$E4134</f>
        <v>2.2614301672448562E-2</v>
      </c>
      <c r="I31" s="5">
        <f t="shared" si="5"/>
        <v>8.2765537148418191E-5</v>
      </c>
      <c r="J31" s="5">
        <f t="shared" si="6"/>
        <v>3.5127139894562585E-3</v>
      </c>
      <c r="K31">
        <f t="shared" si="7"/>
        <v>5.1140664013250977E-4</v>
      </c>
      <c r="L31">
        <f t="shared" si="1"/>
        <v>6.8501341394661914E-9</v>
      </c>
      <c r="M31">
        <f t="shared" si="2"/>
        <v>1.2339159571721703E-5</v>
      </c>
    </row>
    <row r="32" spans="1:13" ht="15" x14ac:dyDescent="0.2">
      <c r="A32" s="1">
        <v>45565</v>
      </c>
      <c r="B32">
        <v>226.21</v>
      </c>
      <c r="C32">
        <v>45.21</v>
      </c>
      <c r="D32">
        <v>126.96</v>
      </c>
      <c r="E32" s="2">
        <f t="shared" si="3"/>
        <v>-2.9574682195956357E-2</v>
      </c>
      <c r="F32" s="2">
        <f t="shared" si="0"/>
        <v>6.6578142068672566E-3</v>
      </c>
      <c r="G32" s="2">
        <f t="shared" si="4"/>
        <v>3.2256988538903852E-2</v>
      </c>
      <c r="H32" s="5">
        <f>E32-$E4135</f>
        <v>-2.9574682195956357E-2</v>
      </c>
      <c r="I32" s="5">
        <f t="shared" si="5"/>
        <v>6.2951454382098506E-3</v>
      </c>
      <c r="J32" s="5">
        <f t="shared" si="6"/>
        <v>3.1775728926322098E-2</v>
      </c>
      <c r="K32">
        <f t="shared" si="7"/>
        <v>8.746618269918179E-4</v>
      </c>
      <c r="L32">
        <f t="shared" si="1"/>
        <v>3.9628856088214289E-5</v>
      </c>
      <c r="M32">
        <f t="shared" si="2"/>
        <v>1.0096969487991029E-3</v>
      </c>
    </row>
    <row r="33" spans="1:13" ht="15" x14ac:dyDescent="0.2">
      <c r="A33" s="1">
        <v>45566</v>
      </c>
      <c r="B33">
        <v>226.78</v>
      </c>
      <c r="C33">
        <v>45.05</v>
      </c>
      <c r="D33">
        <v>128.33000000000001</v>
      </c>
      <c r="E33" s="2">
        <f t="shared" si="3"/>
        <v>2.5166131739495158E-3</v>
      </c>
      <c r="F33" s="2">
        <f t="shared" si="0"/>
        <v>-3.5453172521669788E-3</v>
      </c>
      <c r="G33" s="2">
        <f t="shared" si="4"/>
        <v>1.0732995038216167E-2</v>
      </c>
      <c r="H33" s="5">
        <f>E33-$E4136</f>
        <v>2.5166131739495158E-3</v>
      </c>
      <c r="I33" s="5">
        <f t="shared" si="5"/>
        <v>-3.9079860208243843E-3</v>
      </c>
      <c r="J33" s="5">
        <f t="shared" si="6"/>
        <v>1.0251735425634413E-2</v>
      </c>
      <c r="K33">
        <f t="shared" si="7"/>
        <v>6.3333418672962561E-6</v>
      </c>
      <c r="L33">
        <f t="shared" si="1"/>
        <v>1.5272354738958804E-5</v>
      </c>
      <c r="M33">
        <f t="shared" si="2"/>
        <v>1.0509807923720759E-4</v>
      </c>
    </row>
    <row r="34" spans="1:13" ht="15" x14ac:dyDescent="0.2">
      <c r="A34" s="1">
        <v>45567</v>
      </c>
      <c r="B34">
        <v>225.67</v>
      </c>
      <c r="C34">
        <v>44.52</v>
      </c>
      <c r="D34">
        <v>130.79</v>
      </c>
      <c r="E34" s="2">
        <f t="shared" si="3"/>
        <v>-4.9066293598749146E-3</v>
      </c>
      <c r="F34" s="2">
        <f t="shared" si="0"/>
        <v>-1.1834457647002685E-2</v>
      </c>
      <c r="G34" s="2">
        <f t="shared" si="4"/>
        <v>1.8987912244691162E-2</v>
      </c>
      <c r="H34" s="5">
        <f>E34-$E4137</f>
        <v>-4.9066293598749146E-3</v>
      </c>
      <c r="I34" s="5">
        <f t="shared" si="5"/>
        <v>-1.2197126415660091E-2</v>
      </c>
      <c r="J34" s="5">
        <f t="shared" si="6"/>
        <v>1.8506652632109408E-2</v>
      </c>
      <c r="K34">
        <f t="shared" si="7"/>
        <v>2.4075011675186516E-5</v>
      </c>
      <c r="L34">
        <f t="shared" si="1"/>
        <v>1.4876989279959316E-4</v>
      </c>
      <c r="M34">
        <f t="shared" si="2"/>
        <v>3.4249619164556207E-4</v>
      </c>
    </row>
    <row r="35" spans="1:13" ht="15" x14ac:dyDescent="0.2">
      <c r="A35" s="1">
        <v>45568</v>
      </c>
      <c r="B35">
        <v>226.8</v>
      </c>
      <c r="C35">
        <v>44.18</v>
      </c>
      <c r="D35">
        <v>133.12</v>
      </c>
      <c r="E35" s="2">
        <f t="shared" si="3"/>
        <v>4.9948166697781288E-3</v>
      </c>
      <c r="F35" s="2">
        <f t="shared" si="0"/>
        <v>-7.666328415373045E-3</v>
      </c>
      <c r="G35" s="2">
        <f t="shared" si="4"/>
        <v>1.765799357183747E-2</v>
      </c>
      <c r="H35" s="5">
        <f>E35-$E4138</f>
        <v>4.9948166697781288E-3</v>
      </c>
      <c r="I35" s="5">
        <f t="shared" si="5"/>
        <v>-8.0289971840304501E-3</v>
      </c>
      <c r="J35" s="5">
        <f t="shared" si="6"/>
        <v>1.7176733959255716E-2</v>
      </c>
      <c r="K35">
        <f t="shared" si="7"/>
        <v>2.4948193564693478E-5</v>
      </c>
      <c r="L35">
        <f t="shared" si="1"/>
        <v>6.4464795781168891E-5</v>
      </c>
      <c r="M35">
        <f t="shared" si="2"/>
        <v>2.9504018950704856E-4</v>
      </c>
    </row>
    <row r="36" spans="1:13" ht="15" x14ac:dyDescent="0.2">
      <c r="A36" s="1">
        <v>45571</v>
      </c>
      <c r="B36">
        <v>221.69</v>
      </c>
      <c r="C36">
        <v>43.84</v>
      </c>
      <c r="D36">
        <v>134.24</v>
      </c>
      <c r="E36" s="2">
        <f t="shared" si="3"/>
        <v>-2.2788562247735331E-2</v>
      </c>
      <c r="F36" s="2">
        <f t="shared" si="0"/>
        <v>-7.7255553522108987E-3</v>
      </c>
      <c r="G36" s="2">
        <f t="shared" si="4"/>
        <v>8.3782656459977199E-3</v>
      </c>
      <c r="H36" s="5">
        <f>E36-$E4139</f>
        <v>-2.2788562247735331E-2</v>
      </c>
      <c r="I36" s="5">
        <f t="shared" si="5"/>
        <v>-8.0882241208683047E-3</v>
      </c>
      <c r="J36" s="5">
        <f t="shared" si="6"/>
        <v>7.897006033415966E-3</v>
      </c>
      <c r="K36">
        <f t="shared" si="7"/>
        <v>5.1931856931890794E-4</v>
      </c>
      <c r="L36">
        <f t="shared" si="1"/>
        <v>6.5419369429395866E-5</v>
      </c>
      <c r="M36">
        <f t="shared" si="2"/>
        <v>6.2362704291808166E-5</v>
      </c>
    </row>
    <row r="37" spans="1:13" ht="15" x14ac:dyDescent="0.2">
      <c r="A37" s="1">
        <v>45572</v>
      </c>
      <c r="B37">
        <v>225.77</v>
      </c>
      <c r="C37">
        <v>44.01</v>
      </c>
      <c r="D37">
        <v>130.37</v>
      </c>
      <c r="E37" s="2">
        <f t="shared" si="3"/>
        <v>1.8236772344019592E-2</v>
      </c>
      <c r="F37" s="2">
        <f t="shared" si="0"/>
        <v>3.8702381832398411E-3</v>
      </c>
      <c r="G37" s="2">
        <f t="shared" si="4"/>
        <v>-2.9252681044208643E-2</v>
      </c>
      <c r="H37" s="5">
        <f>E37-$E4140</f>
        <v>1.8236772344019592E-2</v>
      </c>
      <c r="I37" s="5">
        <f t="shared" si="5"/>
        <v>3.5075694145824351E-3</v>
      </c>
      <c r="J37" s="5">
        <f t="shared" si="6"/>
        <v>-2.9733940656790397E-2</v>
      </c>
      <c r="K37">
        <f t="shared" si="7"/>
        <v>3.3257986552759784E-4</v>
      </c>
      <c r="L37">
        <f t="shared" si="1"/>
        <v>1.2303043198114167E-5</v>
      </c>
      <c r="M37">
        <f t="shared" si="2"/>
        <v>8.8410722698153293E-4</v>
      </c>
    </row>
    <row r="38" spans="1:13" ht="15" x14ac:dyDescent="0.2">
      <c r="A38" s="1">
        <v>45573</v>
      </c>
      <c r="B38">
        <v>229.54</v>
      </c>
      <c r="C38">
        <v>44.11</v>
      </c>
      <c r="D38">
        <v>130.96</v>
      </c>
      <c r="E38" s="2">
        <f t="shared" si="3"/>
        <v>1.6560524302640989E-2</v>
      </c>
      <c r="F38" s="2">
        <f t="shared" si="0"/>
        <v>2.2696332938483168E-3</v>
      </c>
      <c r="G38" s="2">
        <f t="shared" si="4"/>
        <v>4.5153713881920373E-3</v>
      </c>
      <c r="H38" s="5">
        <f>E38-$E4141</f>
        <v>1.6560524302640989E-2</v>
      </c>
      <c r="I38" s="5">
        <f t="shared" si="5"/>
        <v>1.9069645251909111E-3</v>
      </c>
      <c r="J38" s="5">
        <f t="shared" si="6"/>
        <v>4.0341117756102825E-3</v>
      </c>
      <c r="K38">
        <f t="shared" si="7"/>
        <v>2.7425096517836282E-4</v>
      </c>
      <c r="L38">
        <f t="shared" si="1"/>
        <v>3.6365137003365969E-6</v>
      </c>
      <c r="M38">
        <f t="shared" si="2"/>
        <v>1.6274057818117546E-5</v>
      </c>
    </row>
    <row r="39" spans="1:13" ht="15" x14ac:dyDescent="0.2">
      <c r="A39" s="1">
        <v>45574</v>
      </c>
      <c r="B39">
        <v>229.04</v>
      </c>
      <c r="C39">
        <v>42.95</v>
      </c>
      <c r="D39">
        <v>132.19</v>
      </c>
      <c r="E39" s="2">
        <f t="shared" si="3"/>
        <v>-2.1806454626626935E-3</v>
      </c>
      <c r="F39" s="2">
        <f t="shared" si="0"/>
        <v>-2.6649865686583868E-2</v>
      </c>
      <c r="G39" s="2">
        <f t="shared" si="4"/>
        <v>9.3483485284286891E-3</v>
      </c>
      <c r="H39" s="5">
        <f>E39-$E4142</f>
        <v>-2.1806454626626935E-3</v>
      </c>
      <c r="I39" s="5">
        <f t="shared" si="5"/>
        <v>-2.7012534455241273E-2</v>
      </c>
      <c r="J39" s="5">
        <f t="shared" si="6"/>
        <v>8.8670889158469351E-3</v>
      </c>
      <c r="K39">
        <f t="shared" si="7"/>
        <v>4.7552146338313923E-6</v>
      </c>
      <c r="L39">
        <f t="shared" si="1"/>
        <v>7.2967701769559691E-4</v>
      </c>
      <c r="M39">
        <f t="shared" si="2"/>
        <v>7.862526584153558E-5</v>
      </c>
    </row>
    <row r="40" spans="1:13" ht="15" x14ac:dyDescent="0.2">
      <c r="A40" s="1">
        <v>45575</v>
      </c>
      <c r="B40">
        <v>227.55</v>
      </c>
      <c r="C40">
        <v>43</v>
      </c>
      <c r="D40">
        <v>132.44999999999999</v>
      </c>
      <c r="E40" s="2">
        <f t="shared" si="3"/>
        <v>-6.5266663272085766E-3</v>
      </c>
      <c r="F40" s="2">
        <f t="shared" si="0"/>
        <v>1.1634672632980494E-3</v>
      </c>
      <c r="G40" s="2">
        <f t="shared" si="4"/>
        <v>1.964934126770383E-3</v>
      </c>
      <c r="H40" s="5">
        <f>E40-$E4143</f>
        <v>-6.5266663272085766E-3</v>
      </c>
      <c r="I40" s="5">
        <f t="shared" si="5"/>
        <v>8.0079849464064368E-4</v>
      </c>
      <c r="J40" s="5">
        <f t="shared" si="6"/>
        <v>1.4836745141886287E-3</v>
      </c>
      <c r="K40">
        <f t="shared" si="7"/>
        <v>4.2597373346718293E-5</v>
      </c>
      <c r="L40">
        <f t="shared" si="1"/>
        <v>6.4127822901872103E-7</v>
      </c>
      <c r="M40">
        <f t="shared" si="2"/>
        <v>2.2012900640528633E-6</v>
      </c>
    </row>
    <row r="41" spans="1:13" ht="15" x14ac:dyDescent="0.2">
      <c r="A41" s="1">
        <v>45578</v>
      </c>
      <c r="B41">
        <v>231.3</v>
      </c>
      <c r="C41">
        <v>43.19</v>
      </c>
      <c r="D41">
        <v>131.47</v>
      </c>
      <c r="E41" s="2">
        <f t="shared" si="3"/>
        <v>1.6345574774742577E-2</v>
      </c>
      <c r="F41" s="2">
        <f t="shared" si="0"/>
        <v>4.4088712790472644E-3</v>
      </c>
      <c r="G41" s="2">
        <f t="shared" si="4"/>
        <v>-7.4265270095657844E-3</v>
      </c>
      <c r="H41" s="5">
        <f>E41-$E4144</f>
        <v>1.6345574774742577E-2</v>
      </c>
      <c r="I41" s="5">
        <f t="shared" si="5"/>
        <v>4.0462025103898585E-3</v>
      </c>
      <c r="J41" s="5">
        <f t="shared" si="6"/>
        <v>-7.9077866221475383E-3</v>
      </c>
      <c r="K41">
        <f t="shared" si="7"/>
        <v>2.6717781471670085E-4</v>
      </c>
      <c r="L41">
        <f t="shared" si="1"/>
        <v>1.6371754755085192E-5</v>
      </c>
      <c r="M41">
        <f t="shared" si="2"/>
        <v>6.253308926141558E-5</v>
      </c>
    </row>
    <row r="42" spans="1:13" ht="15" x14ac:dyDescent="0.2">
      <c r="A42" s="1">
        <v>45579</v>
      </c>
      <c r="B42">
        <v>233.85</v>
      </c>
      <c r="C42">
        <v>43.74</v>
      </c>
      <c r="D42">
        <v>127.28</v>
      </c>
      <c r="E42" s="2">
        <f t="shared" si="3"/>
        <v>1.0964314934501682E-2</v>
      </c>
      <c r="F42" s="2">
        <f t="shared" si="0"/>
        <v>1.2654028276012079E-2</v>
      </c>
      <c r="G42" s="2">
        <f t="shared" si="4"/>
        <v>-3.2389304678981476E-2</v>
      </c>
      <c r="H42" s="5">
        <f>E42-$E4145</f>
        <v>1.0964314934501682E-2</v>
      </c>
      <c r="I42" s="5">
        <f t="shared" si="5"/>
        <v>1.2291359507354674E-2</v>
      </c>
      <c r="J42" s="5">
        <f t="shared" si="6"/>
        <v>-3.287056429156323E-2</v>
      </c>
      <c r="K42">
        <f t="shared" si="7"/>
        <v>1.2021620198293662E-4</v>
      </c>
      <c r="L42">
        <f t="shared" si="1"/>
        <v>1.5107751853903813E-4</v>
      </c>
      <c r="M42">
        <f t="shared" si="2"/>
        <v>1.0804739968457917E-3</v>
      </c>
    </row>
    <row r="43" spans="1:13" ht="15" x14ac:dyDescent="0.2">
      <c r="A43" s="1">
        <v>45580</v>
      </c>
      <c r="B43">
        <v>231.78</v>
      </c>
      <c r="C43">
        <v>43.91</v>
      </c>
      <c r="D43">
        <v>127.36</v>
      </c>
      <c r="E43" s="2">
        <f t="shared" si="3"/>
        <v>-8.8912382656501972E-3</v>
      </c>
      <c r="F43" s="2">
        <f t="shared" si="0"/>
        <v>3.8790693250041002E-3</v>
      </c>
      <c r="G43" s="2">
        <f t="shared" si="4"/>
        <v>6.2833806654140291E-4</v>
      </c>
      <c r="H43" s="5">
        <f>E43-$E4146</f>
        <v>-8.8912382656501972E-3</v>
      </c>
      <c r="I43" s="5">
        <f t="shared" si="5"/>
        <v>3.5164005563466942E-3</v>
      </c>
      <c r="J43" s="5">
        <f t="shared" si="6"/>
        <v>1.4707845395964844E-4</v>
      </c>
      <c r="K43">
        <f t="shared" si="7"/>
        <v>7.9054117896562324E-5</v>
      </c>
      <c r="L43">
        <f t="shared" si="1"/>
        <v>1.2365072872675341E-5</v>
      </c>
      <c r="M43">
        <f t="shared" si="2"/>
        <v>2.1632071619160426E-8</v>
      </c>
    </row>
    <row r="44" spans="1:13" ht="15" x14ac:dyDescent="0.2">
      <c r="A44" s="1">
        <v>45581</v>
      </c>
      <c r="B44">
        <v>232.15</v>
      </c>
      <c r="C44">
        <v>43.85</v>
      </c>
      <c r="D44">
        <v>127.04</v>
      </c>
      <c r="E44" s="2">
        <f t="shared" si="3"/>
        <v>1.5950685596858294E-3</v>
      </c>
      <c r="F44" s="2">
        <f t="shared" si="0"/>
        <v>-1.3673657554339415E-3</v>
      </c>
      <c r="G44" s="2">
        <f t="shared" si="4"/>
        <v>-2.5157245972472469E-3</v>
      </c>
      <c r="H44" s="5">
        <f>E44-$E4147</f>
        <v>1.5950685596858294E-3</v>
      </c>
      <c r="I44" s="5">
        <f t="shared" si="5"/>
        <v>-1.7300345240913472E-3</v>
      </c>
      <c r="J44" s="5">
        <f t="shared" si="6"/>
        <v>-2.9969842098290012E-3</v>
      </c>
      <c r="K44">
        <f t="shared" si="7"/>
        <v>2.5442437100982263E-6</v>
      </c>
      <c r="L44">
        <f t="shared" si="1"/>
        <v>2.9930194545479744E-6</v>
      </c>
      <c r="M44">
        <f t="shared" si="2"/>
        <v>8.9819143539643633E-6</v>
      </c>
    </row>
    <row r="45" spans="1:13" ht="15" x14ac:dyDescent="0.2">
      <c r="A45" s="1">
        <v>45582</v>
      </c>
      <c r="B45">
        <v>235</v>
      </c>
      <c r="C45">
        <v>43.99</v>
      </c>
      <c r="D45">
        <v>126.62</v>
      </c>
      <c r="E45" s="2">
        <f t="shared" si="3"/>
        <v>1.2201799678228265E-2</v>
      </c>
      <c r="F45" s="2">
        <f t="shared" si="0"/>
        <v>3.1876165424363943E-3</v>
      </c>
      <c r="G45" s="2">
        <f t="shared" si="4"/>
        <v>-3.3115223828451583E-3</v>
      </c>
      <c r="H45" s="5">
        <f>E45-$E4148</f>
        <v>1.2201799678228265E-2</v>
      </c>
      <c r="I45" s="5">
        <f t="shared" si="5"/>
        <v>2.8249477737789883E-3</v>
      </c>
      <c r="J45" s="5">
        <f t="shared" si="6"/>
        <v>-3.7927819954269126E-3</v>
      </c>
      <c r="K45">
        <f t="shared" si="7"/>
        <v>1.4888391538761138E-4</v>
      </c>
      <c r="L45">
        <f t="shared" si="1"/>
        <v>7.9803299245788625E-6</v>
      </c>
      <c r="M45">
        <f t="shared" si="2"/>
        <v>1.4385195264834553E-5</v>
      </c>
    </row>
    <row r="46" spans="1:13" ht="15" x14ac:dyDescent="0.2">
      <c r="A46" s="1">
        <v>45585</v>
      </c>
      <c r="B46">
        <v>236.48</v>
      </c>
      <c r="C46">
        <v>43.7</v>
      </c>
      <c r="D46">
        <v>125.71</v>
      </c>
      <c r="E46" s="2">
        <f t="shared" si="3"/>
        <v>6.278123615677908E-3</v>
      </c>
      <c r="F46" s="2">
        <f t="shared" si="0"/>
        <v>-6.6142332590839294E-3</v>
      </c>
      <c r="G46" s="2">
        <f t="shared" si="4"/>
        <v>-7.2128081892409096E-3</v>
      </c>
      <c r="H46" s="5">
        <f>E46-$E4149</f>
        <v>6.278123615677908E-3</v>
      </c>
      <c r="I46" s="5">
        <f t="shared" si="5"/>
        <v>-6.9769020277413354E-3</v>
      </c>
      <c r="J46" s="5">
        <f t="shared" si="6"/>
        <v>-7.6940678018226644E-3</v>
      </c>
      <c r="K46">
        <f t="shared" si="7"/>
        <v>3.9414836133732651E-5</v>
      </c>
      <c r="L46">
        <f t="shared" si="1"/>
        <v>4.8677161904701155E-5</v>
      </c>
      <c r="M46">
        <f t="shared" si="2"/>
        <v>5.9198679339044245E-5</v>
      </c>
    </row>
    <row r="47" spans="1:13" ht="15" x14ac:dyDescent="0.2">
      <c r="A47" s="1">
        <v>45586</v>
      </c>
      <c r="B47">
        <v>235.86</v>
      </c>
      <c r="C47">
        <v>41.5</v>
      </c>
      <c r="D47">
        <v>125.07</v>
      </c>
      <c r="E47" s="2">
        <f t="shared" si="3"/>
        <v>-2.625229098012868E-3</v>
      </c>
      <c r="F47" s="2">
        <f t="shared" si="0"/>
        <v>-5.1654674864891913E-2</v>
      </c>
      <c r="G47" s="2">
        <f t="shared" si="4"/>
        <v>-5.1040863659244937E-3</v>
      </c>
      <c r="H47" s="5">
        <f>E47-$E4150</f>
        <v>-2.625229098012868E-3</v>
      </c>
      <c r="I47" s="5">
        <f t="shared" si="5"/>
        <v>-5.2017343633549318E-2</v>
      </c>
      <c r="J47" s="5">
        <f t="shared" si="6"/>
        <v>-5.5853459785062485E-3</v>
      </c>
      <c r="K47">
        <f t="shared" si="7"/>
        <v>6.8918278170534565E-6</v>
      </c>
      <c r="L47">
        <f t="shared" si="1"/>
        <v>2.7058040386907537E-3</v>
      </c>
      <c r="M47">
        <f t="shared" si="2"/>
        <v>3.1196089699615924E-5</v>
      </c>
    </row>
    <row r="48" spans="1:13" ht="15" x14ac:dyDescent="0.2">
      <c r="A48" s="1">
        <v>45587</v>
      </c>
      <c r="B48">
        <v>230.76</v>
      </c>
      <c r="C48">
        <v>42.86</v>
      </c>
      <c r="D48">
        <v>124.73</v>
      </c>
      <c r="E48" s="2">
        <f t="shared" si="3"/>
        <v>-2.1860199273135369E-2</v>
      </c>
      <c r="F48" s="2">
        <f t="shared" si="0"/>
        <v>3.2245562808778376E-2</v>
      </c>
      <c r="G48" s="2">
        <f t="shared" si="4"/>
        <v>-2.7221794231974154E-3</v>
      </c>
      <c r="H48" s="5">
        <f>E48-$E4151</f>
        <v>-2.1860199273135369E-2</v>
      </c>
      <c r="I48" s="5">
        <f t="shared" si="5"/>
        <v>3.1882894040120971E-2</v>
      </c>
      <c r="J48" s="5">
        <f t="shared" si="6"/>
        <v>-3.2034390357791698E-3</v>
      </c>
      <c r="K48">
        <f t="shared" si="7"/>
        <v>4.778683122611881E-4</v>
      </c>
      <c r="L48">
        <f t="shared" si="1"/>
        <v>1.0165189323735812E-3</v>
      </c>
      <c r="M48">
        <f t="shared" si="2"/>
        <v>1.0262021655953777E-5</v>
      </c>
    </row>
    <row r="49" spans="1:13" ht="15" x14ac:dyDescent="0.2">
      <c r="A49" s="1">
        <v>45588</v>
      </c>
      <c r="B49">
        <v>230.57</v>
      </c>
      <c r="C49">
        <v>41.86</v>
      </c>
      <c r="D49">
        <v>124.44</v>
      </c>
      <c r="E49" s="2">
        <f t="shared" si="3"/>
        <v>-8.2370542016678883E-4</v>
      </c>
      <c r="F49" s="2">
        <f t="shared" si="0"/>
        <v>-2.3608273027577276E-2</v>
      </c>
      <c r="G49" s="2">
        <f t="shared" si="4"/>
        <v>-2.3277291081814709E-3</v>
      </c>
      <c r="H49" s="5">
        <f>E49-$E4152</f>
        <v>-8.2370542016678883E-4</v>
      </c>
      <c r="I49" s="5">
        <f t="shared" si="5"/>
        <v>-2.3970941796234681E-2</v>
      </c>
      <c r="J49" s="5">
        <f t="shared" si="6"/>
        <v>-2.8089887207632253E-3</v>
      </c>
      <c r="K49">
        <f t="shared" si="7"/>
        <v>6.7849061921214608E-7</v>
      </c>
      <c r="L49">
        <f t="shared" si="1"/>
        <v>5.746060505984708E-4</v>
      </c>
      <c r="M49">
        <f t="shared" si="2"/>
        <v>7.8904176333750202E-6</v>
      </c>
    </row>
    <row r="50" spans="1:13" ht="15" x14ac:dyDescent="0.2">
      <c r="A50" s="1">
        <v>45589</v>
      </c>
      <c r="B50">
        <v>231.41</v>
      </c>
      <c r="C50">
        <v>41.38</v>
      </c>
      <c r="D50">
        <v>123.17</v>
      </c>
      <c r="E50" s="2">
        <f t="shared" si="3"/>
        <v>3.6365250690583951E-3</v>
      </c>
      <c r="F50" s="2">
        <f t="shared" si="0"/>
        <v>-1.1533044700456645E-2</v>
      </c>
      <c r="G50" s="2">
        <f t="shared" si="4"/>
        <v>-1.0258157076043353E-2</v>
      </c>
      <c r="H50" s="5">
        <f>E50-$E4153</f>
        <v>3.6365250690583951E-3</v>
      </c>
      <c r="I50" s="5">
        <f t="shared" si="5"/>
        <v>-1.189571346911405E-2</v>
      </c>
      <c r="J50" s="5">
        <f t="shared" si="6"/>
        <v>-1.0739416688625106E-2</v>
      </c>
      <c r="K50">
        <f t="shared" si="7"/>
        <v>1.3224314577890166E-5</v>
      </c>
      <c r="L50">
        <f t="shared" si="1"/>
        <v>1.4150799893926144E-4</v>
      </c>
      <c r="M50">
        <f t="shared" si="2"/>
        <v>1.1533507081191944E-4</v>
      </c>
    </row>
    <row r="51" spans="1:13" ht="15" x14ac:dyDescent="0.2">
      <c r="A51" s="1">
        <v>45593</v>
      </c>
      <c r="B51">
        <v>233.4</v>
      </c>
      <c r="C51">
        <v>41.62</v>
      </c>
      <c r="D51">
        <v>122.07</v>
      </c>
      <c r="E51" s="2">
        <f t="shared" si="3"/>
        <v>8.5626908148752033E-3</v>
      </c>
      <c r="F51" s="2">
        <f t="shared" si="0"/>
        <v>5.7831486480912674E-3</v>
      </c>
      <c r="G51" s="2">
        <f t="shared" si="4"/>
        <v>-8.970864271684734E-3</v>
      </c>
      <c r="H51" s="5">
        <f>E51-$E4154</f>
        <v>8.5626908148752033E-3</v>
      </c>
      <c r="I51" s="5">
        <f t="shared" si="5"/>
        <v>5.4204798794338614E-3</v>
      </c>
      <c r="J51" s="5">
        <f t="shared" si="6"/>
        <v>-9.4521238842664879E-3</v>
      </c>
      <c r="K51">
        <f t="shared" si="7"/>
        <v>7.3319673991148178E-5</v>
      </c>
      <c r="L51">
        <f t="shared" si="1"/>
        <v>2.9381602123347329E-5</v>
      </c>
      <c r="M51">
        <f t="shared" si="2"/>
        <v>8.9342645923520995E-5</v>
      </c>
    </row>
    <row r="52" spans="1:13" ht="15" x14ac:dyDescent="0.2">
      <c r="A52" s="1">
        <v>45594</v>
      </c>
      <c r="B52">
        <v>233.67</v>
      </c>
      <c r="C52">
        <v>41.33</v>
      </c>
      <c r="D52">
        <v>120.49</v>
      </c>
      <c r="E52" s="2">
        <f t="shared" si="3"/>
        <v>1.1561437475111353E-3</v>
      </c>
      <c r="F52" s="2">
        <f t="shared" si="0"/>
        <v>-6.9921924418474097E-3</v>
      </c>
      <c r="G52" s="2">
        <f t="shared" si="4"/>
        <v>-1.3027888746523201E-2</v>
      </c>
      <c r="H52" s="5">
        <f>E52-$E4155</f>
        <v>1.1561437475111353E-3</v>
      </c>
      <c r="I52" s="5">
        <f t="shared" si="5"/>
        <v>-7.3548612105048157E-3</v>
      </c>
      <c r="J52" s="5">
        <f t="shared" si="6"/>
        <v>-1.3509148359104954E-2</v>
      </c>
      <c r="K52">
        <f t="shared" si="7"/>
        <v>1.3366683649090919E-6</v>
      </c>
      <c r="L52">
        <f t="shared" si="1"/>
        <v>5.4093983425788366E-5</v>
      </c>
      <c r="M52">
        <f t="shared" si="2"/>
        <v>1.8249708938830809E-4</v>
      </c>
    </row>
    <row r="53" spans="1:13" ht="15" x14ac:dyDescent="0.2">
      <c r="A53" s="1">
        <v>45595</v>
      </c>
      <c r="B53">
        <v>230.1</v>
      </c>
      <c r="C53">
        <v>41.28</v>
      </c>
      <c r="D53">
        <v>120.52</v>
      </c>
      <c r="E53" s="2">
        <f t="shared" si="3"/>
        <v>-1.5395866558646653E-2</v>
      </c>
      <c r="F53" s="2">
        <f t="shared" si="0"/>
        <v>-1.2105073503335842E-3</v>
      </c>
      <c r="G53" s="2">
        <f t="shared" si="4"/>
        <v>2.4895232691536152E-4</v>
      </c>
      <c r="H53" s="5">
        <f>E53-$E4156</f>
        <v>-1.5395866558646653E-2</v>
      </c>
      <c r="I53" s="5">
        <f t="shared" si="5"/>
        <v>-1.5731761189909899E-3</v>
      </c>
      <c r="J53" s="5">
        <f t="shared" si="6"/>
        <v>-2.3230728566639295E-4</v>
      </c>
      <c r="K53">
        <f t="shared" si="7"/>
        <v>2.3703270709165433E-4</v>
      </c>
      <c r="L53">
        <f t="shared" si="1"/>
        <v>2.4748831013635531E-6</v>
      </c>
      <c r="M53">
        <f t="shared" si="2"/>
        <v>5.3966674973687102E-8</v>
      </c>
    </row>
    <row r="54" spans="1:13" ht="15" x14ac:dyDescent="0.2">
      <c r="A54" s="1">
        <v>45596</v>
      </c>
      <c r="B54">
        <v>225.91</v>
      </c>
      <c r="C54">
        <v>42.13</v>
      </c>
      <c r="D54">
        <v>121.96</v>
      </c>
      <c r="E54" s="2">
        <f t="shared" si="3"/>
        <v>-1.8377307172189244E-2</v>
      </c>
      <c r="F54" s="2">
        <f t="shared" si="0"/>
        <v>2.0381954817617853E-2</v>
      </c>
      <c r="G54" s="2">
        <f t="shared" si="4"/>
        <v>1.1877407857953423E-2</v>
      </c>
      <c r="H54" s="5">
        <f>E54-$E4157</f>
        <v>-1.8377307172189244E-2</v>
      </c>
      <c r="I54" s="5">
        <f t="shared" si="5"/>
        <v>2.0019286048960448E-2</v>
      </c>
      <c r="J54" s="5">
        <f t="shared" si="6"/>
        <v>1.1396148245371669E-2</v>
      </c>
      <c r="K54">
        <f t="shared" si="7"/>
        <v>3.3772541890099824E-4</v>
      </c>
      <c r="L54">
        <f t="shared" si="1"/>
        <v>4.0077181391010242E-4</v>
      </c>
      <c r="M54">
        <f t="shared" si="2"/>
        <v>1.2987219483048777E-4</v>
      </c>
    </row>
    <row r="55" spans="1:13" ht="15" x14ac:dyDescent="0.2">
      <c r="A55" s="1">
        <v>45597</v>
      </c>
      <c r="B55">
        <v>222.91</v>
      </c>
      <c r="C55">
        <v>41.36</v>
      </c>
      <c r="D55">
        <v>120.84</v>
      </c>
      <c r="E55" s="2">
        <f t="shared" si="3"/>
        <v>-1.3368587316289905E-2</v>
      </c>
      <c r="F55" s="2">
        <f t="shared" si="0"/>
        <v>-1.8445845790751567E-2</v>
      </c>
      <c r="G55" s="2">
        <f t="shared" si="4"/>
        <v>-9.2257656015826764E-3</v>
      </c>
      <c r="H55" s="5">
        <f>E55-$E4158</f>
        <v>-1.3368587316289905E-2</v>
      </c>
      <c r="I55" s="5">
        <f t="shared" si="5"/>
        <v>-1.8808514559408972E-2</v>
      </c>
      <c r="J55" s="5">
        <f t="shared" si="6"/>
        <v>-9.7070252141644303E-3</v>
      </c>
      <c r="K55">
        <f t="shared" si="7"/>
        <v>1.7871912683326734E-4</v>
      </c>
      <c r="L55">
        <f t="shared" si="1"/>
        <v>3.5376021993149928E-4</v>
      </c>
      <c r="M55">
        <f t="shared" si="2"/>
        <v>9.4226338508423998E-5</v>
      </c>
    </row>
    <row r="56" spans="1:13" ht="15" x14ac:dyDescent="0.2">
      <c r="A56" s="1">
        <v>45600</v>
      </c>
      <c r="B56">
        <v>222.01</v>
      </c>
      <c r="C56">
        <v>41.06</v>
      </c>
      <c r="D56">
        <v>122.93</v>
      </c>
      <c r="E56" s="2">
        <f t="shared" si="3"/>
        <v>-4.0456766500141109E-3</v>
      </c>
      <c r="F56" s="2">
        <f t="shared" si="0"/>
        <v>-7.2798186093861461E-3</v>
      </c>
      <c r="G56" s="2">
        <f t="shared" si="4"/>
        <v>1.714773116077847E-2</v>
      </c>
      <c r="H56" s="5">
        <f>E56-$E4159</f>
        <v>-4.0456766500141109E-3</v>
      </c>
      <c r="I56" s="5">
        <f t="shared" si="5"/>
        <v>-7.6424873780435521E-3</v>
      </c>
      <c r="J56" s="5">
        <f t="shared" si="6"/>
        <v>1.6666471548196716E-2</v>
      </c>
      <c r="K56">
        <f t="shared" si="7"/>
        <v>1.63674995564694E-5</v>
      </c>
      <c r="L56">
        <f t="shared" si="1"/>
        <v>5.8407613323555007E-5</v>
      </c>
      <c r="M56">
        <f t="shared" si="2"/>
        <v>2.7777127386685065E-4</v>
      </c>
    </row>
    <row r="57" spans="1:13" ht="15" x14ac:dyDescent="0.2">
      <c r="A57" s="1">
        <v>45601</v>
      </c>
      <c r="B57">
        <v>223.45</v>
      </c>
      <c r="C57">
        <v>41.26</v>
      </c>
      <c r="D57">
        <v>122.11</v>
      </c>
      <c r="E57" s="2">
        <f t="shared" si="3"/>
        <v>6.4652494766336294E-3</v>
      </c>
      <c r="F57" s="2">
        <f t="shared" si="0"/>
        <v>4.8590960523181752E-3</v>
      </c>
      <c r="G57" s="2">
        <f t="shared" si="4"/>
        <v>-6.6928098343192787E-3</v>
      </c>
      <c r="H57" s="5">
        <f>E57-$E4160</f>
        <v>6.4652494766336294E-3</v>
      </c>
      <c r="I57" s="5">
        <f t="shared" si="5"/>
        <v>4.4964272836607692E-3</v>
      </c>
      <c r="J57" s="5">
        <f t="shared" si="6"/>
        <v>-7.1740694469010335E-3</v>
      </c>
      <c r="K57">
        <f t="shared" si="7"/>
        <v>4.1799450795111422E-5</v>
      </c>
      <c r="L57">
        <f t="shared" si="1"/>
        <v>2.0217858317248964E-5</v>
      </c>
      <c r="M57">
        <f t="shared" si="2"/>
        <v>5.1467272428958902E-5</v>
      </c>
    </row>
    <row r="58" spans="1:13" ht="15" x14ac:dyDescent="0.2">
      <c r="A58" s="1">
        <v>45602</v>
      </c>
      <c r="B58">
        <v>222.72</v>
      </c>
      <c r="C58">
        <v>41.16</v>
      </c>
      <c r="D58">
        <v>127.2</v>
      </c>
      <c r="E58" s="2">
        <f t="shared" si="3"/>
        <v>-3.2722982334056835E-3</v>
      </c>
      <c r="F58" s="2">
        <f t="shared" si="0"/>
        <v>-2.4265966772568921E-3</v>
      </c>
      <c r="G58" s="2">
        <f t="shared" si="4"/>
        <v>4.0838373061091365E-2</v>
      </c>
      <c r="H58" s="5">
        <f>E58-$E4161</f>
        <v>-3.2722982334056835E-3</v>
      </c>
      <c r="I58" s="5">
        <f t="shared" si="5"/>
        <v>-2.7892654459142981E-3</v>
      </c>
      <c r="J58" s="5">
        <f t="shared" si="6"/>
        <v>4.0357113448509611E-2</v>
      </c>
      <c r="K58">
        <f t="shared" si="7"/>
        <v>1.0707935728349957E-5</v>
      </c>
      <c r="L58">
        <f t="shared" si="1"/>
        <v>7.7800017277714887E-6</v>
      </c>
      <c r="M58">
        <f t="shared" si="2"/>
        <v>1.6286966058958754E-3</v>
      </c>
    </row>
    <row r="59" spans="1:13" ht="15" x14ac:dyDescent="0.2">
      <c r="A59" s="1">
        <v>45603</v>
      </c>
      <c r="B59">
        <v>227.48</v>
      </c>
      <c r="C59">
        <v>40.57</v>
      </c>
      <c r="D59">
        <v>126.46</v>
      </c>
      <c r="E59" s="2">
        <f t="shared" si="3"/>
        <v>2.1146945292544149E-2</v>
      </c>
      <c r="F59" s="2">
        <f t="shared" si="0"/>
        <v>-1.4438033747492919E-2</v>
      </c>
      <c r="G59" s="2">
        <f t="shared" si="4"/>
        <v>-5.8345982755547057E-3</v>
      </c>
      <c r="H59" s="5">
        <f>E59-$E4162</f>
        <v>2.1146945292544149E-2</v>
      </c>
      <c r="I59" s="5">
        <f t="shared" si="5"/>
        <v>-1.4800702516150325E-2</v>
      </c>
      <c r="J59" s="5">
        <f t="shared" si="6"/>
        <v>-6.3158578881364605E-3</v>
      </c>
      <c r="K59">
        <f t="shared" si="7"/>
        <v>4.4719329520585512E-4</v>
      </c>
      <c r="L59">
        <f t="shared" si="1"/>
        <v>2.1906079497157854E-4</v>
      </c>
      <c r="M59">
        <f t="shared" si="2"/>
        <v>3.9890060863135548E-5</v>
      </c>
    </row>
    <row r="60" spans="1:13" ht="15" x14ac:dyDescent="0.2">
      <c r="A60" s="1">
        <v>45604</v>
      </c>
      <c r="B60">
        <v>226.96</v>
      </c>
      <c r="C60">
        <v>40.479999999999997</v>
      </c>
      <c r="D60">
        <v>134.12</v>
      </c>
      <c r="E60" s="2">
        <f t="shared" si="3"/>
        <v>-2.2885319380029265E-3</v>
      </c>
      <c r="F60" s="2">
        <f t="shared" si="0"/>
        <v>-2.2208522391458157E-3</v>
      </c>
      <c r="G60" s="2">
        <f t="shared" si="4"/>
        <v>5.8808868967560685E-2</v>
      </c>
      <c r="H60" s="5">
        <f>E60-$E4163</f>
        <v>-2.2885319380029265E-3</v>
      </c>
      <c r="I60" s="5">
        <f t="shared" si="5"/>
        <v>-2.5835210078032217E-3</v>
      </c>
      <c r="J60" s="5">
        <f t="shared" si="6"/>
        <v>5.8327609354978931E-2</v>
      </c>
      <c r="K60">
        <f t="shared" si="7"/>
        <v>5.2373784312594303E-6</v>
      </c>
      <c r="L60">
        <f t="shared" si="1"/>
        <v>6.6745807977605739E-6</v>
      </c>
      <c r="M60">
        <f t="shared" si="2"/>
        <v>3.4021100130670256E-3</v>
      </c>
    </row>
    <row r="61" spans="1:13" ht="15" x14ac:dyDescent="0.2">
      <c r="A61" s="1">
        <v>45607</v>
      </c>
      <c r="B61">
        <v>224.23</v>
      </c>
      <c r="C61">
        <v>40.44</v>
      </c>
      <c r="D61">
        <v>133.1</v>
      </c>
      <c r="E61" s="2">
        <f t="shared" si="3"/>
        <v>-1.2101479715156712E-2</v>
      </c>
      <c r="F61" s="2">
        <f t="shared" si="0"/>
        <v>-9.8863082693943219E-4</v>
      </c>
      <c r="G61" s="2">
        <f t="shared" si="4"/>
        <v>-7.6341961969619574E-3</v>
      </c>
      <c r="H61" s="5">
        <f>E61-$E4164</f>
        <v>-1.2101479715156712E-2</v>
      </c>
      <c r="I61" s="5">
        <f t="shared" si="5"/>
        <v>-1.3512995955968379E-3</v>
      </c>
      <c r="J61" s="5">
        <f t="shared" si="6"/>
        <v>-8.1154558095437122E-3</v>
      </c>
      <c r="K61">
        <f t="shared" si="7"/>
        <v>1.4644581129634937E-4</v>
      </c>
      <c r="L61">
        <f t="shared" si="1"/>
        <v>1.8260105970601779E-6</v>
      </c>
      <c r="M61">
        <f t="shared" si="2"/>
        <v>6.5860622996656782E-5</v>
      </c>
    </row>
    <row r="62" spans="1:13" ht="15" x14ac:dyDescent="0.2">
      <c r="A62" s="1">
        <v>45608</v>
      </c>
      <c r="B62">
        <v>224.23</v>
      </c>
      <c r="C62">
        <v>40.4</v>
      </c>
      <c r="D62">
        <v>133.13</v>
      </c>
      <c r="E62" s="2">
        <f t="shared" si="3"/>
        <v>0</v>
      </c>
      <c r="F62" s="2">
        <f t="shared" si="0"/>
        <v>-9.8960918516627816E-4</v>
      </c>
      <c r="G62" s="2">
        <f t="shared" si="4"/>
        <v>2.2536904275996864E-4</v>
      </c>
      <c r="H62" s="5">
        <f>E62-$E4165</f>
        <v>0</v>
      </c>
      <c r="I62" s="5">
        <f t="shared" si="5"/>
        <v>-1.3522779538236839E-3</v>
      </c>
      <c r="J62" s="5">
        <f t="shared" si="6"/>
        <v>-2.5589056982178583E-4</v>
      </c>
      <c r="K62">
        <f t="shared" si="7"/>
        <v>0</v>
      </c>
      <c r="L62">
        <f t="shared" si="1"/>
        <v>1.8286556643975694E-6</v>
      </c>
      <c r="M62">
        <f t="shared" si="2"/>
        <v>6.5479983723718244E-8</v>
      </c>
    </row>
    <row r="63" spans="1:13" ht="15" x14ac:dyDescent="0.2">
      <c r="A63" s="1">
        <v>45609</v>
      </c>
      <c r="B63">
        <v>225.12</v>
      </c>
      <c r="C63">
        <v>41.14</v>
      </c>
      <c r="D63">
        <v>134.35</v>
      </c>
      <c r="E63" s="2">
        <f t="shared" si="3"/>
        <v>3.9612825806397481E-3</v>
      </c>
      <c r="F63" s="2">
        <f t="shared" si="0"/>
        <v>1.8151099257706742E-2</v>
      </c>
      <c r="G63" s="2">
        <f t="shared" si="4"/>
        <v>9.1222406176743476E-3</v>
      </c>
      <c r="H63" s="5">
        <f>E63-$E4166</f>
        <v>3.9612825806397481E-3</v>
      </c>
      <c r="I63" s="5">
        <f t="shared" si="5"/>
        <v>1.7788430489049337E-2</v>
      </c>
      <c r="J63" s="5">
        <f t="shared" si="6"/>
        <v>8.6409810050925937E-3</v>
      </c>
      <c r="K63">
        <f t="shared" si="7"/>
        <v>1.5691759683679901E-5</v>
      </c>
      <c r="L63">
        <f t="shared" si="1"/>
        <v>3.1642825926374003E-4</v>
      </c>
      <c r="M63">
        <f t="shared" si="2"/>
        <v>7.4666552730371014E-5</v>
      </c>
    </row>
    <row r="64" spans="1:13" ht="15" x14ac:dyDescent="0.2">
      <c r="A64" s="1">
        <v>45610</v>
      </c>
      <c r="B64">
        <v>228.22</v>
      </c>
      <c r="C64">
        <v>40.869999999999997</v>
      </c>
      <c r="D64">
        <v>135.19</v>
      </c>
      <c r="E64" s="2">
        <f t="shared" si="3"/>
        <v>1.3676482640454679E-2</v>
      </c>
      <c r="F64" s="2">
        <f t="shared" si="0"/>
        <v>-6.5845866486252264E-3</v>
      </c>
      <c r="G64" s="2">
        <f t="shared" si="4"/>
        <v>6.2328613148138722E-3</v>
      </c>
      <c r="H64" s="5">
        <f>E64-$E4167</f>
        <v>1.3676482640454679E-2</v>
      </c>
      <c r="I64" s="5">
        <f t="shared" si="5"/>
        <v>-6.9472554172826323E-3</v>
      </c>
      <c r="J64" s="5">
        <f t="shared" si="6"/>
        <v>5.7516017022321174E-3</v>
      </c>
      <c r="K64">
        <f t="shared" si="7"/>
        <v>1.870461774146582E-4</v>
      </c>
      <c r="L64">
        <f t="shared" si="1"/>
        <v>4.8264357832962884E-5</v>
      </c>
      <c r="M64">
        <f t="shared" si="2"/>
        <v>3.3080922141119393E-5</v>
      </c>
    </row>
    <row r="65" spans="1:13" ht="15" x14ac:dyDescent="0.2">
      <c r="A65" s="1">
        <v>45611</v>
      </c>
      <c r="B65">
        <v>225</v>
      </c>
      <c r="C65">
        <v>41.65</v>
      </c>
      <c r="D65">
        <v>134.56</v>
      </c>
      <c r="E65" s="2">
        <f t="shared" si="3"/>
        <v>-1.4209673802113448E-2</v>
      </c>
      <c r="F65" s="2">
        <f t="shared" si="0"/>
        <v>1.8905071036665874E-2</v>
      </c>
      <c r="G65" s="2">
        <f t="shared" si="4"/>
        <v>-4.6710001516760847E-3</v>
      </c>
      <c r="H65" s="5">
        <f>E65-$E4168</f>
        <v>-1.4209673802113448E-2</v>
      </c>
      <c r="I65" s="5">
        <f t="shared" si="5"/>
        <v>1.8542402268008469E-2</v>
      </c>
      <c r="J65" s="5">
        <f t="shared" si="6"/>
        <v>-5.1522597642578395E-3</v>
      </c>
      <c r="K65">
        <f t="shared" si="7"/>
        <v>2.0191482956246923E-4</v>
      </c>
      <c r="L65">
        <f t="shared" si="1"/>
        <v>3.4382068186864564E-4</v>
      </c>
      <c r="M65">
        <f t="shared" si="2"/>
        <v>2.6545780678390247E-5</v>
      </c>
    </row>
    <row r="66" spans="1:13" ht="15" x14ac:dyDescent="0.2">
      <c r="A66" s="1">
        <v>45614</v>
      </c>
      <c r="B66">
        <v>228.02</v>
      </c>
      <c r="C66">
        <v>42.25</v>
      </c>
      <c r="D66">
        <v>136.54</v>
      </c>
      <c r="E66" s="2">
        <f t="shared" si="3"/>
        <v>1.3332942201153587E-2</v>
      </c>
      <c r="F66" s="2">
        <f t="shared" si="0"/>
        <v>1.4302985190331262E-2</v>
      </c>
      <c r="G66" s="2">
        <f t="shared" si="4"/>
        <v>1.4607415765496215E-2</v>
      </c>
      <c r="H66" s="5">
        <f>E66-$E4169</f>
        <v>1.3332942201153587E-2</v>
      </c>
      <c r="I66" s="5">
        <f t="shared" si="5"/>
        <v>1.3940316421673857E-2</v>
      </c>
      <c r="J66" s="5">
        <f t="shared" si="6"/>
        <v>1.4126156152914461E-2</v>
      </c>
      <c r="K66">
        <f t="shared" si="7"/>
        <v>1.7776734773930226E-4</v>
      </c>
      <c r="L66">
        <f t="shared" si="1"/>
        <v>1.9433242193638979E-4</v>
      </c>
      <c r="M66">
        <f t="shared" si="2"/>
        <v>1.9954828765652311E-4</v>
      </c>
    </row>
    <row r="67" spans="1:13" ht="15" x14ac:dyDescent="0.2">
      <c r="A67" s="1">
        <v>45615</v>
      </c>
      <c r="B67">
        <v>228.28</v>
      </c>
      <c r="C67">
        <v>41.93</v>
      </c>
      <c r="D67">
        <v>135.18</v>
      </c>
      <c r="E67" s="2">
        <f t="shared" si="3"/>
        <v>1.1396012629335743E-3</v>
      </c>
      <c r="F67" s="2">
        <f t="shared" si="0"/>
        <v>-7.6027926205115438E-3</v>
      </c>
      <c r="G67" s="2">
        <f t="shared" si="4"/>
        <v>-1.0010388317926094E-2</v>
      </c>
      <c r="H67" s="5">
        <f>E67-$E4170</f>
        <v>1.1396012629335743E-3</v>
      </c>
      <c r="I67" s="5">
        <f t="shared" si="5"/>
        <v>-7.9654613891689489E-3</v>
      </c>
      <c r="J67" s="5">
        <f t="shared" si="6"/>
        <v>-1.0491647930507848E-2</v>
      </c>
      <c r="K67">
        <f t="shared" si="7"/>
        <v>1.2986910384797974E-6</v>
      </c>
      <c r="L67">
        <f t="shared" si="1"/>
        <v>6.3448575142341325E-5</v>
      </c>
      <c r="M67">
        <f t="shared" si="2"/>
        <v>1.100746762977296E-4</v>
      </c>
    </row>
    <row r="68" spans="1:13" ht="15" x14ac:dyDescent="0.2">
      <c r="A68" s="1">
        <v>45616</v>
      </c>
      <c r="B68">
        <v>229</v>
      </c>
      <c r="C68">
        <v>42.22</v>
      </c>
      <c r="D68">
        <v>136.22999999999999</v>
      </c>
      <c r="E68" s="2">
        <f t="shared" si="3"/>
        <v>3.1490578857323766E-3</v>
      </c>
      <c r="F68" s="2">
        <f t="shared" ref="F68:F129" si="8">LN(C68/C67)</f>
        <v>6.8924812375031437E-3</v>
      </c>
      <c r="G68" s="2">
        <f t="shared" ref="G68:G129" si="9">LN(D68/D67)</f>
        <v>7.7374101057611812E-3</v>
      </c>
      <c r="H68" s="5">
        <f>E68-$E4171</f>
        <v>3.1490578857323766E-3</v>
      </c>
      <c r="I68" s="5">
        <f t="shared" si="5"/>
        <v>6.5298124688457377E-3</v>
      </c>
      <c r="J68" s="5">
        <f t="shared" si="6"/>
        <v>7.2561504931794264E-3</v>
      </c>
      <c r="K68">
        <f t="shared" si="7"/>
        <v>9.9165655676932653E-6</v>
      </c>
      <c r="L68">
        <f t="shared" ref="L68:L129" si="10">I68^2</f>
        <v>4.2638450878293266E-5</v>
      </c>
      <c r="M68">
        <f t="shared" ref="M68:M129" si="11">J68^2</f>
        <v>5.2651719979668035E-5</v>
      </c>
    </row>
    <row r="69" spans="1:13" ht="15" x14ac:dyDescent="0.2">
      <c r="A69" s="1">
        <v>45617</v>
      </c>
      <c r="B69">
        <v>228.52</v>
      </c>
      <c r="C69">
        <v>42.5</v>
      </c>
      <c r="D69">
        <v>135.5</v>
      </c>
      <c r="E69" s="2">
        <f t="shared" ref="E69:E129" si="12">LN(B69/B68)</f>
        <v>-2.0982696979778065E-3</v>
      </c>
      <c r="F69" s="2">
        <f t="shared" si="8"/>
        <v>6.6100335101966414E-3</v>
      </c>
      <c r="G69" s="2">
        <f t="shared" si="9"/>
        <v>-5.3729934582138006E-3</v>
      </c>
      <c r="H69" s="5">
        <f>E69-$E4172</f>
        <v>-2.0982696979778065E-3</v>
      </c>
      <c r="I69" s="5">
        <f t="shared" ref="I69:I129" si="13">F69-$F$131</f>
        <v>6.2473647415392354E-3</v>
      </c>
      <c r="J69" s="5">
        <f t="shared" ref="J69:J129" si="14">G69-$G$131</f>
        <v>-5.8542530707955554E-3</v>
      </c>
      <c r="K69">
        <f t="shared" ref="K69:K129" si="15">H69^2</f>
        <v>4.4027357254518752E-6</v>
      </c>
      <c r="L69">
        <f t="shared" si="10"/>
        <v>3.9029566213827596E-5</v>
      </c>
      <c r="M69">
        <f t="shared" si="11"/>
        <v>3.4272279016919188E-5</v>
      </c>
    </row>
    <row r="70" spans="1:13" ht="15" x14ac:dyDescent="0.2">
      <c r="A70" s="1">
        <v>45618</v>
      </c>
      <c r="B70">
        <v>229.87</v>
      </c>
      <c r="C70">
        <v>43.15</v>
      </c>
      <c r="D70">
        <v>136.35</v>
      </c>
      <c r="E70" s="2">
        <f t="shared" si="12"/>
        <v>5.890197880063815E-3</v>
      </c>
      <c r="F70" s="2">
        <f t="shared" si="8"/>
        <v>1.5178341599065665E-2</v>
      </c>
      <c r="G70" s="2">
        <f t="shared" si="9"/>
        <v>6.253468971841967E-3</v>
      </c>
      <c r="H70" s="5">
        <f>E70-$E4173</f>
        <v>5.890197880063815E-3</v>
      </c>
      <c r="I70" s="5">
        <f t="shared" si="13"/>
        <v>1.481567283040826E-2</v>
      </c>
      <c r="J70" s="5">
        <f t="shared" si="14"/>
        <v>5.7722093592602122E-3</v>
      </c>
      <c r="K70">
        <f t="shared" si="15"/>
        <v>3.4694431066308262E-5</v>
      </c>
      <c r="L70">
        <f t="shared" si="10"/>
        <v>2.1950416141769749E-4</v>
      </c>
      <c r="M70">
        <f t="shared" si="11"/>
        <v>3.3318400887131192E-5</v>
      </c>
    </row>
    <row r="71" spans="1:13" ht="15" x14ac:dyDescent="0.2">
      <c r="A71" s="1">
        <v>45621</v>
      </c>
      <c r="B71">
        <v>232.87</v>
      </c>
      <c r="C71">
        <v>43.98</v>
      </c>
      <c r="D71">
        <v>131.97999999999999</v>
      </c>
      <c r="E71" s="2">
        <f t="shared" si="12"/>
        <v>1.2966426208818584E-2</v>
      </c>
      <c r="F71" s="2">
        <f t="shared" si="8"/>
        <v>1.9052567597178223E-2</v>
      </c>
      <c r="G71" s="2">
        <f t="shared" si="9"/>
        <v>-3.2574713336322024E-2</v>
      </c>
      <c r="H71" s="5">
        <f>E71-$E4174</f>
        <v>1.2966426208818584E-2</v>
      </c>
      <c r="I71" s="5">
        <f t="shared" si="13"/>
        <v>1.8689898828520818E-2</v>
      </c>
      <c r="J71" s="5">
        <f t="shared" si="14"/>
        <v>-3.3055972948903778E-2</v>
      </c>
      <c r="K71">
        <f t="shared" si="15"/>
        <v>1.6812820862873747E-4</v>
      </c>
      <c r="L71">
        <f t="shared" si="10"/>
        <v>3.4931231822034385E-4</v>
      </c>
      <c r="M71">
        <f t="shared" si="11"/>
        <v>1.0926973475986583E-3</v>
      </c>
    </row>
    <row r="72" spans="1:13" ht="15" x14ac:dyDescent="0.2">
      <c r="A72" s="1">
        <v>45622</v>
      </c>
      <c r="B72">
        <v>235.06</v>
      </c>
      <c r="C72">
        <v>44.37</v>
      </c>
      <c r="D72">
        <v>132.54</v>
      </c>
      <c r="E72" s="2">
        <f t="shared" si="12"/>
        <v>9.3604427595636724E-3</v>
      </c>
      <c r="F72" s="2">
        <f t="shared" si="8"/>
        <v>8.8285802642029034E-3</v>
      </c>
      <c r="G72" s="2">
        <f t="shared" si="9"/>
        <v>4.2340907048052578E-3</v>
      </c>
      <c r="H72" s="5">
        <f>E72-$E4175</f>
        <v>9.3604427595636724E-3</v>
      </c>
      <c r="I72" s="5">
        <f t="shared" si="13"/>
        <v>8.4659114955454983E-3</v>
      </c>
      <c r="J72" s="5">
        <f t="shared" si="14"/>
        <v>3.7528310922235034E-3</v>
      </c>
      <c r="K72">
        <f t="shared" si="15"/>
        <v>8.7617888655067974E-5</v>
      </c>
      <c r="L72">
        <f t="shared" si="10"/>
        <v>7.167165745040942E-5</v>
      </c>
      <c r="M72">
        <f t="shared" si="11"/>
        <v>1.4083741206759454E-5</v>
      </c>
    </row>
    <row r="73" spans="1:13" ht="15" x14ac:dyDescent="0.2">
      <c r="A73" s="1">
        <v>45623</v>
      </c>
      <c r="B73">
        <v>234.93</v>
      </c>
      <c r="C73">
        <v>44.38</v>
      </c>
      <c r="D73">
        <v>133.09</v>
      </c>
      <c r="E73" s="2">
        <f t="shared" si="12"/>
        <v>-5.5320327375206512E-4</v>
      </c>
      <c r="F73" s="2">
        <f t="shared" si="8"/>
        <v>2.2535211362984488E-4</v>
      </c>
      <c r="G73" s="2">
        <f t="shared" si="9"/>
        <v>4.1411044383839997E-3</v>
      </c>
      <c r="H73" s="5">
        <f>E73-$E4176</f>
        <v>-5.5320327375206512E-4</v>
      </c>
      <c r="I73" s="5">
        <f t="shared" si="13"/>
        <v>-1.3731665502756093E-4</v>
      </c>
      <c r="J73" s="5">
        <f t="shared" si="14"/>
        <v>3.6598448258022454E-3</v>
      </c>
      <c r="K73">
        <f t="shared" si="15"/>
        <v>3.0603386209000231E-7</v>
      </c>
      <c r="L73">
        <f t="shared" si="10"/>
        <v>1.8855863747958173E-8</v>
      </c>
      <c r="M73">
        <f t="shared" si="11"/>
        <v>1.3394464148951467E-5</v>
      </c>
    </row>
    <row r="74" spans="1:13" ht="15" x14ac:dyDescent="0.2">
      <c r="A74" s="1">
        <v>45625</v>
      </c>
      <c r="B74">
        <v>237.33</v>
      </c>
      <c r="C74">
        <v>44.34</v>
      </c>
      <c r="D74">
        <v>133.26</v>
      </c>
      <c r="E74" s="2">
        <f t="shared" si="12"/>
        <v>1.0163980270458799E-2</v>
      </c>
      <c r="F74" s="2">
        <f t="shared" si="8"/>
        <v>-9.0171331628238456E-4</v>
      </c>
      <c r="G74" s="2">
        <f t="shared" si="9"/>
        <v>1.2765160359261493E-3</v>
      </c>
      <c r="H74" s="5">
        <f>E74-$E4177</f>
        <v>1.0163980270458799E-2</v>
      </c>
      <c r="I74" s="5">
        <f t="shared" si="13"/>
        <v>-1.2643820849397903E-3</v>
      </c>
      <c r="J74" s="5">
        <f t="shared" si="14"/>
        <v>7.9525642334439485E-4</v>
      </c>
      <c r="K74">
        <f t="shared" si="15"/>
        <v>1.0330649493827572E-4</v>
      </c>
      <c r="L74">
        <f t="shared" si="10"/>
        <v>1.5986620567166911E-6</v>
      </c>
      <c r="M74">
        <f t="shared" si="11"/>
        <v>6.3243277887051934E-7</v>
      </c>
    </row>
    <row r="75" spans="1:13" ht="15" x14ac:dyDescent="0.2">
      <c r="A75" s="1">
        <v>45628</v>
      </c>
      <c r="B75">
        <v>239.59</v>
      </c>
      <c r="C75">
        <v>43.85</v>
      </c>
      <c r="D75">
        <v>131.24</v>
      </c>
      <c r="E75" s="2">
        <f t="shared" si="12"/>
        <v>9.477551441854002E-3</v>
      </c>
      <c r="F75" s="2">
        <f t="shared" si="8"/>
        <v>-1.1112485369973436E-2</v>
      </c>
      <c r="G75" s="2">
        <f t="shared" si="9"/>
        <v>-1.5274399041490045E-2</v>
      </c>
      <c r="H75" s="5">
        <f>E75-$E4178</f>
        <v>9.477551441854002E-3</v>
      </c>
      <c r="I75" s="5">
        <f t="shared" si="13"/>
        <v>-1.1475154138630841E-2</v>
      </c>
      <c r="J75" s="5">
        <f t="shared" si="14"/>
        <v>-1.5755658654071799E-2</v>
      </c>
      <c r="K75">
        <f t="shared" si="15"/>
        <v>8.9823981332988879E-5</v>
      </c>
      <c r="L75">
        <f t="shared" si="10"/>
        <v>1.3167916250533652E-4</v>
      </c>
      <c r="M75">
        <f t="shared" si="11"/>
        <v>2.4824077962362759E-4</v>
      </c>
    </row>
    <row r="76" spans="1:13" ht="15" x14ac:dyDescent="0.2">
      <c r="A76" s="1">
        <v>45629</v>
      </c>
      <c r="B76">
        <v>242.65</v>
      </c>
      <c r="C76">
        <v>43.83</v>
      </c>
      <c r="D76">
        <v>131.80000000000001</v>
      </c>
      <c r="E76" s="2">
        <f t="shared" si="12"/>
        <v>1.269094670795666E-2</v>
      </c>
      <c r="F76" s="2">
        <f t="shared" si="8"/>
        <v>-4.5620438747431211E-4</v>
      </c>
      <c r="G76" s="2">
        <f t="shared" si="9"/>
        <v>4.2579139755059637E-3</v>
      </c>
      <c r="H76" s="5">
        <f>E76-$E4179</f>
        <v>1.269094670795666E-2</v>
      </c>
      <c r="I76" s="5">
        <f t="shared" si="13"/>
        <v>-8.1887315613171792E-4</v>
      </c>
      <c r="J76" s="5">
        <f t="shared" si="14"/>
        <v>3.7766543629242093E-3</v>
      </c>
      <c r="K76">
        <f t="shared" si="15"/>
        <v>1.6106012834419598E-4</v>
      </c>
      <c r="L76">
        <f t="shared" si="10"/>
        <v>6.7055324583312085E-7</v>
      </c>
      <c r="M76">
        <f t="shared" si="11"/>
        <v>1.4263118176994465E-5</v>
      </c>
    </row>
    <row r="77" spans="1:13" ht="15" x14ac:dyDescent="0.2">
      <c r="A77" s="1">
        <v>45630</v>
      </c>
      <c r="B77">
        <v>243.01</v>
      </c>
      <c r="C77">
        <v>42.52</v>
      </c>
      <c r="D77">
        <v>129.53</v>
      </c>
      <c r="E77" s="2">
        <f t="shared" si="12"/>
        <v>1.4825189059665656E-3</v>
      </c>
      <c r="F77" s="2">
        <f t="shared" si="8"/>
        <v>-3.0343960956970516E-2</v>
      </c>
      <c r="G77" s="2">
        <f t="shared" si="9"/>
        <v>-1.7373107526242292E-2</v>
      </c>
      <c r="H77" s="5">
        <f>E77-$E4180</f>
        <v>1.4825189059665656E-3</v>
      </c>
      <c r="I77" s="5">
        <f t="shared" si="13"/>
        <v>-3.0706629725627922E-2</v>
      </c>
      <c r="J77" s="5">
        <f t="shared" si="14"/>
        <v>-1.7854367138824045E-2</v>
      </c>
      <c r="K77">
        <f t="shared" si="15"/>
        <v>2.1978623065483027E-6</v>
      </c>
      <c r="L77">
        <f t="shared" si="10"/>
        <v>9.428971091068163E-4</v>
      </c>
      <c r="M77">
        <f t="shared" si="11"/>
        <v>3.1877842592791992E-4</v>
      </c>
    </row>
    <row r="78" spans="1:13" ht="15" x14ac:dyDescent="0.2">
      <c r="A78" s="1">
        <v>45631</v>
      </c>
      <c r="B78">
        <v>243.04</v>
      </c>
      <c r="C78">
        <v>42.55</v>
      </c>
      <c r="D78">
        <v>130.02000000000001</v>
      </c>
      <c r="E78" s="2">
        <f t="shared" si="12"/>
        <v>1.2344409027086238E-4</v>
      </c>
      <c r="F78" s="2">
        <f t="shared" si="8"/>
        <v>7.0530154563592997E-4</v>
      </c>
      <c r="G78" s="2">
        <f t="shared" si="9"/>
        <v>3.775770234158142E-3</v>
      </c>
      <c r="H78" s="5">
        <f>E78-$E4181</f>
        <v>1.2344409027086238E-4</v>
      </c>
      <c r="I78" s="5">
        <f t="shared" si="13"/>
        <v>3.4263277697852416E-4</v>
      </c>
      <c r="J78" s="5">
        <f t="shared" si="14"/>
        <v>3.2945106215763876E-3</v>
      </c>
      <c r="K78">
        <f t="shared" si="15"/>
        <v>1.523844342280082E-8</v>
      </c>
      <c r="L78">
        <f t="shared" si="10"/>
        <v>1.1739721986001508E-7</v>
      </c>
      <c r="M78">
        <f t="shared" si="11"/>
        <v>1.0853800235679636E-5</v>
      </c>
    </row>
    <row r="79" spans="1:13" ht="15" x14ac:dyDescent="0.2">
      <c r="A79" s="1">
        <v>45632</v>
      </c>
      <c r="B79">
        <v>242.84</v>
      </c>
      <c r="C79">
        <v>42.37</v>
      </c>
      <c r="D79">
        <v>127.81</v>
      </c>
      <c r="E79" s="2">
        <f t="shared" si="12"/>
        <v>-8.2324858522934052E-4</v>
      </c>
      <c r="F79" s="2">
        <f t="shared" si="8"/>
        <v>-4.2392903809152817E-3</v>
      </c>
      <c r="G79" s="2">
        <f t="shared" si="9"/>
        <v>-1.7143498632699747E-2</v>
      </c>
      <c r="H79" s="5">
        <f>E79-$E4182</f>
        <v>-8.2324858522934052E-4</v>
      </c>
      <c r="I79" s="5">
        <f t="shared" si="13"/>
        <v>-4.6019591495726877E-3</v>
      </c>
      <c r="J79" s="5">
        <f t="shared" si="14"/>
        <v>-1.7624758245281501E-2</v>
      </c>
      <c r="K79">
        <f t="shared" si="15"/>
        <v>6.7773823308211071E-7</v>
      </c>
      <c r="L79">
        <f t="shared" si="10"/>
        <v>2.1178028014335775E-5</v>
      </c>
      <c r="M79">
        <f t="shared" si="11"/>
        <v>3.1063210320461822E-4</v>
      </c>
    </row>
    <row r="80" spans="1:13" ht="15" x14ac:dyDescent="0.2">
      <c r="A80" s="1">
        <v>45635</v>
      </c>
      <c r="B80">
        <v>246.75</v>
      </c>
      <c r="C80">
        <v>42.36</v>
      </c>
      <c r="D80">
        <v>127.85</v>
      </c>
      <c r="E80" s="2">
        <f t="shared" si="12"/>
        <v>1.5972888051357558E-2</v>
      </c>
      <c r="F80" s="2">
        <f t="shared" si="8"/>
        <v>-2.3604390526209496E-4</v>
      </c>
      <c r="G80" s="2">
        <f t="shared" si="9"/>
        <v>3.1291559357255128E-4</v>
      </c>
      <c r="H80" s="5">
        <f>E80-$E4183</f>
        <v>1.5972888051357558E-2</v>
      </c>
      <c r="I80" s="5">
        <f t="shared" si="13"/>
        <v>-5.9871267391950077E-4</v>
      </c>
      <c r="J80" s="5">
        <f t="shared" si="14"/>
        <v>-1.6834401900920319E-4</v>
      </c>
      <c r="K80">
        <f t="shared" si="15"/>
        <v>2.5513315270120107E-4</v>
      </c>
      <c r="L80">
        <f t="shared" si="10"/>
        <v>3.5845686591183844E-7</v>
      </c>
      <c r="M80">
        <f t="shared" si="11"/>
        <v>2.8339708736170963E-8</v>
      </c>
    </row>
    <row r="81" spans="1:13" ht="15" x14ac:dyDescent="0.2">
      <c r="A81" s="1">
        <v>45636</v>
      </c>
      <c r="B81">
        <v>247.77</v>
      </c>
      <c r="C81">
        <v>42.3</v>
      </c>
      <c r="D81">
        <v>126.61</v>
      </c>
      <c r="E81" s="2">
        <f t="shared" si="12"/>
        <v>4.1252181771443009E-3</v>
      </c>
      <c r="F81" s="2">
        <f t="shared" si="8"/>
        <v>-1.4174346809735046E-3</v>
      </c>
      <c r="G81" s="2">
        <f t="shared" si="9"/>
        <v>-9.7462062050337906E-3</v>
      </c>
      <c r="H81" s="5">
        <f>E81-$E4184</f>
        <v>4.1252181771443009E-3</v>
      </c>
      <c r="I81" s="5">
        <f t="shared" si="13"/>
        <v>-1.7801034496309103E-3</v>
      </c>
      <c r="J81" s="5">
        <f t="shared" si="14"/>
        <v>-1.0227465817615545E-2</v>
      </c>
      <c r="K81">
        <f t="shared" si="15"/>
        <v>1.7017425009041747E-5</v>
      </c>
      <c r="L81">
        <f t="shared" si="10"/>
        <v>3.1687682913878669E-6</v>
      </c>
      <c r="M81">
        <f t="shared" si="11"/>
        <v>1.046010570504944E-4</v>
      </c>
    </row>
    <row r="82" spans="1:13" ht="15" x14ac:dyDescent="0.2">
      <c r="A82" s="1">
        <v>45637</v>
      </c>
      <c r="B82">
        <v>246.49</v>
      </c>
      <c r="C82">
        <v>41.99</v>
      </c>
      <c r="D82">
        <v>127.56</v>
      </c>
      <c r="E82" s="2">
        <f t="shared" si="12"/>
        <v>-5.1794717822105452E-3</v>
      </c>
      <c r="F82" s="2">
        <f t="shared" si="8"/>
        <v>-7.3555913561302198E-3</v>
      </c>
      <c r="G82" s="2">
        <f t="shared" si="9"/>
        <v>7.4753466096951302E-3</v>
      </c>
      <c r="H82" s="5">
        <f>E82-$E4185</f>
        <v>-5.1794717822105452E-3</v>
      </c>
      <c r="I82" s="5">
        <f t="shared" si="13"/>
        <v>-7.7182601247876258E-3</v>
      </c>
      <c r="J82" s="5">
        <f t="shared" si="14"/>
        <v>6.9940869971133754E-3</v>
      </c>
      <c r="K82">
        <f t="shared" si="15"/>
        <v>2.6826927942715283E-5</v>
      </c>
      <c r="L82">
        <f t="shared" si="10"/>
        <v>5.9571539353886696E-5</v>
      </c>
      <c r="M82">
        <f t="shared" si="11"/>
        <v>4.8917252923190393E-5</v>
      </c>
    </row>
    <row r="83" spans="1:13" ht="15" x14ac:dyDescent="0.2">
      <c r="A83" s="1">
        <v>45638</v>
      </c>
      <c r="B83">
        <v>247.96</v>
      </c>
      <c r="C83">
        <v>42.08</v>
      </c>
      <c r="D83">
        <v>126.57</v>
      </c>
      <c r="E83" s="2">
        <f t="shared" si="12"/>
        <v>5.9460181251939897E-3</v>
      </c>
      <c r="F83" s="2">
        <f t="shared" si="8"/>
        <v>2.141073733352435E-3</v>
      </c>
      <c r="G83" s="2">
        <f t="shared" si="9"/>
        <v>-7.7913273374999618E-3</v>
      </c>
      <c r="H83" s="5">
        <f>E83-$E4186</f>
        <v>5.9460181251939897E-3</v>
      </c>
      <c r="I83" s="5">
        <f t="shared" si="13"/>
        <v>1.7784049646950293E-3</v>
      </c>
      <c r="J83" s="5">
        <f t="shared" si="14"/>
        <v>-8.2725869500817166E-3</v>
      </c>
      <c r="K83">
        <f t="shared" si="15"/>
        <v>3.5355131545135451E-5</v>
      </c>
      <c r="L83">
        <f t="shared" si="10"/>
        <v>3.1627242184519283E-6</v>
      </c>
      <c r="M83">
        <f t="shared" si="11"/>
        <v>6.8435694846662323E-5</v>
      </c>
    </row>
    <row r="84" spans="1:13" ht="15" x14ac:dyDescent="0.2">
      <c r="A84" s="1">
        <v>45639</v>
      </c>
      <c r="B84">
        <v>248.13</v>
      </c>
      <c r="C84">
        <v>42.28</v>
      </c>
      <c r="D84">
        <v>126.77</v>
      </c>
      <c r="E84" s="2">
        <f t="shared" si="12"/>
        <v>6.8535953820605803E-4</v>
      </c>
      <c r="F84" s="2">
        <f t="shared" si="8"/>
        <v>4.7415925725825319E-3</v>
      </c>
      <c r="G84" s="2">
        <f t="shared" si="9"/>
        <v>1.5789061462782633E-3</v>
      </c>
      <c r="H84" s="5">
        <f>E84-$E4187</f>
        <v>6.8535953820605803E-4</v>
      </c>
      <c r="I84" s="5">
        <f t="shared" si="13"/>
        <v>4.378923803925126E-3</v>
      </c>
      <c r="J84" s="5">
        <f t="shared" si="14"/>
        <v>1.0976465336965087E-3</v>
      </c>
      <c r="K84">
        <f t="shared" si="15"/>
        <v>4.6971769661002112E-7</v>
      </c>
      <c r="L84">
        <f t="shared" si="10"/>
        <v>1.9174973680582094E-5</v>
      </c>
      <c r="M84">
        <f t="shared" si="11"/>
        <v>1.2048279129359609E-6</v>
      </c>
    </row>
    <row r="85" spans="1:13" ht="15" x14ac:dyDescent="0.2">
      <c r="A85" s="1">
        <v>45642</v>
      </c>
      <c r="B85">
        <v>251.04</v>
      </c>
      <c r="C85">
        <v>40.880000000000003</v>
      </c>
      <c r="D85">
        <v>124.62</v>
      </c>
      <c r="E85" s="2">
        <f t="shared" si="12"/>
        <v>1.1659486612797755E-2</v>
      </c>
      <c r="F85" s="2">
        <f t="shared" si="8"/>
        <v>-3.3673215106587835E-2</v>
      </c>
      <c r="G85" s="2">
        <f t="shared" si="9"/>
        <v>-1.7105313834559335E-2</v>
      </c>
      <c r="H85" s="5">
        <f>E85-$E4188</f>
        <v>1.1659486612797755E-2</v>
      </c>
      <c r="I85" s="5">
        <f t="shared" si="13"/>
        <v>-3.403588387524524E-2</v>
      </c>
      <c r="J85" s="5">
        <f t="shared" si="14"/>
        <v>-1.7586573447141089E-2</v>
      </c>
      <c r="K85">
        <f t="shared" si="15"/>
        <v>1.3594362807401009E-4</v>
      </c>
      <c r="L85">
        <f t="shared" si="10"/>
        <v>1.1584413911691789E-3</v>
      </c>
      <c r="M85">
        <f t="shared" si="11"/>
        <v>3.0928756561168801E-4</v>
      </c>
    </row>
    <row r="86" spans="1:13" ht="15" x14ac:dyDescent="0.2">
      <c r="A86" s="1">
        <v>45643</v>
      </c>
      <c r="B86">
        <v>253.48</v>
      </c>
      <c r="C86">
        <v>40.78</v>
      </c>
      <c r="D86">
        <v>123.15</v>
      </c>
      <c r="E86" s="2">
        <f t="shared" si="12"/>
        <v>9.6726354705936723E-3</v>
      </c>
      <c r="F86" s="2">
        <f t="shared" si="8"/>
        <v>-2.449180749139919E-3</v>
      </c>
      <c r="G86" s="2">
        <f t="shared" si="9"/>
        <v>-1.1865982549528966E-2</v>
      </c>
      <c r="H86" s="5">
        <f>E86-$E4189</f>
        <v>9.6726354705936723E-3</v>
      </c>
      <c r="I86" s="5">
        <f t="shared" si="13"/>
        <v>-2.8118495177973249E-3</v>
      </c>
      <c r="J86" s="5">
        <f t="shared" si="14"/>
        <v>-1.234724216211072E-2</v>
      </c>
      <c r="K86">
        <f t="shared" si="15"/>
        <v>9.3559876946986873E-5</v>
      </c>
      <c r="L86">
        <f t="shared" si="10"/>
        <v>7.9064977107370482E-6</v>
      </c>
      <c r="M86">
        <f t="shared" si="11"/>
        <v>1.5245438900980462E-4</v>
      </c>
    </row>
    <row r="87" spans="1:13" ht="15" x14ac:dyDescent="0.2">
      <c r="A87" s="1">
        <v>45644</v>
      </c>
      <c r="B87">
        <v>248.05</v>
      </c>
      <c r="C87">
        <v>40.24</v>
      </c>
      <c r="D87">
        <v>119.63</v>
      </c>
      <c r="E87" s="2">
        <f t="shared" si="12"/>
        <v>-2.1654585708258262E-2</v>
      </c>
      <c r="F87" s="2">
        <f t="shared" si="8"/>
        <v>-1.3330239354825324E-2</v>
      </c>
      <c r="G87" s="2">
        <f t="shared" si="9"/>
        <v>-2.8999478383734123E-2</v>
      </c>
      <c r="H87" s="5">
        <f>E87-$E4190</f>
        <v>-2.1654585708258262E-2</v>
      </c>
      <c r="I87" s="5">
        <f t="shared" si="13"/>
        <v>-1.3692908123482729E-2</v>
      </c>
      <c r="J87" s="5">
        <f t="shared" si="14"/>
        <v>-2.9480737996315877E-2</v>
      </c>
      <c r="K87">
        <f t="shared" si="15"/>
        <v>4.6892108219630295E-4</v>
      </c>
      <c r="L87">
        <f t="shared" si="10"/>
        <v>1.8749573287813931E-4</v>
      </c>
      <c r="M87">
        <f t="shared" si="11"/>
        <v>8.6911391280742266E-4</v>
      </c>
    </row>
    <row r="88" spans="1:13" ht="15" x14ac:dyDescent="0.2">
      <c r="A88" s="1">
        <v>45645</v>
      </c>
      <c r="B88">
        <v>249.79</v>
      </c>
      <c r="C88">
        <v>39.97</v>
      </c>
      <c r="D88">
        <v>118.22</v>
      </c>
      <c r="E88" s="2">
        <f t="shared" si="12"/>
        <v>6.9902261174959015E-3</v>
      </c>
      <c r="F88" s="2">
        <f t="shared" si="8"/>
        <v>-6.7323530682517133E-3</v>
      </c>
      <c r="G88" s="2">
        <f t="shared" si="9"/>
        <v>-1.1856350786589327E-2</v>
      </c>
      <c r="H88" s="5">
        <f>E88-$E4191</f>
        <v>6.9902261174959015E-3</v>
      </c>
      <c r="I88" s="5">
        <f t="shared" si="13"/>
        <v>-7.0950218369091192E-3</v>
      </c>
      <c r="J88" s="5">
        <f t="shared" si="14"/>
        <v>-1.233761039917108E-2</v>
      </c>
      <c r="K88">
        <f t="shared" si="15"/>
        <v>4.8863261173721826E-5</v>
      </c>
      <c r="L88">
        <f t="shared" si="10"/>
        <v>5.0339334866217255E-5</v>
      </c>
      <c r="M88">
        <f t="shared" si="11"/>
        <v>1.5221663036173438E-4</v>
      </c>
    </row>
    <row r="89" spans="1:13" ht="15" x14ac:dyDescent="0.2">
      <c r="A89" s="1">
        <v>45646</v>
      </c>
      <c r="B89">
        <v>254.49</v>
      </c>
      <c r="C89">
        <v>39.93</v>
      </c>
      <c r="D89">
        <v>119.04</v>
      </c>
      <c r="E89" s="2">
        <f t="shared" si="12"/>
        <v>1.8640977623199214E-2</v>
      </c>
      <c r="F89" s="2">
        <f t="shared" si="8"/>
        <v>-1.0012516481021545E-3</v>
      </c>
      <c r="G89" s="2">
        <f t="shared" si="9"/>
        <v>6.9122756885582901E-3</v>
      </c>
      <c r="H89" s="5">
        <f>E89-$E4192</f>
        <v>1.8640977623199214E-2</v>
      </c>
      <c r="I89" s="5">
        <f t="shared" si="13"/>
        <v>-1.3639204167595603E-3</v>
      </c>
      <c r="J89" s="5">
        <f t="shared" si="14"/>
        <v>6.4310160759765353E-3</v>
      </c>
      <c r="K89">
        <f t="shared" si="15"/>
        <v>3.4748604674861381E-4</v>
      </c>
      <c r="L89">
        <f t="shared" si="10"/>
        <v>1.8602789032535725E-6</v>
      </c>
      <c r="M89">
        <f t="shared" si="11"/>
        <v>4.1357967769468632E-5</v>
      </c>
    </row>
    <row r="90" spans="1:13" ht="15" x14ac:dyDescent="0.2">
      <c r="A90" s="1">
        <v>45649</v>
      </c>
      <c r="B90">
        <v>255.27</v>
      </c>
      <c r="C90">
        <v>39.94</v>
      </c>
      <c r="D90">
        <v>119.85</v>
      </c>
      <c r="E90" s="2">
        <f t="shared" si="12"/>
        <v>3.0602660418225774E-3</v>
      </c>
      <c r="F90" s="2">
        <f t="shared" si="8"/>
        <v>2.5040691253925466E-4</v>
      </c>
      <c r="G90" s="2">
        <f t="shared" si="9"/>
        <v>6.7813897956114375E-3</v>
      </c>
      <c r="H90" s="5">
        <f>E90-$E4193</f>
        <v>3.0602660418225774E-3</v>
      </c>
      <c r="I90" s="5">
        <f t="shared" si="13"/>
        <v>-1.1226185611815114E-4</v>
      </c>
      <c r="J90" s="5">
        <f t="shared" si="14"/>
        <v>6.3001301830296827E-3</v>
      </c>
      <c r="K90">
        <f t="shared" si="15"/>
        <v>9.3652282467324251E-6</v>
      </c>
      <c r="L90">
        <f t="shared" si="10"/>
        <v>1.260272433909247E-8</v>
      </c>
      <c r="M90">
        <f t="shared" si="11"/>
        <v>3.9691640323121623E-5</v>
      </c>
    </row>
    <row r="91" spans="1:13" ht="15" x14ac:dyDescent="0.2">
      <c r="A91" s="1">
        <v>45650</v>
      </c>
      <c r="B91">
        <v>258.2</v>
      </c>
      <c r="C91">
        <v>39.799999999999997</v>
      </c>
      <c r="D91">
        <v>120.83</v>
      </c>
      <c r="E91" s="2">
        <f t="shared" si="12"/>
        <v>1.1412669882966294E-2</v>
      </c>
      <c r="F91" s="2">
        <f t="shared" si="8"/>
        <v>-3.5114156972772064E-3</v>
      </c>
      <c r="G91" s="2">
        <f t="shared" si="9"/>
        <v>8.1436381588235584E-3</v>
      </c>
      <c r="H91" s="5">
        <f>E91-$E4194</f>
        <v>1.1412669882966294E-2</v>
      </c>
      <c r="I91" s="5">
        <f t="shared" si="13"/>
        <v>-3.8740844659346124E-3</v>
      </c>
      <c r="J91" s="5">
        <f t="shared" si="14"/>
        <v>7.6623785462418036E-3</v>
      </c>
      <c r="K91">
        <f t="shared" si="15"/>
        <v>1.3024903385756587E-4</v>
      </c>
      <c r="L91">
        <f t="shared" si="10"/>
        <v>1.5008530449195871E-5</v>
      </c>
      <c r="M91">
        <f t="shared" si="11"/>
        <v>5.8712044985906659E-5</v>
      </c>
    </row>
    <row r="92" spans="1:13" ht="15" x14ac:dyDescent="0.2">
      <c r="A92" s="1">
        <v>45652</v>
      </c>
      <c r="B92">
        <v>259.02</v>
      </c>
      <c r="C92">
        <v>39.96</v>
      </c>
      <c r="D92">
        <v>120.41</v>
      </c>
      <c r="E92" s="2">
        <f t="shared" si="12"/>
        <v>3.1708003828989626E-3</v>
      </c>
      <c r="F92" s="2">
        <f t="shared" si="8"/>
        <v>4.0120414899608541E-3</v>
      </c>
      <c r="G92" s="2">
        <f t="shared" si="9"/>
        <v>-3.4820131350891933E-3</v>
      </c>
      <c r="H92" s="5">
        <f>E92-$E4195</f>
        <v>3.1708003828989626E-3</v>
      </c>
      <c r="I92" s="5">
        <f t="shared" si="13"/>
        <v>3.6493727213034481E-3</v>
      </c>
      <c r="J92" s="5">
        <f t="shared" si="14"/>
        <v>-3.963272747670948E-3</v>
      </c>
      <c r="K92">
        <f t="shared" si="15"/>
        <v>1.0053975068192207E-5</v>
      </c>
      <c r="L92">
        <f t="shared" si="10"/>
        <v>1.3317921258993735E-5</v>
      </c>
      <c r="M92">
        <f t="shared" si="11"/>
        <v>1.5707530872431227E-5</v>
      </c>
    </row>
    <row r="93" spans="1:13" ht="15" x14ac:dyDescent="0.2">
      <c r="A93" s="1">
        <v>45653</v>
      </c>
      <c r="B93">
        <v>255.59</v>
      </c>
      <c r="C93">
        <v>39.92</v>
      </c>
      <c r="D93">
        <v>120.4</v>
      </c>
      <c r="E93" s="2">
        <f t="shared" si="12"/>
        <v>-1.3330680688083499E-2</v>
      </c>
      <c r="F93" s="2">
        <f t="shared" si="8"/>
        <v>-1.0015023370895213E-3</v>
      </c>
      <c r="G93" s="2">
        <f t="shared" si="9"/>
        <v>-8.305302940693833E-5</v>
      </c>
      <c r="H93" s="5">
        <f>E93-$E4196</f>
        <v>-1.3330680688083499E-2</v>
      </c>
      <c r="I93" s="5">
        <f t="shared" si="13"/>
        <v>-1.364171105746927E-3</v>
      </c>
      <c r="J93" s="5">
        <f t="shared" si="14"/>
        <v>-5.6431264198869276E-4</v>
      </c>
      <c r="K93">
        <f t="shared" si="15"/>
        <v>1.7770704760764237E-4</v>
      </c>
      <c r="L93">
        <f t="shared" si="10"/>
        <v>1.8609628057547935E-6</v>
      </c>
      <c r="M93">
        <f t="shared" si="11"/>
        <v>3.1844875790825854E-7</v>
      </c>
    </row>
    <row r="94" spans="1:13" ht="15" x14ac:dyDescent="0.2">
      <c r="A94" s="1">
        <v>45656</v>
      </c>
      <c r="B94">
        <v>252.2</v>
      </c>
      <c r="C94">
        <v>39.6</v>
      </c>
      <c r="D94">
        <v>120.58</v>
      </c>
      <c r="E94" s="2">
        <f t="shared" si="12"/>
        <v>-1.3352174576538492E-2</v>
      </c>
      <c r="F94" s="2">
        <f t="shared" si="8"/>
        <v>-8.0483331828283718E-3</v>
      </c>
      <c r="G94" s="2">
        <f t="shared" si="9"/>
        <v>1.4939001865388588E-3</v>
      </c>
      <c r="H94" s="5">
        <f>E94-$E4197</f>
        <v>-1.3352174576538492E-2</v>
      </c>
      <c r="I94" s="5">
        <f t="shared" si="13"/>
        <v>-8.4110019514857769E-3</v>
      </c>
      <c r="J94" s="5">
        <f t="shared" si="14"/>
        <v>1.0126405739571045E-3</v>
      </c>
      <c r="K94">
        <f t="shared" si="15"/>
        <v>1.7828056592236085E-4</v>
      </c>
      <c r="L94">
        <f t="shared" si="10"/>
        <v>7.0744953827897551E-5</v>
      </c>
      <c r="M94">
        <f t="shared" si="11"/>
        <v>1.0254409320241739E-6</v>
      </c>
    </row>
    <row r="95" spans="1:13" ht="15" x14ac:dyDescent="0.2">
      <c r="A95" s="1">
        <v>45657</v>
      </c>
      <c r="B95">
        <v>250.42</v>
      </c>
      <c r="C95">
        <v>39.99</v>
      </c>
      <c r="D95">
        <v>122.58</v>
      </c>
      <c r="E95" s="2">
        <f t="shared" si="12"/>
        <v>-7.0829152900175382E-3</v>
      </c>
      <c r="F95" s="2">
        <f t="shared" si="8"/>
        <v>9.8003045982920558E-3</v>
      </c>
      <c r="G95" s="2">
        <f t="shared" si="9"/>
        <v>1.6450444996326165E-2</v>
      </c>
      <c r="H95" s="5">
        <f>E95-$E4198</f>
        <v>-7.0829152900175382E-3</v>
      </c>
      <c r="I95" s="5">
        <f t="shared" si="13"/>
        <v>9.4376358296346507E-3</v>
      </c>
      <c r="J95" s="5">
        <f t="shared" si="14"/>
        <v>1.5969185383744412E-2</v>
      </c>
      <c r="K95">
        <f t="shared" si="15"/>
        <v>5.0167689005564228E-5</v>
      </c>
      <c r="L95">
        <f t="shared" si="10"/>
        <v>8.9068970052803717E-5</v>
      </c>
      <c r="M95">
        <f t="shared" si="11"/>
        <v>2.5501488182039613E-4</v>
      </c>
    </row>
    <row r="96" spans="1:13" ht="15" x14ac:dyDescent="0.2">
      <c r="A96" s="1">
        <v>45659</v>
      </c>
      <c r="B96">
        <v>243.85</v>
      </c>
      <c r="C96">
        <v>40.21</v>
      </c>
      <c r="D96">
        <v>124.71</v>
      </c>
      <c r="E96" s="2">
        <f t="shared" si="12"/>
        <v>-2.6586226084739983E-2</v>
      </c>
      <c r="F96" s="2">
        <f t="shared" si="8"/>
        <v>5.4862980504556914E-3</v>
      </c>
      <c r="G96" s="2">
        <f t="shared" si="9"/>
        <v>1.7227163875070024E-2</v>
      </c>
      <c r="H96" s="5">
        <f>E96-$E4199</f>
        <v>-2.6586226084739983E-2</v>
      </c>
      <c r="I96" s="5">
        <f t="shared" si="13"/>
        <v>5.1236292817982854E-3</v>
      </c>
      <c r="J96" s="5">
        <f t="shared" si="14"/>
        <v>1.674590426248827E-2</v>
      </c>
      <c r="K96">
        <f t="shared" si="15"/>
        <v>7.0682741742890875E-4</v>
      </c>
      <c r="L96">
        <f t="shared" si="10"/>
        <v>2.6251577017300816E-5</v>
      </c>
      <c r="M96">
        <f t="shared" si="11"/>
        <v>2.8042530956842282E-4</v>
      </c>
    </row>
    <row r="97" spans="1:13" ht="15" x14ac:dyDescent="0.2">
      <c r="A97" s="1">
        <v>45660</v>
      </c>
      <c r="B97">
        <v>243.36</v>
      </c>
      <c r="C97">
        <v>40.26</v>
      </c>
      <c r="D97">
        <v>126.57</v>
      </c>
      <c r="E97" s="2">
        <f t="shared" si="12"/>
        <v>-2.0114536450788353E-3</v>
      </c>
      <c r="F97" s="2">
        <f t="shared" si="8"/>
        <v>1.2426993024626427E-3</v>
      </c>
      <c r="G97" s="2">
        <f t="shared" si="9"/>
        <v>1.4804472871701165E-2</v>
      </c>
      <c r="H97" s="5">
        <f>E97-$E4200</f>
        <v>-2.0114536450788353E-3</v>
      </c>
      <c r="I97" s="5">
        <f t="shared" si="13"/>
        <v>8.8003053380523695E-4</v>
      </c>
      <c r="J97" s="5">
        <f t="shared" si="14"/>
        <v>1.4323213259119411E-2</v>
      </c>
      <c r="K97">
        <f t="shared" si="15"/>
        <v>4.0459457663009329E-6</v>
      </c>
      <c r="L97">
        <f t="shared" si="10"/>
        <v>7.7445374042953027E-7</v>
      </c>
      <c r="M97">
        <f t="shared" si="11"/>
        <v>2.0515443806621412E-4</v>
      </c>
    </row>
    <row r="98" spans="1:13" ht="15" x14ac:dyDescent="0.2">
      <c r="A98" s="1">
        <v>45663</v>
      </c>
      <c r="B98">
        <v>245</v>
      </c>
      <c r="C98">
        <v>39.61</v>
      </c>
      <c r="D98">
        <v>126.39</v>
      </c>
      <c r="E98" s="2">
        <f t="shared" si="12"/>
        <v>6.7163820337442027E-3</v>
      </c>
      <c r="F98" s="2">
        <f t="shared" si="8"/>
        <v>-1.6276808577820115E-2</v>
      </c>
      <c r="G98" s="2">
        <f t="shared" si="9"/>
        <v>-1.423150145322128E-3</v>
      </c>
      <c r="H98" s="5">
        <f>E98-$E4201</f>
        <v>6.7163820337442027E-3</v>
      </c>
      <c r="I98" s="5">
        <f t="shared" si="13"/>
        <v>-1.663947734647752E-2</v>
      </c>
      <c r="J98" s="5">
        <f t="shared" si="14"/>
        <v>-1.9044097579038826E-3</v>
      </c>
      <c r="K98">
        <f t="shared" si="15"/>
        <v>4.5109787623201913E-5</v>
      </c>
      <c r="L98">
        <f t="shared" si="10"/>
        <v>2.7687220636393858E-4</v>
      </c>
      <c r="M98">
        <f t="shared" si="11"/>
        <v>3.6267765259995247E-6</v>
      </c>
    </row>
    <row r="99" spans="1:13" ht="15" x14ac:dyDescent="0.2">
      <c r="A99" s="1">
        <v>45664</v>
      </c>
      <c r="B99">
        <v>242.21</v>
      </c>
      <c r="C99">
        <v>38.92</v>
      </c>
      <c r="D99">
        <v>127.56</v>
      </c>
      <c r="E99" s="2">
        <f t="shared" si="12"/>
        <v>-1.1453092086491822E-2</v>
      </c>
      <c r="F99" s="2">
        <f t="shared" si="8"/>
        <v>-1.7573354316020882E-2</v>
      </c>
      <c r="G99" s="2">
        <f t="shared" si="9"/>
        <v>9.2144774828221091E-3</v>
      </c>
      <c r="H99" s="5">
        <f>E99-$E4202</f>
        <v>-1.1453092086491822E-2</v>
      </c>
      <c r="I99" s="5">
        <f t="shared" si="13"/>
        <v>-1.7936023084678288E-2</v>
      </c>
      <c r="J99" s="5">
        <f t="shared" si="14"/>
        <v>8.7332178702403552E-3</v>
      </c>
      <c r="K99">
        <f t="shared" si="15"/>
        <v>1.311733183416616E-4</v>
      </c>
      <c r="L99">
        <f t="shared" si="10"/>
        <v>3.2170092409411244E-4</v>
      </c>
      <c r="M99">
        <f t="shared" si="11"/>
        <v>7.6269094369085487E-5</v>
      </c>
    </row>
    <row r="100" spans="1:13" ht="15" x14ac:dyDescent="0.2">
      <c r="A100" s="1">
        <v>45665</v>
      </c>
      <c r="B100">
        <v>242.7</v>
      </c>
      <c r="C100">
        <v>38.94</v>
      </c>
      <c r="D100">
        <v>128.46</v>
      </c>
      <c r="E100" s="2">
        <f t="shared" si="12"/>
        <v>2.0209942743203797E-3</v>
      </c>
      <c r="F100" s="2">
        <f t="shared" si="8"/>
        <v>5.1374262624912089E-4</v>
      </c>
      <c r="G100" s="2">
        <f t="shared" si="9"/>
        <v>7.0307296877896762E-3</v>
      </c>
      <c r="H100" s="5">
        <f>E100-$E4203</f>
        <v>2.0209942743203797E-3</v>
      </c>
      <c r="I100" s="5">
        <f t="shared" si="13"/>
        <v>1.5107385759171509E-4</v>
      </c>
      <c r="J100" s="5">
        <f t="shared" si="14"/>
        <v>6.5494700752079214E-3</v>
      </c>
      <c r="K100">
        <f t="shared" si="15"/>
        <v>4.0844178568357579E-6</v>
      </c>
      <c r="L100">
        <f t="shared" si="10"/>
        <v>2.282331044764181E-8</v>
      </c>
      <c r="M100">
        <f t="shared" si="11"/>
        <v>4.2895558266044058E-5</v>
      </c>
    </row>
    <row r="101" spans="1:13" ht="15" x14ac:dyDescent="0.2">
      <c r="A101" s="1">
        <v>45667</v>
      </c>
      <c r="B101">
        <v>236.85</v>
      </c>
      <c r="C101">
        <v>37.81</v>
      </c>
      <c r="D101">
        <v>131.41</v>
      </c>
      <c r="E101" s="2">
        <f t="shared" si="12"/>
        <v>-2.4399083362794845E-2</v>
      </c>
      <c r="F101" s="2">
        <f t="shared" si="8"/>
        <v>-2.9448382041212005E-2</v>
      </c>
      <c r="G101" s="2">
        <f t="shared" si="9"/>
        <v>2.2704634825900058E-2</v>
      </c>
      <c r="H101" s="5">
        <f>E101-$E4204</f>
        <v>-2.4399083362794845E-2</v>
      </c>
      <c r="I101" s="5">
        <f t="shared" si="13"/>
        <v>-2.981105080986941E-2</v>
      </c>
      <c r="J101" s="5">
        <f t="shared" si="14"/>
        <v>2.2223375213318304E-2</v>
      </c>
      <c r="K101">
        <f t="shared" si="15"/>
        <v>5.9531526894461215E-4</v>
      </c>
      <c r="L101">
        <f t="shared" si="10"/>
        <v>8.8869875038861555E-4</v>
      </c>
      <c r="M101">
        <f t="shared" si="11"/>
        <v>4.9387840587193036E-4</v>
      </c>
    </row>
    <row r="102" spans="1:13" ht="15" x14ac:dyDescent="0.2">
      <c r="A102" s="1">
        <v>45670</v>
      </c>
      <c r="B102">
        <v>234.4</v>
      </c>
      <c r="C102">
        <v>38.119999999999997</v>
      </c>
      <c r="D102">
        <v>134.49</v>
      </c>
      <c r="E102" s="2">
        <f t="shared" si="12"/>
        <v>-1.0397971666903203E-2</v>
      </c>
      <c r="F102" s="2">
        <f t="shared" si="8"/>
        <v>8.1654608831597895E-3</v>
      </c>
      <c r="G102" s="2">
        <f t="shared" si="9"/>
        <v>2.3167640179911207E-2</v>
      </c>
      <c r="H102" s="5">
        <f>E102-$E4205</f>
        <v>-1.0397971666903203E-2</v>
      </c>
      <c r="I102" s="5">
        <f t="shared" si="13"/>
        <v>7.8027921145023835E-3</v>
      </c>
      <c r="J102" s="5">
        <f t="shared" si="14"/>
        <v>2.2686380567329453E-2</v>
      </c>
      <c r="K102">
        <f t="shared" si="15"/>
        <v>1.0811781478572178E-4</v>
      </c>
      <c r="L102">
        <f t="shared" si="10"/>
        <v>6.0883564782140577E-5</v>
      </c>
      <c r="M102">
        <f t="shared" si="11"/>
        <v>5.146718632457034E-4</v>
      </c>
    </row>
    <row r="103" spans="1:13" ht="15" x14ac:dyDescent="0.2">
      <c r="A103" s="1">
        <v>45671</v>
      </c>
      <c r="B103">
        <v>233.28</v>
      </c>
      <c r="C103">
        <v>38.28</v>
      </c>
      <c r="D103">
        <v>135.77000000000001</v>
      </c>
      <c r="E103" s="2">
        <f t="shared" si="12"/>
        <v>-4.7896088825642048E-3</v>
      </c>
      <c r="F103" s="2">
        <f t="shared" si="8"/>
        <v>4.188487798752214E-3</v>
      </c>
      <c r="G103" s="2">
        <f t="shared" si="9"/>
        <v>9.4724307767321027E-3</v>
      </c>
      <c r="H103" s="5">
        <f>E103-$E4206</f>
        <v>-4.7896088825642048E-3</v>
      </c>
      <c r="I103" s="5">
        <f t="shared" si="13"/>
        <v>3.825819030094808E-3</v>
      </c>
      <c r="J103" s="5">
        <f t="shared" si="14"/>
        <v>8.9911711641503488E-3</v>
      </c>
      <c r="K103">
        <f t="shared" si="15"/>
        <v>2.2940353247937931E-5</v>
      </c>
      <c r="L103">
        <f t="shared" si="10"/>
        <v>1.4636891251035577E-5</v>
      </c>
      <c r="M103">
        <f t="shared" si="11"/>
        <v>8.084115890304874E-5</v>
      </c>
    </row>
    <row r="104" spans="1:13" ht="15" x14ac:dyDescent="0.2">
      <c r="A104" s="1">
        <v>45672</v>
      </c>
      <c r="B104">
        <v>237.87</v>
      </c>
      <c r="C104">
        <v>38.18</v>
      </c>
      <c r="D104">
        <v>137.06</v>
      </c>
      <c r="E104" s="2">
        <f t="shared" si="12"/>
        <v>1.9484857132124001E-2</v>
      </c>
      <c r="F104" s="2">
        <f t="shared" si="8"/>
        <v>-2.6157482871519899E-3</v>
      </c>
      <c r="G104" s="2">
        <f t="shared" si="9"/>
        <v>9.4565085454876609E-3</v>
      </c>
      <c r="H104" s="5">
        <f>E104-$E4207</f>
        <v>1.9484857132124001E-2</v>
      </c>
      <c r="I104" s="5">
        <f t="shared" si="13"/>
        <v>-2.9784170558093959E-3</v>
      </c>
      <c r="J104" s="5">
        <f t="shared" si="14"/>
        <v>8.9752489329059069E-3</v>
      </c>
      <c r="K104">
        <f t="shared" si="15"/>
        <v>3.7965965745928354E-4</v>
      </c>
      <c r="L104">
        <f t="shared" si="10"/>
        <v>8.8709681583363104E-6</v>
      </c>
      <c r="M104">
        <f t="shared" si="11"/>
        <v>8.0555093407628627E-5</v>
      </c>
    </row>
    <row r="105" spans="1:13" ht="15" x14ac:dyDescent="0.2">
      <c r="A105" s="1">
        <v>45673</v>
      </c>
      <c r="B105">
        <v>228.26</v>
      </c>
      <c r="C105">
        <v>38.340000000000003</v>
      </c>
      <c r="D105">
        <v>138.05000000000001</v>
      </c>
      <c r="E105" s="2">
        <f t="shared" si="12"/>
        <v>-4.1238975826963314E-2</v>
      </c>
      <c r="F105" s="2">
        <f t="shared" si="8"/>
        <v>4.1819193198970196E-3</v>
      </c>
      <c r="G105" s="2">
        <f t="shared" si="9"/>
        <v>7.1971522184858094E-3</v>
      </c>
      <c r="H105" s="5">
        <f>E105-$E4208</f>
        <v>-4.1238975826963314E-2</v>
      </c>
      <c r="I105" s="5">
        <f t="shared" si="13"/>
        <v>3.8192505512396136E-3</v>
      </c>
      <c r="J105" s="5">
        <f t="shared" si="14"/>
        <v>6.7158926059040546E-3</v>
      </c>
      <c r="K105">
        <f t="shared" si="15"/>
        <v>1.7006531272568647E-3</v>
      </c>
      <c r="L105">
        <f t="shared" si="10"/>
        <v>1.4586674773144092E-5</v>
      </c>
      <c r="M105">
        <f t="shared" si="11"/>
        <v>4.5103213494036752E-5</v>
      </c>
    </row>
    <row r="106" spans="1:13" ht="15" x14ac:dyDescent="0.2">
      <c r="A106" s="1">
        <v>45674</v>
      </c>
      <c r="B106">
        <v>229.98</v>
      </c>
      <c r="C106">
        <v>38.78</v>
      </c>
      <c r="D106">
        <v>136.58000000000001</v>
      </c>
      <c r="E106" s="2">
        <f t="shared" si="12"/>
        <v>7.5070184950648353E-3</v>
      </c>
      <c r="F106" s="2">
        <f t="shared" si="8"/>
        <v>1.141091219700718E-2</v>
      </c>
      <c r="G106" s="2">
        <f t="shared" si="9"/>
        <v>-1.0705414843220273E-2</v>
      </c>
      <c r="H106" s="5">
        <f>E106-$E4209</f>
        <v>7.5070184950648353E-3</v>
      </c>
      <c r="I106" s="5">
        <f t="shared" si="13"/>
        <v>1.1048243428349775E-2</v>
      </c>
      <c r="J106" s="5">
        <f t="shared" si="14"/>
        <v>-1.1186674455802027E-2</v>
      </c>
      <c r="K106">
        <f t="shared" si="15"/>
        <v>5.6355326685245504E-5</v>
      </c>
      <c r="L106">
        <f t="shared" si="10"/>
        <v>1.2206368285207398E-4</v>
      </c>
      <c r="M106">
        <f t="shared" si="11"/>
        <v>1.2514168538009358E-4</v>
      </c>
    </row>
    <row r="107" spans="1:13" ht="15" x14ac:dyDescent="0.2">
      <c r="A107" s="1">
        <v>45678</v>
      </c>
      <c r="B107">
        <v>222.64</v>
      </c>
      <c r="C107">
        <v>39.020000000000003</v>
      </c>
      <c r="D107">
        <v>136.04</v>
      </c>
      <c r="E107" s="2">
        <f t="shared" si="12"/>
        <v>-3.2436231402883438E-2</v>
      </c>
      <c r="F107" s="2">
        <f t="shared" si="8"/>
        <v>6.1696853804594307E-3</v>
      </c>
      <c r="G107" s="2">
        <f t="shared" si="9"/>
        <v>-3.9615633939486718E-3</v>
      </c>
      <c r="H107" s="5">
        <f>E107-$E4210</f>
        <v>-3.2436231402883438E-2</v>
      </c>
      <c r="I107" s="5">
        <f t="shared" si="13"/>
        <v>5.8070166118020248E-3</v>
      </c>
      <c r="J107" s="5">
        <f t="shared" si="14"/>
        <v>-4.4428230065304266E-3</v>
      </c>
      <c r="K107">
        <f t="shared" si="15"/>
        <v>1.0521091076214017E-3</v>
      </c>
      <c r="L107">
        <f t="shared" si="10"/>
        <v>3.3721441929744669E-5</v>
      </c>
      <c r="M107">
        <f t="shared" si="11"/>
        <v>1.9738676267356059E-5</v>
      </c>
    </row>
    <row r="108" spans="1:13" ht="15" x14ac:dyDescent="0.2">
      <c r="A108" s="1">
        <v>45679</v>
      </c>
      <c r="B108">
        <v>223.83</v>
      </c>
      <c r="C108">
        <v>38.950000000000003</v>
      </c>
      <c r="D108">
        <v>134.02000000000001</v>
      </c>
      <c r="E108" s="2">
        <f t="shared" si="12"/>
        <v>5.3307179338975266E-3</v>
      </c>
      <c r="F108" s="2">
        <f t="shared" si="8"/>
        <v>-1.7955628782079327E-3</v>
      </c>
      <c r="G108" s="2">
        <f t="shared" si="9"/>
        <v>-1.4959917593969895E-2</v>
      </c>
      <c r="H108" s="5">
        <f>E108-$E4211</f>
        <v>5.3307179338975266E-3</v>
      </c>
      <c r="I108" s="5">
        <f t="shared" si="13"/>
        <v>-2.1582316468653387E-3</v>
      </c>
      <c r="J108" s="5">
        <f t="shared" si="14"/>
        <v>-1.5441177206551649E-2</v>
      </c>
      <c r="K108">
        <f t="shared" si="15"/>
        <v>2.8416553690776713E-5</v>
      </c>
      <c r="L108">
        <f t="shared" si="10"/>
        <v>4.6579638415310716E-6</v>
      </c>
      <c r="M108">
        <f t="shared" si="11"/>
        <v>2.384299535241302E-4</v>
      </c>
    </row>
    <row r="109" spans="1:13" ht="15" x14ac:dyDescent="0.2">
      <c r="A109" s="1">
        <v>45680</v>
      </c>
      <c r="B109">
        <v>223.66</v>
      </c>
      <c r="C109">
        <v>39.18</v>
      </c>
      <c r="D109">
        <v>133.97999999999999</v>
      </c>
      <c r="E109" s="2">
        <f t="shared" si="12"/>
        <v>-7.5979355149053557E-4</v>
      </c>
      <c r="F109" s="2">
        <f t="shared" si="8"/>
        <v>5.8876401996373132E-3</v>
      </c>
      <c r="G109" s="2">
        <f t="shared" si="9"/>
        <v>-2.9850746490325174E-4</v>
      </c>
      <c r="H109" s="5">
        <f>E109-$E4212</f>
        <v>-7.5979355149053557E-4</v>
      </c>
      <c r="I109" s="5">
        <f t="shared" si="13"/>
        <v>5.5249714309799072E-3</v>
      </c>
      <c r="J109" s="5">
        <f t="shared" si="14"/>
        <v>-7.7976707748500626E-4</v>
      </c>
      <c r="K109">
        <f t="shared" si="15"/>
        <v>5.7728624088660116E-7</v>
      </c>
      <c r="L109">
        <f t="shared" si="10"/>
        <v>3.0525309313144166E-5</v>
      </c>
      <c r="M109">
        <f t="shared" si="11"/>
        <v>6.080366951295078E-7</v>
      </c>
    </row>
    <row r="110" spans="1:13" ht="15" x14ac:dyDescent="0.2">
      <c r="A110" s="1">
        <v>45681</v>
      </c>
      <c r="B110">
        <v>222.78</v>
      </c>
      <c r="C110">
        <v>39.54</v>
      </c>
      <c r="D110">
        <v>131.82</v>
      </c>
      <c r="E110" s="2">
        <f t="shared" si="12"/>
        <v>-3.9423041829985839E-3</v>
      </c>
      <c r="F110" s="2">
        <f t="shared" si="8"/>
        <v>9.1464052260762027E-3</v>
      </c>
      <c r="G110" s="2">
        <f t="shared" si="9"/>
        <v>-1.6253179455547689E-2</v>
      </c>
      <c r="H110" s="5">
        <f>E110-$E4213</f>
        <v>-3.9423041829985839E-3</v>
      </c>
      <c r="I110" s="5">
        <f t="shared" si="13"/>
        <v>8.7837364574187976E-3</v>
      </c>
      <c r="J110" s="5">
        <f t="shared" si="14"/>
        <v>-1.6734439068129443E-2</v>
      </c>
      <c r="K110">
        <f t="shared" si="15"/>
        <v>1.5541762271288133E-5</v>
      </c>
      <c r="L110">
        <f t="shared" si="10"/>
        <v>7.7154026153388131E-5</v>
      </c>
      <c r="M110">
        <f t="shared" si="11"/>
        <v>2.8004145092493701E-4</v>
      </c>
    </row>
    <row r="111" spans="1:13" ht="15" x14ac:dyDescent="0.2">
      <c r="A111" s="1">
        <v>45684</v>
      </c>
      <c r="B111">
        <v>229.86</v>
      </c>
      <c r="C111">
        <v>40.64</v>
      </c>
      <c r="D111">
        <v>131.96</v>
      </c>
      <c r="E111" s="2">
        <f t="shared" si="12"/>
        <v>3.1285690523568978E-2</v>
      </c>
      <c r="F111" s="2">
        <f t="shared" si="8"/>
        <v>2.7439985527755714E-2</v>
      </c>
      <c r="G111" s="2">
        <f t="shared" si="9"/>
        <v>1.0614907358069579E-3</v>
      </c>
      <c r="H111" s="5">
        <f>E111-$E4214</f>
        <v>3.1285690523568978E-2</v>
      </c>
      <c r="I111" s="5">
        <f t="shared" si="13"/>
        <v>2.7077316759098309E-2</v>
      </c>
      <c r="J111" s="5">
        <f t="shared" si="14"/>
        <v>5.8023112322520343E-4</v>
      </c>
      <c r="K111">
        <f t="shared" si="15"/>
        <v>9.7879443153653378E-4</v>
      </c>
      <c r="L111">
        <f t="shared" si="10"/>
        <v>7.3318108287254613E-4</v>
      </c>
      <c r="M111">
        <f t="shared" si="11"/>
        <v>3.3666815635918119E-7</v>
      </c>
    </row>
    <row r="112" spans="1:13" ht="15" x14ac:dyDescent="0.2">
      <c r="A112" s="1">
        <v>45685</v>
      </c>
      <c r="B112">
        <v>238.26</v>
      </c>
      <c r="C112">
        <v>40.4</v>
      </c>
      <c r="D112">
        <v>130.25</v>
      </c>
      <c r="E112" s="2">
        <f t="shared" si="12"/>
        <v>3.5892086430602384E-2</v>
      </c>
      <c r="F112" s="2">
        <f t="shared" si="8"/>
        <v>-5.9230183031221675E-3</v>
      </c>
      <c r="G112" s="2">
        <f t="shared" si="9"/>
        <v>-1.3043165726904416E-2</v>
      </c>
      <c r="H112" s="5">
        <f>E112-$E4215</f>
        <v>3.5892086430602384E-2</v>
      </c>
      <c r="I112" s="5">
        <f t="shared" si="13"/>
        <v>-6.2856870717795735E-3</v>
      </c>
      <c r="J112" s="5">
        <f t="shared" si="14"/>
        <v>-1.352442533948617E-2</v>
      </c>
      <c r="K112">
        <f t="shared" si="15"/>
        <v>1.2882418683418317E-3</v>
      </c>
      <c r="L112">
        <f t="shared" si="10"/>
        <v>3.9509861964336866E-5</v>
      </c>
      <c r="M112">
        <f t="shared" si="11"/>
        <v>1.829100807633356E-4</v>
      </c>
    </row>
    <row r="113" spans="1:13" ht="15" x14ac:dyDescent="0.2">
      <c r="A113" s="1">
        <v>45686</v>
      </c>
      <c r="B113">
        <v>239.36</v>
      </c>
      <c r="C113">
        <v>40.28</v>
      </c>
      <c r="D113">
        <v>130.22999999999999</v>
      </c>
      <c r="E113" s="2">
        <f t="shared" si="12"/>
        <v>4.6061804148975023E-3</v>
      </c>
      <c r="F113" s="2">
        <f t="shared" si="8"/>
        <v>-2.9747171167427322E-3</v>
      </c>
      <c r="G113" s="2">
        <f t="shared" si="9"/>
        <v>-1.5356265386452076E-4</v>
      </c>
      <c r="H113" s="5">
        <f>E113-$E4216</f>
        <v>4.6061804148975023E-3</v>
      </c>
      <c r="I113" s="5">
        <f t="shared" si="13"/>
        <v>-3.3373858854001382E-3</v>
      </c>
      <c r="J113" s="5">
        <f t="shared" si="14"/>
        <v>-6.3482226644627526E-4</v>
      </c>
      <c r="K113">
        <f t="shared" si="15"/>
        <v>2.1216898014585326E-5</v>
      </c>
      <c r="L113">
        <f t="shared" si="10"/>
        <v>1.1138144548068064E-5</v>
      </c>
      <c r="M113">
        <f t="shared" si="11"/>
        <v>4.029993099759857E-7</v>
      </c>
    </row>
    <row r="114" spans="1:13" ht="15" x14ac:dyDescent="0.2">
      <c r="A114" s="1">
        <v>45687</v>
      </c>
      <c r="B114">
        <v>237.59</v>
      </c>
      <c r="C114">
        <v>39.47</v>
      </c>
      <c r="D114">
        <v>129.78</v>
      </c>
      <c r="E114" s="2">
        <f t="shared" si="12"/>
        <v>-7.4221957254156003E-3</v>
      </c>
      <c r="F114" s="2">
        <f t="shared" si="8"/>
        <v>-2.031417817560581E-2</v>
      </c>
      <c r="G114" s="2">
        <f t="shared" si="9"/>
        <v>-3.4614087865893757E-3</v>
      </c>
      <c r="H114" s="5">
        <f>E114-$E4217</f>
        <v>-7.4221957254156003E-3</v>
      </c>
      <c r="I114" s="5">
        <f t="shared" si="13"/>
        <v>-2.0676846944263215E-2</v>
      </c>
      <c r="J114" s="5">
        <f t="shared" si="14"/>
        <v>-3.94266839917113E-3</v>
      </c>
      <c r="K114">
        <f t="shared" si="15"/>
        <v>5.5088989386377606E-5</v>
      </c>
      <c r="L114">
        <f t="shared" si="10"/>
        <v>4.2753199955648704E-4</v>
      </c>
      <c r="M114">
        <f t="shared" si="11"/>
        <v>1.5544634105822642E-5</v>
      </c>
    </row>
    <row r="115" spans="1:13" ht="15" x14ac:dyDescent="0.2">
      <c r="A115" s="1">
        <v>45688</v>
      </c>
      <c r="B115">
        <v>236</v>
      </c>
      <c r="C115">
        <v>39.39</v>
      </c>
      <c r="D115">
        <v>125.79</v>
      </c>
      <c r="E115" s="2">
        <f t="shared" si="12"/>
        <v>-6.714694035086833E-3</v>
      </c>
      <c r="F115" s="2">
        <f t="shared" si="8"/>
        <v>-2.0289126919412286E-3</v>
      </c>
      <c r="G115" s="2">
        <f t="shared" si="9"/>
        <v>-3.1226859342241332E-2</v>
      </c>
      <c r="H115" s="5">
        <f>E115-$E4218</f>
        <v>-6.714694035086833E-3</v>
      </c>
      <c r="I115" s="5">
        <f t="shared" si="13"/>
        <v>-2.3915814605986346E-3</v>
      </c>
      <c r="J115" s="5">
        <f t="shared" si="14"/>
        <v>-3.1708118954823089E-2</v>
      </c>
      <c r="K115">
        <f t="shared" si="15"/>
        <v>4.5087115984830698E-5</v>
      </c>
      <c r="L115">
        <f t="shared" si="10"/>
        <v>5.7196618826790986E-6</v>
      </c>
      <c r="M115">
        <f t="shared" si="11"/>
        <v>1.0054048076532113E-3</v>
      </c>
    </row>
    <row r="116" spans="1:13" ht="15" x14ac:dyDescent="0.2">
      <c r="A116" s="1">
        <v>45691</v>
      </c>
      <c r="B116">
        <v>228.01</v>
      </c>
      <c r="C116">
        <v>39.979999999999997</v>
      </c>
      <c r="D116">
        <v>126.4</v>
      </c>
      <c r="E116" s="2">
        <f t="shared" si="12"/>
        <v>-3.4442317383852845E-2</v>
      </c>
      <c r="F116" s="2">
        <f t="shared" si="8"/>
        <v>1.4867352089439428E-2</v>
      </c>
      <c r="G116" s="2">
        <f t="shared" si="9"/>
        <v>4.8376318619759674E-3</v>
      </c>
      <c r="H116" s="5">
        <f>E116-$E4219</f>
        <v>-3.4442317383852845E-2</v>
      </c>
      <c r="I116" s="5">
        <f t="shared" si="13"/>
        <v>1.4504683320782023E-2</v>
      </c>
      <c r="J116" s="5">
        <f t="shared" si="14"/>
        <v>4.3563722493942126E-3</v>
      </c>
      <c r="K116">
        <f t="shared" si="15"/>
        <v>1.186273226770052E-3</v>
      </c>
      <c r="L116">
        <f t="shared" si="10"/>
        <v>2.1038583823617223E-4</v>
      </c>
      <c r="M116">
        <f t="shared" si="11"/>
        <v>1.8977979175291991E-5</v>
      </c>
    </row>
    <row r="117" spans="1:13" ht="15" x14ac:dyDescent="0.2">
      <c r="A117" s="1">
        <v>45692</v>
      </c>
      <c r="B117">
        <v>232.8</v>
      </c>
      <c r="C117">
        <v>39.81</v>
      </c>
      <c r="D117">
        <v>128.12</v>
      </c>
      <c r="E117" s="2">
        <f t="shared" si="12"/>
        <v>2.0790228215525564E-2</v>
      </c>
      <c r="F117" s="2">
        <f t="shared" si="8"/>
        <v>-4.2611920600280368E-3</v>
      </c>
      <c r="G117" s="2">
        <f t="shared" si="9"/>
        <v>1.3515843028200419E-2</v>
      </c>
      <c r="H117" s="5">
        <f>E117-$E4220</f>
        <v>2.0790228215525564E-2</v>
      </c>
      <c r="I117" s="5">
        <f t="shared" si="13"/>
        <v>-4.6238608286854428E-3</v>
      </c>
      <c r="J117" s="5">
        <f t="shared" si="14"/>
        <v>1.3034583415618665E-2</v>
      </c>
      <c r="K117">
        <f t="shared" si="15"/>
        <v>4.3223358925363527E-4</v>
      </c>
      <c r="L117">
        <f t="shared" si="10"/>
        <v>2.1380088963051629E-5</v>
      </c>
      <c r="M117">
        <f t="shared" si="11"/>
        <v>1.6990036481872114E-4</v>
      </c>
    </row>
    <row r="118" spans="1:13" ht="15" x14ac:dyDescent="0.2">
      <c r="A118" s="1">
        <v>45693</v>
      </c>
      <c r="B118">
        <v>232.47</v>
      </c>
      <c r="C118">
        <v>40.130000000000003</v>
      </c>
      <c r="D118">
        <v>127.7</v>
      </c>
      <c r="E118" s="2">
        <f t="shared" si="12"/>
        <v>-1.4185314133143574E-3</v>
      </c>
      <c r="F118" s="2">
        <f t="shared" si="8"/>
        <v>8.0060472665995017E-3</v>
      </c>
      <c r="G118" s="2">
        <f t="shared" si="9"/>
        <v>-3.2835617024638462E-3</v>
      </c>
      <c r="H118" s="5">
        <f>E118-$E4221</f>
        <v>-1.4185314133143574E-3</v>
      </c>
      <c r="I118" s="5">
        <f t="shared" si="13"/>
        <v>7.6433784979420957E-3</v>
      </c>
      <c r="J118" s="5">
        <f t="shared" si="14"/>
        <v>-3.7648213150456005E-3</v>
      </c>
      <c r="K118">
        <f t="shared" si="15"/>
        <v>2.012231370559628E-6</v>
      </c>
      <c r="L118">
        <f t="shared" si="10"/>
        <v>5.8421234862803564E-5</v>
      </c>
      <c r="M118">
        <f t="shared" si="11"/>
        <v>1.4173879534221685E-5</v>
      </c>
    </row>
    <row r="119" spans="1:13" ht="15" x14ac:dyDescent="0.2">
      <c r="A119" s="1">
        <v>45694</v>
      </c>
      <c r="B119">
        <v>233.22</v>
      </c>
      <c r="C119">
        <v>39.94</v>
      </c>
      <c r="D119">
        <v>126.68</v>
      </c>
      <c r="E119" s="2">
        <f t="shared" si="12"/>
        <v>3.2210296482183117E-3</v>
      </c>
      <c r="F119" s="2">
        <f t="shared" si="8"/>
        <v>-4.745856291156275E-3</v>
      </c>
      <c r="G119" s="2">
        <f t="shared" si="9"/>
        <v>-8.0195413680544756E-3</v>
      </c>
      <c r="H119" s="5">
        <f>E119-$E4222</f>
        <v>3.2210296482183117E-3</v>
      </c>
      <c r="I119" s="5">
        <f t="shared" si="13"/>
        <v>-5.108525059813681E-3</v>
      </c>
      <c r="J119" s="5">
        <f t="shared" si="14"/>
        <v>-8.5008009806362295E-3</v>
      </c>
      <c r="K119">
        <f t="shared" si="15"/>
        <v>1.0375031994701381E-5</v>
      </c>
      <c r="L119">
        <f t="shared" si="10"/>
        <v>2.6097028286744374E-5</v>
      </c>
      <c r="M119">
        <f t="shared" si="11"/>
        <v>7.2263617312385883E-5</v>
      </c>
    </row>
    <row r="120" spans="1:13" ht="15" x14ac:dyDescent="0.2">
      <c r="A120" s="1">
        <v>45695</v>
      </c>
      <c r="B120">
        <v>227.63</v>
      </c>
      <c r="C120">
        <v>39.880000000000003</v>
      </c>
      <c r="D120">
        <v>126.5</v>
      </c>
      <c r="E120" s="2">
        <f t="shared" si="12"/>
        <v>-2.4260710332889599E-2</v>
      </c>
      <c r="F120" s="2">
        <f t="shared" si="8"/>
        <v>-1.5033828940313996E-3</v>
      </c>
      <c r="G120" s="2">
        <f t="shared" si="9"/>
        <v>-1.4219135028642296E-3</v>
      </c>
      <c r="H120" s="5">
        <f>E120-$E4223</f>
        <v>-2.4260710332889599E-2</v>
      </c>
      <c r="I120" s="5">
        <f t="shared" si="13"/>
        <v>-1.8660516626888054E-3</v>
      </c>
      <c r="J120" s="5">
        <f t="shared" si="14"/>
        <v>-1.9031731154459841E-3</v>
      </c>
      <c r="K120">
        <f t="shared" si="15"/>
        <v>5.8858206585637616E-4</v>
      </c>
      <c r="L120">
        <f t="shared" si="10"/>
        <v>3.482148807823655E-6</v>
      </c>
      <c r="M120">
        <f t="shared" si="11"/>
        <v>3.6220679073563732E-6</v>
      </c>
    </row>
    <row r="121" spans="1:13" ht="15" x14ac:dyDescent="0.2">
      <c r="A121" s="1">
        <v>45698</v>
      </c>
      <c r="B121">
        <v>227.65</v>
      </c>
      <c r="C121">
        <v>39.950000000000003</v>
      </c>
      <c r="D121">
        <v>130.56</v>
      </c>
      <c r="E121" s="2">
        <f t="shared" si="12"/>
        <v>8.7858021493861051E-5</v>
      </c>
      <c r="F121" s="2">
        <f t="shared" si="8"/>
        <v>1.7537271186461852E-3</v>
      </c>
      <c r="G121" s="2">
        <f t="shared" si="9"/>
        <v>3.1590583048222029E-2</v>
      </c>
      <c r="H121" s="5">
        <f>E121-$E4224</f>
        <v>8.7858021493861051E-5</v>
      </c>
      <c r="I121" s="5">
        <f t="shared" si="13"/>
        <v>1.3910583499887794E-3</v>
      </c>
      <c r="J121" s="5">
        <f t="shared" si="14"/>
        <v>3.1109323435640275E-2</v>
      </c>
      <c r="K121">
        <f t="shared" si="15"/>
        <v>7.7190319408157497E-9</v>
      </c>
      <c r="L121">
        <f t="shared" si="10"/>
        <v>1.9350433330735056E-6</v>
      </c>
      <c r="M121">
        <f t="shared" si="11"/>
        <v>9.6779000462327729E-4</v>
      </c>
    </row>
    <row r="122" spans="1:13" ht="15" x14ac:dyDescent="0.2">
      <c r="A122" s="1">
        <v>45699</v>
      </c>
      <c r="B122">
        <v>232.62</v>
      </c>
      <c r="C122">
        <v>40.49</v>
      </c>
      <c r="D122">
        <v>132.29</v>
      </c>
      <c r="E122" s="2">
        <f t="shared" si="12"/>
        <v>2.1596859130101596E-2</v>
      </c>
      <c r="F122" s="2">
        <f t="shared" si="8"/>
        <v>1.3426357831786062E-2</v>
      </c>
      <c r="G122" s="2">
        <f t="shared" si="9"/>
        <v>1.3163591258491788E-2</v>
      </c>
      <c r="H122" s="5">
        <f>E122-$E4225</f>
        <v>2.1596859130101596E-2</v>
      </c>
      <c r="I122" s="5">
        <f t="shared" si="13"/>
        <v>1.3063689063128657E-2</v>
      </c>
      <c r="J122" s="5">
        <f t="shared" si="14"/>
        <v>1.2682331645910034E-2</v>
      </c>
      <c r="K122">
        <f t="shared" si="15"/>
        <v>4.6642432428545266E-4</v>
      </c>
      <c r="L122">
        <f t="shared" si="10"/>
        <v>1.7065997193810729E-4</v>
      </c>
      <c r="M122">
        <f t="shared" si="11"/>
        <v>1.6084153597685109E-4</v>
      </c>
    </row>
    <row r="123" spans="1:13" ht="15" x14ac:dyDescent="0.2">
      <c r="A123" s="1">
        <v>45700</v>
      </c>
      <c r="B123">
        <v>236.87</v>
      </c>
      <c r="C123">
        <v>40.53</v>
      </c>
      <c r="D123">
        <v>128.84</v>
      </c>
      <c r="E123" s="2">
        <f t="shared" si="12"/>
        <v>1.810524652359782E-2</v>
      </c>
      <c r="F123" s="2">
        <f t="shared" si="8"/>
        <v>9.874105961474144E-4</v>
      </c>
      <c r="G123" s="2">
        <f t="shared" si="9"/>
        <v>-2.6425158011290577E-2</v>
      </c>
      <c r="H123" s="5">
        <f>E123-$E4226</f>
        <v>1.810524652359782E-2</v>
      </c>
      <c r="I123" s="5">
        <f t="shared" si="13"/>
        <v>6.2474182749000864E-4</v>
      </c>
      <c r="J123" s="5">
        <f t="shared" si="14"/>
        <v>-2.6906417623872331E-2</v>
      </c>
      <c r="K123">
        <f t="shared" si="15"/>
        <v>3.2779995168025092E-4</v>
      </c>
      <c r="L123">
        <f t="shared" si="10"/>
        <v>3.9030235101555571E-7</v>
      </c>
      <c r="M123">
        <f t="shared" si="11"/>
        <v>7.2395530935022759E-4</v>
      </c>
    </row>
    <row r="124" spans="1:13" ht="15" x14ac:dyDescent="0.2">
      <c r="A124" s="1">
        <v>45701</v>
      </c>
      <c r="B124">
        <v>241.53</v>
      </c>
      <c r="C124">
        <v>41.04</v>
      </c>
      <c r="D124">
        <v>129.02000000000001</v>
      </c>
      <c r="E124" s="2">
        <f t="shared" si="12"/>
        <v>1.9482221545508639E-2</v>
      </c>
      <c r="F124" s="2">
        <f t="shared" si="8"/>
        <v>1.2504760222296865E-2</v>
      </c>
      <c r="G124" s="2">
        <f t="shared" si="9"/>
        <v>1.396106641097642E-3</v>
      </c>
      <c r="H124" s="5">
        <f>E124-$E4227</f>
        <v>1.9482221545508639E-2</v>
      </c>
      <c r="I124" s="5">
        <f t="shared" si="13"/>
        <v>1.214209145363946E-2</v>
      </c>
      <c r="J124" s="5">
        <f t="shared" si="14"/>
        <v>9.1484702851588756E-4</v>
      </c>
      <c r="K124">
        <f t="shared" si="15"/>
        <v>3.7955695634828103E-4</v>
      </c>
      <c r="L124">
        <f t="shared" si="10"/>
        <v>1.4743038486854441E-4</v>
      </c>
      <c r="M124">
        <f t="shared" si="11"/>
        <v>8.3694508558434924E-7</v>
      </c>
    </row>
    <row r="125" spans="1:13" ht="15" x14ac:dyDescent="0.2">
      <c r="A125" s="1">
        <v>45702</v>
      </c>
      <c r="B125">
        <v>244.6</v>
      </c>
      <c r="C125">
        <v>40.99</v>
      </c>
      <c r="D125">
        <v>129.31</v>
      </c>
      <c r="E125" s="2">
        <f t="shared" si="12"/>
        <v>1.2630534273072785E-2</v>
      </c>
      <c r="F125" s="2">
        <f t="shared" si="8"/>
        <v>-1.2190663462678254E-3</v>
      </c>
      <c r="G125" s="2">
        <f t="shared" si="9"/>
        <v>2.2451912036646495E-3</v>
      </c>
      <c r="H125" s="5">
        <f>E125-$E4228</f>
        <v>1.2630534273072785E-2</v>
      </c>
      <c r="I125" s="5">
        <f t="shared" si="13"/>
        <v>-1.5817351149252311E-3</v>
      </c>
      <c r="J125" s="5">
        <f t="shared" si="14"/>
        <v>1.7639315910828951E-3</v>
      </c>
      <c r="K125">
        <f t="shared" si="15"/>
        <v>1.5953039602326628E-4</v>
      </c>
      <c r="L125">
        <f t="shared" si="10"/>
        <v>2.5018859737875344E-6</v>
      </c>
      <c r="M125">
        <f t="shared" si="11"/>
        <v>3.1114546580202342E-6</v>
      </c>
    </row>
    <row r="126" spans="1:13" ht="15" x14ac:dyDescent="0.2">
      <c r="A126" s="1">
        <v>45706</v>
      </c>
      <c r="B126">
        <v>244.47</v>
      </c>
      <c r="C126">
        <v>41.2</v>
      </c>
      <c r="D126">
        <v>130.94</v>
      </c>
      <c r="E126" s="2">
        <f t="shared" si="12"/>
        <v>-5.3162125283384893E-4</v>
      </c>
      <c r="F126" s="2">
        <f t="shared" si="8"/>
        <v>5.1101218392345929E-3</v>
      </c>
      <c r="G126" s="2">
        <f t="shared" si="9"/>
        <v>1.2526580705185008E-2</v>
      </c>
      <c r="H126" s="5">
        <f>E126-$E4229</f>
        <v>-5.3162125283384893E-4</v>
      </c>
      <c r="I126" s="5">
        <f t="shared" si="13"/>
        <v>4.7474530705771869E-3</v>
      </c>
      <c r="J126" s="5">
        <f t="shared" si="14"/>
        <v>1.2045321092603254E-2</v>
      </c>
      <c r="K126">
        <f t="shared" si="15"/>
        <v>2.8262115646463112E-7</v>
      </c>
      <c r="L126">
        <f t="shared" si="10"/>
        <v>2.2538310657332761E-5</v>
      </c>
      <c r="M126">
        <f t="shared" si="11"/>
        <v>1.4508976022391287E-4</v>
      </c>
    </row>
    <row r="127" spans="1:13" ht="15" x14ac:dyDescent="0.2">
      <c r="A127" s="1">
        <v>45707</v>
      </c>
      <c r="B127">
        <v>244.87</v>
      </c>
      <c r="C127">
        <v>42.01</v>
      </c>
      <c r="D127">
        <v>134.53</v>
      </c>
      <c r="E127" s="2">
        <f t="shared" si="12"/>
        <v>1.6348554750960618E-3</v>
      </c>
      <c r="F127" s="2">
        <f t="shared" si="8"/>
        <v>1.9469428825809879E-2</v>
      </c>
      <c r="G127" s="2">
        <f t="shared" si="9"/>
        <v>2.7048019484506206E-2</v>
      </c>
      <c r="H127" s="5">
        <f>E127-$E4230</f>
        <v>1.6348554750960618E-3</v>
      </c>
      <c r="I127" s="5">
        <f t="shared" si="13"/>
        <v>1.9106760057152474E-2</v>
      </c>
      <c r="J127" s="5">
        <f t="shared" si="14"/>
        <v>2.6566759871924452E-2</v>
      </c>
      <c r="K127">
        <f t="shared" si="15"/>
        <v>2.6727524244515701E-6</v>
      </c>
      <c r="L127">
        <f t="shared" si="10"/>
        <v>3.650682798815972E-4</v>
      </c>
      <c r="M127">
        <f t="shared" si="11"/>
        <v>7.0579273009249526E-4</v>
      </c>
    </row>
    <row r="128" spans="1:13" ht="15" x14ac:dyDescent="0.2">
      <c r="A128" s="1">
        <v>45708</v>
      </c>
      <c r="B128">
        <v>245.83</v>
      </c>
      <c r="C128">
        <v>42.49</v>
      </c>
      <c r="D128">
        <v>135.66999999999999</v>
      </c>
      <c r="E128" s="2">
        <f t="shared" si="12"/>
        <v>3.9127826565687213E-3</v>
      </c>
      <c r="F128" s="2">
        <f t="shared" si="8"/>
        <v>1.1361068945429669E-2</v>
      </c>
      <c r="G128" s="2">
        <f t="shared" si="9"/>
        <v>8.4382439997656468E-3</v>
      </c>
      <c r="H128" s="5">
        <f>E128-$E4231</f>
        <v>3.9127826565687213E-3</v>
      </c>
      <c r="I128" s="5">
        <f t="shared" si="13"/>
        <v>1.0998400176772264E-2</v>
      </c>
      <c r="J128" s="5">
        <f t="shared" si="14"/>
        <v>7.9569843871838929E-3</v>
      </c>
      <c r="K128">
        <f t="shared" si="15"/>
        <v>1.5309868117544981E-5</v>
      </c>
      <c r="L128">
        <f t="shared" si="10"/>
        <v>1.2096480644842416E-4</v>
      </c>
      <c r="M128">
        <f t="shared" si="11"/>
        <v>6.3313600537888225E-5</v>
      </c>
    </row>
    <row r="129" spans="1:29" ht="15" x14ac:dyDescent="0.2">
      <c r="A129" s="1">
        <v>45709</v>
      </c>
      <c r="B129">
        <v>245.55</v>
      </c>
      <c r="C129">
        <v>42.76</v>
      </c>
      <c r="D129">
        <v>133.08000000000001</v>
      </c>
      <c r="E129" s="2">
        <f t="shared" si="12"/>
        <v>-1.1396476466492649E-3</v>
      </c>
      <c r="F129" s="2">
        <f t="shared" si="8"/>
        <v>6.3343320301241374E-3</v>
      </c>
      <c r="G129" s="2">
        <f t="shared" si="9"/>
        <v>-1.9275015346941097E-2</v>
      </c>
      <c r="H129" s="5">
        <f>E129-$E4232</f>
        <v>-1.1396476466492649E-3</v>
      </c>
      <c r="I129" s="5">
        <f t="shared" si="13"/>
        <v>5.9716632614667314E-3</v>
      </c>
      <c r="J129" s="5">
        <f t="shared" si="14"/>
        <v>-1.9756274959522851E-2</v>
      </c>
      <c r="K129">
        <f t="shared" si="15"/>
        <v>1.2987967585132078E-6</v>
      </c>
      <c r="L129">
        <f t="shared" si="10"/>
        <v>3.5660762108351477E-5</v>
      </c>
      <c r="M129">
        <f t="shared" si="11"/>
        <v>3.9031040027626964E-4</v>
      </c>
    </row>
    <row r="131" spans="1:29" ht="15" x14ac:dyDescent="0.2">
      <c r="A131" t="s">
        <v>90</v>
      </c>
      <c r="B131">
        <f>COUNT(B3:B129)</f>
        <v>127</v>
      </c>
      <c r="D131" t="s">
        <v>115</v>
      </c>
      <c r="E131" s="5">
        <f>AVERAGE(E4:E129)</f>
        <v>6.4056744782838829E-4</v>
      </c>
      <c r="F131" s="5">
        <f t="shared" ref="F131:G131" si="16">AVERAGE(F4:F129)</f>
        <v>3.6266876865740581E-4</v>
      </c>
      <c r="G131" s="5">
        <f t="shared" si="16"/>
        <v>4.8125961258175447E-4</v>
      </c>
      <c r="J131" t="s">
        <v>116</v>
      </c>
      <c r="K131">
        <f>SUM(K4:K129)</f>
        <v>2.3416819084428241E-2</v>
      </c>
      <c r="L131">
        <f t="shared" ref="L131:M131" si="17">SUM(L4:L129)</f>
        <v>2.0780542344366531E-2</v>
      </c>
      <c r="M131">
        <f t="shared" si="17"/>
        <v>2.8455223448302178E-2</v>
      </c>
    </row>
    <row r="132" spans="1:29" ht="15" x14ac:dyDescent="0.2">
      <c r="D132" s="8" t="s">
        <v>94</v>
      </c>
      <c r="E132" s="9">
        <f>E131*252</f>
        <v>0.16142299685275385</v>
      </c>
      <c r="F132" s="9">
        <f t="shared" ref="F132:G132" si="18">F131*252</f>
        <v>9.1392529701666267E-2</v>
      </c>
      <c r="G132" s="9">
        <f t="shared" si="18"/>
        <v>0.12127742237060213</v>
      </c>
      <c r="J132" t="s">
        <v>118</v>
      </c>
      <c r="K132">
        <f>K131/($B$131-1)</f>
        <v>1.8584777051133523E-4</v>
      </c>
      <c r="L132">
        <f>L131/($B$131-1)</f>
        <v>1.6492493924100422E-4</v>
      </c>
      <c r="M132">
        <f>M131/($B$131-1)</f>
        <v>2.2583510673255698E-4</v>
      </c>
    </row>
    <row r="133" spans="1:29" ht="15" x14ac:dyDescent="0.2">
      <c r="J133" t="s">
        <v>96</v>
      </c>
      <c r="K133" s="2">
        <f>SQRT(K132)</f>
        <v>1.3632599550758294E-2</v>
      </c>
      <c r="L133" s="2">
        <f t="shared" ref="L133:M133" si="19">SQRT(L132)</f>
        <v>1.2842310510223783E-2</v>
      </c>
      <c r="M133" s="2">
        <f t="shared" si="19"/>
        <v>1.5027811109158811E-2</v>
      </c>
    </row>
    <row r="134" spans="1:29" ht="15" x14ac:dyDescent="0.2">
      <c r="J134" s="8" t="s">
        <v>122</v>
      </c>
      <c r="K134" s="9">
        <f>K133*SQRT(252)</f>
        <v>0.21641080880782385</v>
      </c>
      <c r="L134" s="9">
        <f t="shared" ref="L134:M134" si="20">L133*SQRT(252)</f>
        <v>0.20386535921713889</v>
      </c>
      <c r="M134" s="9">
        <f t="shared" si="20"/>
        <v>0.23855910566692767</v>
      </c>
      <c r="N134" t="str" cm="1">
        <f t="array" aca="1" ref="N134" ca="1">_xlfn.FORMULATEXT(_xlfn.ANCHORARRAY(K134))</f>
        <v>=K133*SQRT(252)</v>
      </c>
    </row>
    <row r="135" spans="1:29" ht="15" x14ac:dyDescent="0.25">
      <c r="R135" s="48" t="s">
        <v>119</v>
      </c>
      <c r="S135" s="48" t="s">
        <v>120</v>
      </c>
      <c r="T135" s="48" t="s">
        <v>121</v>
      </c>
    </row>
    <row r="136" spans="1:29" ht="15" x14ac:dyDescent="0.25">
      <c r="Q136" s="25" t="s">
        <v>123</v>
      </c>
      <c r="R136" s="14">
        <v>3</v>
      </c>
      <c r="S136" s="14">
        <v>6</v>
      </c>
      <c r="T136" s="14">
        <v>12</v>
      </c>
    </row>
    <row r="138" spans="1:29" ht="15" x14ac:dyDescent="0.2">
      <c r="D138" t="s">
        <v>124</v>
      </c>
    </row>
    <row r="139" spans="1:29" ht="15" x14ac:dyDescent="0.25">
      <c r="A139" s="17" t="s">
        <v>125</v>
      </c>
      <c r="B139" s="17"/>
      <c r="E139" t="s">
        <v>126</v>
      </c>
      <c r="F139" t="s">
        <v>107</v>
      </c>
      <c r="G139" t="s">
        <v>108</v>
      </c>
      <c r="N139" s="25" t="s">
        <v>127</v>
      </c>
      <c r="AA139" s="25"/>
      <c r="AB139" s="25" t="s">
        <v>127</v>
      </c>
    </row>
    <row r="140" spans="1:29" x14ac:dyDescent="0.2">
      <c r="A140" s="17" t="s">
        <v>128</v>
      </c>
      <c r="B140" s="17">
        <f>_xlfn.COVARIANCE.S(E4:E129,F4:F129)</f>
        <v>-3.5983643636283758E-6</v>
      </c>
      <c r="D140" t="s">
        <v>126</v>
      </c>
      <c r="E140" s="10">
        <f>K132</f>
        <v>1.8584777051133523E-4</v>
      </c>
      <c r="F140" s="11">
        <f>B140</f>
        <v>-3.5983643636283758E-6</v>
      </c>
      <c r="G140" s="11">
        <f>B141</f>
        <v>-2.3958185663395973E-5</v>
      </c>
    </row>
    <row r="141" spans="1:29" x14ac:dyDescent="0.2">
      <c r="A141" s="17" t="s">
        <v>129</v>
      </c>
      <c r="B141" s="17">
        <f>_xlfn.COVARIANCE.S(E4:E129,G4:G129)</f>
        <v>-2.3958185663395973E-5</v>
      </c>
      <c r="D141" t="s">
        <v>107</v>
      </c>
      <c r="E141" s="11">
        <f>B140</f>
        <v>-3.5983643636283758E-6</v>
      </c>
      <c r="F141" s="10">
        <f>L132</f>
        <v>1.6492493924100422E-4</v>
      </c>
      <c r="G141" s="11">
        <f>B142</f>
        <v>6.7630225902073938E-6</v>
      </c>
      <c r="N141" s="17"/>
      <c r="O141" s="17" t="s">
        <v>130</v>
      </c>
      <c r="P141" s="17" t="s">
        <v>131</v>
      </c>
      <c r="T141" s="17"/>
      <c r="U141" s="17" t="s">
        <v>130</v>
      </c>
      <c r="V141" s="17" t="s">
        <v>131</v>
      </c>
      <c r="AA141" s="17"/>
      <c r="AB141" s="17" t="s">
        <v>130</v>
      </c>
      <c r="AC141" s="17" t="s">
        <v>131</v>
      </c>
    </row>
    <row r="142" spans="1:29" x14ac:dyDescent="0.2">
      <c r="A142" s="17" t="s">
        <v>132</v>
      </c>
      <c r="B142" s="17">
        <f>_xlfn.COVARIANCE.S(F4:F129,G4:G129)</f>
        <v>6.7630225902073938E-6</v>
      </c>
      <c r="D142" t="s">
        <v>108</v>
      </c>
      <c r="E142" s="11">
        <f>B141</f>
        <v>-2.3958185663395973E-5</v>
      </c>
      <c r="F142" s="11">
        <f>B142</f>
        <v>6.7630225902073938E-6</v>
      </c>
      <c r="G142" s="10">
        <f>M132</f>
        <v>2.2583510673255698E-4</v>
      </c>
      <c r="N142" s="17" t="s">
        <v>133</v>
      </c>
      <c r="O142" s="18">
        <f>E132</f>
        <v>0.16142299685275385</v>
      </c>
      <c r="P142" s="19">
        <f>K134</f>
        <v>0.21641080880782385</v>
      </c>
      <c r="T142" t="s">
        <v>107</v>
      </c>
      <c r="U142" s="18">
        <f>F132</f>
        <v>9.1392529701666267E-2</v>
      </c>
      <c r="V142" s="19">
        <f>L134</f>
        <v>0.20386535921713889</v>
      </c>
      <c r="AA142" s="17" t="s">
        <v>133</v>
      </c>
      <c r="AB142" s="18">
        <f>E132</f>
        <v>0.16142299685275385</v>
      </c>
      <c r="AC142" s="19">
        <f>K134</f>
        <v>0.21641080880782385</v>
      </c>
    </row>
    <row r="143" spans="1:29" x14ac:dyDescent="0.2">
      <c r="N143" s="17" t="s">
        <v>134</v>
      </c>
      <c r="O143" s="18">
        <f>G132</f>
        <v>0.12127742237060213</v>
      </c>
      <c r="P143" s="19">
        <f>M134</f>
        <v>0.23855910566692767</v>
      </c>
      <c r="T143" s="17" t="s">
        <v>134</v>
      </c>
      <c r="U143" s="18">
        <f>G132</f>
        <v>0.12127742237060213</v>
      </c>
      <c r="V143" s="19">
        <f>M134</f>
        <v>0.23855910566692767</v>
      </c>
      <c r="AA143" t="s">
        <v>107</v>
      </c>
      <c r="AB143" s="18">
        <f>F132</f>
        <v>9.1392529701666267E-2</v>
      </c>
      <c r="AC143" s="19">
        <f>L134</f>
        <v>0.20386535921713889</v>
      </c>
    </row>
    <row r="144" spans="1:29" x14ac:dyDescent="0.2">
      <c r="E144" t="s">
        <v>156</v>
      </c>
      <c r="F144" t="s">
        <v>157</v>
      </c>
      <c r="G144" t="s">
        <v>144</v>
      </c>
      <c r="H144" t="s">
        <v>145</v>
      </c>
      <c r="N144" s="17" t="s">
        <v>117</v>
      </c>
      <c r="O144" s="18">
        <v>4.3311000000000002E-2</v>
      </c>
      <c r="T144" s="17" t="s">
        <v>117</v>
      </c>
      <c r="U144" s="18">
        <v>4.3311000000000002E-2</v>
      </c>
      <c r="AA144" s="17" t="s">
        <v>117</v>
      </c>
      <c r="AB144" s="18">
        <v>4.3311000000000002E-2</v>
      </c>
    </row>
    <row r="145" spans="5:31" x14ac:dyDescent="0.2">
      <c r="E145" s="5">
        <v>0.36000049335835071</v>
      </c>
      <c r="F145" s="5">
        <v>0.35223829652817717</v>
      </c>
      <c r="G145" s="5">
        <v>0.28776021011347241</v>
      </c>
      <c r="H145" s="12">
        <f>E145+F145+G145</f>
        <v>0.9999990000000003</v>
      </c>
      <c r="O145" s="5"/>
      <c r="U145" s="5"/>
      <c r="AB145" s="5"/>
    </row>
    <row r="146" spans="5:31" ht="15" x14ac:dyDescent="0.25">
      <c r="N146" s="25" t="s">
        <v>124</v>
      </c>
      <c r="U146" t="s">
        <v>135</v>
      </c>
      <c r="AB146" t="s">
        <v>135</v>
      </c>
    </row>
    <row r="147" spans="5:31" x14ac:dyDescent="0.2">
      <c r="E147" t="s">
        <v>146</v>
      </c>
      <c r="N147" s="17"/>
      <c r="O147" s="17" t="s">
        <v>126</v>
      </c>
      <c r="P147" s="17" t="s">
        <v>108</v>
      </c>
      <c r="Q147" t="s">
        <v>153</v>
      </c>
      <c r="T147" s="17"/>
      <c r="U147" t="s">
        <v>107</v>
      </c>
      <c r="V147" s="17" t="s">
        <v>108</v>
      </c>
      <c r="W147" t="s">
        <v>153</v>
      </c>
      <c r="AA147" s="17"/>
      <c r="AB147" s="17" t="s">
        <v>126</v>
      </c>
      <c r="AC147" s="17" t="str">
        <f>AA143</f>
        <v>VZ</v>
      </c>
      <c r="AD147" t="s">
        <v>153</v>
      </c>
    </row>
    <row r="148" spans="5:31" x14ac:dyDescent="0.2">
      <c r="E148">
        <f>E145^2*E140+F145^2*F141+G145^2*G142+2*E145*F145*E141+2*E145*G145*E142+2*F145*G145*F142</f>
        <v>5.8743536266144077E-5</v>
      </c>
      <c r="N148" s="17" t="s">
        <v>126</v>
      </c>
      <c r="O148" s="10">
        <f>K132</f>
        <v>1.8584777051133523E-4</v>
      </c>
      <c r="P148" s="11">
        <f>G140</f>
        <v>-2.3958185663395973E-5</v>
      </c>
      <c r="Q148">
        <f>CORREL(E4:E129,F4:F129)</f>
        <v>-2.0412806676046124E-2</v>
      </c>
      <c r="T148" t="s">
        <v>107</v>
      </c>
      <c r="U148" s="28">
        <f>F141</f>
        <v>1.6492493924100422E-4</v>
      </c>
      <c r="V148" s="11">
        <f>F142</f>
        <v>6.7630225902073938E-6</v>
      </c>
      <c r="W148">
        <f>CORREL(K4:K129,L4:L129)</f>
        <v>1.5137036029716359E-2</v>
      </c>
      <c r="AA148" s="17" t="s">
        <v>126</v>
      </c>
      <c r="AB148" s="10">
        <f>E140</f>
        <v>1.8584777051133523E-4</v>
      </c>
      <c r="AC148" s="11">
        <f>F140</f>
        <v>-3.5983643636283758E-6</v>
      </c>
      <c r="AD148" t="e">
        <f>CORREL(R4:R129,S4:S129)</f>
        <v>#DIV/0!</v>
      </c>
    </row>
    <row r="149" spans="5:31" x14ac:dyDescent="0.2">
      <c r="N149" s="17" t="s">
        <v>108</v>
      </c>
      <c r="O149" s="11">
        <f>G140</f>
        <v>-2.3958185663395973E-5</v>
      </c>
      <c r="P149" s="10">
        <f>M132</f>
        <v>2.2583510673255698E-4</v>
      </c>
      <c r="T149" s="17" t="s">
        <v>108</v>
      </c>
      <c r="U149" s="27">
        <f>G141</f>
        <v>6.7630225902073938E-6</v>
      </c>
      <c r="V149" s="10">
        <f>G142</f>
        <v>2.2583510673255698E-4</v>
      </c>
      <c r="AA149" s="17" t="str">
        <f>AA143</f>
        <v>VZ</v>
      </c>
      <c r="AB149" s="11">
        <f>F140</f>
        <v>-3.5983643636283758E-6</v>
      </c>
      <c r="AC149" s="10">
        <f>F141</f>
        <v>1.6492493924100422E-4</v>
      </c>
    </row>
    <row r="151" spans="5:31" ht="15" x14ac:dyDescent="0.25">
      <c r="N151" s="25" t="s">
        <v>136</v>
      </c>
      <c r="T151" t="s">
        <v>136</v>
      </c>
      <c r="AA151" t="s">
        <v>136</v>
      </c>
    </row>
    <row r="152" spans="5:31" x14ac:dyDescent="0.2">
      <c r="N152" s="17"/>
      <c r="O152" s="17" t="s">
        <v>126</v>
      </c>
      <c r="P152" s="17" t="s">
        <v>108</v>
      </c>
      <c r="T152" s="17"/>
      <c r="U152" s="17" t="s">
        <v>126</v>
      </c>
      <c r="V152" s="17" t="s">
        <v>108</v>
      </c>
      <c r="AA152" s="17"/>
      <c r="AB152" s="17" t="s">
        <v>126</v>
      </c>
      <c r="AC152" s="17" t="s">
        <v>108</v>
      </c>
    </row>
    <row r="153" spans="5:31" x14ac:dyDescent="0.2">
      <c r="N153" s="17" t="s">
        <v>126</v>
      </c>
      <c r="O153" s="17" cm="1">
        <f t="array" ref="O153:P154">MINVERSE(O148:P149)</f>
        <v>5455.3553259175069</v>
      </c>
      <c r="P153" s="17">
        <v>578.74268376222119</v>
      </c>
      <c r="Q153" t="str">
        <f ca="1">_xlfn.FORMULATEXT(O153)</f>
        <v>=MINVERSE(O148:P149)</v>
      </c>
      <c r="T153" s="17" t="s">
        <v>126</v>
      </c>
      <c r="U153" s="17" cm="1">
        <f t="array" ref="U153:V154">MINVERSE(U148:V149)</f>
        <v>6070.8194291082455</v>
      </c>
      <c r="V153" s="17">
        <v>-181.80118022460732</v>
      </c>
      <c r="W153" t="str">
        <f ca="1">_xlfn.FORMULATEXT(U153)</f>
        <v>=MINVERSE(U148:V149)</v>
      </c>
      <c r="AA153" s="17" t="s">
        <v>126</v>
      </c>
      <c r="AB153" s="17" cm="1">
        <f t="array" ref="AB153:AC154">MINVERSE(AB148:AC149)</f>
        <v>5383.0219070655921</v>
      </c>
      <c r="AC153" s="17">
        <v>117.44781770518202</v>
      </c>
      <c r="AD153" t="str">
        <f ca="1">_xlfn.FORMULATEXT(AB153)</f>
        <v>=MINVERSE(AB148:AC149)</v>
      </c>
    </row>
    <row r="154" spans="5:31" x14ac:dyDescent="0.2">
      <c r="N154" s="17" t="s">
        <v>108</v>
      </c>
      <c r="O154" s="17">
        <v>578.74268376222119</v>
      </c>
      <c r="P154" s="17">
        <v>4489.4066265329056</v>
      </c>
      <c r="T154" s="17" t="s">
        <v>108</v>
      </c>
      <c r="U154" s="17">
        <v>-181.80118022460732</v>
      </c>
      <c r="V154" s="17">
        <v>4433.4538592110111</v>
      </c>
      <c r="AA154" s="17" t="s">
        <v>108</v>
      </c>
      <c r="AB154" s="17">
        <v>117.447817705182</v>
      </c>
      <c r="AC154" s="17">
        <v>6065.926867372691</v>
      </c>
    </row>
    <row r="156" spans="5:31" x14ac:dyDescent="0.2">
      <c r="N156" s="17" t="s">
        <v>137</v>
      </c>
      <c r="O156" s="18">
        <f>O142-O144</f>
        <v>0.11811199685275385</v>
      </c>
      <c r="P156" t="str">
        <f ca="1">_xlfn.FORMULATEXT(O156)</f>
        <v>=O142-O144</v>
      </c>
      <c r="T156" s="17" t="s">
        <v>137</v>
      </c>
      <c r="U156" s="18">
        <f>U142-U144</f>
        <v>4.8081529701666265E-2</v>
      </c>
      <c r="V156" t="str">
        <f ca="1">_xlfn.FORMULATEXT(U156)</f>
        <v>=U142-U144</v>
      </c>
      <c r="AA156" s="17" t="s">
        <v>137</v>
      </c>
      <c r="AB156" s="18">
        <f>AB142-AB144</f>
        <v>0.11811199685275385</v>
      </c>
      <c r="AC156" t="str">
        <f ca="1">_xlfn.FORMULATEXT(AB156)</f>
        <v>=AB142-AB144</v>
      </c>
    </row>
    <row r="157" spans="5:31" x14ac:dyDescent="0.2">
      <c r="N157" s="17" t="s">
        <v>138</v>
      </c>
      <c r="O157" s="18">
        <f>O143-O144</f>
        <v>7.7966422370602126E-2</v>
      </c>
      <c r="P157" t="str">
        <f ca="1">_xlfn.FORMULATEXT(O157)</f>
        <v>=O143-O144</v>
      </c>
      <c r="T157" s="17" t="s">
        <v>138</v>
      </c>
      <c r="U157" s="18">
        <f>U143-U144</f>
        <v>7.7966422370602126E-2</v>
      </c>
      <c r="V157" t="str">
        <f ca="1">_xlfn.FORMULATEXT(U157)</f>
        <v>=U143-U144</v>
      </c>
      <c r="AA157" s="17" t="s">
        <v>138</v>
      </c>
      <c r="AB157" s="18">
        <f>AB143-AB144</f>
        <v>4.8081529701666265E-2</v>
      </c>
      <c r="AC157" t="str">
        <f ca="1">_xlfn.FORMULATEXT(AB157)</f>
        <v>=AB143-AB144</v>
      </c>
    </row>
    <row r="159" spans="5:31" ht="15" x14ac:dyDescent="0.25">
      <c r="N159" s="17" t="s">
        <v>139</v>
      </c>
      <c r="O159" s="20">
        <f>O156*O153+O157*P153</f>
        <v>689.46540761152369</v>
      </c>
      <c r="P159" s="21">
        <f>O159/(O159+O160)</f>
        <v>0.62234835231107444</v>
      </c>
      <c r="Q159" s="15" t="str">
        <f ca="1">_xlfn.FORMULATEXT(O159)</f>
        <v>=O156*O153+O157*P153</v>
      </c>
      <c r="R159" s="16" t="str">
        <f ca="1">_xlfn.FORMULATEXT(P159)</f>
        <v>=O159/(O159+O160)</v>
      </c>
      <c r="T159" s="17" t="s">
        <v>139</v>
      </c>
      <c r="U159" s="20">
        <f>U156*U153+U157*V153</f>
        <v>277.71989708925508</v>
      </c>
      <c r="V159" s="21">
        <f>U159/(U159+U160)</f>
        <v>0.45184218269455845</v>
      </c>
      <c r="W159" s="15" t="str">
        <f ca="1">_xlfn.FORMULATEXT(U159)</f>
        <v>=U156*U153+U157*V153</v>
      </c>
      <c r="X159" s="16" t="str">
        <f ca="1">_xlfn.FORMULATEXT(V159)</f>
        <v>=U159/(U159+U160)</v>
      </c>
      <c r="AA159" s="17" t="s">
        <v>139</v>
      </c>
      <c r="AB159" s="20">
        <f>AB156*AB153+AB157*AC153</f>
        <v>641.44653728102389</v>
      </c>
      <c r="AC159" s="21">
        <f>AB159/(AB159+AB160)</f>
        <v>0.67736190725967504</v>
      </c>
      <c r="AD159" s="15" t="str">
        <f ca="1">_xlfn.FORMULATEXT(AB159)</f>
        <v>=AB156*AB153+AB157*AC153</v>
      </c>
      <c r="AE159" s="16" t="str">
        <f ca="1">_xlfn.FORMULATEXT(AC159)</f>
        <v>=AB159/(AB159+AB160)</v>
      </c>
    </row>
    <row r="160" spans="5:31" ht="15" x14ac:dyDescent="0.25">
      <c r="N160" s="17"/>
      <c r="O160" s="20">
        <f>O156*O154+O157*P154</f>
        <v>418.37942728072238</v>
      </c>
      <c r="P160" s="21">
        <f>O160/(O159+O160)</f>
        <v>0.37765164768892551</v>
      </c>
      <c r="Q160" s="15" t="str">
        <f ca="1">_xlfn.FORMULATEXT(O160)</f>
        <v>=O156*O154+O157*P154</v>
      </c>
      <c r="R160" s="16" t="str">
        <f ca="1">_xlfn.FORMULATEXT(P160)</f>
        <v>=O160/(O159+O160)</v>
      </c>
      <c r="T160" s="17"/>
      <c r="U160" s="20">
        <f>U156*U154+U157*V154</f>
        <v>336.91925730105424</v>
      </c>
      <c r="V160" s="21">
        <f>U160/(U159+U160)</f>
        <v>0.54815781730544144</v>
      </c>
      <c r="W160" s="15" t="str">
        <f ca="1">_xlfn.FORMULATEXT(U160)</f>
        <v>=U156*U154+U157*V154</v>
      </c>
      <c r="X160" s="16" t="str">
        <f ca="1">_xlfn.FORMULATEXT(V160)</f>
        <v>=U160/(U159+U160)</v>
      </c>
      <c r="AA160" s="17"/>
      <c r="AB160" s="20">
        <f>AB156*AB154+AB157*AC154</f>
        <v>305.53103911687271</v>
      </c>
      <c r="AC160" s="21">
        <f>AB160/(AB159+AB160)</f>
        <v>0.3226380927403249</v>
      </c>
      <c r="AD160" s="15" t="str">
        <f ca="1">_xlfn.FORMULATEXT(AB160)</f>
        <v>=AB156*AB154+AB157*AC154</v>
      </c>
      <c r="AE160" s="16" t="str">
        <f ca="1">_xlfn.FORMULATEXT(AC160)</f>
        <v>=AB160/(AB159+AB160)</v>
      </c>
    </row>
    <row r="162" spans="1:29" ht="15" x14ac:dyDescent="0.25">
      <c r="A162" s="17"/>
      <c r="B162" s="17" t="s">
        <v>126</v>
      </c>
      <c r="C162" s="17" t="s">
        <v>107</v>
      </c>
      <c r="D162" s="17" t="s">
        <v>108</v>
      </c>
      <c r="E162" s="31" t="str">
        <f ca="1">_xlfn.FORMULATEXT(B163)</f>
        <v>=(B129/B3)^(1/$B$131)-1</v>
      </c>
      <c r="F162" s="36" t="str">
        <f ca="1">_xlfn.FORMULATEXT(C163)</f>
        <v>=(C129/C3)^(1/$B$131)-1</v>
      </c>
      <c r="G162" s="15" t="str">
        <f ca="1">_xlfn.FORMULATEXT(D163)</f>
        <v>=(D129/D3)^(1/$B$131)-1</v>
      </c>
      <c r="N162" s="17" t="s">
        <v>140</v>
      </c>
      <c r="O162" s="22">
        <f>P159*O142+P160*O143</f>
        <v>0.14626195450215076</v>
      </c>
      <c r="P162" t="str">
        <f ca="1">_xlfn.FORMULATEXT(O162)</f>
        <v>=P159*O142+P160*O143</v>
      </c>
      <c r="T162" s="17" t="s">
        <v>140</v>
      </c>
      <c r="U162" s="22">
        <f>V159*U142+V160*U143</f>
        <v>0.10777416723747753</v>
      </c>
      <c r="V162" t="str">
        <f ca="1">_xlfn.FORMULATEXT(U162)</f>
        <v>=V159*U142+V160*U143</v>
      </c>
      <c r="AA162" s="17" t="s">
        <v>140</v>
      </c>
      <c r="AB162" s="22">
        <f>(AC159*AB142)+(AC160*AB143)</f>
        <v>0.13882850049741297</v>
      </c>
      <c r="AC162" t="str">
        <f ca="1">_xlfn.FORMULATEXT(AB162)</f>
        <v>=(AC159*AB142)+(AC160*AB143)</v>
      </c>
    </row>
    <row r="163" spans="1:29" ht="15" x14ac:dyDescent="0.25">
      <c r="A163" s="17" t="s">
        <v>142</v>
      </c>
      <c r="B163" s="32">
        <f>(B129/B3)^(1/$B$131)-1</f>
        <v>6.3572559757285596E-4</v>
      </c>
      <c r="C163" s="37">
        <f>(C129/C3)^(1/$B$131)-1</f>
        <v>3.5987784956303948E-4</v>
      </c>
      <c r="D163" s="41">
        <f>(D129/D3)^(1/$B$131)-1</f>
        <v>4.7758417383780838E-4</v>
      </c>
      <c r="E163" s="31" t="str">
        <f ca="1">_xlfn.FORMULATEXT(B164)</f>
        <v>=CalculateCAGR(B3,B129,$B$131)</v>
      </c>
      <c r="F163" s="36" t="str">
        <f ca="1">_xlfn.FORMULATEXT(C164)</f>
        <v>=CalculateCAGR(C3,C129,$B$131)</v>
      </c>
      <c r="G163" s="15" t="str">
        <f ca="1">_xlfn.FORMULATEXT(D164)</f>
        <v>=CalculateCAGR(D3,D129,$B$131)</v>
      </c>
      <c r="N163" s="17" t="s">
        <v>141</v>
      </c>
      <c r="O163" s="22">
        <f>SQRT(P159^2*O148+P160^2*P149+2*P159*P160*P148)*SQRT(252)</f>
        <v>0.1530297929077592</v>
      </c>
      <c r="P163" t="str">
        <f ca="1">_xlfn.FORMULATEXT(O163)</f>
        <v>=SQRT(P159^2*O148+P160^2*P149+2*P159*P160*P148)*SQRT(252)</v>
      </c>
      <c r="T163" s="17" t="s">
        <v>141</v>
      </c>
      <c r="U163" s="22">
        <f>SQRT(V159^2*U148+V160^2*V149+2*V159*V160*V148)*SQRT(252)</f>
        <v>0.16257208621988153</v>
      </c>
      <c r="V163" t="str">
        <f ca="1">_xlfn.FORMULATEXT(U163)</f>
        <v>=SQRT(V159^2*U148+V160^2*V149+2*V159*V160*V148)*SQRT(252)</v>
      </c>
      <c r="AA163" s="17" t="s">
        <v>141</v>
      </c>
      <c r="AB163" s="22">
        <f>SQRT(AC159^2*AB148+AC160^2*AC149+2*AC159*AC160*AC148)*SQRT(252)</f>
        <v>0.15943067959537235</v>
      </c>
      <c r="AC163" t="str">
        <f ca="1">_xlfn.FORMULATEXT(AB163)</f>
        <v>=SQRT(AC159^2*AB148+AC160^2*AC149+2*AC159*AC160*AC148)*SQRT(252)</v>
      </c>
    </row>
    <row r="164" spans="1:29" ht="15" x14ac:dyDescent="0.25">
      <c r="A164" s="17" t="s">
        <v>154</v>
      </c>
      <c r="B164" s="33" cm="1">
        <f t="array" ref="B164">CalculateCAGR(B3,B129,$B$131)</f>
        <v>6.3572559757285596E-4</v>
      </c>
      <c r="C164" s="38" cm="1">
        <f t="array" ref="C164">CalculateCAGR(C3,C129,$B$131)</f>
        <v>3.5987784956303948E-4</v>
      </c>
      <c r="D164" s="42" cm="1">
        <f t="array" ref="D164">CalculateCAGR(D3,D129,$B$131)</f>
        <v>4.7758417383780838E-4</v>
      </c>
      <c r="E164" s="31" t="str">
        <f ca="1">_xlfn.FORMULATEXT(B165)</f>
        <v>=K134</v>
      </c>
      <c r="F164" s="36" t="str">
        <f ca="1">_xlfn.FORMULATEXT(C165)</f>
        <v>=L134</v>
      </c>
      <c r="G164" s="15" t="str">
        <f ca="1">_xlfn.FORMULATEXT(D165)</f>
        <v>=M134</v>
      </c>
    </row>
    <row r="165" spans="1:29" ht="15" x14ac:dyDescent="0.25">
      <c r="A165" s="30" t="str">
        <f>J134</f>
        <v>STDEV Annualised</v>
      </c>
      <c r="B165" s="34">
        <f>K134</f>
        <v>0.21641080880782385</v>
      </c>
      <c r="C165" s="39">
        <f>L134</f>
        <v>0.20386535921713889</v>
      </c>
      <c r="D165" s="43">
        <f>M134</f>
        <v>0.23855910566692767</v>
      </c>
      <c r="E165" s="31" t="str">
        <f ca="1">_xlfn.FORMULATEXT(B166)</f>
        <v>=AnnualizedVolatility(E4:E129,252)</v>
      </c>
      <c r="F165" s="36" t="str">
        <f ca="1">_xlfn.FORMULATEXT(C166)</f>
        <v>=AnnualizedVolatility(F4:F129,252)</v>
      </c>
      <c r="G165" s="15" t="str">
        <f ca="1">_xlfn.FORMULATEXT(D166)</f>
        <v>=AnnualizedVolatility(G4:G129,252)</v>
      </c>
    </row>
    <row r="166" spans="1:29" ht="15" x14ac:dyDescent="0.25">
      <c r="A166" s="17" t="s">
        <v>155</v>
      </c>
      <c r="B166" s="35" cm="1">
        <f t="array" ref="B166">AnnualizedVolatility(E4:E129,252)</f>
        <v>0.21703473855250829</v>
      </c>
      <c r="C166" s="40" cm="1">
        <f t="array" ref="C166">AnnualizedVolatility(F4:F129,252)</f>
        <v>0.20467919622238828</v>
      </c>
      <c r="D166" s="44" cm="1">
        <f t="array" ref="D166">AnnualizedVolatility(G4:G129,252)</f>
        <v>0.23951144121268444</v>
      </c>
      <c r="N166" s="17" t="s">
        <v>143</v>
      </c>
      <c r="O166" s="26">
        <f xml:space="preserve"> (O162-O144)/(R136*O163^2)</f>
        <v>1.4654032207569396</v>
      </c>
      <c r="P166" t="str">
        <f ca="1">_xlfn.FORMULATEXT(O166)</f>
        <v>= (O162-O144)/(R136*O163^2)</v>
      </c>
      <c r="T166" s="17" t="s">
        <v>143</v>
      </c>
      <c r="U166" s="26">
        <f xml:space="preserve"> (U162-U144)/(R136*U163^2)</f>
        <v>0.81301475448453608</v>
      </c>
      <c r="V166" t="str">
        <f ca="1">_xlfn.FORMULATEXT(U166)</f>
        <v>= (U162-U144)/(R136*U163^2)</v>
      </c>
      <c r="AA166" s="17" t="s">
        <v>143</v>
      </c>
      <c r="AB166" s="26">
        <f xml:space="preserve"> (AB162-AB144)/(R136*AB163^2)</f>
        <v>1.252615841796159</v>
      </c>
      <c r="AC166" t="str">
        <f ca="1">_xlfn.FORMULATEXT(AB166)</f>
        <v>= (AB162-AB144)/(R136*AB163^2)</v>
      </c>
    </row>
    <row r="167" spans="1:29" x14ac:dyDescent="0.2">
      <c r="N167" s="17" t="s">
        <v>147</v>
      </c>
      <c r="O167" s="17">
        <f>O166*O162+(1-O166)*O144</f>
        <v>0.19417566030745287</v>
      </c>
      <c r="P167" t="str">
        <f ca="1">_xlfn.FORMULATEXT(O167)</f>
        <v>=O166*O162+(1-O166)*O144</v>
      </c>
      <c r="T167" s="17" t="s">
        <v>147</v>
      </c>
      <c r="U167" s="17">
        <f>U166*U162+(1-U166)*U144</f>
        <v>9.5720506084873383E-2</v>
      </c>
      <c r="V167" t="str">
        <f ca="1">_xlfn.FORMULATEXT(U167)</f>
        <v>=U166*U162+(1-U166)*U144</v>
      </c>
      <c r="AA167" s="17" t="s">
        <v>147</v>
      </c>
      <c r="AB167" s="17">
        <f>AB166*AB162+(1-AB166)*AB144</f>
        <v>0.16295773429183197</v>
      </c>
      <c r="AC167" t="str">
        <f ca="1">_xlfn.FORMULATEXT(AB167)</f>
        <v>=AB166*AB162+(1-AB166)*AB144</v>
      </c>
    </row>
    <row r="168" spans="1:29" x14ac:dyDescent="0.2">
      <c r="N168" s="17" t="s">
        <v>148</v>
      </c>
      <c r="O168" s="23">
        <f>O166*O163</f>
        <v>0.22425035139879781</v>
      </c>
      <c r="P168" t="str">
        <f ca="1">_xlfn.FORMULATEXT(O168)</f>
        <v>=O166*O163</v>
      </c>
      <c r="T168" s="17" t="s">
        <v>148</v>
      </c>
      <c r="U168" s="23">
        <f>U166*U163</f>
        <v>0.13217350476409581</v>
      </c>
      <c r="V168" t="str">
        <f ca="1">_xlfn.FORMULATEXT(U168)</f>
        <v>=U166*U163</v>
      </c>
      <c r="AA168" s="17" t="s">
        <v>148</v>
      </c>
      <c r="AB168" s="23">
        <f>AB166*AB163</f>
        <v>0.19970539492949105</v>
      </c>
      <c r="AC168" t="str">
        <f ca="1">_xlfn.FORMULATEXT(AB168)</f>
        <v>=AB166*AB163</v>
      </c>
    </row>
    <row r="170" spans="1:29" x14ac:dyDescent="0.2">
      <c r="N170" s="17" t="s">
        <v>149</v>
      </c>
      <c r="O170" s="22">
        <f>1-O166</f>
        <v>-0.46540322075693963</v>
      </c>
      <c r="P170" t="str">
        <f ca="1">_xlfn.FORMULATEXT(O170)</f>
        <v>=1-O166</v>
      </c>
      <c r="T170" s="17" t="s">
        <v>149</v>
      </c>
      <c r="U170" s="29">
        <f>1-U166</f>
        <v>0.18698524551546392</v>
      </c>
      <c r="V170" t="str">
        <f ca="1">_xlfn.FORMULATEXT(U170)</f>
        <v>=1-U166</v>
      </c>
      <c r="AA170" s="17" t="s">
        <v>149</v>
      </c>
      <c r="AB170" s="17">
        <f>1-AB166</f>
        <v>-0.25261584179615904</v>
      </c>
      <c r="AC170" t="str">
        <f ca="1">_xlfn.FORMULATEXT(AB170)</f>
        <v>=1-AB166</v>
      </c>
    </row>
    <row r="171" spans="1:29" x14ac:dyDescent="0.2">
      <c r="N171" s="17" t="s">
        <v>151</v>
      </c>
      <c r="O171" s="22">
        <f>O166*P159</f>
        <v>0.91199127990942308</v>
      </c>
      <c r="P171" t="str">
        <f ca="1">_xlfn.FORMULATEXT(O171)</f>
        <v>=O166*P159</v>
      </c>
      <c r="T171" s="17" t="s">
        <v>151</v>
      </c>
      <c r="U171" s="29">
        <f>U166*V159</f>
        <v>0.36735436122917331</v>
      </c>
      <c r="V171" t="str">
        <f ca="1">_xlfn.FORMULATEXT(U171)</f>
        <v>=U166*V159</v>
      </c>
      <c r="AA171" s="17" t="s">
        <v>151</v>
      </c>
      <c r="AB171" s="17">
        <f>AB166*AC159</f>
        <v>0.84847425566272971</v>
      </c>
      <c r="AC171" t="str">
        <f ca="1">_xlfn.FORMULATEXT(AB171)</f>
        <v>=AB166*AC159</v>
      </c>
    </row>
    <row r="172" spans="1:29" x14ac:dyDescent="0.2">
      <c r="N172" s="17" t="s">
        <v>152</v>
      </c>
      <c r="O172" s="22">
        <f>O166*P160</f>
        <v>0.55341194084751655</v>
      </c>
      <c r="P172" t="str">
        <f ca="1">_xlfn.FORMULATEXT(O172)</f>
        <v>=O166*P160</v>
      </c>
      <c r="T172" s="17" t="s">
        <v>152</v>
      </c>
      <c r="U172" s="29">
        <f>U166*V160</f>
        <v>0.44566039325536266</v>
      </c>
      <c r="V172" t="str">
        <f ca="1">_xlfn.FORMULATEXT(U172)</f>
        <v>=U166*V160</v>
      </c>
      <c r="AA172" s="17" t="s">
        <v>152</v>
      </c>
      <c r="AB172" s="24">
        <f>AB166*AC160</f>
        <v>0.40414158613342932</v>
      </c>
      <c r="AC172" t="str">
        <f ca="1">_xlfn.FORMULATEXT(AB172)</f>
        <v>=AB166*AC160</v>
      </c>
    </row>
    <row r="173" spans="1:29" x14ac:dyDescent="0.2">
      <c r="N173" s="17" t="s">
        <v>150</v>
      </c>
      <c r="O173" s="17">
        <f>SUM(O170:O172)</f>
        <v>1</v>
      </c>
      <c r="P173" t="str">
        <f ca="1">_xlfn.FORMULATEXT(O173)</f>
        <v>=SUM(O170:O172)</v>
      </c>
      <c r="T173" s="17" t="s">
        <v>150</v>
      </c>
      <c r="U173" s="17">
        <f>SUM(U170:U172)</f>
        <v>0.99999999999999989</v>
      </c>
      <c r="V173" t="str">
        <f ca="1">_xlfn.FORMULATEXT(U173)</f>
        <v>=SUM(U170:U172)</v>
      </c>
      <c r="AA173" s="17" t="s">
        <v>150</v>
      </c>
      <c r="AB173" s="17">
        <f>SUM(AB170:AB172)</f>
        <v>1</v>
      </c>
      <c r="AC173" t="str">
        <f ca="1">_xlfn.FORMULATEXT(AB173)</f>
        <v>=SUM(AB170:AB172)</v>
      </c>
    </row>
    <row r="175" spans="1:29" x14ac:dyDescent="0.2">
      <c r="O175" s="46"/>
    </row>
    <row r="177" spans="14:25" ht="15" x14ac:dyDescent="0.25">
      <c r="N177" s="25" t="s">
        <v>169</v>
      </c>
    </row>
    <row r="179" spans="14:25" x14ac:dyDescent="0.2">
      <c r="N179" t="s">
        <v>114</v>
      </c>
      <c r="O179" s="12">
        <v>0</v>
      </c>
      <c r="P179" s="45">
        <f>O179+10%</f>
        <v>0.1</v>
      </c>
      <c r="Q179" s="45">
        <f t="shared" ref="Q179:Y179" si="21">P179+10%</f>
        <v>0.2</v>
      </c>
      <c r="R179" s="45">
        <f t="shared" si="21"/>
        <v>0.30000000000000004</v>
      </c>
      <c r="S179" s="45">
        <f t="shared" si="21"/>
        <v>0.4</v>
      </c>
      <c r="T179" s="45">
        <f t="shared" si="21"/>
        <v>0.5</v>
      </c>
      <c r="U179" s="45">
        <f t="shared" si="21"/>
        <v>0.6</v>
      </c>
      <c r="V179" s="45">
        <f t="shared" si="21"/>
        <v>0.7</v>
      </c>
      <c r="W179" s="45">
        <f t="shared" si="21"/>
        <v>0.79999999999999993</v>
      </c>
      <c r="X179" s="45">
        <f t="shared" si="21"/>
        <v>0.89999999999999991</v>
      </c>
      <c r="Y179" s="45">
        <f t="shared" si="21"/>
        <v>0.99999999999999989</v>
      </c>
    </row>
    <row r="180" spans="14:25" x14ac:dyDescent="0.2">
      <c r="N180" t="s">
        <v>108</v>
      </c>
      <c r="O180" s="12">
        <v>1</v>
      </c>
      <c r="P180" s="45">
        <f>O180-10%</f>
        <v>0.9</v>
      </c>
      <c r="Q180" s="45">
        <f t="shared" ref="Q180:Y180" si="22">P180-10%</f>
        <v>0.8</v>
      </c>
      <c r="R180" s="45">
        <f t="shared" si="22"/>
        <v>0.70000000000000007</v>
      </c>
      <c r="S180" s="45">
        <f t="shared" si="22"/>
        <v>0.60000000000000009</v>
      </c>
      <c r="T180" s="45">
        <f t="shared" si="22"/>
        <v>0.50000000000000011</v>
      </c>
      <c r="U180" s="45">
        <f t="shared" si="22"/>
        <v>0.40000000000000013</v>
      </c>
      <c r="V180" s="45">
        <f t="shared" si="22"/>
        <v>0.30000000000000016</v>
      </c>
      <c r="W180" s="45">
        <f t="shared" si="22"/>
        <v>0.20000000000000015</v>
      </c>
      <c r="X180" s="45">
        <f t="shared" si="22"/>
        <v>0.10000000000000014</v>
      </c>
      <c r="Y180" s="45">
        <f t="shared" si="22"/>
        <v>1.3877787807814457E-16</v>
      </c>
    </row>
    <row r="181" spans="14:25" x14ac:dyDescent="0.2">
      <c r="N181" t="s">
        <v>159</v>
      </c>
      <c r="O181" s="47">
        <f>SQRT(O179^2*$O$148+O180^2*$P$149+2*O179*O180*$P$148)*SQRT(252)</f>
        <v>0.23855910566692767</v>
      </c>
      <c r="P181" s="47">
        <f>SQRT(P179^2*$O$148+P180^2*$P$149+2*P179*P180*$P$148)*SQRT(252)</f>
        <v>0.21325818874370675</v>
      </c>
      <c r="Q181" s="47">
        <f>SQRT(Q179^2*$O$148+Q180^2*$P$149+2*Q179*Q180*$P$148)*SQRT(252)</f>
        <v>0.19069358523213309</v>
      </c>
      <c r="R181" s="47">
        <f>SQRT(R179^2*$O$148+R180^2*$P$149+2*R179*R180*$P$148)*SQRT(252)</f>
        <v>0.17194595675362476</v>
      </c>
      <c r="S181" s="47">
        <f>SQRT(S179^2*$O$148+S180^2*$P$149+2*S179*S180*$P$148)*SQRT(252)</f>
        <v>0.15837664238122437</v>
      </c>
      <c r="T181" s="47">
        <f>SQRT(T179^2*$O$148+T180^2*$P$149+2*T179*T180*$P$148)*SQRT(252)</f>
        <v>0.15138457607291878</v>
      </c>
      <c r="U181" s="47">
        <f>SQRT(U179^2*$O$148+U180^2*$P$149+2*U179*U180*$P$148)*SQRT(252)</f>
        <v>0.15188087143021223</v>
      </c>
      <c r="V181" s="47">
        <f>SQRT(V179^2*$O$148+V180^2*$P$149+2*V179*V180*$P$148)*SQRT(252)</f>
        <v>0.15979577138591697</v>
      </c>
      <c r="W181" s="47">
        <f>SQRT(W179^2*$O$148+W180^2*$P$149+2*W179*W180*$P$148)*SQRT(252)</f>
        <v>0.17412052783068419</v>
      </c>
      <c r="X181" s="47">
        <f>SQRT(X179^2*$O$148+X180^2*$P$149+2*X179*X180*$P$148)*SQRT(252)</f>
        <v>0.19343631531862923</v>
      </c>
      <c r="Y181" s="47">
        <f>SQRT(Y179^2*$O$148+Y180^2*$P$149+2*Y179*Y180*$P$148)*SQRT(252)</f>
        <v>0.21641080880782382</v>
      </c>
    </row>
    <row r="182" spans="14:25" x14ac:dyDescent="0.2">
      <c r="N182" t="s">
        <v>158</v>
      </c>
      <c r="O182" s="5">
        <f>O179*$O$142+O180*$O$143</f>
        <v>0.12127742237060213</v>
      </c>
      <c r="P182" s="5">
        <f>P179*$O$142+P180*$O$143</f>
        <v>0.12529197981881729</v>
      </c>
      <c r="Q182" s="5">
        <f>Q179*$O$142+Q180*$O$143</f>
        <v>0.12930653726703248</v>
      </c>
      <c r="R182" s="5">
        <f>R179*$O$142+R180*$O$143</f>
        <v>0.13332109471524767</v>
      </c>
      <c r="S182" s="5">
        <f>S179*$O$142+S180*$O$143</f>
        <v>0.13733565216346283</v>
      </c>
      <c r="T182" s="5">
        <f>T179*$O$142+T180*$O$143</f>
        <v>0.14135020961167799</v>
      </c>
      <c r="U182" s="5">
        <f>U179*$O$142+U180*$O$143</f>
        <v>0.14536476705989318</v>
      </c>
      <c r="V182" s="46">
        <f>V179*$O$142+V180*$O$143</f>
        <v>0.14937932450810837</v>
      </c>
      <c r="W182" s="46">
        <f>W179*$O$142+W180*$O$143</f>
        <v>0.15339388195632353</v>
      </c>
      <c r="X182" s="46">
        <f>X179*$O$142+X180*$O$143</f>
        <v>0.15740843940453869</v>
      </c>
      <c r="Y182" s="46">
        <f>Y179*$O$142+Y180*$O$143</f>
        <v>0.16142299685275385</v>
      </c>
    </row>
    <row r="183" spans="14:25" x14ac:dyDescent="0.2">
      <c r="O183" t="s">
        <v>161</v>
      </c>
      <c r="P183" t="s">
        <v>162</v>
      </c>
    </row>
    <row r="184" spans="14:25" x14ac:dyDescent="0.2">
      <c r="N184" t="s">
        <v>160</v>
      </c>
      <c r="O184" s="5">
        <f>O162</f>
        <v>0.14626195450215076</v>
      </c>
      <c r="P184" s="5">
        <f>O163</f>
        <v>0.1530297929077592</v>
      </c>
    </row>
    <row r="185" spans="14:25" x14ac:dyDescent="0.2">
      <c r="N185" t="s">
        <v>164</v>
      </c>
      <c r="O185" s="2">
        <v>8.1027165076863222E-2</v>
      </c>
      <c r="P185" s="13">
        <v>5.6062587849699454E-2</v>
      </c>
    </row>
    <row r="187" spans="14:25" x14ac:dyDescent="0.2">
      <c r="N187" t="s">
        <v>163</v>
      </c>
      <c r="O187" s="2">
        <f>O167</f>
        <v>0.19417566030745287</v>
      </c>
      <c r="P187" s="2">
        <f>O168</f>
        <v>0.22425035139879781</v>
      </c>
    </row>
    <row r="188" spans="14:25" x14ac:dyDescent="0.2">
      <c r="N188" t="s">
        <v>160</v>
      </c>
      <c r="O188" s="5">
        <v>0.14626195450215076</v>
      </c>
      <c r="P188" s="5">
        <v>0.1530297929077592</v>
      </c>
    </row>
    <row r="190" spans="14:25" x14ac:dyDescent="0.2">
      <c r="N190" t="s">
        <v>165</v>
      </c>
      <c r="O190" t="s">
        <v>166</v>
      </c>
      <c r="P190" t="s">
        <v>167</v>
      </c>
    </row>
    <row r="191" spans="14:25" x14ac:dyDescent="0.2">
      <c r="N191" t="s">
        <v>168</v>
      </c>
      <c r="O191" s="5">
        <v>4.3299999999999998E-2</v>
      </c>
      <c r="P191" s="12">
        <v>0</v>
      </c>
    </row>
    <row r="192" spans="14:25" x14ac:dyDescent="0.2">
      <c r="N192" t="s">
        <v>160</v>
      </c>
      <c r="O192" s="5">
        <f>O162</f>
        <v>0.14626195450215076</v>
      </c>
      <c r="P192" s="5">
        <f>O163</f>
        <v>0.1530297929077592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6cbfa14-cb15-4308-a62a-3223806420d7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931005F4DE8FB488956C1EE2371C1AE" ma:contentTypeVersion="9" ma:contentTypeDescription="Create a new document." ma:contentTypeScope="" ma:versionID="3c25f511f0ef71aa75158f93b2d707cc">
  <xsd:schema xmlns:xsd="http://www.w3.org/2001/XMLSchema" xmlns:xs="http://www.w3.org/2001/XMLSchema" xmlns:p="http://schemas.microsoft.com/office/2006/metadata/properties" xmlns:ns3="76cbfa14-cb15-4308-a62a-3223806420d7" xmlns:ns4="aff649b9-22ed-45e2-8c07-8d4e52db5a50" targetNamespace="http://schemas.microsoft.com/office/2006/metadata/properties" ma:root="true" ma:fieldsID="ab77dac62e738fff829248bd50786f80" ns3:_="" ns4:_="">
    <xsd:import namespace="76cbfa14-cb15-4308-a62a-3223806420d7"/>
    <xsd:import namespace="aff649b9-22ed-45e2-8c07-8d4e52db5a5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earchPropertie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cbfa14-cb15-4308-a62a-3223806420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f649b9-22ed-45e2-8c07-8d4e52db5a50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715B5F7-05E8-4895-A4BF-A3499E98C1A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4657B4B-821C-478F-9212-DD28716D8D82}">
  <ds:schemaRefs>
    <ds:schemaRef ds:uri="http://purl.org/dc/elements/1.1/"/>
    <ds:schemaRef ds:uri="http://schemas.microsoft.com/office/2006/metadata/properties"/>
    <ds:schemaRef ds:uri="aff649b9-22ed-45e2-8c07-8d4e52db5a50"/>
    <ds:schemaRef ds:uri="http://www.w3.org/XML/1998/namespace"/>
    <ds:schemaRef ds:uri="http://purl.org/dc/dcmitype/"/>
    <ds:schemaRef ds:uri="76cbfa14-cb15-4308-a62a-3223806420d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98B20843-D602-4B05-AE3D-B37EBAED925C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76cbfa14-cb15-4308-a62a-3223806420d7"/>
    <ds:schemaRef ds:uri="aff649b9-22ed-45e2-8c07-8d4e52db5a50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bb3c97ff-11b5-4b37-92cf-1897b2d8766b}" enabled="0" method="" siteId="{bb3c97ff-11b5-4b37-92cf-1897b2d8766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New companies lol 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Heidi Luong</dc:creator>
  <cp:keywords/>
  <dc:description/>
  <cp:lastModifiedBy>Heidi Luong</cp:lastModifiedBy>
  <cp:revision/>
  <dcterms:created xsi:type="dcterms:W3CDTF">2025-02-20T16:03:33Z</dcterms:created>
  <dcterms:modified xsi:type="dcterms:W3CDTF">2025-03-12T15:45:59Z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0x0101001931005F4DE8FB488956C1EE2371C1AE</vt:lpwstr>
  </property>
</Properties>
</file>