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03"/>
  <workbookPr/>
  <mc:AlternateContent xmlns:mc="http://schemas.openxmlformats.org/markup-compatibility/2006">
    <mc:Choice Requires="x15">
      <x15ac:absPath xmlns:x15ac="http://schemas.microsoft.com/office/spreadsheetml/2010/11/ac" url="https://universityofwestminster-my.sharepoint.com/personal/w1982156_westminster_ac_uk/Documents/"/>
    </mc:Choice>
  </mc:AlternateContent>
  <xr:revisionPtr revIDLastSave="0" documentId="8_{D9BDA09C-F9B3-43CC-8376-79DEFABC7397}" xr6:coauthVersionLast="47" xr6:coauthVersionMax="47" xr10:uidLastSave="{00000000-0000-0000-0000-000000000000}"/>
  <bookViews>
    <workbookView xWindow="28680" yWindow="-315" windowWidth="29040" windowHeight="15840" firstSheet="8" activeTab="8" xr2:uid="{FB7AADA4-7EBC-4F89-915F-90478FCA4C9B}"/>
  </bookViews>
  <sheets>
    <sheet name="Q 1&amp;2" sheetId="1" r:id="rId1"/>
    <sheet name="Chart1" sheetId="10" r:id="rId2"/>
    <sheet name="CAPM" sheetId="9" r:id="rId3"/>
    <sheet name="MACD" sheetId="2" r:id="rId4"/>
    <sheet name="RSI" sheetId="3" r:id="rId5"/>
    <sheet name="BB" sheetId="4" r:id="rId6"/>
    <sheet name="KD" sheetId="5" r:id="rId7"/>
    <sheet name="Option pricing " sheetId="6" r:id="rId8"/>
    <sheet name="Monte Carlo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8" l="1"/>
  <c r="B12" i="6"/>
  <c r="B6" i="6"/>
  <c r="F203" i="1"/>
  <c r="G200" i="1"/>
  <c r="F200" i="1"/>
  <c r="F6" i="1"/>
  <c r="B5" i="8"/>
  <c r="B4" i="8"/>
  <c r="B6" i="8"/>
  <c r="B8" i="6"/>
  <c r="BN104" i="8"/>
  <c r="F2" i="9"/>
  <c r="H19" i="9" s="1"/>
  <c r="E189" i="9"/>
  <c r="D189" i="9"/>
  <c r="E188" i="9"/>
  <c r="D188" i="9"/>
  <c r="E187" i="9"/>
  <c r="D187" i="9"/>
  <c r="E186" i="9"/>
  <c r="D186" i="9"/>
  <c r="E185" i="9"/>
  <c r="D185" i="9"/>
  <c r="E184" i="9"/>
  <c r="D184" i="9"/>
  <c r="E183" i="9"/>
  <c r="D183" i="9"/>
  <c r="E182" i="9"/>
  <c r="D182" i="9"/>
  <c r="E181" i="9"/>
  <c r="D181" i="9"/>
  <c r="E180" i="9"/>
  <c r="D180" i="9"/>
  <c r="E179" i="9"/>
  <c r="D179" i="9"/>
  <c r="E178" i="9"/>
  <c r="D178" i="9"/>
  <c r="E177" i="9"/>
  <c r="D177" i="9"/>
  <c r="E176" i="9"/>
  <c r="D176" i="9"/>
  <c r="E175" i="9"/>
  <c r="D175" i="9"/>
  <c r="E174" i="9"/>
  <c r="D174" i="9"/>
  <c r="E173" i="9"/>
  <c r="D173" i="9"/>
  <c r="E172" i="9"/>
  <c r="D172" i="9"/>
  <c r="E171" i="9"/>
  <c r="D171" i="9"/>
  <c r="E170" i="9"/>
  <c r="D170" i="9"/>
  <c r="E169" i="9"/>
  <c r="D169" i="9"/>
  <c r="E168" i="9"/>
  <c r="D168" i="9"/>
  <c r="E167" i="9"/>
  <c r="D167" i="9"/>
  <c r="E166" i="9"/>
  <c r="D166" i="9"/>
  <c r="E165" i="9"/>
  <c r="D165" i="9"/>
  <c r="E164" i="9"/>
  <c r="D164" i="9"/>
  <c r="E163" i="9"/>
  <c r="D163" i="9"/>
  <c r="E162" i="9"/>
  <c r="D162" i="9"/>
  <c r="E161" i="9"/>
  <c r="D161" i="9"/>
  <c r="E160" i="9"/>
  <c r="D160" i="9"/>
  <c r="E159" i="9"/>
  <c r="D159" i="9"/>
  <c r="E158" i="9"/>
  <c r="D158" i="9"/>
  <c r="E157" i="9"/>
  <c r="D157" i="9"/>
  <c r="E156" i="9"/>
  <c r="D156" i="9"/>
  <c r="E155" i="9"/>
  <c r="D155" i="9"/>
  <c r="E154" i="9"/>
  <c r="D154" i="9"/>
  <c r="E153" i="9"/>
  <c r="D153" i="9"/>
  <c r="E152" i="9"/>
  <c r="D152" i="9"/>
  <c r="E151" i="9"/>
  <c r="D151" i="9"/>
  <c r="E150" i="9"/>
  <c r="D150" i="9"/>
  <c r="E149" i="9"/>
  <c r="D149" i="9"/>
  <c r="E148" i="9"/>
  <c r="D148" i="9"/>
  <c r="E147" i="9"/>
  <c r="D147" i="9"/>
  <c r="E146" i="9"/>
  <c r="D146" i="9"/>
  <c r="E145" i="9"/>
  <c r="D145" i="9"/>
  <c r="E144" i="9"/>
  <c r="D144" i="9"/>
  <c r="E143" i="9"/>
  <c r="D143" i="9"/>
  <c r="E142" i="9"/>
  <c r="D142" i="9"/>
  <c r="E141" i="9"/>
  <c r="D141" i="9"/>
  <c r="E140" i="9"/>
  <c r="D140" i="9"/>
  <c r="E139" i="9"/>
  <c r="D139" i="9"/>
  <c r="E138" i="9"/>
  <c r="D138" i="9"/>
  <c r="E137" i="9"/>
  <c r="D137" i="9"/>
  <c r="E136" i="9"/>
  <c r="D136" i="9"/>
  <c r="E135" i="9"/>
  <c r="D135" i="9"/>
  <c r="E134" i="9"/>
  <c r="D134" i="9"/>
  <c r="E133" i="9"/>
  <c r="D133" i="9"/>
  <c r="E132" i="9"/>
  <c r="D132" i="9"/>
  <c r="E131" i="9"/>
  <c r="D131" i="9"/>
  <c r="E130" i="9"/>
  <c r="D130" i="9"/>
  <c r="E129" i="9"/>
  <c r="D129" i="9"/>
  <c r="E128" i="9"/>
  <c r="D128" i="9"/>
  <c r="E127" i="9"/>
  <c r="D127" i="9"/>
  <c r="E126" i="9"/>
  <c r="D126" i="9"/>
  <c r="E125" i="9"/>
  <c r="D125" i="9"/>
  <c r="E124" i="9"/>
  <c r="D124" i="9"/>
  <c r="E123" i="9"/>
  <c r="D123" i="9"/>
  <c r="E122" i="9"/>
  <c r="D122" i="9"/>
  <c r="E121" i="9"/>
  <c r="D121" i="9"/>
  <c r="E120" i="9"/>
  <c r="D120" i="9"/>
  <c r="E119" i="9"/>
  <c r="D119" i="9"/>
  <c r="E118" i="9"/>
  <c r="D118" i="9"/>
  <c r="E117" i="9"/>
  <c r="D117" i="9"/>
  <c r="E116" i="9"/>
  <c r="D116" i="9"/>
  <c r="E115" i="9"/>
  <c r="D115" i="9"/>
  <c r="E114" i="9"/>
  <c r="D114" i="9"/>
  <c r="E113" i="9"/>
  <c r="D113" i="9"/>
  <c r="E112" i="9"/>
  <c r="D112" i="9"/>
  <c r="E111" i="9"/>
  <c r="D111" i="9"/>
  <c r="E110" i="9"/>
  <c r="D110" i="9"/>
  <c r="E109" i="9"/>
  <c r="D109" i="9"/>
  <c r="E108" i="9"/>
  <c r="D108" i="9"/>
  <c r="E107" i="9"/>
  <c r="D107" i="9"/>
  <c r="E106" i="9"/>
  <c r="D106" i="9"/>
  <c r="E105" i="9"/>
  <c r="D105" i="9"/>
  <c r="E104" i="9"/>
  <c r="D104" i="9"/>
  <c r="E103" i="9"/>
  <c r="D103" i="9"/>
  <c r="E102" i="9"/>
  <c r="D102" i="9"/>
  <c r="E101" i="9"/>
  <c r="D101" i="9"/>
  <c r="E100" i="9"/>
  <c r="D100" i="9"/>
  <c r="E99" i="9"/>
  <c r="D99" i="9"/>
  <c r="E98" i="9"/>
  <c r="D98" i="9"/>
  <c r="E97" i="9"/>
  <c r="D97" i="9"/>
  <c r="E96" i="9"/>
  <c r="D96" i="9"/>
  <c r="E95" i="9"/>
  <c r="D95" i="9"/>
  <c r="E94" i="9"/>
  <c r="D94" i="9"/>
  <c r="E93" i="9"/>
  <c r="D93" i="9"/>
  <c r="E92" i="9"/>
  <c r="D92" i="9"/>
  <c r="E91" i="9"/>
  <c r="D91" i="9"/>
  <c r="E90" i="9"/>
  <c r="D90" i="9"/>
  <c r="E89" i="9"/>
  <c r="D89" i="9"/>
  <c r="E88" i="9"/>
  <c r="D88" i="9"/>
  <c r="E87" i="9"/>
  <c r="D87" i="9"/>
  <c r="E86" i="9"/>
  <c r="D86" i="9"/>
  <c r="E85" i="9"/>
  <c r="D85" i="9"/>
  <c r="E84" i="9"/>
  <c r="D84" i="9"/>
  <c r="E83" i="9"/>
  <c r="D83" i="9"/>
  <c r="E82" i="9"/>
  <c r="D82" i="9"/>
  <c r="E81" i="9"/>
  <c r="D81" i="9"/>
  <c r="E80" i="9"/>
  <c r="D80" i="9"/>
  <c r="E79" i="9"/>
  <c r="D79" i="9"/>
  <c r="E78" i="9"/>
  <c r="D78" i="9"/>
  <c r="E77" i="9"/>
  <c r="D77" i="9"/>
  <c r="E76" i="9"/>
  <c r="D76" i="9"/>
  <c r="E75" i="9"/>
  <c r="D75" i="9"/>
  <c r="E74" i="9"/>
  <c r="D74" i="9"/>
  <c r="E73" i="9"/>
  <c r="D73" i="9"/>
  <c r="E72" i="9"/>
  <c r="D72" i="9"/>
  <c r="E71" i="9"/>
  <c r="D71" i="9"/>
  <c r="E70" i="9"/>
  <c r="D70" i="9"/>
  <c r="E69" i="9"/>
  <c r="D69" i="9"/>
  <c r="E68" i="9"/>
  <c r="D68" i="9"/>
  <c r="E67" i="9"/>
  <c r="D67" i="9"/>
  <c r="E66" i="9"/>
  <c r="D66" i="9"/>
  <c r="E65" i="9"/>
  <c r="D65" i="9"/>
  <c r="E64" i="9"/>
  <c r="D64" i="9"/>
  <c r="E63" i="9"/>
  <c r="D63" i="9"/>
  <c r="E62" i="9"/>
  <c r="D62" i="9"/>
  <c r="E61" i="9"/>
  <c r="D61" i="9"/>
  <c r="E60" i="9"/>
  <c r="D60" i="9"/>
  <c r="E59" i="9"/>
  <c r="D59" i="9"/>
  <c r="E58" i="9"/>
  <c r="D58" i="9"/>
  <c r="E57" i="9"/>
  <c r="D57" i="9"/>
  <c r="E56" i="9"/>
  <c r="D56" i="9"/>
  <c r="E55" i="9"/>
  <c r="D55" i="9"/>
  <c r="E54" i="9"/>
  <c r="D54" i="9"/>
  <c r="E53" i="9"/>
  <c r="D53" i="9"/>
  <c r="E52" i="9"/>
  <c r="D52" i="9"/>
  <c r="E51" i="9"/>
  <c r="D51" i="9"/>
  <c r="E50" i="9"/>
  <c r="D50" i="9"/>
  <c r="E49" i="9"/>
  <c r="D49" i="9"/>
  <c r="E48" i="9"/>
  <c r="D48" i="9"/>
  <c r="E47" i="9"/>
  <c r="D47" i="9"/>
  <c r="E46" i="9"/>
  <c r="D46" i="9"/>
  <c r="E45" i="9"/>
  <c r="D45" i="9"/>
  <c r="E44" i="9"/>
  <c r="D44" i="9"/>
  <c r="E43" i="9"/>
  <c r="D43" i="9"/>
  <c r="E42" i="9"/>
  <c r="D42" i="9"/>
  <c r="E41" i="9"/>
  <c r="D41" i="9"/>
  <c r="E40" i="9"/>
  <c r="D40" i="9"/>
  <c r="E39" i="9"/>
  <c r="D39" i="9"/>
  <c r="E38" i="9"/>
  <c r="D38" i="9"/>
  <c r="E37" i="9"/>
  <c r="D37" i="9"/>
  <c r="E36" i="9"/>
  <c r="D36" i="9"/>
  <c r="E35" i="9"/>
  <c r="D35" i="9"/>
  <c r="E34" i="9"/>
  <c r="D34" i="9"/>
  <c r="E33" i="9"/>
  <c r="D33" i="9"/>
  <c r="E32" i="9"/>
  <c r="D32" i="9"/>
  <c r="E31" i="9"/>
  <c r="D31" i="9"/>
  <c r="E30" i="9"/>
  <c r="D30" i="9"/>
  <c r="E29" i="9"/>
  <c r="D29" i="9"/>
  <c r="E28" i="9"/>
  <c r="D28" i="9"/>
  <c r="E27" i="9"/>
  <c r="D27" i="9"/>
  <c r="E26" i="9"/>
  <c r="D26" i="9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D6" i="9"/>
  <c r="E5" i="9"/>
  <c r="D5" i="9"/>
  <c r="E4" i="9"/>
  <c r="D4" i="9"/>
  <c r="E3" i="9"/>
  <c r="D3" i="9"/>
  <c r="H38" i="9" l="1"/>
  <c r="G153" i="9"/>
  <c r="G117" i="9"/>
  <c r="G78" i="9"/>
  <c r="G41" i="9"/>
  <c r="G3" i="9"/>
  <c r="H150" i="9"/>
  <c r="H114" i="9"/>
  <c r="H75" i="9"/>
  <c r="H74" i="9"/>
  <c r="H30" i="9"/>
  <c r="G188" i="9"/>
  <c r="H71" i="9"/>
  <c r="H103" i="9"/>
  <c r="H102" i="9"/>
  <c r="H143" i="9"/>
  <c r="H63" i="9"/>
  <c r="G172" i="9"/>
  <c r="G130" i="9"/>
  <c r="G97" i="9"/>
  <c r="G55" i="9"/>
  <c r="G18" i="9"/>
  <c r="H169" i="9"/>
  <c r="H127" i="9"/>
  <c r="H94" i="9"/>
  <c r="H52" i="9"/>
  <c r="H15" i="9"/>
  <c r="G171" i="9"/>
  <c r="G129" i="9"/>
  <c r="G93" i="9"/>
  <c r="G54" i="9"/>
  <c r="G17" i="9"/>
  <c r="H168" i="9"/>
  <c r="H126" i="9"/>
  <c r="H90" i="9"/>
  <c r="H51" i="9"/>
  <c r="H14" i="9"/>
  <c r="G114" i="9"/>
  <c r="G150" i="9"/>
  <c r="G74" i="9"/>
  <c r="G148" i="9"/>
  <c r="G147" i="9"/>
  <c r="H142" i="9"/>
  <c r="G77" i="9"/>
  <c r="H31" i="9"/>
  <c r="G33" i="9"/>
  <c r="H29" i="9"/>
  <c r="H145" i="9"/>
  <c r="H66" i="9"/>
  <c r="H181" i="9"/>
  <c r="G66" i="9"/>
  <c r="H125" i="9"/>
  <c r="H87" i="9"/>
  <c r="G164" i="9"/>
  <c r="G125" i="9"/>
  <c r="G88" i="9"/>
  <c r="G50" i="9"/>
  <c r="G8" i="9"/>
  <c r="H161" i="9"/>
  <c r="H122" i="9"/>
  <c r="H85" i="9"/>
  <c r="H47" i="9"/>
  <c r="H4" i="9"/>
  <c r="G40" i="9"/>
  <c r="H148" i="9"/>
  <c r="H147" i="9"/>
  <c r="G32" i="9"/>
  <c r="G73" i="9"/>
  <c r="H182" i="9"/>
  <c r="H65" i="9"/>
  <c r="G28" i="9"/>
  <c r="H89" i="9"/>
  <c r="H124" i="9"/>
  <c r="H123" i="9"/>
  <c r="G162" i="9"/>
  <c r="G124" i="9"/>
  <c r="G82" i="9"/>
  <c r="G49" i="9"/>
  <c r="G7" i="9"/>
  <c r="H159" i="9"/>
  <c r="H121" i="9"/>
  <c r="H79" i="9"/>
  <c r="H46" i="9"/>
  <c r="H149" i="9"/>
  <c r="H190" i="9"/>
  <c r="H72" i="9"/>
  <c r="H146" i="9"/>
  <c r="G69" i="9"/>
  <c r="H175" i="9"/>
  <c r="G128" i="9"/>
  <c r="G53" i="9"/>
  <c r="G16" i="9"/>
  <c r="H167" i="9"/>
  <c r="H13" i="9"/>
  <c r="H49" i="9"/>
  <c r="G165" i="9"/>
  <c r="G126" i="9"/>
  <c r="G89" i="9"/>
  <c r="G51" i="9"/>
  <c r="H162" i="9"/>
  <c r="H48" i="9"/>
  <c r="G161" i="9"/>
  <c r="G123" i="9"/>
  <c r="G81" i="9"/>
  <c r="G45" i="9"/>
  <c r="G6" i="9"/>
  <c r="H158" i="9"/>
  <c r="H120" i="9"/>
  <c r="H78" i="9"/>
  <c r="H42" i="9"/>
  <c r="H37" i="9"/>
  <c r="G151" i="9"/>
  <c r="H109" i="9"/>
  <c r="H70" i="9"/>
  <c r="G185" i="9"/>
  <c r="H144" i="9"/>
  <c r="G68" i="9"/>
  <c r="G103" i="9"/>
  <c r="G92" i="9"/>
  <c r="H50" i="9"/>
  <c r="G169" i="9"/>
  <c r="G127" i="9"/>
  <c r="G90" i="9"/>
  <c r="G52" i="9"/>
  <c r="G10" i="9"/>
  <c r="H166" i="9"/>
  <c r="H7" i="9"/>
  <c r="G9" i="9"/>
  <c r="H6" i="9"/>
  <c r="G160" i="9"/>
  <c r="G122" i="9"/>
  <c r="G80" i="9"/>
  <c r="G44" i="9"/>
  <c r="G5" i="9"/>
  <c r="H157" i="9"/>
  <c r="H119" i="9"/>
  <c r="H77" i="9"/>
  <c r="H41" i="9"/>
  <c r="H5" i="9"/>
  <c r="G75" i="9"/>
  <c r="G31" i="9"/>
  <c r="G146" i="9"/>
  <c r="G170" i="9"/>
  <c r="H86" i="9"/>
  <c r="G154" i="9"/>
  <c r="G121" i="9"/>
  <c r="G79" i="9"/>
  <c r="G42" i="9"/>
  <c r="G4" i="9"/>
  <c r="H151" i="9"/>
  <c r="H118" i="9"/>
  <c r="H76" i="9"/>
  <c r="H39" i="9"/>
  <c r="G152" i="9"/>
  <c r="G76" i="9"/>
  <c r="G113" i="9"/>
  <c r="G112" i="9"/>
  <c r="G106" i="9"/>
  <c r="G105" i="9"/>
  <c r="G104" i="9"/>
  <c r="G145" i="9"/>
  <c r="H138" i="9"/>
  <c r="G116" i="9"/>
  <c r="H73" i="9"/>
  <c r="H186" i="9"/>
  <c r="H183" i="9"/>
  <c r="H27" i="9"/>
  <c r="G29" i="9"/>
  <c r="G177" i="9"/>
  <c r="G102" i="9"/>
  <c r="G27" i="9"/>
  <c r="H24" i="9"/>
  <c r="G140" i="9"/>
  <c r="G64" i="9"/>
  <c r="G26" i="9"/>
  <c r="H137" i="9"/>
  <c r="H98" i="9"/>
  <c r="H23" i="9"/>
  <c r="G175" i="9"/>
  <c r="G138" i="9"/>
  <c r="G100" i="9"/>
  <c r="G58" i="9"/>
  <c r="G25" i="9"/>
  <c r="H172" i="9"/>
  <c r="H135" i="9"/>
  <c r="H97" i="9"/>
  <c r="H55" i="9"/>
  <c r="H22" i="9"/>
  <c r="H3" i="9"/>
  <c r="H111" i="9"/>
  <c r="G189" i="9"/>
  <c r="G149" i="9"/>
  <c r="G186" i="9"/>
  <c r="H101" i="9"/>
  <c r="H25" i="9"/>
  <c r="G141" i="9"/>
  <c r="G65" i="9"/>
  <c r="H174" i="9"/>
  <c r="H62" i="9"/>
  <c r="G176" i="9"/>
  <c r="G101" i="9"/>
  <c r="H173" i="9"/>
  <c r="H61" i="9"/>
  <c r="G174" i="9"/>
  <c r="G137" i="9"/>
  <c r="G99" i="9"/>
  <c r="G57" i="9"/>
  <c r="G21" i="9"/>
  <c r="H171" i="9"/>
  <c r="H134" i="9"/>
  <c r="H96" i="9"/>
  <c r="H54" i="9"/>
  <c r="H18" i="9"/>
  <c r="H113" i="9"/>
  <c r="G34" i="9"/>
  <c r="H110" i="9"/>
  <c r="H185" i="9"/>
  <c r="H28" i="9"/>
  <c r="G30" i="9"/>
  <c r="G184" i="9"/>
  <c r="H26" i="9"/>
  <c r="G178" i="9"/>
  <c r="H100" i="9"/>
  <c r="H99" i="9"/>
  <c r="G173" i="9"/>
  <c r="G136" i="9"/>
  <c r="G98" i="9"/>
  <c r="G56" i="9"/>
  <c r="G20" i="9"/>
  <c r="H170" i="9"/>
  <c r="H133" i="9"/>
  <c r="H95" i="9"/>
  <c r="H53" i="9"/>
  <c r="H17" i="9"/>
  <c r="G187" i="9"/>
  <c r="G163" i="9"/>
  <c r="G139" i="9"/>
  <c r="G115" i="9"/>
  <c r="G91" i="9"/>
  <c r="G67" i="9"/>
  <c r="G43" i="9"/>
  <c r="G19" i="9"/>
  <c r="H184" i="9"/>
  <c r="H160" i="9"/>
  <c r="H136" i="9"/>
  <c r="H112" i="9"/>
  <c r="H88" i="9"/>
  <c r="H64" i="9"/>
  <c r="H40" i="9"/>
  <c r="H16" i="9"/>
  <c r="G183" i="9"/>
  <c r="G159" i="9"/>
  <c r="G135" i="9"/>
  <c r="G111" i="9"/>
  <c r="G87" i="9"/>
  <c r="G63" i="9"/>
  <c r="G39" i="9"/>
  <c r="G15" i="9"/>
  <c r="H180" i="9"/>
  <c r="H156" i="9"/>
  <c r="H132" i="9"/>
  <c r="H108" i="9"/>
  <c r="H84" i="9"/>
  <c r="H60" i="9"/>
  <c r="H36" i="9"/>
  <c r="H12" i="9"/>
  <c r="G182" i="9"/>
  <c r="G158" i="9"/>
  <c r="G134" i="9"/>
  <c r="G110" i="9"/>
  <c r="G86" i="9"/>
  <c r="G62" i="9"/>
  <c r="G38" i="9"/>
  <c r="G14" i="9"/>
  <c r="H179" i="9"/>
  <c r="H155" i="9"/>
  <c r="H131" i="9"/>
  <c r="H107" i="9"/>
  <c r="H83" i="9"/>
  <c r="H59" i="9"/>
  <c r="H35" i="9"/>
  <c r="H11" i="9"/>
  <c r="G181" i="9"/>
  <c r="G157" i="9"/>
  <c r="G133" i="9"/>
  <c r="G109" i="9"/>
  <c r="G85" i="9"/>
  <c r="G61" i="9"/>
  <c r="G37" i="9"/>
  <c r="G13" i="9"/>
  <c r="H178" i="9"/>
  <c r="H154" i="9"/>
  <c r="H130" i="9"/>
  <c r="H106" i="9"/>
  <c r="H82" i="9"/>
  <c r="H58" i="9"/>
  <c r="H34" i="9"/>
  <c r="H10" i="9"/>
  <c r="G180" i="9"/>
  <c r="G156" i="9"/>
  <c r="G132" i="9"/>
  <c r="G108" i="9"/>
  <c r="G84" i="9"/>
  <c r="G60" i="9"/>
  <c r="G36" i="9"/>
  <c r="G12" i="9"/>
  <c r="H177" i="9"/>
  <c r="H153" i="9"/>
  <c r="H129" i="9"/>
  <c r="H105" i="9"/>
  <c r="H81" i="9"/>
  <c r="H57" i="9"/>
  <c r="H33" i="9"/>
  <c r="H9" i="9"/>
  <c r="G179" i="9"/>
  <c r="G155" i="9"/>
  <c r="G131" i="9"/>
  <c r="G107" i="9"/>
  <c r="G83" i="9"/>
  <c r="G59" i="9"/>
  <c r="G35" i="9"/>
  <c r="G11" i="9"/>
  <c r="H176" i="9"/>
  <c r="H152" i="9"/>
  <c r="H128" i="9"/>
  <c r="H104" i="9"/>
  <c r="H80" i="9"/>
  <c r="H56" i="9"/>
  <c r="H32" i="9"/>
  <c r="H8" i="9"/>
  <c r="G168" i="9"/>
  <c r="G144" i="9"/>
  <c r="G120" i="9"/>
  <c r="G96" i="9"/>
  <c r="G72" i="9"/>
  <c r="G48" i="9"/>
  <c r="G24" i="9"/>
  <c r="H189" i="9"/>
  <c r="H165" i="9"/>
  <c r="H141" i="9"/>
  <c r="H117" i="9"/>
  <c r="H93" i="9"/>
  <c r="H69" i="9"/>
  <c r="H45" i="9"/>
  <c r="H21" i="9"/>
  <c r="G167" i="9"/>
  <c r="G143" i="9"/>
  <c r="G119" i="9"/>
  <c r="G95" i="9"/>
  <c r="G71" i="9"/>
  <c r="G47" i="9"/>
  <c r="G23" i="9"/>
  <c r="H188" i="9"/>
  <c r="H164" i="9"/>
  <c r="H140" i="9"/>
  <c r="H116" i="9"/>
  <c r="H92" i="9"/>
  <c r="H68" i="9"/>
  <c r="H44" i="9"/>
  <c r="H20" i="9"/>
  <c r="G190" i="9"/>
  <c r="G166" i="9"/>
  <c r="G142" i="9"/>
  <c r="G118" i="9"/>
  <c r="G94" i="9"/>
  <c r="G70" i="9"/>
  <c r="G46" i="9"/>
  <c r="G22" i="9"/>
  <c r="H187" i="9"/>
  <c r="H163" i="9"/>
  <c r="H139" i="9"/>
  <c r="H115" i="9"/>
  <c r="H91" i="9"/>
  <c r="H67" i="9"/>
  <c r="H43" i="9"/>
  <c r="K12" i="9" l="1" a="1"/>
  <c r="K12" i="9" s="1"/>
  <c r="K11" i="9"/>
  <c r="K4" i="9" a="1"/>
  <c r="K4" i="9" s="1"/>
  <c r="K2" i="9"/>
  <c r="G1" i="8" l="1"/>
  <c r="H1" i="8" s="1"/>
  <c r="I1" i="8" s="1"/>
  <c r="J1" i="8" s="1"/>
  <c r="K1" i="8" s="1"/>
  <c r="L1" i="8" s="1"/>
  <c r="M1" i="8" s="1"/>
  <c r="N1" i="8" s="1"/>
  <c r="O1" i="8" s="1"/>
  <c r="P1" i="8" s="1"/>
  <c r="Q1" i="8" s="1"/>
  <c r="R1" i="8" s="1"/>
  <c r="S1" i="8" s="1"/>
  <c r="T1" i="8" s="1"/>
  <c r="U1" i="8" s="1"/>
  <c r="V1" i="8" s="1"/>
  <c r="W1" i="8" s="1"/>
  <c r="X1" i="8" s="1"/>
  <c r="Y1" i="8" s="1"/>
  <c r="Z1" i="8" s="1"/>
  <c r="AA1" i="8" s="1"/>
  <c r="AB1" i="8" s="1"/>
  <c r="AC1" i="8" s="1"/>
  <c r="AD1" i="8" s="1"/>
  <c r="AE1" i="8" s="1"/>
  <c r="AF1" i="8" s="1"/>
  <c r="AG1" i="8" s="1"/>
  <c r="AH1" i="8" s="1"/>
  <c r="AI1" i="8" s="1"/>
  <c r="AJ1" i="8" s="1"/>
  <c r="AK1" i="8" s="1"/>
  <c r="AL1" i="8" s="1"/>
  <c r="AM1" i="8" s="1"/>
  <c r="AN1" i="8" s="1"/>
  <c r="AO1" i="8" s="1"/>
  <c r="AP1" i="8" s="1"/>
  <c r="AQ1" i="8" s="1"/>
  <c r="AR1" i="8" s="1"/>
  <c r="AS1" i="8" s="1"/>
  <c r="AT1" i="8" s="1"/>
  <c r="AU1" i="8" s="1"/>
  <c r="AV1" i="8" s="1"/>
  <c r="AW1" i="8" s="1"/>
  <c r="AX1" i="8" s="1"/>
  <c r="AY1" i="8" s="1"/>
  <c r="AZ1" i="8" s="1"/>
  <c r="BA1" i="8" s="1"/>
  <c r="BB1" i="8" s="1"/>
  <c r="BC1" i="8" s="1"/>
  <c r="BD1" i="8" s="1"/>
  <c r="BE1" i="8" s="1"/>
  <c r="BF1" i="8" s="1"/>
  <c r="BG1" i="8" s="1"/>
  <c r="BH1" i="8" s="1"/>
  <c r="BI1" i="8" s="1"/>
  <c r="BJ1" i="8" s="1"/>
  <c r="BK1" i="8" s="1"/>
  <c r="BL1" i="8" s="1"/>
  <c r="BM1" i="8" s="1"/>
  <c r="BN1" i="8" s="1"/>
  <c r="B1" i="8"/>
  <c r="F3" i="8" l="1"/>
  <c r="F13" i="8"/>
  <c r="F14" i="8"/>
  <c r="F15" i="8"/>
  <c r="F19" i="8"/>
  <c r="F20" i="8"/>
  <c r="F21" i="8"/>
  <c r="F22" i="8"/>
  <c r="F33" i="8"/>
  <c r="F34" i="8"/>
  <c r="F35" i="8"/>
  <c r="F39" i="8"/>
  <c r="F40" i="8"/>
  <c r="F41" i="8"/>
  <c r="F42" i="8"/>
  <c r="F53" i="8"/>
  <c r="F54" i="8"/>
  <c r="F55" i="8"/>
  <c r="F59" i="8"/>
  <c r="F60" i="8"/>
  <c r="F61" i="8"/>
  <c r="F62" i="8"/>
  <c r="F73" i="8"/>
  <c r="F74" i="8"/>
  <c r="F75" i="8"/>
  <c r="F79" i="8"/>
  <c r="F80" i="8"/>
  <c r="F81" i="8"/>
  <c r="F82" i="8"/>
  <c r="F93" i="8"/>
  <c r="F94" i="8"/>
  <c r="F95" i="8"/>
  <c r="F99" i="8"/>
  <c r="F100" i="8"/>
  <c r="F101" i="8"/>
  <c r="F102" i="8"/>
  <c r="F98" i="8"/>
  <c r="F78" i="8"/>
  <c r="F58" i="8"/>
  <c r="F38" i="8"/>
  <c r="F18" i="8"/>
  <c r="F97" i="8"/>
  <c r="F77" i="8"/>
  <c r="F57" i="8"/>
  <c r="F37" i="8"/>
  <c r="F17" i="8"/>
  <c r="F96" i="8"/>
  <c r="F76" i="8"/>
  <c r="F56" i="8"/>
  <c r="F36" i="8"/>
  <c r="F16" i="8"/>
  <c r="F12" i="8"/>
  <c r="F51" i="8"/>
  <c r="F90" i="8"/>
  <c r="F50" i="8"/>
  <c r="F9" i="8"/>
  <c r="F88" i="8"/>
  <c r="F68" i="8"/>
  <c r="F48" i="8"/>
  <c r="F28" i="8"/>
  <c r="F8" i="8"/>
  <c r="F31" i="8"/>
  <c r="F70" i="8"/>
  <c r="F69" i="8"/>
  <c r="F87" i="8"/>
  <c r="F67" i="8"/>
  <c r="F47" i="8"/>
  <c r="F27" i="8"/>
  <c r="F7" i="8"/>
  <c r="F72" i="8"/>
  <c r="F30" i="8"/>
  <c r="F29" i="8"/>
  <c r="F86" i="8"/>
  <c r="F66" i="8"/>
  <c r="F46" i="8"/>
  <c r="F26" i="8"/>
  <c r="F6" i="8"/>
  <c r="F32" i="8"/>
  <c r="F71" i="8"/>
  <c r="F10" i="8"/>
  <c r="F89" i="8"/>
  <c r="F49" i="8"/>
  <c r="F85" i="8"/>
  <c r="F65" i="8"/>
  <c r="F45" i="8"/>
  <c r="F25" i="8"/>
  <c r="F5" i="8"/>
  <c r="F92" i="8"/>
  <c r="F52" i="8"/>
  <c r="F91" i="8"/>
  <c r="F11" i="8"/>
  <c r="F84" i="8"/>
  <c r="F64" i="8"/>
  <c r="F44" i="8"/>
  <c r="F24" i="8"/>
  <c r="F4" i="8"/>
  <c r="F2" i="8"/>
  <c r="F83" i="8"/>
  <c r="F63" i="8"/>
  <c r="F43" i="8"/>
  <c r="F23" i="8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7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5" i="5"/>
  <c r="F22" i="4" l="1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21" i="4"/>
  <c r="B191" i="4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6" i="3"/>
  <c r="G18" i="3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G181" i="3" s="1"/>
  <c r="G182" i="3" s="1"/>
  <c r="G183" i="3" s="1"/>
  <c r="G184" i="3" s="1"/>
  <c r="G185" i="3" s="1"/>
  <c r="G186" i="3" s="1"/>
  <c r="G187" i="3" s="1"/>
  <c r="G188" i="3" s="1"/>
  <c r="G189" i="3" s="1"/>
  <c r="G17" i="3"/>
  <c r="G16" i="3"/>
  <c r="F18" i="3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7" i="3"/>
  <c r="F16" i="3"/>
  <c r="G17" i="2"/>
  <c r="E4" i="3"/>
  <c r="E5" i="3"/>
  <c r="E6" i="3"/>
  <c r="E7" i="3"/>
  <c r="E8" i="3"/>
  <c r="E9" i="3"/>
  <c r="E10" i="3"/>
  <c r="E11" i="3"/>
  <c r="E22" i="3"/>
  <c r="E23" i="3"/>
  <c r="E25" i="3"/>
  <c r="E26" i="3"/>
  <c r="E27" i="3"/>
  <c r="E28" i="3"/>
  <c r="E29" i="3"/>
  <c r="E30" i="3"/>
  <c r="E31" i="3"/>
  <c r="E32" i="3"/>
  <c r="E33" i="3"/>
  <c r="E34" i="3"/>
  <c r="E35" i="3"/>
  <c r="E46" i="3"/>
  <c r="E47" i="3"/>
  <c r="E49" i="3"/>
  <c r="E50" i="3"/>
  <c r="E51" i="3"/>
  <c r="E52" i="3"/>
  <c r="E53" i="3"/>
  <c r="E54" i="3"/>
  <c r="E55" i="3"/>
  <c r="E56" i="3"/>
  <c r="E57" i="3"/>
  <c r="E58" i="3"/>
  <c r="E59" i="3"/>
  <c r="E70" i="3"/>
  <c r="E71" i="3"/>
  <c r="E73" i="3"/>
  <c r="E74" i="3"/>
  <c r="E75" i="3"/>
  <c r="E76" i="3"/>
  <c r="E77" i="3"/>
  <c r="E78" i="3"/>
  <c r="E79" i="3"/>
  <c r="E80" i="3"/>
  <c r="E81" i="3"/>
  <c r="E82" i="3"/>
  <c r="E83" i="3"/>
  <c r="E94" i="3"/>
  <c r="E95" i="3"/>
  <c r="E97" i="3"/>
  <c r="E98" i="3"/>
  <c r="E99" i="3"/>
  <c r="E100" i="3"/>
  <c r="E101" i="3"/>
  <c r="E102" i="3"/>
  <c r="E103" i="3"/>
  <c r="E104" i="3"/>
  <c r="E105" i="3"/>
  <c r="E106" i="3"/>
  <c r="E107" i="3"/>
  <c r="E118" i="3"/>
  <c r="E119" i="3"/>
  <c r="E121" i="3"/>
  <c r="E122" i="3"/>
  <c r="E123" i="3"/>
  <c r="E124" i="3"/>
  <c r="E125" i="3"/>
  <c r="E126" i="3"/>
  <c r="E127" i="3"/>
  <c r="E128" i="3"/>
  <c r="E129" i="3"/>
  <c r="E130" i="3"/>
  <c r="E131" i="3"/>
  <c r="E142" i="3"/>
  <c r="E143" i="3"/>
  <c r="E145" i="3"/>
  <c r="E146" i="3"/>
  <c r="E147" i="3"/>
  <c r="E148" i="3"/>
  <c r="E149" i="3"/>
  <c r="E150" i="3"/>
  <c r="E151" i="3"/>
  <c r="E152" i="3"/>
  <c r="E153" i="3"/>
  <c r="E154" i="3"/>
  <c r="E155" i="3"/>
  <c r="E166" i="3"/>
  <c r="E167" i="3"/>
  <c r="E169" i="3"/>
  <c r="E170" i="3"/>
  <c r="E171" i="3"/>
  <c r="E172" i="3"/>
  <c r="E173" i="3"/>
  <c r="E174" i="3"/>
  <c r="E175" i="3"/>
  <c r="E176" i="3"/>
  <c r="E177" i="3"/>
  <c r="E178" i="3"/>
  <c r="E179" i="3"/>
  <c r="E3" i="3"/>
  <c r="D4" i="3"/>
  <c r="D6" i="3"/>
  <c r="D8" i="3"/>
  <c r="D9" i="3"/>
  <c r="D10" i="3"/>
  <c r="D11" i="3"/>
  <c r="D12" i="3"/>
  <c r="D13" i="3"/>
  <c r="D14" i="3"/>
  <c r="D15" i="3"/>
  <c r="D16" i="3"/>
  <c r="D22" i="3"/>
  <c r="D23" i="3"/>
  <c r="D24" i="3"/>
  <c r="D26" i="3"/>
  <c r="D27" i="3"/>
  <c r="D28" i="3"/>
  <c r="D30" i="3"/>
  <c r="D31" i="3"/>
  <c r="D32" i="3"/>
  <c r="D33" i="3"/>
  <c r="D34" i="3"/>
  <c r="D35" i="3"/>
  <c r="D36" i="3"/>
  <c r="D37" i="3"/>
  <c r="D38" i="3"/>
  <c r="D39" i="3"/>
  <c r="D40" i="3"/>
  <c r="D46" i="3"/>
  <c r="D47" i="3"/>
  <c r="D48" i="3"/>
  <c r="D50" i="3"/>
  <c r="D51" i="3"/>
  <c r="D52" i="3"/>
  <c r="D54" i="3"/>
  <c r="D55" i="3"/>
  <c r="D56" i="3"/>
  <c r="D57" i="3"/>
  <c r="D58" i="3"/>
  <c r="D59" i="3"/>
  <c r="D60" i="3"/>
  <c r="D61" i="3"/>
  <c r="D62" i="3"/>
  <c r="D63" i="3"/>
  <c r="D64" i="3"/>
  <c r="D70" i="3"/>
  <c r="D71" i="3"/>
  <c r="D72" i="3"/>
  <c r="D74" i="3"/>
  <c r="D75" i="3"/>
  <c r="D76" i="3"/>
  <c r="D78" i="3"/>
  <c r="D79" i="3"/>
  <c r="D80" i="3"/>
  <c r="D81" i="3"/>
  <c r="D82" i="3"/>
  <c r="D83" i="3"/>
  <c r="D84" i="3"/>
  <c r="D85" i="3"/>
  <c r="D86" i="3"/>
  <c r="D87" i="3"/>
  <c r="D88" i="3"/>
  <c r="D94" i="3"/>
  <c r="D95" i="3"/>
  <c r="D96" i="3"/>
  <c r="D98" i="3"/>
  <c r="D99" i="3"/>
  <c r="D100" i="3"/>
  <c r="D102" i="3"/>
  <c r="D103" i="3"/>
  <c r="D104" i="3"/>
  <c r="D105" i="3"/>
  <c r="D106" i="3"/>
  <c r="D107" i="3"/>
  <c r="D108" i="3"/>
  <c r="D109" i="3"/>
  <c r="D110" i="3"/>
  <c r="D111" i="3"/>
  <c r="D112" i="3"/>
  <c r="D118" i="3"/>
  <c r="D119" i="3"/>
  <c r="D120" i="3"/>
  <c r="D122" i="3"/>
  <c r="D123" i="3"/>
  <c r="D124" i="3"/>
  <c r="D126" i="3"/>
  <c r="D127" i="3"/>
  <c r="D128" i="3"/>
  <c r="D129" i="3"/>
  <c r="D130" i="3"/>
  <c r="D131" i="3"/>
  <c r="D132" i="3"/>
  <c r="D133" i="3"/>
  <c r="D134" i="3"/>
  <c r="D135" i="3"/>
  <c r="D136" i="3"/>
  <c r="D142" i="3"/>
  <c r="D143" i="3"/>
  <c r="D144" i="3"/>
  <c r="D146" i="3"/>
  <c r="D147" i="3"/>
  <c r="D148" i="3"/>
  <c r="D150" i="3"/>
  <c r="D151" i="3"/>
  <c r="D152" i="3"/>
  <c r="D153" i="3"/>
  <c r="D154" i="3"/>
  <c r="D155" i="3"/>
  <c r="D156" i="3"/>
  <c r="D157" i="3"/>
  <c r="D158" i="3"/>
  <c r="D159" i="3"/>
  <c r="D160" i="3"/>
  <c r="D166" i="3"/>
  <c r="D167" i="3"/>
  <c r="D168" i="3"/>
  <c r="D170" i="3"/>
  <c r="D171" i="3"/>
  <c r="D172" i="3"/>
  <c r="D174" i="3"/>
  <c r="D175" i="3"/>
  <c r="D176" i="3"/>
  <c r="D177" i="3"/>
  <c r="D178" i="3"/>
  <c r="D179" i="3"/>
  <c r="D180" i="3"/>
  <c r="D181" i="3"/>
  <c r="D182" i="3"/>
  <c r="D183" i="3"/>
  <c r="D184" i="3"/>
  <c r="D3" i="3"/>
  <c r="C4" i="3"/>
  <c r="C5" i="3"/>
  <c r="D5" i="3" s="1"/>
  <c r="C6" i="3"/>
  <c r="C7" i="3"/>
  <c r="D7" i="3" s="1"/>
  <c r="C8" i="3"/>
  <c r="C9" i="3"/>
  <c r="C10" i="3"/>
  <c r="C11" i="3"/>
  <c r="C12" i="3"/>
  <c r="E12" i="3" s="1"/>
  <c r="C13" i="3"/>
  <c r="E13" i="3" s="1"/>
  <c r="C14" i="3"/>
  <c r="E14" i="3" s="1"/>
  <c r="C15" i="3"/>
  <c r="E15" i="3" s="1"/>
  <c r="C16" i="3"/>
  <c r="E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C23" i="3"/>
  <c r="C24" i="3"/>
  <c r="E24" i="3" s="1"/>
  <c r="C25" i="3"/>
  <c r="D25" i="3" s="1"/>
  <c r="C26" i="3"/>
  <c r="C27" i="3"/>
  <c r="C28" i="3"/>
  <c r="C29" i="3"/>
  <c r="D29" i="3" s="1"/>
  <c r="C30" i="3"/>
  <c r="C31" i="3"/>
  <c r="C32" i="3"/>
  <c r="C33" i="3"/>
  <c r="C34" i="3"/>
  <c r="C35" i="3"/>
  <c r="C36" i="3"/>
  <c r="E36" i="3" s="1"/>
  <c r="C37" i="3"/>
  <c r="E37" i="3" s="1"/>
  <c r="C38" i="3"/>
  <c r="E38" i="3" s="1"/>
  <c r="C39" i="3"/>
  <c r="E39" i="3" s="1"/>
  <c r="C40" i="3"/>
  <c r="E40" i="3" s="1"/>
  <c r="C41" i="3"/>
  <c r="D41" i="3" s="1"/>
  <c r="C42" i="3"/>
  <c r="D42" i="3" s="1"/>
  <c r="C43" i="3"/>
  <c r="D43" i="3" s="1"/>
  <c r="C44" i="3"/>
  <c r="D44" i="3" s="1"/>
  <c r="C45" i="3"/>
  <c r="D45" i="3" s="1"/>
  <c r="C46" i="3"/>
  <c r="C47" i="3"/>
  <c r="C48" i="3"/>
  <c r="E48" i="3" s="1"/>
  <c r="C49" i="3"/>
  <c r="D49" i="3" s="1"/>
  <c r="C50" i="3"/>
  <c r="C51" i="3"/>
  <c r="C52" i="3"/>
  <c r="C53" i="3"/>
  <c r="D53" i="3" s="1"/>
  <c r="C54" i="3"/>
  <c r="C55" i="3"/>
  <c r="C56" i="3"/>
  <c r="C57" i="3"/>
  <c r="C58" i="3"/>
  <c r="C59" i="3"/>
  <c r="C60" i="3"/>
  <c r="E60" i="3" s="1"/>
  <c r="C61" i="3"/>
  <c r="E61" i="3" s="1"/>
  <c r="C62" i="3"/>
  <c r="E62" i="3" s="1"/>
  <c r="C63" i="3"/>
  <c r="E63" i="3" s="1"/>
  <c r="C64" i="3"/>
  <c r="E64" i="3" s="1"/>
  <c r="C65" i="3"/>
  <c r="D65" i="3" s="1"/>
  <c r="C66" i="3"/>
  <c r="E66" i="3" s="1"/>
  <c r="C67" i="3"/>
  <c r="D67" i="3" s="1"/>
  <c r="C68" i="3"/>
  <c r="D68" i="3" s="1"/>
  <c r="C69" i="3"/>
  <c r="D69" i="3" s="1"/>
  <c r="C70" i="3"/>
  <c r="C71" i="3"/>
  <c r="C72" i="3"/>
  <c r="E72" i="3" s="1"/>
  <c r="C73" i="3"/>
  <c r="D73" i="3" s="1"/>
  <c r="C74" i="3"/>
  <c r="C75" i="3"/>
  <c r="C76" i="3"/>
  <c r="C77" i="3"/>
  <c r="D77" i="3" s="1"/>
  <c r="C78" i="3"/>
  <c r="C79" i="3"/>
  <c r="C80" i="3"/>
  <c r="C81" i="3"/>
  <c r="C82" i="3"/>
  <c r="C83" i="3"/>
  <c r="C84" i="3"/>
  <c r="E84" i="3" s="1"/>
  <c r="C85" i="3"/>
  <c r="E85" i="3" s="1"/>
  <c r="C86" i="3"/>
  <c r="E86" i="3" s="1"/>
  <c r="C87" i="3"/>
  <c r="E87" i="3" s="1"/>
  <c r="C88" i="3"/>
  <c r="E88" i="3" s="1"/>
  <c r="C89" i="3"/>
  <c r="D89" i="3" s="1"/>
  <c r="C90" i="3"/>
  <c r="D90" i="3" s="1"/>
  <c r="C91" i="3"/>
  <c r="D91" i="3" s="1"/>
  <c r="C92" i="3"/>
  <c r="D92" i="3" s="1"/>
  <c r="C93" i="3"/>
  <c r="D93" i="3" s="1"/>
  <c r="C94" i="3"/>
  <c r="C95" i="3"/>
  <c r="C96" i="3"/>
  <c r="E96" i="3" s="1"/>
  <c r="C97" i="3"/>
  <c r="D97" i="3" s="1"/>
  <c r="C98" i="3"/>
  <c r="C99" i="3"/>
  <c r="C100" i="3"/>
  <c r="C101" i="3"/>
  <c r="D101" i="3" s="1"/>
  <c r="C102" i="3"/>
  <c r="C103" i="3"/>
  <c r="C104" i="3"/>
  <c r="C105" i="3"/>
  <c r="C106" i="3"/>
  <c r="C107" i="3"/>
  <c r="C108" i="3"/>
  <c r="E108" i="3" s="1"/>
  <c r="C109" i="3"/>
  <c r="E109" i="3" s="1"/>
  <c r="C110" i="3"/>
  <c r="E110" i="3" s="1"/>
  <c r="C111" i="3"/>
  <c r="E111" i="3" s="1"/>
  <c r="C112" i="3"/>
  <c r="E112" i="3" s="1"/>
  <c r="C113" i="3"/>
  <c r="D113" i="3" s="1"/>
  <c r="C114" i="3"/>
  <c r="D114" i="3" s="1"/>
  <c r="C115" i="3"/>
  <c r="D115" i="3" s="1"/>
  <c r="C116" i="3"/>
  <c r="D116" i="3" s="1"/>
  <c r="C117" i="3"/>
  <c r="D117" i="3" s="1"/>
  <c r="C118" i="3"/>
  <c r="C119" i="3"/>
  <c r="C120" i="3"/>
  <c r="E120" i="3" s="1"/>
  <c r="C121" i="3"/>
  <c r="D121" i="3" s="1"/>
  <c r="C122" i="3"/>
  <c r="C123" i="3"/>
  <c r="C124" i="3"/>
  <c r="C125" i="3"/>
  <c r="D125" i="3" s="1"/>
  <c r="C126" i="3"/>
  <c r="C127" i="3"/>
  <c r="C128" i="3"/>
  <c r="C129" i="3"/>
  <c r="C130" i="3"/>
  <c r="C131" i="3"/>
  <c r="C132" i="3"/>
  <c r="E132" i="3" s="1"/>
  <c r="C133" i="3"/>
  <c r="E133" i="3" s="1"/>
  <c r="C134" i="3"/>
  <c r="E134" i="3" s="1"/>
  <c r="C135" i="3"/>
  <c r="E135" i="3" s="1"/>
  <c r="C136" i="3"/>
  <c r="E136" i="3" s="1"/>
  <c r="C137" i="3"/>
  <c r="D137" i="3" s="1"/>
  <c r="C138" i="3"/>
  <c r="D138" i="3" s="1"/>
  <c r="C139" i="3"/>
  <c r="D139" i="3" s="1"/>
  <c r="C140" i="3"/>
  <c r="D140" i="3" s="1"/>
  <c r="C141" i="3"/>
  <c r="D141" i="3" s="1"/>
  <c r="C142" i="3"/>
  <c r="C143" i="3"/>
  <c r="C144" i="3"/>
  <c r="E144" i="3" s="1"/>
  <c r="C145" i="3"/>
  <c r="D145" i="3" s="1"/>
  <c r="C146" i="3"/>
  <c r="C147" i="3"/>
  <c r="C148" i="3"/>
  <c r="C149" i="3"/>
  <c r="D149" i="3" s="1"/>
  <c r="C150" i="3"/>
  <c r="C151" i="3"/>
  <c r="C152" i="3"/>
  <c r="C153" i="3"/>
  <c r="C154" i="3"/>
  <c r="C155" i="3"/>
  <c r="C156" i="3"/>
  <c r="E156" i="3" s="1"/>
  <c r="C157" i="3"/>
  <c r="E157" i="3" s="1"/>
  <c r="C158" i="3"/>
  <c r="E158" i="3" s="1"/>
  <c r="C159" i="3"/>
  <c r="E159" i="3" s="1"/>
  <c r="C160" i="3"/>
  <c r="E160" i="3" s="1"/>
  <c r="C161" i="3"/>
  <c r="D161" i="3" s="1"/>
  <c r="C162" i="3"/>
  <c r="D162" i="3" s="1"/>
  <c r="C163" i="3"/>
  <c r="D163" i="3" s="1"/>
  <c r="C164" i="3"/>
  <c r="D164" i="3" s="1"/>
  <c r="C165" i="3"/>
  <c r="D165" i="3" s="1"/>
  <c r="C166" i="3"/>
  <c r="C167" i="3"/>
  <c r="C168" i="3"/>
  <c r="E168" i="3" s="1"/>
  <c r="C169" i="3"/>
  <c r="D169" i="3" s="1"/>
  <c r="C170" i="3"/>
  <c r="C171" i="3"/>
  <c r="C172" i="3"/>
  <c r="C173" i="3"/>
  <c r="D173" i="3" s="1"/>
  <c r="C174" i="3"/>
  <c r="C175" i="3"/>
  <c r="C176" i="3"/>
  <c r="C177" i="3"/>
  <c r="C178" i="3"/>
  <c r="C179" i="3"/>
  <c r="C180" i="3"/>
  <c r="E180" i="3" s="1"/>
  <c r="C181" i="3"/>
  <c r="E181" i="3" s="1"/>
  <c r="C182" i="3"/>
  <c r="E182" i="3" s="1"/>
  <c r="C183" i="3"/>
  <c r="E183" i="3" s="1"/>
  <c r="C184" i="3"/>
  <c r="E184" i="3" s="1"/>
  <c r="C185" i="3"/>
  <c r="D185" i="3" s="1"/>
  <c r="C186" i="3"/>
  <c r="D186" i="3" s="1"/>
  <c r="C187" i="3"/>
  <c r="D187" i="3" s="1"/>
  <c r="C188" i="3"/>
  <c r="D188" i="3" s="1"/>
  <c r="C189" i="3"/>
  <c r="D189" i="3" s="1"/>
  <c r="C3" i="3"/>
  <c r="B194" i="2"/>
  <c r="B191" i="3"/>
  <c r="E189" i="3" l="1"/>
  <c r="E165" i="3"/>
  <c r="E141" i="3"/>
  <c r="E117" i="3"/>
  <c r="E93" i="3"/>
  <c r="E69" i="3"/>
  <c r="E45" i="3"/>
  <c r="E21" i="3"/>
  <c r="E188" i="3"/>
  <c r="E164" i="3"/>
  <c r="E140" i="3"/>
  <c r="E116" i="3"/>
  <c r="E92" i="3"/>
  <c r="E68" i="3"/>
  <c r="E44" i="3"/>
  <c r="E20" i="3"/>
  <c r="E187" i="3"/>
  <c r="E163" i="3"/>
  <c r="E139" i="3"/>
  <c r="E115" i="3"/>
  <c r="E91" i="3"/>
  <c r="E67" i="3"/>
  <c r="E43" i="3"/>
  <c r="E19" i="3"/>
  <c r="E17" i="3"/>
  <c r="E162" i="3"/>
  <c r="E18" i="3"/>
  <c r="E65" i="3"/>
  <c r="E138" i="3"/>
  <c r="E90" i="3"/>
  <c r="E185" i="3"/>
  <c r="E137" i="3"/>
  <c r="E186" i="3"/>
  <c r="E114" i="3"/>
  <c r="E113" i="3"/>
  <c r="E42" i="3"/>
  <c r="E89" i="3"/>
  <c r="D66" i="3"/>
  <c r="E161" i="3"/>
  <c r="E41" i="3"/>
  <c r="C14" i="2" l="1"/>
  <c r="H17" i="2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7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5" i="2"/>
  <c r="D6" i="2"/>
  <c r="D7" i="2"/>
  <c r="D8" i="2"/>
  <c r="D9" i="2"/>
  <c r="D10" i="2"/>
  <c r="D11" i="2"/>
  <c r="D12" i="2"/>
  <c r="D13" i="2"/>
  <c r="D14" i="2"/>
  <c r="D15" i="2"/>
  <c r="D16" i="2"/>
  <c r="D5" i="2"/>
  <c r="C6" i="2"/>
  <c r="C7" i="2"/>
  <c r="C8" i="2"/>
  <c r="C9" i="2"/>
  <c r="C10" i="2"/>
  <c r="C11" i="2"/>
  <c r="C12" i="2"/>
  <c r="C13" i="2"/>
  <c r="C5" i="2"/>
  <c r="E2" i="2"/>
  <c r="D2" i="2"/>
  <c r="C2" i="2"/>
  <c r="G26" i="2" l="1"/>
  <c r="D17" i="2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E31" i="2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E62" i="2" s="1"/>
  <c r="E63" i="2" s="1"/>
  <c r="E64" i="2" s="1"/>
  <c r="E65" i="2" s="1"/>
  <c r="E66" i="2" s="1"/>
  <c r="E67" i="2" s="1"/>
  <c r="E68" i="2" s="1"/>
  <c r="E69" i="2" s="1"/>
  <c r="E70" i="2" s="1"/>
  <c r="E71" i="2" s="1"/>
  <c r="E72" i="2" s="1"/>
  <c r="E73" i="2" s="1"/>
  <c r="E74" i="2" s="1"/>
  <c r="E75" i="2" s="1"/>
  <c r="E76" i="2" s="1"/>
  <c r="E77" i="2" s="1"/>
  <c r="E78" i="2" s="1"/>
  <c r="E79" i="2" s="1"/>
  <c r="E80" i="2" s="1"/>
  <c r="E81" i="2" s="1"/>
  <c r="E82" i="2" s="1"/>
  <c r="E83" i="2" s="1"/>
  <c r="E84" i="2" s="1"/>
  <c r="E85" i="2" s="1"/>
  <c r="E86" i="2" s="1"/>
  <c r="E87" i="2" s="1"/>
  <c r="E88" i="2" s="1"/>
  <c r="E89" i="2" s="1"/>
  <c r="E90" i="2" s="1"/>
  <c r="E91" i="2" s="1"/>
  <c r="E92" i="2" s="1"/>
  <c r="E93" i="2" s="1"/>
  <c r="E94" i="2" s="1"/>
  <c r="E95" i="2" s="1"/>
  <c r="E96" i="2" s="1"/>
  <c r="E97" i="2" s="1"/>
  <c r="E98" i="2" s="1"/>
  <c r="E99" i="2" s="1"/>
  <c r="E100" i="2" s="1"/>
  <c r="E101" i="2" s="1"/>
  <c r="E102" i="2" s="1"/>
  <c r="E103" i="2" s="1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H26" i="2" l="1"/>
  <c r="G27" i="2"/>
  <c r="C192" i="1"/>
  <c r="H186" i="1"/>
  <c r="H187" i="1"/>
  <c r="H188" i="1"/>
  <c r="H189" i="1"/>
  <c r="G184" i="1"/>
  <c r="G185" i="1"/>
  <c r="G186" i="1"/>
  <c r="G187" i="1"/>
  <c r="G188" i="1"/>
  <c r="G189" i="1"/>
  <c r="F184" i="1"/>
  <c r="F185" i="1"/>
  <c r="F186" i="1"/>
  <c r="F187" i="1"/>
  <c r="F188" i="1"/>
  <c r="F189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3" i="1"/>
  <c r="F3" i="1"/>
  <c r="F4" i="1"/>
  <c r="F5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F194" i="1" l="1"/>
  <c r="F195" i="1" s="1"/>
  <c r="H194" i="1"/>
  <c r="H195" i="1" s="1"/>
  <c r="G194" i="1"/>
  <c r="G195" i="1" s="1"/>
  <c r="H27" i="2"/>
  <c r="G28" i="2"/>
  <c r="K117" i="1"/>
  <c r="N117" i="1" s="1"/>
  <c r="B2" i="8" l="1"/>
  <c r="H28" i="2"/>
  <c r="G29" i="2"/>
  <c r="I186" i="1"/>
  <c r="L186" i="1" s="1"/>
  <c r="I188" i="1"/>
  <c r="L188" i="1" s="1"/>
  <c r="I187" i="1"/>
  <c r="L187" i="1" s="1"/>
  <c r="I184" i="1"/>
  <c r="L184" i="1" s="1"/>
  <c r="I185" i="1"/>
  <c r="L185" i="1" s="1"/>
  <c r="I189" i="1"/>
  <c r="L189" i="1" s="1"/>
  <c r="K186" i="1"/>
  <c r="N186" i="1" s="1"/>
  <c r="K187" i="1"/>
  <c r="N187" i="1" s="1"/>
  <c r="J186" i="1"/>
  <c r="M186" i="1" s="1"/>
  <c r="J185" i="1"/>
  <c r="M185" i="1" s="1"/>
  <c r="J187" i="1"/>
  <c r="M187" i="1" s="1"/>
  <c r="K189" i="1"/>
  <c r="N189" i="1" s="1"/>
  <c r="J188" i="1"/>
  <c r="M188" i="1" s="1"/>
  <c r="J189" i="1"/>
  <c r="M189" i="1" s="1"/>
  <c r="K188" i="1"/>
  <c r="N188" i="1" s="1"/>
  <c r="J184" i="1"/>
  <c r="M184" i="1" s="1"/>
  <c r="I11" i="1"/>
  <c r="L11" i="1" s="1"/>
  <c r="K6" i="1"/>
  <c r="N6" i="1" s="1"/>
  <c r="K30" i="1"/>
  <c r="N30" i="1" s="1"/>
  <c r="K54" i="1"/>
  <c r="N54" i="1" s="1"/>
  <c r="K78" i="1"/>
  <c r="N78" i="1" s="1"/>
  <c r="K17" i="1"/>
  <c r="N17" i="1" s="1"/>
  <c r="K89" i="1"/>
  <c r="N89" i="1" s="1"/>
  <c r="K81" i="1"/>
  <c r="N81" i="1" s="1"/>
  <c r="K34" i="1"/>
  <c r="N34" i="1" s="1"/>
  <c r="K4" i="1"/>
  <c r="N4" i="1" s="1"/>
  <c r="K18" i="1"/>
  <c r="N18" i="1" s="1"/>
  <c r="K66" i="1"/>
  <c r="N66" i="1" s="1"/>
  <c r="K68" i="1"/>
  <c r="N68" i="1" s="1"/>
  <c r="K140" i="1"/>
  <c r="N140" i="1" s="1"/>
  <c r="K152" i="1"/>
  <c r="N152" i="1" s="1"/>
  <c r="K45" i="1"/>
  <c r="N45" i="1" s="1"/>
  <c r="K65" i="1"/>
  <c r="N65" i="1" s="1"/>
  <c r="K161" i="1"/>
  <c r="N161" i="1" s="1"/>
  <c r="K28" i="1"/>
  <c r="N28" i="1" s="1"/>
  <c r="K76" i="1"/>
  <c r="N76" i="1" s="1"/>
  <c r="K124" i="1"/>
  <c r="N124" i="1" s="1"/>
  <c r="K148" i="1"/>
  <c r="N148" i="1" s="1"/>
  <c r="K172" i="1"/>
  <c r="N172" i="1" s="1"/>
  <c r="K31" i="1"/>
  <c r="N31" i="1" s="1"/>
  <c r="K116" i="1"/>
  <c r="N116" i="1" s="1"/>
  <c r="K164" i="1"/>
  <c r="N164" i="1" s="1"/>
  <c r="K177" i="1"/>
  <c r="N177" i="1" s="1"/>
  <c r="K69" i="1"/>
  <c r="N69" i="1" s="1"/>
  <c r="K41" i="1"/>
  <c r="N41" i="1" s="1"/>
  <c r="K55" i="1"/>
  <c r="N55" i="1" s="1"/>
  <c r="K8" i="1"/>
  <c r="N8" i="1" s="1"/>
  <c r="K113" i="1"/>
  <c r="N113" i="1" s="1"/>
  <c r="K143" i="1"/>
  <c r="N143" i="1" s="1"/>
  <c r="K42" i="1"/>
  <c r="N42" i="1" s="1"/>
  <c r="K44" i="1"/>
  <c r="N44" i="1" s="1"/>
  <c r="K92" i="1"/>
  <c r="N92" i="1" s="1"/>
  <c r="K7" i="1"/>
  <c r="N7" i="1" s="1"/>
  <c r="K127" i="1"/>
  <c r="N127" i="1" s="1"/>
  <c r="K104" i="1"/>
  <c r="N104" i="1" s="1"/>
  <c r="K21" i="1"/>
  <c r="N21" i="1" s="1"/>
  <c r="K33" i="1"/>
  <c r="N33" i="1" s="1"/>
  <c r="K106" i="1"/>
  <c r="N106" i="1" s="1"/>
  <c r="K93" i="1"/>
  <c r="N93" i="1" s="1"/>
  <c r="K179" i="1"/>
  <c r="N179" i="1" s="1"/>
  <c r="K84" i="1"/>
  <c r="N84" i="1" s="1"/>
  <c r="K61" i="1"/>
  <c r="N61" i="1" s="1"/>
  <c r="K110" i="1"/>
  <c r="N110" i="1" s="1"/>
  <c r="K159" i="1"/>
  <c r="N159" i="1" s="1"/>
  <c r="K160" i="1"/>
  <c r="N160" i="1" s="1"/>
  <c r="K132" i="1"/>
  <c r="N132" i="1" s="1"/>
  <c r="K157" i="1"/>
  <c r="N157" i="1" s="1"/>
  <c r="K38" i="1"/>
  <c r="N38" i="1" s="1"/>
  <c r="K183" i="1"/>
  <c r="N183" i="1" s="1"/>
  <c r="K40" i="1"/>
  <c r="N40" i="1" s="1"/>
  <c r="K82" i="1"/>
  <c r="N82" i="1" s="1"/>
  <c r="K111" i="1"/>
  <c r="N111" i="1" s="1"/>
  <c r="K36" i="1"/>
  <c r="N36" i="1" s="1"/>
  <c r="K181" i="1"/>
  <c r="N181" i="1" s="1"/>
  <c r="K86" i="1"/>
  <c r="N86" i="1" s="1"/>
  <c r="K135" i="1"/>
  <c r="N135" i="1" s="1"/>
  <c r="K176" i="1"/>
  <c r="N176" i="1" s="1"/>
  <c r="K107" i="1"/>
  <c r="N107" i="1" s="1"/>
  <c r="K64" i="1"/>
  <c r="N64" i="1" s="1"/>
  <c r="K147" i="1"/>
  <c r="N147" i="1" s="1"/>
  <c r="K59" i="1"/>
  <c r="N59" i="1" s="1"/>
  <c r="K180" i="1"/>
  <c r="N180" i="1" s="1"/>
  <c r="K37" i="1"/>
  <c r="N37" i="1" s="1"/>
  <c r="K158" i="1"/>
  <c r="N158" i="1" s="1"/>
  <c r="K184" i="1"/>
  <c r="N184" i="1" s="1"/>
  <c r="K123" i="1"/>
  <c r="N123" i="1" s="1"/>
  <c r="K155" i="1"/>
  <c r="N155" i="1" s="1"/>
  <c r="K112" i="1"/>
  <c r="N112" i="1" s="1"/>
  <c r="K51" i="1"/>
  <c r="N51" i="1" s="1"/>
  <c r="K35" i="1"/>
  <c r="N35" i="1" s="1"/>
  <c r="K156" i="1"/>
  <c r="N156" i="1" s="1"/>
  <c r="K182" i="1"/>
  <c r="N182" i="1" s="1"/>
  <c r="K39" i="1"/>
  <c r="N39" i="1" s="1"/>
  <c r="K99" i="1"/>
  <c r="N99" i="1" s="1"/>
  <c r="K131" i="1"/>
  <c r="N131" i="1" s="1"/>
  <c r="K60" i="1"/>
  <c r="N60" i="1" s="1"/>
  <c r="K85" i="1"/>
  <c r="N85" i="1" s="1"/>
  <c r="K63" i="1"/>
  <c r="N63" i="1" s="1"/>
  <c r="K136" i="1"/>
  <c r="N136" i="1" s="1"/>
  <c r="K171" i="1"/>
  <c r="N171" i="1" s="1"/>
  <c r="K83" i="1"/>
  <c r="N83" i="1" s="1"/>
  <c r="K108" i="1"/>
  <c r="N108" i="1" s="1"/>
  <c r="K133" i="1"/>
  <c r="N133" i="1" s="1"/>
  <c r="K62" i="1"/>
  <c r="N62" i="1" s="1"/>
  <c r="K16" i="1"/>
  <c r="N16" i="1" s="1"/>
  <c r="K48" i="1"/>
  <c r="N48" i="1" s="1"/>
  <c r="K72" i="1"/>
  <c r="N72" i="1" s="1"/>
  <c r="K96" i="1"/>
  <c r="N96" i="1" s="1"/>
  <c r="K120" i="1"/>
  <c r="N120" i="1" s="1"/>
  <c r="K144" i="1"/>
  <c r="N144" i="1" s="1"/>
  <c r="K168" i="1"/>
  <c r="N168" i="1" s="1"/>
  <c r="K75" i="1"/>
  <c r="N75" i="1" s="1"/>
  <c r="K12" i="1"/>
  <c r="N12" i="1" s="1"/>
  <c r="K109" i="1"/>
  <c r="N109" i="1" s="1"/>
  <c r="K14" i="1"/>
  <c r="N14" i="1" s="1"/>
  <c r="K87" i="1"/>
  <c r="N87" i="1" s="1"/>
  <c r="K88" i="1"/>
  <c r="N88" i="1" s="1"/>
  <c r="K24" i="1"/>
  <c r="N24" i="1" s="1"/>
  <c r="K25" i="1"/>
  <c r="N25" i="1" s="1"/>
  <c r="K49" i="1"/>
  <c r="N49" i="1" s="1"/>
  <c r="K73" i="1"/>
  <c r="N73" i="1" s="1"/>
  <c r="K97" i="1"/>
  <c r="N97" i="1" s="1"/>
  <c r="K121" i="1"/>
  <c r="N121" i="1" s="1"/>
  <c r="K145" i="1"/>
  <c r="N145" i="1" s="1"/>
  <c r="K169" i="1"/>
  <c r="N169" i="1" s="1"/>
  <c r="K26" i="1"/>
  <c r="N26" i="1" s="1"/>
  <c r="K50" i="1"/>
  <c r="N50" i="1" s="1"/>
  <c r="K74" i="1"/>
  <c r="N74" i="1" s="1"/>
  <c r="K98" i="1"/>
  <c r="N98" i="1" s="1"/>
  <c r="K122" i="1"/>
  <c r="N122" i="1" s="1"/>
  <c r="K146" i="1"/>
  <c r="N146" i="1" s="1"/>
  <c r="K170" i="1"/>
  <c r="N170" i="1" s="1"/>
  <c r="K27" i="1"/>
  <c r="N27" i="1" s="1"/>
  <c r="K11" i="1"/>
  <c r="N11" i="1" s="1"/>
  <c r="K13" i="1"/>
  <c r="N13" i="1" s="1"/>
  <c r="K134" i="1"/>
  <c r="N134" i="1" s="1"/>
  <c r="K15" i="1"/>
  <c r="N15" i="1" s="1"/>
  <c r="K43" i="1"/>
  <c r="N43" i="1" s="1"/>
  <c r="K80" i="1"/>
  <c r="N80" i="1" s="1"/>
  <c r="K56" i="1"/>
  <c r="N56" i="1" s="1"/>
  <c r="K57" i="1"/>
  <c r="N57" i="1" s="1"/>
  <c r="K129" i="1"/>
  <c r="N129" i="1" s="1"/>
  <c r="K115" i="1"/>
  <c r="N115" i="1" s="1"/>
  <c r="K166" i="1"/>
  <c r="N166" i="1" s="1"/>
  <c r="K162" i="1"/>
  <c r="N162" i="1" s="1"/>
  <c r="K167" i="1"/>
  <c r="N167" i="1" s="1"/>
  <c r="K19" i="1"/>
  <c r="N19" i="1" s="1"/>
  <c r="K5" i="1"/>
  <c r="N5" i="1" s="1"/>
  <c r="K67" i="1"/>
  <c r="N67" i="1" s="1"/>
  <c r="K53" i="1"/>
  <c r="N53" i="1" s="1"/>
  <c r="K10" i="1"/>
  <c r="N10" i="1" s="1"/>
  <c r="K139" i="1"/>
  <c r="N139" i="1" s="1"/>
  <c r="K23" i="1"/>
  <c r="N23" i="1" s="1"/>
  <c r="K90" i="1"/>
  <c r="N90" i="1" s="1"/>
  <c r="K102" i="1"/>
  <c r="N102" i="1" s="1"/>
  <c r="K141" i="1"/>
  <c r="N141" i="1" s="1"/>
  <c r="K32" i="1"/>
  <c r="N32" i="1" s="1"/>
  <c r="K126" i="1"/>
  <c r="N126" i="1" s="1"/>
  <c r="K22" i="1"/>
  <c r="N22" i="1" s="1"/>
  <c r="K105" i="1"/>
  <c r="N105" i="1" s="1"/>
  <c r="K130" i="1"/>
  <c r="N130" i="1" s="1"/>
  <c r="K94" i="1"/>
  <c r="N94" i="1" s="1"/>
  <c r="K29" i="1"/>
  <c r="N29" i="1" s="1"/>
  <c r="K91" i="1"/>
  <c r="N91" i="1" s="1"/>
  <c r="K125" i="1"/>
  <c r="N125" i="1" s="1"/>
  <c r="K154" i="1"/>
  <c r="N154" i="1" s="1"/>
  <c r="K163" i="1"/>
  <c r="N163" i="1" s="1"/>
  <c r="K47" i="1"/>
  <c r="N47" i="1" s="1"/>
  <c r="K138" i="1"/>
  <c r="N138" i="1" s="1"/>
  <c r="K128" i="1"/>
  <c r="N128" i="1" s="1"/>
  <c r="K3" i="1"/>
  <c r="N3" i="1" s="1"/>
  <c r="K174" i="1"/>
  <c r="N174" i="1" s="1"/>
  <c r="K70" i="1"/>
  <c r="N70" i="1" s="1"/>
  <c r="K175" i="1"/>
  <c r="N175" i="1" s="1"/>
  <c r="K79" i="1"/>
  <c r="N79" i="1" s="1"/>
  <c r="K142" i="1"/>
  <c r="N142" i="1" s="1"/>
  <c r="K153" i="1"/>
  <c r="N153" i="1" s="1"/>
  <c r="K58" i="1"/>
  <c r="N58" i="1" s="1"/>
  <c r="K178" i="1"/>
  <c r="N178" i="1" s="1"/>
  <c r="K149" i="1"/>
  <c r="N149" i="1" s="1"/>
  <c r="K137" i="1"/>
  <c r="N137" i="1" s="1"/>
  <c r="K119" i="1"/>
  <c r="N119" i="1" s="1"/>
  <c r="K71" i="1"/>
  <c r="N71" i="1" s="1"/>
  <c r="K151" i="1"/>
  <c r="N151" i="1" s="1"/>
  <c r="K114" i="1"/>
  <c r="N114" i="1" s="1"/>
  <c r="K165" i="1"/>
  <c r="N165" i="1" s="1"/>
  <c r="K150" i="1"/>
  <c r="N150" i="1" s="1"/>
  <c r="K46" i="1"/>
  <c r="N46" i="1" s="1"/>
  <c r="K103" i="1"/>
  <c r="N103" i="1" s="1"/>
  <c r="K52" i="1"/>
  <c r="N52" i="1" s="1"/>
  <c r="K118" i="1"/>
  <c r="N118" i="1" s="1"/>
  <c r="K9" i="1"/>
  <c r="N9" i="1" s="1"/>
  <c r="K77" i="1"/>
  <c r="N77" i="1" s="1"/>
  <c r="K101" i="1"/>
  <c r="N101" i="1" s="1"/>
  <c r="K100" i="1"/>
  <c r="N100" i="1" s="1"/>
  <c r="K173" i="1"/>
  <c r="N173" i="1" s="1"/>
  <c r="K185" i="1"/>
  <c r="N185" i="1" s="1"/>
  <c r="K20" i="1"/>
  <c r="N20" i="1" s="1"/>
  <c r="K95" i="1"/>
  <c r="N95" i="1" s="1"/>
  <c r="J10" i="1"/>
  <c r="M10" i="1" s="1"/>
  <c r="J46" i="1"/>
  <c r="M46" i="1" s="1"/>
  <c r="I97" i="1"/>
  <c r="L97" i="1" s="1"/>
  <c r="I27" i="1"/>
  <c r="L27" i="1" s="1"/>
  <c r="I108" i="1"/>
  <c r="L108" i="1" s="1"/>
  <c r="I51" i="1"/>
  <c r="L51" i="1" s="1"/>
  <c r="I117" i="1"/>
  <c r="L117" i="1" s="1"/>
  <c r="J143" i="1"/>
  <c r="M143" i="1" s="1"/>
  <c r="I17" i="1"/>
  <c r="L17" i="1" s="1"/>
  <c r="I89" i="1"/>
  <c r="L89" i="1" s="1"/>
  <c r="J4" i="1"/>
  <c r="M4" i="1" s="1"/>
  <c r="I4" i="1"/>
  <c r="L4" i="1" s="1"/>
  <c r="J163" i="1"/>
  <c r="M163" i="1" s="1"/>
  <c r="I7" i="1"/>
  <c r="L7" i="1" s="1"/>
  <c r="I28" i="1"/>
  <c r="L28" i="1" s="1"/>
  <c r="J69" i="1"/>
  <c r="M69" i="1" s="1"/>
  <c r="I162" i="1"/>
  <c r="L162" i="1" s="1"/>
  <c r="I107" i="1"/>
  <c r="L107" i="1" s="1"/>
  <c r="I87" i="1"/>
  <c r="L87" i="1" s="1"/>
  <c r="I91" i="1"/>
  <c r="L91" i="1" s="1"/>
  <c r="I105" i="1"/>
  <c r="L105" i="1" s="1"/>
  <c r="J89" i="1"/>
  <c r="M89" i="1" s="1"/>
  <c r="J170" i="1"/>
  <c r="M170" i="1" s="1"/>
  <c r="I58" i="1"/>
  <c r="L58" i="1" s="1"/>
  <c r="J82" i="1"/>
  <c r="M82" i="1" s="1"/>
  <c r="I79" i="1"/>
  <c r="L79" i="1" s="1"/>
  <c r="I78" i="1"/>
  <c r="L78" i="1" s="1"/>
  <c r="J63" i="1"/>
  <c r="M63" i="1" s="1"/>
  <c r="J25" i="1"/>
  <c r="M25" i="1" s="1"/>
  <c r="J23" i="1"/>
  <c r="M23" i="1" s="1"/>
  <c r="I125" i="1"/>
  <c r="L125" i="1" s="1"/>
  <c r="I60" i="1"/>
  <c r="L60" i="1" s="1"/>
  <c r="I127" i="1"/>
  <c r="L127" i="1" s="1"/>
  <c r="J183" i="1"/>
  <c r="M183" i="1" s="1"/>
  <c r="I48" i="1"/>
  <c r="L48" i="1" s="1"/>
  <c r="I8" i="1"/>
  <c r="L8" i="1" s="1"/>
  <c r="I61" i="1"/>
  <c r="L61" i="1" s="1"/>
  <c r="J109" i="1"/>
  <c r="M109" i="1" s="1"/>
  <c r="I85" i="1"/>
  <c r="L85" i="1" s="1"/>
  <c r="J36" i="1"/>
  <c r="M36" i="1" s="1"/>
  <c r="I25" i="1"/>
  <c r="L25" i="1" s="1"/>
  <c r="I5" i="1"/>
  <c r="L5" i="1" s="1"/>
  <c r="J60" i="1"/>
  <c r="M60" i="1" s="1"/>
  <c r="J16" i="1"/>
  <c r="M16" i="1" s="1"/>
  <c r="I80" i="1"/>
  <c r="L80" i="1" s="1"/>
  <c r="I165" i="1"/>
  <c r="L165" i="1" s="1"/>
  <c r="I26" i="1"/>
  <c r="L26" i="1" s="1"/>
  <c r="J108" i="1"/>
  <c r="M108" i="1" s="1"/>
  <c r="I68" i="1"/>
  <c r="L68" i="1" s="1"/>
  <c r="I43" i="1"/>
  <c r="L43" i="1" s="1"/>
  <c r="J147" i="1"/>
  <c r="M147" i="1" s="1"/>
  <c r="I3" i="1"/>
  <c r="L3" i="1" s="1"/>
  <c r="J31" i="1"/>
  <c r="M31" i="1" s="1"/>
  <c r="J62" i="1"/>
  <c r="M62" i="1" s="1"/>
  <c r="I18" i="1"/>
  <c r="L18" i="1" s="1"/>
  <c r="I182" i="1"/>
  <c r="L182" i="1" s="1"/>
  <c r="J137" i="1"/>
  <c r="M137" i="1" s="1"/>
  <c r="I160" i="1"/>
  <c r="L160" i="1" s="1"/>
  <c r="I124" i="1"/>
  <c r="L124" i="1" s="1"/>
  <c r="I141" i="1"/>
  <c r="L141" i="1" s="1"/>
  <c r="J90" i="1"/>
  <c r="M90" i="1" s="1"/>
  <c r="J45" i="1"/>
  <c r="M45" i="1" s="1"/>
  <c r="J43" i="1"/>
  <c r="M43" i="1" s="1"/>
  <c r="J5" i="1"/>
  <c r="M5" i="1" s="1"/>
  <c r="I163" i="1"/>
  <c r="L163" i="1" s="1"/>
  <c r="I21" i="1"/>
  <c r="L21" i="1" s="1"/>
  <c r="I81" i="1"/>
  <c r="L81" i="1" s="1"/>
  <c r="J26" i="1"/>
  <c r="M26" i="1" s="1"/>
  <c r="J49" i="1"/>
  <c r="M49" i="1" s="1"/>
  <c r="J182" i="1"/>
  <c r="M182" i="1" s="1"/>
  <c r="J29" i="1"/>
  <c r="M29" i="1" s="1"/>
  <c r="I46" i="1"/>
  <c r="L46" i="1" s="1"/>
  <c r="J128" i="1"/>
  <c r="M128" i="1" s="1"/>
  <c r="J159" i="1"/>
  <c r="M159" i="1" s="1"/>
  <c r="I145" i="1"/>
  <c r="L145" i="1" s="1"/>
  <c r="I6" i="1"/>
  <c r="L6" i="1" s="1"/>
  <c r="J88" i="1"/>
  <c r="M88" i="1" s="1"/>
  <c r="I40" i="1"/>
  <c r="L40" i="1" s="1"/>
  <c r="I88" i="1"/>
  <c r="L88" i="1" s="1"/>
  <c r="I41" i="1"/>
  <c r="L41" i="1" s="1"/>
  <c r="J41" i="1"/>
  <c r="M41" i="1" s="1"/>
  <c r="J160" i="1"/>
  <c r="M160" i="1" s="1"/>
  <c r="I131" i="1"/>
  <c r="L131" i="1" s="1"/>
  <c r="I164" i="1"/>
  <c r="L164" i="1" s="1"/>
  <c r="J130" i="1"/>
  <c r="M130" i="1" s="1"/>
  <c r="J37" i="1"/>
  <c r="M37" i="1" s="1"/>
  <c r="I144" i="1"/>
  <c r="L144" i="1" s="1"/>
  <c r="J70" i="1"/>
  <c r="M70" i="1" s="1"/>
  <c r="I181" i="1"/>
  <c r="L181" i="1" s="1"/>
  <c r="I50" i="1"/>
  <c r="L50" i="1" s="1"/>
  <c r="I104" i="1"/>
  <c r="L104" i="1" s="1"/>
  <c r="I20" i="1"/>
  <c r="L20" i="1" s="1"/>
  <c r="I101" i="1"/>
  <c r="L101" i="1" s="1"/>
  <c r="I38" i="1"/>
  <c r="L38" i="1" s="1"/>
  <c r="J6" i="1"/>
  <c r="M6" i="1" s="1"/>
  <c r="J123" i="1"/>
  <c r="M123" i="1" s="1"/>
  <c r="J9" i="1"/>
  <c r="M9" i="1" s="1"/>
  <c r="I150" i="1"/>
  <c r="L150" i="1" s="1"/>
  <c r="J107" i="1"/>
  <c r="M107" i="1" s="1"/>
  <c r="J59" i="1"/>
  <c r="M59" i="1" s="1"/>
  <c r="I171" i="1"/>
  <c r="L171" i="1" s="1"/>
  <c r="I77" i="1"/>
  <c r="L77" i="1" s="1"/>
  <c r="I106" i="1"/>
  <c r="L106" i="1" s="1"/>
  <c r="I138" i="1"/>
  <c r="L138" i="1" s="1"/>
  <c r="I65" i="1"/>
  <c r="L65" i="1" s="1"/>
  <c r="I102" i="1"/>
  <c r="L102" i="1" s="1"/>
  <c r="J103" i="1"/>
  <c r="M103" i="1" s="1"/>
  <c r="J168" i="1"/>
  <c r="M168" i="1" s="1"/>
  <c r="I120" i="1"/>
  <c r="L120" i="1" s="1"/>
  <c r="J151" i="1"/>
  <c r="M151" i="1" s="1"/>
  <c r="I169" i="1"/>
  <c r="L169" i="1" s="1"/>
  <c r="I161" i="1"/>
  <c r="L161" i="1" s="1"/>
  <c r="I67" i="1"/>
  <c r="L67" i="1" s="1"/>
  <c r="I86" i="1"/>
  <c r="L86" i="1" s="1"/>
  <c r="J81" i="1"/>
  <c r="M81" i="1" s="1"/>
  <c r="I45" i="1"/>
  <c r="L45" i="1" s="1"/>
  <c r="I22" i="1"/>
  <c r="L22" i="1" s="1"/>
  <c r="J83" i="1"/>
  <c r="M83" i="1" s="1"/>
  <c r="J148" i="1"/>
  <c r="M148" i="1" s="1"/>
  <c r="I70" i="1"/>
  <c r="L70" i="1" s="1"/>
  <c r="J71" i="1"/>
  <c r="M71" i="1" s="1"/>
  <c r="I168" i="1"/>
  <c r="L168" i="1" s="1"/>
  <c r="I151" i="1"/>
  <c r="L151" i="1" s="1"/>
  <c r="I47" i="1"/>
  <c r="L47" i="1" s="1"/>
  <c r="I66" i="1"/>
  <c r="L66" i="1" s="1"/>
  <c r="J24" i="1"/>
  <c r="M24" i="1" s="1"/>
  <c r="J84" i="1"/>
  <c r="M84" i="1" s="1"/>
  <c r="J124" i="1"/>
  <c r="M124" i="1" s="1"/>
  <c r="J144" i="1"/>
  <c r="M144" i="1" s="1"/>
  <c r="J3" i="1"/>
  <c r="M3" i="1" s="1"/>
  <c r="J44" i="1"/>
  <c r="M44" i="1" s="1"/>
  <c r="J64" i="1"/>
  <c r="M64" i="1" s="1"/>
  <c r="J104" i="1"/>
  <c r="M104" i="1" s="1"/>
  <c r="J164" i="1"/>
  <c r="M164" i="1" s="1"/>
  <c r="J94" i="1"/>
  <c r="M94" i="1" s="1"/>
  <c r="J172" i="1"/>
  <c r="M172" i="1" s="1"/>
  <c r="J173" i="1"/>
  <c r="M173" i="1" s="1"/>
  <c r="J95" i="1"/>
  <c r="M95" i="1" s="1"/>
  <c r="J32" i="1"/>
  <c r="M32" i="1" s="1"/>
  <c r="J132" i="1"/>
  <c r="M132" i="1" s="1"/>
  <c r="J33" i="1"/>
  <c r="M33" i="1" s="1"/>
  <c r="J133" i="1"/>
  <c r="M133" i="1" s="1"/>
  <c r="J35" i="1"/>
  <c r="M35" i="1" s="1"/>
  <c r="J99" i="1"/>
  <c r="M99" i="1" s="1"/>
  <c r="J72" i="1"/>
  <c r="M72" i="1" s="1"/>
  <c r="J73" i="1"/>
  <c r="M73" i="1" s="1"/>
  <c r="J34" i="1"/>
  <c r="M34" i="1" s="1"/>
  <c r="J134" i="1"/>
  <c r="M134" i="1" s="1"/>
  <c r="J135" i="1"/>
  <c r="M135" i="1" s="1"/>
  <c r="J14" i="1"/>
  <c r="M14" i="1" s="1"/>
  <c r="J114" i="1"/>
  <c r="M114" i="1" s="1"/>
  <c r="J15" i="1"/>
  <c r="M15" i="1" s="1"/>
  <c r="J79" i="1"/>
  <c r="M79" i="1" s="1"/>
  <c r="J115" i="1"/>
  <c r="M115" i="1" s="1"/>
  <c r="J179" i="1"/>
  <c r="M179" i="1" s="1"/>
  <c r="J52" i="1"/>
  <c r="M52" i="1" s="1"/>
  <c r="J152" i="1"/>
  <c r="M152" i="1" s="1"/>
  <c r="J153" i="1"/>
  <c r="M153" i="1" s="1"/>
  <c r="J18" i="1"/>
  <c r="M18" i="1" s="1"/>
  <c r="J110" i="1"/>
  <c r="M110" i="1" s="1"/>
  <c r="J111" i="1"/>
  <c r="M111" i="1" s="1"/>
  <c r="J112" i="1"/>
  <c r="M112" i="1" s="1"/>
  <c r="J181" i="1"/>
  <c r="M181" i="1" s="1"/>
  <c r="J113" i="1"/>
  <c r="M113" i="1" s="1"/>
  <c r="J154" i="1"/>
  <c r="M154" i="1" s="1"/>
  <c r="J92" i="1"/>
  <c r="M92" i="1" s="1"/>
  <c r="J93" i="1"/>
  <c r="M93" i="1" s="1"/>
  <c r="J38" i="1"/>
  <c r="M38" i="1" s="1"/>
  <c r="J12" i="1"/>
  <c r="M12" i="1" s="1"/>
  <c r="J155" i="1"/>
  <c r="M155" i="1" s="1"/>
  <c r="J174" i="1"/>
  <c r="M174" i="1" s="1"/>
  <c r="J20" i="1"/>
  <c r="M20" i="1" s="1"/>
  <c r="J21" i="1"/>
  <c r="M21" i="1" s="1"/>
  <c r="J13" i="1"/>
  <c r="M13" i="1" s="1"/>
  <c r="J19" i="1"/>
  <c r="M19" i="1" s="1"/>
  <c r="J175" i="1"/>
  <c r="M175" i="1" s="1"/>
  <c r="J176" i="1"/>
  <c r="M176" i="1" s="1"/>
  <c r="J39" i="1"/>
  <c r="M39" i="1" s="1"/>
  <c r="J40" i="1"/>
  <c r="M40" i="1" s="1"/>
  <c r="J118" i="1"/>
  <c r="M118" i="1" s="1"/>
  <c r="J53" i="1"/>
  <c r="M53" i="1" s="1"/>
  <c r="J119" i="1"/>
  <c r="M119" i="1" s="1"/>
  <c r="J54" i="1"/>
  <c r="M54" i="1" s="1"/>
  <c r="J120" i="1"/>
  <c r="M120" i="1" s="1"/>
  <c r="J55" i="1"/>
  <c r="M55" i="1" s="1"/>
  <c r="J121" i="1"/>
  <c r="M121" i="1" s="1"/>
  <c r="J56" i="1"/>
  <c r="M56" i="1" s="1"/>
  <c r="J138" i="1"/>
  <c r="M138" i="1" s="1"/>
  <c r="J139" i="1"/>
  <c r="M139" i="1" s="1"/>
  <c r="J74" i="1"/>
  <c r="M74" i="1" s="1"/>
  <c r="J140" i="1"/>
  <c r="M140" i="1" s="1"/>
  <c r="J75" i="1"/>
  <c r="M75" i="1" s="1"/>
  <c r="J141" i="1"/>
  <c r="M141" i="1" s="1"/>
  <c r="I49" i="1"/>
  <c r="L49" i="1" s="1"/>
  <c r="J146" i="1"/>
  <c r="M146" i="1" s="1"/>
  <c r="I83" i="1"/>
  <c r="L83" i="1" s="1"/>
  <c r="J136" i="1"/>
  <c r="M136" i="1" s="1"/>
  <c r="I44" i="1"/>
  <c r="L44" i="1" s="1"/>
  <c r="I69" i="1"/>
  <c r="L69" i="1" s="1"/>
  <c r="I149" i="1"/>
  <c r="L149" i="1" s="1"/>
  <c r="I24" i="1"/>
  <c r="L24" i="1" s="1"/>
  <c r="J122" i="1"/>
  <c r="M122" i="1" s="1"/>
  <c r="I92" i="1"/>
  <c r="L92" i="1" s="1"/>
  <c r="J98" i="1"/>
  <c r="M98" i="1" s="1"/>
  <c r="I148" i="1"/>
  <c r="L148" i="1" s="1"/>
  <c r="J150" i="1"/>
  <c r="M150" i="1" s="1"/>
  <c r="J158" i="1"/>
  <c r="M158" i="1" s="1"/>
  <c r="J116" i="1"/>
  <c r="M116" i="1" s="1"/>
  <c r="J27" i="1"/>
  <c r="M27" i="1" s="1"/>
  <c r="J57" i="1"/>
  <c r="M57" i="1" s="1"/>
  <c r="J100" i="1"/>
  <c r="M100" i="1" s="1"/>
  <c r="J166" i="1"/>
  <c r="M166" i="1" s="1"/>
  <c r="J142" i="1"/>
  <c r="M142" i="1" s="1"/>
  <c r="I123" i="1"/>
  <c r="L123" i="1" s="1"/>
  <c r="J131" i="1"/>
  <c r="M131" i="1" s="1"/>
  <c r="J30" i="1"/>
  <c r="M30" i="1" s="1"/>
  <c r="J102" i="1"/>
  <c r="M102" i="1" s="1"/>
  <c r="I170" i="1"/>
  <c r="L170" i="1" s="1"/>
  <c r="J42" i="1"/>
  <c r="M42" i="1" s="1"/>
  <c r="J178" i="1"/>
  <c r="M178" i="1" s="1"/>
  <c r="I71" i="1"/>
  <c r="L71" i="1" s="1"/>
  <c r="I122" i="1"/>
  <c r="L122" i="1" s="1"/>
  <c r="J22" i="1"/>
  <c r="M22" i="1" s="1"/>
  <c r="I52" i="1"/>
  <c r="L52" i="1" s="1"/>
  <c r="J78" i="1"/>
  <c r="M78" i="1" s="1"/>
  <c r="J127" i="1"/>
  <c r="M127" i="1" s="1"/>
  <c r="J80" i="1"/>
  <c r="M80" i="1" s="1"/>
  <c r="I98" i="1"/>
  <c r="L98" i="1" s="1"/>
  <c r="J106" i="1"/>
  <c r="M106" i="1" s="1"/>
  <c r="J91" i="1"/>
  <c r="M91" i="1" s="1"/>
  <c r="J17" i="1"/>
  <c r="M17" i="1" s="1"/>
  <c r="J180" i="1"/>
  <c r="M180" i="1" s="1"/>
  <c r="J177" i="1"/>
  <c r="M177" i="1" s="1"/>
  <c r="J48" i="1"/>
  <c r="M48" i="1" s="1"/>
  <c r="J157" i="1"/>
  <c r="M157" i="1" s="1"/>
  <c r="I179" i="1"/>
  <c r="L179" i="1" s="1"/>
  <c r="J117" i="1"/>
  <c r="M117" i="1" s="1"/>
  <c r="J8" i="1"/>
  <c r="M8" i="1" s="1"/>
  <c r="J126" i="1"/>
  <c r="M126" i="1" s="1"/>
  <c r="J145" i="1"/>
  <c r="M145" i="1" s="1"/>
  <c r="J169" i="1"/>
  <c r="M169" i="1" s="1"/>
  <c r="I178" i="1"/>
  <c r="L178" i="1" s="1"/>
  <c r="I180" i="1"/>
  <c r="L180" i="1" s="1"/>
  <c r="I177" i="1"/>
  <c r="L177" i="1" s="1"/>
  <c r="J96" i="1"/>
  <c r="M96" i="1" s="1"/>
  <c r="J11" i="1"/>
  <c r="M11" i="1" s="1"/>
  <c r="I57" i="1"/>
  <c r="L57" i="1" s="1"/>
  <c r="J47" i="1"/>
  <c r="M47" i="1" s="1"/>
  <c r="J171" i="1"/>
  <c r="M171" i="1" s="1"/>
  <c r="J167" i="1"/>
  <c r="M167" i="1" s="1"/>
  <c r="I84" i="1"/>
  <c r="L84" i="1" s="1"/>
  <c r="J50" i="1"/>
  <c r="M50" i="1" s="1"/>
  <c r="J97" i="1"/>
  <c r="M97" i="1" s="1"/>
  <c r="J28" i="1"/>
  <c r="M28" i="1" s="1"/>
  <c r="J87" i="1"/>
  <c r="M87" i="1" s="1"/>
  <c r="I23" i="1"/>
  <c r="L23" i="1" s="1"/>
  <c r="J77" i="1"/>
  <c r="M77" i="1" s="1"/>
  <c r="J125" i="1"/>
  <c r="M125" i="1" s="1"/>
  <c r="J85" i="1"/>
  <c r="M85" i="1" s="1"/>
  <c r="I90" i="1"/>
  <c r="L90" i="1" s="1"/>
  <c r="J86" i="1"/>
  <c r="M86" i="1" s="1"/>
  <c r="J156" i="1"/>
  <c r="M156" i="1" s="1"/>
  <c r="J162" i="1"/>
  <c r="M162" i="1" s="1"/>
  <c r="J68" i="1"/>
  <c r="M68" i="1" s="1"/>
  <c r="I126" i="1"/>
  <c r="L126" i="1" s="1"/>
  <c r="I146" i="1"/>
  <c r="L146" i="1" s="1"/>
  <c r="I166" i="1"/>
  <c r="L166" i="1" s="1"/>
  <c r="I13" i="1"/>
  <c r="L13" i="1" s="1"/>
  <c r="I113" i="1"/>
  <c r="L113" i="1" s="1"/>
  <c r="I114" i="1"/>
  <c r="L114" i="1" s="1"/>
  <c r="I55" i="1"/>
  <c r="L55" i="1" s="1"/>
  <c r="I56" i="1"/>
  <c r="L56" i="1" s="1"/>
  <c r="I156" i="1"/>
  <c r="L156" i="1" s="1"/>
  <c r="I14" i="1"/>
  <c r="L14" i="1" s="1"/>
  <c r="I15" i="1"/>
  <c r="L15" i="1" s="1"/>
  <c r="I115" i="1"/>
  <c r="L115" i="1" s="1"/>
  <c r="I155" i="1"/>
  <c r="L155" i="1" s="1"/>
  <c r="I16" i="1"/>
  <c r="L16" i="1" s="1"/>
  <c r="I116" i="1"/>
  <c r="L116" i="1" s="1"/>
  <c r="I54" i="1"/>
  <c r="L54" i="1" s="1"/>
  <c r="I119" i="1"/>
  <c r="L119" i="1" s="1"/>
  <c r="I53" i="1"/>
  <c r="L53" i="1" s="1"/>
  <c r="I153" i="1"/>
  <c r="L153" i="1" s="1"/>
  <c r="I154" i="1"/>
  <c r="L154" i="1" s="1"/>
  <c r="I33" i="1"/>
  <c r="L33" i="1" s="1"/>
  <c r="I133" i="1"/>
  <c r="L133" i="1" s="1"/>
  <c r="I34" i="1"/>
  <c r="L34" i="1" s="1"/>
  <c r="I134" i="1"/>
  <c r="L134" i="1" s="1"/>
  <c r="I35" i="1"/>
  <c r="L35" i="1" s="1"/>
  <c r="I99" i="1"/>
  <c r="L99" i="1" s="1"/>
  <c r="I135" i="1"/>
  <c r="L135" i="1" s="1"/>
  <c r="I112" i="1"/>
  <c r="L112" i="1" s="1"/>
  <c r="I73" i="1"/>
  <c r="L73" i="1" s="1"/>
  <c r="I139" i="1"/>
  <c r="L139" i="1" s="1"/>
  <c r="I74" i="1"/>
  <c r="L74" i="1" s="1"/>
  <c r="I9" i="1"/>
  <c r="L9" i="1" s="1"/>
  <c r="I75" i="1"/>
  <c r="L75" i="1" s="1"/>
  <c r="I157" i="1"/>
  <c r="L157" i="1" s="1"/>
  <c r="I39" i="1"/>
  <c r="L39" i="1" s="1"/>
  <c r="I129" i="1"/>
  <c r="L129" i="1" s="1"/>
  <c r="I136" i="1"/>
  <c r="L136" i="1" s="1"/>
  <c r="I137" i="1"/>
  <c r="L137" i="1" s="1"/>
  <c r="I140" i="1"/>
  <c r="L140" i="1" s="1"/>
  <c r="I72" i="1"/>
  <c r="L72" i="1" s="1"/>
  <c r="I59" i="1"/>
  <c r="L59" i="1" s="1"/>
  <c r="I132" i="1"/>
  <c r="L132" i="1" s="1"/>
  <c r="I93" i="1"/>
  <c r="L93" i="1" s="1"/>
  <c r="I159" i="1"/>
  <c r="L159" i="1" s="1"/>
  <c r="I12" i="1"/>
  <c r="L12" i="1" s="1"/>
  <c r="I94" i="1"/>
  <c r="L94" i="1" s="1"/>
  <c r="I29" i="1"/>
  <c r="L29" i="1" s="1"/>
  <c r="I95" i="1"/>
  <c r="L95" i="1" s="1"/>
  <c r="I172" i="1"/>
  <c r="L172" i="1" s="1"/>
  <c r="I30" i="1"/>
  <c r="L30" i="1" s="1"/>
  <c r="I96" i="1"/>
  <c r="L96" i="1" s="1"/>
  <c r="I173" i="1"/>
  <c r="L173" i="1" s="1"/>
  <c r="I31" i="1"/>
  <c r="L31" i="1" s="1"/>
  <c r="I100" i="1"/>
  <c r="L100" i="1" s="1"/>
  <c r="I174" i="1"/>
  <c r="L174" i="1" s="1"/>
  <c r="I32" i="1"/>
  <c r="L32" i="1" s="1"/>
  <c r="I109" i="1"/>
  <c r="L109" i="1" s="1"/>
  <c r="I175" i="1"/>
  <c r="L175" i="1" s="1"/>
  <c r="I36" i="1"/>
  <c r="L36" i="1" s="1"/>
  <c r="I110" i="1"/>
  <c r="L110" i="1" s="1"/>
  <c r="I176" i="1"/>
  <c r="L176" i="1" s="1"/>
  <c r="I37" i="1"/>
  <c r="L37" i="1" s="1"/>
  <c r="I111" i="1"/>
  <c r="L111" i="1" s="1"/>
  <c r="I10" i="1"/>
  <c r="L10" i="1" s="1"/>
  <c r="I76" i="1"/>
  <c r="L76" i="1" s="1"/>
  <c r="I158" i="1"/>
  <c r="L158" i="1" s="1"/>
  <c r="I64" i="1"/>
  <c r="L64" i="1" s="1"/>
  <c r="I19" i="1"/>
  <c r="L19" i="1" s="1"/>
  <c r="I121" i="1"/>
  <c r="L121" i="1" s="1"/>
  <c r="J165" i="1"/>
  <c r="M165" i="1" s="1"/>
  <c r="J67" i="1"/>
  <c r="M67" i="1" s="1"/>
  <c r="I142" i="1"/>
  <c r="L142" i="1" s="1"/>
  <c r="I183" i="1"/>
  <c r="L183" i="1" s="1"/>
  <c r="J105" i="1"/>
  <c r="M105" i="1" s="1"/>
  <c r="I82" i="1"/>
  <c r="L82" i="1" s="1"/>
  <c r="I143" i="1"/>
  <c r="L143" i="1" s="1"/>
  <c r="J161" i="1"/>
  <c r="M161" i="1" s="1"/>
  <c r="J7" i="1"/>
  <c r="M7" i="1" s="1"/>
  <c r="I62" i="1"/>
  <c r="L62" i="1" s="1"/>
  <c r="I103" i="1"/>
  <c r="L103" i="1" s="1"/>
  <c r="J149" i="1"/>
  <c r="M149" i="1" s="1"/>
  <c r="J101" i="1"/>
  <c r="M101" i="1" s="1"/>
  <c r="I128" i="1"/>
  <c r="L128" i="1" s="1"/>
  <c r="I152" i="1"/>
  <c r="L152" i="1" s="1"/>
  <c r="I167" i="1"/>
  <c r="L167" i="1" s="1"/>
  <c r="J65" i="1"/>
  <c r="M65" i="1" s="1"/>
  <c r="I42" i="1"/>
  <c r="L42" i="1" s="1"/>
  <c r="I63" i="1"/>
  <c r="L63" i="1" s="1"/>
  <c r="J129" i="1"/>
  <c r="M129" i="1" s="1"/>
  <c r="J51" i="1"/>
  <c r="M51" i="1" s="1"/>
  <c r="I118" i="1"/>
  <c r="L118" i="1" s="1"/>
  <c r="J61" i="1"/>
  <c r="M61" i="1" s="1"/>
  <c r="J58" i="1"/>
  <c r="M58" i="1" s="1"/>
  <c r="I147" i="1"/>
  <c r="L147" i="1" s="1"/>
  <c r="J66" i="1"/>
  <c r="M66" i="1" s="1"/>
  <c r="I130" i="1"/>
  <c r="L130" i="1" s="1"/>
  <c r="J76" i="1"/>
  <c r="M76" i="1" s="1"/>
  <c r="H29" i="2" l="1"/>
  <c r="G30" i="2"/>
  <c r="M192" i="1"/>
  <c r="M193" i="1" s="1"/>
  <c r="M194" i="1" s="1"/>
  <c r="M195" i="1" s="1"/>
  <c r="K192" i="1"/>
  <c r="K193" i="1" s="1"/>
  <c r="K194" i="1" s="1"/>
  <c r="F199" i="1" s="1"/>
  <c r="L192" i="1"/>
  <c r="L193" i="1" s="1"/>
  <c r="L194" i="1" s="1"/>
  <c r="G199" i="1" s="1"/>
  <c r="G203" i="1" s="1"/>
  <c r="G31" i="2" l="1"/>
  <c r="H30" i="2"/>
  <c r="L195" i="1"/>
  <c r="K195" i="1"/>
  <c r="B3" i="8" l="1"/>
  <c r="B7" i="6"/>
  <c r="G32" i="2"/>
  <c r="H31" i="2"/>
  <c r="E5" i="6" l="1"/>
  <c r="E4" i="6"/>
  <c r="G24" i="8"/>
  <c r="H24" i="8" s="1"/>
  <c r="I24" i="8" s="1"/>
  <c r="J24" i="8" s="1"/>
  <c r="K24" i="8" s="1"/>
  <c r="L24" i="8" s="1"/>
  <c r="M24" i="8" s="1"/>
  <c r="N24" i="8" s="1"/>
  <c r="O24" i="8" s="1"/>
  <c r="P24" i="8" s="1"/>
  <c r="Q24" i="8" s="1"/>
  <c r="R24" i="8" s="1"/>
  <c r="S24" i="8" s="1"/>
  <c r="T24" i="8" s="1"/>
  <c r="U24" i="8" s="1"/>
  <c r="V24" i="8" s="1"/>
  <c r="W24" i="8" s="1"/>
  <c r="X24" i="8" s="1"/>
  <c r="Y24" i="8" s="1"/>
  <c r="Z24" i="8" s="1"/>
  <c r="AA24" i="8" s="1"/>
  <c r="AB24" i="8" s="1"/>
  <c r="AC24" i="8" s="1"/>
  <c r="AD24" i="8" s="1"/>
  <c r="AE24" i="8" s="1"/>
  <c r="AF24" i="8" s="1"/>
  <c r="AG24" i="8" s="1"/>
  <c r="AH24" i="8" s="1"/>
  <c r="AI24" i="8" s="1"/>
  <c r="AJ24" i="8" s="1"/>
  <c r="AK24" i="8" s="1"/>
  <c r="AL24" i="8" s="1"/>
  <c r="AM24" i="8" s="1"/>
  <c r="AN24" i="8" s="1"/>
  <c r="AO24" i="8" s="1"/>
  <c r="AP24" i="8" s="1"/>
  <c r="AQ24" i="8" s="1"/>
  <c r="AR24" i="8" s="1"/>
  <c r="AS24" i="8" s="1"/>
  <c r="AT24" i="8" s="1"/>
  <c r="AU24" i="8" s="1"/>
  <c r="AV24" i="8" s="1"/>
  <c r="AW24" i="8" s="1"/>
  <c r="AX24" i="8" s="1"/>
  <c r="AY24" i="8" s="1"/>
  <c r="AZ24" i="8" s="1"/>
  <c r="BA24" i="8" s="1"/>
  <c r="BB24" i="8" s="1"/>
  <c r="BC24" i="8" s="1"/>
  <c r="BD24" i="8" s="1"/>
  <c r="BE24" i="8" s="1"/>
  <c r="BF24" i="8" s="1"/>
  <c r="BG24" i="8" s="1"/>
  <c r="BH24" i="8" s="1"/>
  <c r="BI24" i="8" s="1"/>
  <c r="BJ24" i="8" s="1"/>
  <c r="BK24" i="8" s="1"/>
  <c r="BL24" i="8" s="1"/>
  <c r="BM24" i="8" s="1"/>
  <c r="BN24" i="8" s="1"/>
  <c r="BO24" i="8" s="1"/>
  <c r="G81" i="8"/>
  <c r="H81" i="8" s="1"/>
  <c r="I81" i="8" s="1"/>
  <c r="J81" i="8" s="1"/>
  <c r="K81" i="8" s="1"/>
  <c r="L81" i="8" s="1"/>
  <c r="M81" i="8" s="1"/>
  <c r="N81" i="8" s="1"/>
  <c r="O81" i="8" s="1"/>
  <c r="P81" i="8" s="1"/>
  <c r="Q81" i="8" s="1"/>
  <c r="R81" i="8" s="1"/>
  <c r="S81" i="8" s="1"/>
  <c r="T81" i="8" s="1"/>
  <c r="U81" i="8" s="1"/>
  <c r="V81" i="8" s="1"/>
  <c r="W81" i="8" s="1"/>
  <c r="X81" i="8" s="1"/>
  <c r="Y81" i="8" s="1"/>
  <c r="Z81" i="8" s="1"/>
  <c r="AA81" i="8" s="1"/>
  <c r="AB81" i="8" s="1"/>
  <c r="AC81" i="8" s="1"/>
  <c r="AD81" i="8" s="1"/>
  <c r="AE81" i="8" s="1"/>
  <c r="AF81" i="8" s="1"/>
  <c r="AG81" i="8" s="1"/>
  <c r="AH81" i="8" s="1"/>
  <c r="AI81" i="8" s="1"/>
  <c r="AJ81" i="8" s="1"/>
  <c r="AK81" i="8" s="1"/>
  <c r="AL81" i="8" s="1"/>
  <c r="AM81" i="8" s="1"/>
  <c r="AN81" i="8" s="1"/>
  <c r="AO81" i="8" s="1"/>
  <c r="AP81" i="8" s="1"/>
  <c r="AQ81" i="8" s="1"/>
  <c r="AR81" i="8" s="1"/>
  <c r="AS81" i="8" s="1"/>
  <c r="AT81" i="8" s="1"/>
  <c r="AU81" i="8" s="1"/>
  <c r="AV81" i="8" s="1"/>
  <c r="AW81" i="8" s="1"/>
  <c r="AX81" i="8" s="1"/>
  <c r="AY81" i="8" s="1"/>
  <c r="AZ81" i="8" s="1"/>
  <c r="BA81" i="8" s="1"/>
  <c r="BB81" i="8" s="1"/>
  <c r="BC81" i="8" s="1"/>
  <c r="BD81" i="8" s="1"/>
  <c r="BE81" i="8" s="1"/>
  <c r="BF81" i="8" s="1"/>
  <c r="BG81" i="8" s="1"/>
  <c r="BH81" i="8" s="1"/>
  <c r="BI81" i="8" s="1"/>
  <c r="BJ81" i="8" s="1"/>
  <c r="BK81" i="8" s="1"/>
  <c r="BL81" i="8" s="1"/>
  <c r="BM81" i="8" s="1"/>
  <c r="BN81" i="8" s="1"/>
  <c r="BO81" i="8" s="1"/>
  <c r="G97" i="8"/>
  <c r="H97" i="8" s="1"/>
  <c r="I97" i="8" s="1"/>
  <c r="J97" i="8" s="1"/>
  <c r="K97" i="8" s="1"/>
  <c r="L97" i="8" s="1"/>
  <c r="M97" i="8" s="1"/>
  <c r="N97" i="8" s="1"/>
  <c r="O97" i="8" s="1"/>
  <c r="P97" i="8" s="1"/>
  <c r="Q97" i="8" s="1"/>
  <c r="R97" i="8" s="1"/>
  <c r="S97" i="8" s="1"/>
  <c r="T97" i="8" s="1"/>
  <c r="U97" i="8" s="1"/>
  <c r="V97" i="8" s="1"/>
  <c r="W97" i="8" s="1"/>
  <c r="X97" i="8" s="1"/>
  <c r="Y97" i="8" s="1"/>
  <c r="Z97" i="8" s="1"/>
  <c r="AA97" i="8" s="1"/>
  <c r="AB97" i="8" s="1"/>
  <c r="AC97" i="8" s="1"/>
  <c r="AD97" i="8" s="1"/>
  <c r="AE97" i="8" s="1"/>
  <c r="AF97" i="8" s="1"/>
  <c r="AG97" i="8" s="1"/>
  <c r="AH97" i="8" s="1"/>
  <c r="AI97" i="8" s="1"/>
  <c r="AJ97" i="8" s="1"/>
  <c r="AK97" i="8" s="1"/>
  <c r="AL97" i="8" s="1"/>
  <c r="AM97" i="8" s="1"/>
  <c r="AN97" i="8" s="1"/>
  <c r="AO97" i="8" s="1"/>
  <c r="AP97" i="8" s="1"/>
  <c r="AQ97" i="8" s="1"/>
  <c r="AR97" i="8" s="1"/>
  <c r="AS97" i="8" s="1"/>
  <c r="AT97" i="8" s="1"/>
  <c r="AU97" i="8" s="1"/>
  <c r="AV97" i="8" s="1"/>
  <c r="AW97" i="8" s="1"/>
  <c r="AX97" i="8" s="1"/>
  <c r="AY97" i="8" s="1"/>
  <c r="AZ97" i="8" s="1"/>
  <c r="BA97" i="8" s="1"/>
  <c r="BB97" i="8" s="1"/>
  <c r="BC97" i="8" s="1"/>
  <c r="BD97" i="8" s="1"/>
  <c r="BE97" i="8" s="1"/>
  <c r="BF97" i="8" s="1"/>
  <c r="BG97" i="8" s="1"/>
  <c r="BH97" i="8" s="1"/>
  <c r="BI97" i="8" s="1"/>
  <c r="BJ97" i="8" s="1"/>
  <c r="BK97" i="8" s="1"/>
  <c r="BL97" i="8" s="1"/>
  <c r="BM97" i="8" s="1"/>
  <c r="BN97" i="8" s="1"/>
  <c r="BO97" i="8" s="1"/>
  <c r="G90" i="8"/>
  <c r="H90" i="8" s="1"/>
  <c r="I90" i="8" s="1"/>
  <c r="J90" i="8" s="1"/>
  <c r="K90" i="8" s="1"/>
  <c r="L90" i="8" s="1"/>
  <c r="M90" i="8" s="1"/>
  <c r="N90" i="8" s="1"/>
  <c r="O90" i="8" s="1"/>
  <c r="P90" i="8" s="1"/>
  <c r="Q90" i="8" s="1"/>
  <c r="R90" i="8" s="1"/>
  <c r="S90" i="8" s="1"/>
  <c r="T90" i="8" s="1"/>
  <c r="U90" i="8" s="1"/>
  <c r="V90" i="8" s="1"/>
  <c r="W90" i="8" s="1"/>
  <c r="X90" i="8" s="1"/>
  <c r="Y90" i="8" s="1"/>
  <c r="Z90" i="8" s="1"/>
  <c r="AA90" i="8" s="1"/>
  <c r="AB90" i="8" s="1"/>
  <c r="AC90" i="8" s="1"/>
  <c r="AD90" i="8" s="1"/>
  <c r="AE90" i="8" s="1"/>
  <c r="AF90" i="8" s="1"/>
  <c r="AG90" i="8" s="1"/>
  <c r="AH90" i="8" s="1"/>
  <c r="AI90" i="8" s="1"/>
  <c r="AJ90" i="8" s="1"/>
  <c r="AK90" i="8" s="1"/>
  <c r="AL90" i="8" s="1"/>
  <c r="AM90" i="8" s="1"/>
  <c r="AN90" i="8" s="1"/>
  <c r="AO90" i="8" s="1"/>
  <c r="AP90" i="8" s="1"/>
  <c r="AQ90" i="8" s="1"/>
  <c r="AR90" i="8" s="1"/>
  <c r="AS90" i="8" s="1"/>
  <c r="AT90" i="8" s="1"/>
  <c r="AU90" i="8" s="1"/>
  <c r="AV90" i="8" s="1"/>
  <c r="AW90" i="8" s="1"/>
  <c r="AX90" i="8" s="1"/>
  <c r="AY90" i="8" s="1"/>
  <c r="AZ90" i="8" s="1"/>
  <c r="BA90" i="8" s="1"/>
  <c r="BB90" i="8" s="1"/>
  <c r="BC90" i="8" s="1"/>
  <c r="BD90" i="8" s="1"/>
  <c r="BE90" i="8" s="1"/>
  <c r="BF90" i="8" s="1"/>
  <c r="BG90" i="8" s="1"/>
  <c r="BH90" i="8" s="1"/>
  <c r="BI90" i="8" s="1"/>
  <c r="BJ90" i="8" s="1"/>
  <c r="BK90" i="8" s="1"/>
  <c r="BL90" i="8" s="1"/>
  <c r="BM90" i="8" s="1"/>
  <c r="BN90" i="8" s="1"/>
  <c r="BO90" i="8" s="1"/>
  <c r="G96" i="8"/>
  <c r="H96" i="8" s="1"/>
  <c r="I96" i="8" s="1"/>
  <c r="J96" i="8" s="1"/>
  <c r="K96" i="8" s="1"/>
  <c r="L96" i="8" s="1"/>
  <c r="M96" i="8" s="1"/>
  <c r="N96" i="8" s="1"/>
  <c r="O96" i="8" s="1"/>
  <c r="P96" i="8" s="1"/>
  <c r="Q96" i="8" s="1"/>
  <c r="R96" i="8" s="1"/>
  <c r="S96" i="8" s="1"/>
  <c r="T96" i="8" s="1"/>
  <c r="U96" i="8" s="1"/>
  <c r="V96" i="8" s="1"/>
  <c r="W96" i="8" s="1"/>
  <c r="X96" i="8" s="1"/>
  <c r="Y96" i="8" s="1"/>
  <c r="Z96" i="8" s="1"/>
  <c r="AA96" i="8" s="1"/>
  <c r="AB96" i="8" s="1"/>
  <c r="AC96" i="8" s="1"/>
  <c r="AD96" i="8" s="1"/>
  <c r="AE96" i="8" s="1"/>
  <c r="AF96" i="8" s="1"/>
  <c r="AG96" i="8" s="1"/>
  <c r="AH96" i="8" s="1"/>
  <c r="AI96" i="8" s="1"/>
  <c r="AJ96" i="8" s="1"/>
  <c r="AK96" i="8" s="1"/>
  <c r="AL96" i="8" s="1"/>
  <c r="AM96" i="8" s="1"/>
  <c r="AN96" i="8" s="1"/>
  <c r="AO96" i="8" s="1"/>
  <c r="AP96" i="8" s="1"/>
  <c r="AQ96" i="8" s="1"/>
  <c r="AR96" i="8" s="1"/>
  <c r="AS96" i="8" s="1"/>
  <c r="AT96" i="8" s="1"/>
  <c r="AU96" i="8" s="1"/>
  <c r="AV96" i="8" s="1"/>
  <c r="AW96" i="8" s="1"/>
  <c r="AX96" i="8" s="1"/>
  <c r="AY96" i="8" s="1"/>
  <c r="AZ96" i="8" s="1"/>
  <c r="BA96" i="8" s="1"/>
  <c r="BB96" i="8" s="1"/>
  <c r="BC96" i="8" s="1"/>
  <c r="BD96" i="8" s="1"/>
  <c r="BE96" i="8" s="1"/>
  <c r="BF96" i="8" s="1"/>
  <c r="BG96" i="8" s="1"/>
  <c r="BH96" i="8" s="1"/>
  <c r="BI96" i="8" s="1"/>
  <c r="BJ96" i="8" s="1"/>
  <c r="BK96" i="8" s="1"/>
  <c r="BL96" i="8" s="1"/>
  <c r="BM96" i="8" s="1"/>
  <c r="BN96" i="8" s="1"/>
  <c r="BO96" i="8" s="1"/>
  <c r="G39" i="8"/>
  <c r="H39" i="8" s="1"/>
  <c r="I39" i="8" s="1"/>
  <c r="J39" i="8" s="1"/>
  <c r="K39" i="8" s="1"/>
  <c r="L39" i="8" s="1"/>
  <c r="M39" i="8" s="1"/>
  <c r="N39" i="8" s="1"/>
  <c r="O39" i="8" s="1"/>
  <c r="P39" i="8" s="1"/>
  <c r="Q39" i="8" s="1"/>
  <c r="R39" i="8" s="1"/>
  <c r="S39" i="8" s="1"/>
  <c r="T39" i="8" s="1"/>
  <c r="U39" i="8" s="1"/>
  <c r="V39" i="8" s="1"/>
  <c r="W39" i="8" s="1"/>
  <c r="X39" i="8" s="1"/>
  <c r="Y39" i="8" s="1"/>
  <c r="Z39" i="8" s="1"/>
  <c r="AA39" i="8" s="1"/>
  <c r="AB39" i="8" s="1"/>
  <c r="AC39" i="8" s="1"/>
  <c r="AD39" i="8" s="1"/>
  <c r="AE39" i="8" s="1"/>
  <c r="AF39" i="8" s="1"/>
  <c r="AG39" i="8" s="1"/>
  <c r="AH39" i="8" s="1"/>
  <c r="AI39" i="8" s="1"/>
  <c r="AJ39" i="8" s="1"/>
  <c r="AK39" i="8" s="1"/>
  <c r="AL39" i="8" s="1"/>
  <c r="AM39" i="8" s="1"/>
  <c r="AN39" i="8" s="1"/>
  <c r="AO39" i="8" s="1"/>
  <c r="AP39" i="8" s="1"/>
  <c r="AQ39" i="8" s="1"/>
  <c r="AR39" i="8" s="1"/>
  <c r="AS39" i="8" s="1"/>
  <c r="AT39" i="8" s="1"/>
  <c r="AU39" i="8" s="1"/>
  <c r="AV39" i="8" s="1"/>
  <c r="AW39" i="8" s="1"/>
  <c r="AX39" i="8" s="1"/>
  <c r="AY39" i="8" s="1"/>
  <c r="AZ39" i="8" s="1"/>
  <c r="BA39" i="8" s="1"/>
  <c r="BB39" i="8" s="1"/>
  <c r="BC39" i="8" s="1"/>
  <c r="BD39" i="8" s="1"/>
  <c r="BE39" i="8" s="1"/>
  <c r="BF39" i="8" s="1"/>
  <c r="BG39" i="8" s="1"/>
  <c r="BH39" i="8" s="1"/>
  <c r="BI39" i="8" s="1"/>
  <c r="BJ39" i="8" s="1"/>
  <c r="BK39" i="8" s="1"/>
  <c r="BL39" i="8" s="1"/>
  <c r="BM39" i="8" s="1"/>
  <c r="BN39" i="8" s="1"/>
  <c r="BO39" i="8" s="1"/>
  <c r="G26" i="8"/>
  <c r="H26" i="8" s="1"/>
  <c r="I26" i="8" s="1"/>
  <c r="J26" i="8" s="1"/>
  <c r="K26" i="8" s="1"/>
  <c r="L26" i="8" s="1"/>
  <c r="M26" i="8" s="1"/>
  <c r="N26" i="8" s="1"/>
  <c r="O26" i="8" s="1"/>
  <c r="P26" i="8" s="1"/>
  <c r="Q26" i="8" s="1"/>
  <c r="R26" i="8" s="1"/>
  <c r="S26" i="8" s="1"/>
  <c r="T26" i="8" s="1"/>
  <c r="U26" i="8" s="1"/>
  <c r="V26" i="8" s="1"/>
  <c r="W26" i="8" s="1"/>
  <c r="X26" i="8" s="1"/>
  <c r="Y26" i="8" s="1"/>
  <c r="Z26" i="8" s="1"/>
  <c r="AA26" i="8" s="1"/>
  <c r="AB26" i="8" s="1"/>
  <c r="AC26" i="8" s="1"/>
  <c r="AD26" i="8" s="1"/>
  <c r="AE26" i="8" s="1"/>
  <c r="AF26" i="8" s="1"/>
  <c r="AG26" i="8" s="1"/>
  <c r="AH26" i="8" s="1"/>
  <c r="AI26" i="8" s="1"/>
  <c r="AJ26" i="8" s="1"/>
  <c r="AK26" i="8" s="1"/>
  <c r="AL26" i="8" s="1"/>
  <c r="AM26" i="8" s="1"/>
  <c r="AN26" i="8" s="1"/>
  <c r="AO26" i="8" s="1"/>
  <c r="AP26" i="8" s="1"/>
  <c r="AQ26" i="8" s="1"/>
  <c r="AR26" i="8" s="1"/>
  <c r="AS26" i="8" s="1"/>
  <c r="AT26" i="8" s="1"/>
  <c r="AU26" i="8" s="1"/>
  <c r="AV26" i="8" s="1"/>
  <c r="AW26" i="8" s="1"/>
  <c r="AX26" i="8" s="1"/>
  <c r="AY26" i="8" s="1"/>
  <c r="AZ26" i="8" s="1"/>
  <c r="BA26" i="8" s="1"/>
  <c r="BB26" i="8" s="1"/>
  <c r="BC26" i="8" s="1"/>
  <c r="BD26" i="8" s="1"/>
  <c r="BE26" i="8" s="1"/>
  <c r="BF26" i="8" s="1"/>
  <c r="BG26" i="8" s="1"/>
  <c r="BH26" i="8" s="1"/>
  <c r="BI26" i="8" s="1"/>
  <c r="BJ26" i="8" s="1"/>
  <c r="BK26" i="8" s="1"/>
  <c r="BL26" i="8" s="1"/>
  <c r="BM26" i="8" s="1"/>
  <c r="BN26" i="8" s="1"/>
  <c r="BO26" i="8" s="1"/>
  <c r="G19" i="8"/>
  <c r="H19" i="8" s="1"/>
  <c r="I19" i="8" s="1"/>
  <c r="J19" i="8" s="1"/>
  <c r="K19" i="8" s="1"/>
  <c r="L19" i="8" s="1"/>
  <c r="M19" i="8" s="1"/>
  <c r="N19" i="8" s="1"/>
  <c r="O19" i="8" s="1"/>
  <c r="P19" i="8" s="1"/>
  <c r="Q19" i="8" s="1"/>
  <c r="R19" i="8" s="1"/>
  <c r="S19" i="8" s="1"/>
  <c r="T19" i="8" s="1"/>
  <c r="U19" i="8" s="1"/>
  <c r="V19" i="8" s="1"/>
  <c r="W19" i="8" s="1"/>
  <c r="X19" i="8" s="1"/>
  <c r="Y19" i="8" s="1"/>
  <c r="Z19" i="8" s="1"/>
  <c r="AA19" i="8" s="1"/>
  <c r="AB19" i="8" s="1"/>
  <c r="AC19" i="8" s="1"/>
  <c r="AD19" i="8" s="1"/>
  <c r="AE19" i="8" s="1"/>
  <c r="AF19" i="8" s="1"/>
  <c r="AG19" i="8" s="1"/>
  <c r="AH19" i="8" s="1"/>
  <c r="AI19" i="8" s="1"/>
  <c r="AJ19" i="8" s="1"/>
  <c r="AK19" i="8" s="1"/>
  <c r="AL19" i="8" s="1"/>
  <c r="AM19" i="8" s="1"/>
  <c r="AN19" i="8" s="1"/>
  <c r="AO19" i="8" s="1"/>
  <c r="AP19" i="8" s="1"/>
  <c r="AQ19" i="8" s="1"/>
  <c r="AR19" i="8" s="1"/>
  <c r="AS19" i="8" s="1"/>
  <c r="AT19" i="8" s="1"/>
  <c r="AU19" i="8" s="1"/>
  <c r="AV19" i="8" s="1"/>
  <c r="AW19" i="8" s="1"/>
  <c r="AX19" i="8" s="1"/>
  <c r="AY19" i="8" s="1"/>
  <c r="AZ19" i="8" s="1"/>
  <c r="BA19" i="8" s="1"/>
  <c r="BB19" i="8" s="1"/>
  <c r="BC19" i="8" s="1"/>
  <c r="BD19" i="8" s="1"/>
  <c r="BE19" i="8" s="1"/>
  <c r="BF19" i="8" s="1"/>
  <c r="BG19" i="8" s="1"/>
  <c r="BH19" i="8" s="1"/>
  <c r="BI19" i="8" s="1"/>
  <c r="BJ19" i="8" s="1"/>
  <c r="BK19" i="8" s="1"/>
  <c r="BL19" i="8" s="1"/>
  <c r="BM19" i="8" s="1"/>
  <c r="BN19" i="8" s="1"/>
  <c r="BO19" i="8" s="1"/>
  <c r="G20" i="8"/>
  <c r="H20" i="8" s="1"/>
  <c r="I20" i="8" s="1"/>
  <c r="J20" i="8" s="1"/>
  <c r="K20" i="8" s="1"/>
  <c r="L20" i="8" s="1"/>
  <c r="M20" i="8" s="1"/>
  <c r="N20" i="8" s="1"/>
  <c r="O20" i="8" s="1"/>
  <c r="P20" i="8" s="1"/>
  <c r="Q20" i="8" s="1"/>
  <c r="R20" i="8" s="1"/>
  <c r="S20" i="8" s="1"/>
  <c r="T20" i="8" s="1"/>
  <c r="U20" i="8" s="1"/>
  <c r="V20" i="8" s="1"/>
  <c r="W20" i="8" s="1"/>
  <c r="X20" i="8" s="1"/>
  <c r="Y20" i="8" s="1"/>
  <c r="Z20" i="8" s="1"/>
  <c r="AA20" i="8" s="1"/>
  <c r="AB20" i="8" s="1"/>
  <c r="AC20" i="8" s="1"/>
  <c r="AD20" i="8" s="1"/>
  <c r="AE20" i="8" s="1"/>
  <c r="AF20" i="8" s="1"/>
  <c r="AG20" i="8" s="1"/>
  <c r="AH20" i="8" s="1"/>
  <c r="AI20" i="8" s="1"/>
  <c r="AJ20" i="8" s="1"/>
  <c r="AK20" i="8" s="1"/>
  <c r="AL20" i="8" s="1"/>
  <c r="AM20" i="8" s="1"/>
  <c r="AN20" i="8" s="1"/>
  <c r="AO20" i="8" s="1"/>
  <c r="AP20" i="8" s="1"/>
  <c r="AQ20" i="8" s="1"/>
  <c r="AR20" i="8" s="1"/>
  <c r="AS20" i="8" s="1"/>
  <c r="AT20" i="8" s="1"/>
  <c r="AU20" i="8" s="1"/>
  <c r="AV20" i="8" s="1"/>
  <c r="AW20" i="8" s="1"/>
  <c r="AX20" i="8" s="1"/>
  <c r="AY20" i="8" s="1"/>
  <c r="AZ20" i="8" s="1"/>
  <c r="BA20" i="8" s="1"/>
  <c r="BB20" i="8" s="1"/>
  <c r="BC20" i="8" s="1"/>
  <c r="BD20" i="8" s="1"/>
  <c r="BE20" i="8" s="1"/>
  <c r="BF20" i="8" s="1"/>
  <c r="BG20" i="8" s="1"/>
  <c r="BH20" i="8" s="1"/>
  <c r="BI20" i="8" s="1"/>
  <c r="BJ20" i="8" s="1"/>
  <c r="BK20" i="8" s="1"/>
  <c r="BL20" i="8" s="1"/>
  <c r="BM20" i="8" s="1"/>
  <c r="BN20" i="8" s="1"/>
  <c r="BO20" i="8" s="1"/>
  <c r="G77" i="8"/>
  <c r="H77" i="8" s="1"/>
  <c r="I77" i="8" s="1"/>
  <c r="J77" i="8" s="1"/>
  <c r="K77" i="8" s="1"/>
  <c r="L77" i="8" s="1"/>
  <c r="M77" i="8" s="1"/>
  <c r="N77" i="8" s="1"/>
  <c r="O77" i="8" s="1"/>
  <c r="P77" i="8" s="1"/>
  <c r="Q77" i="8" s="1"/>
  <c r="R77" i="8" s="1"/>
  <c r="S77" i="8" s="1"/>
  <c r="T77" i="8" s="1"/>
  <c r="U77" i="8" s="1"/>
  <c r="V77" i="8" s="1"/>
  <c r="W77" i="8" s="1"/>
  <c r="X77" i="8" s="1"/>
  <c r="Y77" i="8" s="1"/>
  <c r="Z77" i="8" s="1"/>
  <c r="AA77" i="8" s="1"/>
  <c r="AB77" i="8" s="1"/>
  <c r="AC77" i="8" s="1"/>
  <c r="AD77" i="8" s="1"/>
  <c r="AE77" i="8" s="1"/>
  <c r="AF77" i="8" s="1"/>
  <c r="AG77" i="8" s="1"/>
  <c r="AH77" i="8" s="1"/>
  <c r="AI77" i="8" s="1"/>
  <c r="AJ77" i="8" s="1"/>
  <c r="AK77" i="8" s="1"/>
  <c r="AL77" i="8" s="1"/>
  <c r="AM77" i="8" s="1"/>
  <c r="AN77" i="8" s="1"/>
  <c r="AO77" i="8" s="1"/>
  <c r="AP77" i="8" s="1"/>
  <c r="AQ77" i="8" s="1"/>
  <c r="AR77" i="8" s="1"/>
  <c r="AS77" i="8" s="1"/>
  <c r="AT77" i="8" s="1"/>
  <c r="AU77" i="8" s="1"/>
  <c r="AV77" i="8" s="1"/>
  <c r="AW77" i="8" s="1"/>
  <c r="AX77" i="8" s="1"/>
  <c r="AY77" i="8" s="1"/>
  <c r="AZ77" i="8" s="1"/>
  <c r="BA77" i="8" s="1"/>
  <c r="BB77" i="8" s="1"/>
  <c r="BC77" i="8" s="1"/>
  <c r="BD77" i="8" s="1"/>
  <c r="BE77" i="8" s="1"/>
  <c r="BF77" i="8" s="1"/>
  <c r="BG77" i="8" s="1"/>
  <c r="BH77" i="8" s="1"/>
  <c r="BI77" i="8" s="1"/>
  <c r="BJ77" i="8" s="1"/>
  <c r="BK77" i="8" s="1"/>
  <c r="BL77" i="8" s="1"/>
  <c r="BM77" i="8" s="1"/>
  <c r="BN77" i="8" s="1"/>
  <c r="BO77" i="8" s="1"/>
  <c r="G64" i="8"/>
  <c r="H64" i="8" s="1"/>
  <c r="I64" i="8" s="1"/>
  <c r="J64" i="8" s="1"/>
  <c r="K64" i="8" s="1"/>
  <c r="L64" i="8" s="1"/>
  <c r="M64" i="8" s="1"/>
  <c r="N64" i="8" s="1"/>
  <c r="O64" i="8" s="1"/>
  <c r="P64" i="8" s="1"/>
  <c r="Q64" i="8" s="1"/>
  <c r="R64" i="8" s="1"/>
  <c r="S64" i="8" s="1"/>
  <c r="T64" i="8" s="1"/>
  <c r="U64" i="8" s="1"/>
  <c r="V64" i="8" s="1"/>
  <c r="W64" i="8" s="1"/>
  <c r="X64" i="8" s="1"/>
  <c r="Y64" i="8" s="1"/>
  <c r="Z64" i="8" s="1"/>
  <c r="AA64" i="8" s="1"/>
  <c r="AB64" i="8" s="1"/>
  <c r="AC64" i="8" s="1"/>
  <c r="AD64" i="8" s="1"/>
  <c r="AE64" i="8" s="1"/>
  <c r="AF64" i="8" s="1"/>
  <c r="AG64" i="8" s="1"/>
  <c r="AH64" i="8" s="1"/>
  <c r="AI64" i="8" s="1"/>
  <c r="AJ64" i="8" s="1"/>
  <c r="AK64" i="8" s="1"/>
  <c r="AL64" i="8" s="1"/>
  <c r="AM64" i="8" s="1"/>
  <c r="AN64" i="8" s="1"/>
  <c r="AO64" i="8" s="1"/>
  <c r="AP64" i="8" s="1"/>
  <c r="AQ64" i="8" s="1"/>
  <c r="AR64" i="8" s="1"/>
  <c r="AS64" i="8" s="1"/>
  <c r="AT64" i="8" s="1"/>
  <c r="AU64" i="8" s="1"/>
  <c r="AV64" i="8" s="1"/>
  <c r="AW64" i="8" s="1"/>
  <c r="AX64" i="8" s="1"/>
  <c r="AY64" i="8" s="1"/>
  <c r="AZ64" i="8" s="1"/>
  <c r="BA64" i="8" s="1"/>
  <c r="BB64" i="8" s="1"/>
  <c r="BC64" i="8" s="1"/>
  <c r="BD64" i="8" s="1"/>
  <c r="BE64" i="8" s="1"/>
  <c r="BF64" i="8" s="1"/>
  <c r="BG64" i="8" s="1"/>
  <c r="BH64" i="8" s="1"/>
  <c r="BI64" i="8" s="1"/>
  <c r="BJ64" i="8" s="1"/>
  <c r="BK64" i="8" s="1"/>
  <c r="BL64" i="8" s="1"/>
  <c r="BM64" i="8" s="1"/>
  <c r="BN64" i="8" s="1"/>
  <c r="BO64" i="8" s="1"/>
  <c r="G75" i="8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AN75" i="8" s="1"/>
  <c r="AO75" i="8" s="1"/>
  <c r="AP75" i="8" s="1"/>
  <c r="AQ75" i="8" s="1"/>
  <c r="AR75" i="8" s="1"/>
  <c r="AS75" i="8" s="1"/>
  <c r="AT75" i="8" s="1"/>
  <c r="AU75" i="8" s="1"/>
  <c r="AV75" i="8" s="1"/>
  <c r="AW75" i="8" s="1"/>
  <c r="AX75" i="8" s="1"/>
  <c r="AY75" i="8" s="1"/>
  <c r="AZ75" i="8" s="1"/>
  <c r="BA75" i="8" s="1"/>
  <c r="BB75" i="8" s="1"/>
  <c r="BC75" i="8" s="1"/>
  <c r="BD75" i="8" s="1"/>
  <c r="BE75" i="8" s="1"/>
  <c r="BF75" i="8" s="1"/>
  <c r="BG75" i="8" s="1"/>
  <c r="BH75" i="8" s="1"/>
  <c r="BI75" i="8" s="1"/>
  <c r="BJ75" i="8" s="1"/>
  <c r="BK75" i="8" s="1"/>
  <c r="BL75" i="8" s="1"/>
  <c r="BM75" i="8" s="1"/>
  <c r="BN75" i="8" s="1"/>
  <c r="BO75" i="8" s="1"/>
  <c r="G43" i="8"/>
  <c r="H43" i="8" s="1"/>
  <c r="I43" i="8" s="1"/>
  <c r="J43" i="8" s="1"/>
  <c r="K43" i="8" s="1"/>
  <c r="L43" i="8" s="1"/>
  <c r="M43" i="8" s="1"/>
  <c r="N43" i="8" s="1"/>
  <c r="O43" i="8" s="1"/>
  <c r="P43" i="8" s="1"/>
  <c r="Q43" i="8" s="1"/>
  <c r="R43" i="8" s="1"/>
  <c r="S43" i="8" s="1"/>
  <c r="T43" i="8" s="1"/>
  <c r="U43" i="8" s="1"/>
  <c r="V43" i="8" s="1"/>
  <c r="W43" i="8" s="1"/>
  <c r="X43" i="8" s="1"/>
  <c r="Y43" i="8" s="1"/>
  <c r="Z43" i="8" s="1"/>
  <c r="AA43" i="8" s="1"/>
  <c r="AB43" i="8" s="1"/>
  <c r="AC43" i="8" s="1"/>
  <c r="AD43" i="8" s="1"/>
  <c r="AE43" i="8" s="1"/>
  <c r="AF43" i="8" s="1"/>
  <c r="AG43" i="8" s="1"/>
  <c r="AH43" i="8" s="1"/>
  <c r="AI43" i="8" s="1"/>
  <c r="AJ43" i="8" s="1"/>
  <c r="AK43" i="8" s="1"/>
  <c r="AL43" i="8" s="1"/>
  <c r="AM43" i="8" s="1"/>
  <c r="AN43" i="8" s="1"/>
  <c r="AO43" i="8" s="1"/>
  <c r="AP43" i="8" s="1"/>
  <c r="AQ43" i="8" s="1"/>
  <c r="AR43" i="8" s="1"/>
  <c r="AS43" i="8" s="1"/>
  <c r="AT43" i="8" s="1"/>
  <c r="AU43" i="8" s="1"/>
  <c r="AV43" i="8" s="1"/>
  <c r="AW43" i="8" s="1"/>
  <c r="AX43" i="8" s="1"/>
  <c r="AY43" i="8" s="1"/>
  <c r="AZ43" i="8" s="1"/>
  <c r="BA43" i="8" s="1"/>
  <c r="BB43" i="8" s="1"/>
  <c r="BC43" i="8" s="1"/>
  <c r="BD43" i="8" s="1"/>
  <c r="BE43" i="8" s="1"/>
  <c r="BF43" i="8" s="1"/>
  <c r="BG43" i="8" s="1"/>
  <c r="BH43" i="8" s="1"/>
  <c r="BI43" i="8" s="1"/>
  <c r="BJ43" i="8" s="1"/>
  <c r="BK43" i="8" s="1"/>
  <c r="BL43" i="8" s="1"/>
  <c r="BM43" i="8" s="1"/>
  <c r="BN43" i="8" s="1"/>
  <c r="BO43" i="8" s="1"/>
  <c r="G84" i="8"/>
  <c r="H84" i="8" s="1"/>
  <c r="I84" i="8" s="1"/>
  <c r="J84" i="8" s="1"/>
  <c r="K84" i="8" s="1"/>
  <c r="L84" i="8" s="1"/>
  <c r="M84" i="8" s="1"/>
  <c r="N84" i="8" s="1"/>
  <c r="O84" i="8" s="1"/>
  <c r="P84" i="8" s="1"/>
  <c r="Q84" i="8" s="1"/>
  <c r="R84" i="8" s="1"/>
  <c r="S84" i="8" s="1"/>
  <c r="T84" i="8" s="1"/>
  <c r="U84" i="8" s="1"/>
  <c r="V84" i="8" s="1"/>
  <c r="W84" i="8" s="1"/>
  <c r="X84" i="8" s="1"/>
  <c r="Y84" i="8" s="1"/>
  <c r="Z84" i="8" s="1"/>
  <c r="AA84" i="8" s="1"/>
  <c r="AB84" i="8" s="1"/>
  <c r="AC84" i="8" s="1"/>
  <c r="AD84" i="8" s="1"/>
  <c r="AE84" i="8" s="1"/>
  <c r="AF84" i="8" s="1"/>
  <c r="AG84" i="8" s="1"/>
  <c r="AH84" i="8" s="1"/>
  <c r="AI84" i="8" s="1"/>
  <c r="AJ84" i="8" s="1"/>
  <c r="AK84" i="8" s="1"/>
  <c r="AL84" i="8" s="1"/>
  <c r="AM84" i="8" s="1"/>
  <c r="AN84" i="8" s="1"/>
  <c r="AO84" i="8" s="1"/>
  <c r="AP84" i="8" s="1"/>
  <c r="AQ84" i="8" s="1"/>
  <c r="AR84" i="8" s="1"/>
  <c r="AS84" i="8" s="1"/>
  <c r="AT84" i="8" s="1"/>
  <c r="AU84" i="8" s="1"/>
  <c r="AV84" i="8" s="1"/>
  <c r="AW84" i="8" s="1"/>
  <c r="AX84" i="8" s="1"/>
  <c r="AY84" i="8" s="1"/>
  <c r="AZ84" i="8" s="1"/>
  <c r="BA84" i="8" s="1"/>
  <c r="BB84" i="8" s="1"/>
  <c r="BC84" i="8" s="1"/>
  <c r="BD84" i="8" s="1"/>
  <c r="BE84" i="8" s="1"/>
  <c r="BF84" i="8" s="1"/>
  <c r="BG84" i="8" s="1"/>
  <c r="BH84" i="8" s="1"/>
  <c r="BI84" i="8" s="1"/>
  <c r="BJ84" i="8" s="1"/>
  <c r="BK84" i="8" s="1"/>
  <c r="BL84" i="8" s="1"/>
  <c r="BM84" i="8" s="1"/>
  <c r="BN84" i="8" s="1"/>
  <c r="BO84" i="8" s="1"/>
  <c r="G44" i="8"/>
  <c r="H44" i="8" s="1"/>
  <c r="I44" i="8" s="1"/>
  <c r="J44" i="8" s="1"/>
  <c r="K44" i="8" s="1"/>
  <c r="L44" i="8" s="1"/>
  <c r="M44" i="8" s="1"/>
  <c r="N44" i="8" s="1"/>
  <c r="O44" i="8" s="1"/>
  <c r="P44" i="8" s="1"/>
  <c r="Q44" i="8" s="1"/>
  <c r="R44" i="8" s="1"/>
  <c r="S44" i="8" s="1"/>
  <c r="T44" i="8" s="1"/>
  <c r="U44" i="8" s="1"/>
  <c r="V44" i="8" s="1"/>
  <c r="W44" i="8" s="1"/>
  <c r="X44" i="8" s="1"/>
  <c r="Y44" i="8" s="1"/>
  <c r="Z44" i="8" s="1"/>
  <c r="AA44" i="8" s="1"/>
  <c r="AB44" i="8" s="1"/>
  <c r="AC44" i="8" s="1"/>
  <c r="AD44" i="8" s="1"/>
  <c r="AE44" i="8" s="1"/>
  <c r="AF44" i="8" s="1"/>
  <c r="AG44" i="8" s="1"/>
  <c r="AH44" i="8" s="1"/>
  <c r="AI44" i="8" s="1"/>
  <c r="AJ44" i="8" s="1"/>
  <c r="AK44" i="8" s="1"/>
  <c r="AL44" i="8" s="1"/>
  <c r="AM44" i="8" s="1"/>
  <c r="AN44" i="8" s="1"/>
  <c r="AO44" i="8" s="1"/>
  <c r="AP44" i="8" s="1"/>
  <c r="AQ44" i="8" s="1"/>
  <c r="AR44" i="8" s="1"/>
  <c r="AS44" i="8" s="1"/>
  <c r="AT44" i="8" s="1"/>
  <c r="AU44" i="8" s="1"/>
  <c r="AV44" i="8" s="1"/>
  <c r="AW44" i="8" s="1"/>
  <c r="AX44" i="8" s="1"/>
  <c r="AY44" i="8" s="1"/>
  <c r="AZ44" i="8" s="1"/>
  <c r="BA44" i="8" s="1"/>
  <c r="BB44" i="8" s="1"/>
  <c r="BC44" i="8" s="1"/>
  <c r="BD44" i="8" s="1"/>
  <c r="BE44" i="8" s="1"/>
  <c r="BF44" i="8" s="1"/>
  <c r="BG44" i="8" s="1"/>
  <c r="BH44" i="8" s="1"/>
  <c r="BI44" i="8" s="1"/>
  <c r="BJ44" i="8" s="1"/>
  <c r="BK44" i="8" s="1"/>
  <c r="BL44" i="8" s="1"/>
  <c r="BM44" i="8" s="1"/>
  <c r="BN44" i="8" s="1"/>
  <c r="BO44" i="8" s="1"/>
  <c r="G99" i="8"/>
  <c r="H99" i="8" s="1"/>
  <c r="I99" i="8" s="1"/>
  <c r="J99" i="8" s="1"/>
  <c r="K99" i="8" s="1"/>
  <c r="L99" i="8" s="1"/>
  <c r="M99" i="8" s="1"/>
  <c r="N99" i="8" s="1"/>
  <c r="O99" i="8" s="1"/>
  <c r="P99" i="8" s="1"/>
  <c r="Q99" i="8" s="1"/>
  <c r="R99" i="8" s="1"/>
  <c r="S99" i="8" s="1"/>
  <c r="T99" i="8" s="1"/>
  <c r="U99" i="8" s="1"/>
  <c r="V99" i="8" s="1"/>
  <c r="W99" i="8" s="1"/>
  <c r="X99" i="8" s="1"/>
  <c r="Y99" i="8" s="1"/>
  <c r="Z99" i="8" s="1"/>
  <c r="AA99" i="8" s="1"/>
  <c r="AB99" i="8" s="1"/>
  <c r="AC99" i="8" s="1"/>
  <c r="AD99" i="8" s="1"/>
  <c r="AE99" i="8" s="1"/>
  <c r="AF99" i="8" s="1"/>
  <c r="AG99" i="8" s="1"/>
  <c r="AH99" i="8" s="1"/>
  <c r="AI99" i="8" s="1"/>
  <c r="AJ99" i="8" s="1"/>
  <c r="AK99" i="8" s="1"/>
  <c r="AL99" i="8" s="1"/>
  <c r="AM99" i="8" s="1"/>
  <c r="AN99" i="8" s="1"/>
  <c r="AO99" i="8" s="1"/>
  <c r="AP99" i="8" s="1"/>
  <c r="AQ99" i="8" s="1"/>
  <c r="AR99" i="8" s="1"/>
  <c r="AS99" i="8" s="1"/>
  <c r="AT99" i="8" s="1"/>
  <c r="AU99" i="8" s="1"/>
  <c r="AV99" i="8" s="1"/>
  <c r="AW99" i="8" s="1"/>
  <c r="AX99" i="8" s="1"/>
  <c r="AY99" i="8" s="1"/>
  <c r="AZ99" i="8" s="1"/>
  <c r="BA99" i="8" s="1"/>
  <c r="BB99" i="8" s="1"/>
  <c r="BC99" i="8" s="1"/>
  <c r="BD99" i="8" s="1"/>
  <c r="BE99" i="8" s="1"/>
  <c r="BF99" i="8" s="1"/>
  <c r="BG99" i="8" s="1"/>
  <c r="BH99" i="8" s="1"/>
  <c r="BI99" i="8" s="1"/>
  <c r="BJ99" i="8" s="1"/>
  <c r="BK99" i="8" s="1"/>
  <c r="BL99" i="8" s="1"/>
  <c r="BM99" i="8" s="1"/>
  <c r="BN99" i="8" s="1"/>
  <c r="BO99" i="8" s="1"/>
  <c r="G53" i="8"/>
  <c r="H53" i="8" s="1"/>
  <c r="I53" i="8" s="1"/>
  <c r="J53" i="8" s="1"/>
  <c r="K53" i="8" s="1"/>
  <c r="L53" i="8" s="1"/>
  <c r="M53" i="8" s="1"/>
  <c r="N53" i="8" s="1"/>
  <c r="O53" i="8" s="1"/>
  <c r="P53" i="8" s="1"/>
  <c r="Q53" i="8" s="1"/>
  <c r="R53" i="8" s="1"/>
  <c r="S53" i="8" s="1"/>
  <c r="T53" i="8" s="1"/>
  <c r="U53" i="8" s="1"/>
  <c r="V53" i="8" s="1"/>
  <c r="W53" i="8" s="1"/>
  <c r="X53" i="8" s="1"/>
  <c r="Y53" i="8" s="1"/>
  <c r="Z53" i="8" s="1"/>
  <c r="AA53" i="8" s="1"/>
  <c r="AB53" i="8" s="1"/>
  <c r="AC53" i="8" s="1"/>
  <c r="AD53" i="8" s="1"/>
  <c r="AE53" i="8" s="1"/>
  <c r="AF53" i="8" s="1"/>
  <c r="AG53" i="8" s="1"/>
  <c r="AH53" i="8" s="1"/>
  <c r="AI53" i="8" s="1"/>
  <c r="AJ53" i="8" s="1"/>
  <c r="AK53" i="8" s="1"/>
  <c r="AL53" i="8" s="1"/>
  <c r="AM53" i="8" s="1"/>
  <c r="AN53" i="8" s="1"/>
  <c r="AO53" i="8" s="1"/>
  <c r="AP53" i="8" s="1"/>
  <c r="AQ53" i="8" s="1"/>
  <c r="AR53" i="8" s="1"/>
  <c r="AS53" i="8" s="1"/>
  <c r="AT53" i="8" s="1"/>
  <c r="AU53" i="8" s="1"/>
  <c r="AV53" i="8" s="1"/>
  <c r="AW53" i="8" s="1"/>
  <c r="AX53" i="8" s="1"/>
  <c r="AY53" i="8" s="1"/>
  <c r="AZ53" i="8" s="1"/>
  <c r="BA53" i="8" s="1"/>
  <c r="BB53" i="8" s="1"/>
  <c r="BC53" i="8" s="1"/>
  <c r="BD53" i="8" s="1"/>
  <c r="BE53" i="8" s="1"/>
  <c r="BF53" i="8" s="1"/>
  <c r="BG53" i="8" s="1"/>
  <c r="BH53" i="8" s="1"/>
  <c r="BI53" i="8" s="1"/>
  <c r="BJ53" i="8" s="1"/>
  <c r="BK53" i="8" s="1"/>
  <c r="BL53" i="8" s="1"/>
  <c r="BM53" i="8" s="1"/>
  <c r="BN53" i="8" s="1"/>
  <c r="BO53" i="8" s="1"/>
  <c r="G13" i="8"/>
  <c r="H13" i="8" s="1"/>
  <c r="I13" i="8" s="1"/>
  <c r="J13" i="8" s="1"/>
  <c r="K13" i="8" s="1"/>
  <c r="L13" i="8" s="1"/>
  <c r="M13" i="8" s="1"/>
  <c r="N13" i="8" s="1"/>
  <c r="O13" i="8" s="1"/>
  <c r="P13" i="8" s="1"/>
  <c r="Q13" i="8" s="1"/>
  <c r="R13" i="8" s="1"/>
  <c r="S13" i="8" s="1"/>
  <c r="T13" i="8" s="1"/>
  <c r="U13" i="8" s="1"/>
  <c r="V13" i="8" s="1"/>
  <c r="W13" i="8" s="1"/>
  <c r="X13" i="8" s="1"/>
  <c r="Y13" i="8" s="1"/>
  <c r="Z13" i="8" s="1"/>
  <c r="AA13" i="8" s="1"/>
  <c r="AB13" i="8" s="1"/>
  <c r="AC13" i="8" s="1"/>
  <c r="AD13" i="8" s="1"/>
  <c r="AE13" i="8" s="1"/>
  <c r="AF13" i="8" s="1"/>
  <c r="AG13" i="8" s="1"/>
  <c r="AH13" i="8" s="1"/>
  <c r="AI13" i="8" s="1"/>
  <c r="AJ13" i="8" s="1"/>
  <c r="AK13" i="8" s="1"/>
  <c r="AL13" i="8" s="1"/>
  <c r="AM13" i="8" s="1"/>
  <c r="AN13" i="8" s="1"/>
  <c r="AO13" i="8" s="1"/>
  <c r="AP13" i="8" s="1"/>
  <c r="AQ13" i="8" s="1"/>
  <c r="AR13" i="8" s="1"/>
  <c r="AS13" i="8" s="1"/>
  <c r="AT13" i="8" s="1"/>
  <c r="AU13" i="8" s="1"/>
  <c r="AV13" i="8" s="1"/>
  <c r="AW13" i="8" s="1"/>
  <c r="AX13" i="8" s="1"/>
  <c r="AY13" i="8" s="1"/>
  <c r="AZ13" i="8" s="1"/>
  <c r="BA13" i="8" s="1"/>
  <c r="BB13" i="8" s="1"/>
  <c r="BC13" i="8" s="1"/>
  <c r="BD13" i="8" s="1"/>
  <c r="BE13" i="8" s="1"/>
  <c r="BF13" i="8" s="1"/>
  <c r="BG13" i="8" s="1"/>
  <c r="BH13" i="8" s="1"/>
  <c r="BI13" i="8" s="1"/>
  <c r="BJ13" i="8" s="1"/>
  <c r="BK13" i="8" s="1"/>
  <c r="BL13" i="8" s="1"/>
  <c r="BM13" i="8" s="1"/>
  <c r="BN13" i="8" s="1"/>
  <c r="BO13" i="8" s="1"/>
  <c r="G67" i="8"/>
  <c r="H67" i="8" s="1"/>
  <c r="I67" i="8" s="1"/>
  <c r="J67" i="8" s="1"/>
  <c r="K67" i="8" s="1"/>
  <c r="L67" i="8" s="1"/>
  <c r="M67" i="8" s="1"/>
  <c r="N67" i="8" s="1"/>
  <c r="O67" i="8" s="1"/>
  <c r="P67" i="8" s="1"/>
  <c r="Q67" i="8" s="1"/>
  <c r="R67" i="8" s="1"/>
  <c r="S67" i="8" s="1"/>
  <c r="T67" i="8" s="1"/>
  <c r="U67" i="8" s="1"/>
  <c r="V67" i="8" s="1"/>
  <c r="W67" i="8" s="1"/>
  <c r="X67" i="8" s="1"/>
  <c r="Y67" i="8" s="1"/>
  <c r="Z67" i="8" s="1"/>
  <c r="AA67" i="8" s="1"/>
  <c r="AB67" i="8" s="1"/>
  <c r="AC67" i="8" s="1"/>
  <c r="AD67" i="8" s="1"/>
  <c r="AE67" i="8" s="1"/>
  <c r="AF67" i="8" s="1"/>
  <c r="AG67" i="8" s="1"/>
  <c r="AH67" i="8" s="1"/>
  <c r="AI67" i="8" s="1"/>
  <c r="AJ67" i="8" s="1"/>
  <c r="AK67" i="8" s="1"/>
  <c r="AL67" i="8" s="1"/>
  <c r="AM67" i="8" s="1"/>
  <c r="AN67" i="8" s="1"/>
  <c r="AO67" i="8" s="1"/>
  <c r="AP67" i="8" s="1"/>
  <c r="AQ67" i="8" s="1"/>
  <c r="AR67" i="8" s="1"/>
  <c r="AS67" i="8" s="1"/>
  <c r="AT67" i="8" s="1"/>
  <c r="AU67" i="8" s="1"/>
  <c r="AV67" i="8" s="1"/>
  <c r="AW67" i="8" s="1"/>
  <c r="AX67" i="8" s="1"/>
  <c r="AY67" i="8" s="1"/>
  <c r="AZ67" i="8" s="1"/>
  <c r="BA67" i="8" s="1"/>
  <c r="BB67" i="8" s="1"/>
  <c r="BC67" i="8" s="1"/>
  <c r="BD67" i="8" s="1"/>
  <c r="BE67" i="8" s="1"/>
  <c r="BF67" i="8" s="1"/>
  <c r="BG67" i="8" s="1"/>
  <c r="BH67" i="8" s="1"/>
  <c r="BI67" i="8" s="1"/>
  <c r="BJ67" i="8" s="1"/>
  <c r="BK67" i="8" s="1"/>
  <c r="BL67" i="8" s="1"/>
  <c r="BM67" i="8" s="1"/>
  <c r="BN67" i="8" s="1"/>
  <c r="BO67" i="8" s="1"/>
  <c r="G68" i="8"/>
  <c r="H68" i="8" s="1"/>
  <c r="I68" i="8" s="1"/>
  <c r="J68" i="8" s="1"/>
  <c r="K68" i="8" s="1"/>
  <c r="L68" i="8" s="1"/>
  <c r="M68" i="8" s="1"/>
  <c r="N68" i="8" s="1"/>
  <c r="O68" i="8" s="1"/>
  <c r="P68" i="8" s="1"/>
  <c r="Q68" i="8" s="1"/>
  <c r="R68" i="8" s="1"/>
  <c r="S68" i="8" s="1"/>
  <c r="T68" i="8" s="1"/>
  <c r="U68" i="8" s="1"/>
  <c r="V68" i="8" s="1"/>
  <c r="W68" i="8" s="1"/>
  <c r="X68" i="8" s="1"/>
  <c r="Y68" i="8" s="1"/>
  <c r="Z68" i="8" s="1"/>
  <c r="AA68" i="8" s="1"/>
  <c r="AB68" i="8" s="1"/>
  <c r="AC68" i="8" s="1"/>
  <c r="AD68" i="8" s="1"/>
  <c r="AE68" i="8" s="1"/>
  <c r="AF68" i="8" s="1"/>
  <c r="AG68" i="8" s="1"/>
  <c r="AH68" i="8" s="1"/>
  <c r="AI68" i="8" s="1"/>
  <c r="AJ68" i="8" s="1"/>
  <c r="AK68" i="8" s="1"/>
  <c r="AL68" i="8" s="1"/>
  <c r="AM68" i="8" s="1"/>
  <c r="AN68" i="8" s="1"/>
  <c r="AO68" i="8" s="1"/>
  <c r="AP68" i="8" s="1"/>
  <c r="AQ68" i="8" s="1"/>
  <c r="AR68" i="8" s="1"/>
  <c r="AS68" i="8" s="1"/>
  <c r="AT68" i="8" s="1"/>
  <c r="AU68" i="8" s="1"/>
  <c r="AV68" i="8" s="1"/>
  <c r="AW68" i="8" s="1"/>
  <c r="AX68" i="8" s="1"/>
  <c r="AY68" i="8" s="1"/>
  <c r="AZ68" i="8" s="1"/>
  <c r="BA68" i="8" s="1"/>
  <c r="BB68" i="8" s="1"/>
  <c r="BC68" i="8" s="1"/>
  <c r="BD68" i="8" s="1"/>
  <c r="BE68" i="8" s="1"/>
  <c r="BF68" i="8" s="1"/>
  <c r="BG68" i="8" s="1"/>
  <c r="BH68" i="8" s="1"/>
  <c r="BI68" i="8" s="1"/>
  <c r="BJ68" i="8" s="1"/>
  <c r="BK68" i="8" s="1"/>
  <c r="BL68" i="8" s="1"/>
  <c r="BM68" i="8" s="1"/>
  <c r="BN68" i="8" s="1"/>
  <c r="BO68" i="8" s="1"/>
  <c r="G78" i="8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AN78" i="8" s="1"/>
  <c r="AO78" i="8" s="1"/>
  <c r="AP78" i="8" s="1"/>
  <c r="AQ78" i="8" s="1"/>
  <c r="AR78" i="8" s="1"/>
  <c r="AS78" i="8" s="1"/>
  <c r="AT78" i="8" s="1"/>
  <c r="AU78" i="8" s="1"/>
  <c r="AV78" i="8" s="1"/>
  <c r="AW78" i="8" s="1"/>
  <c r="AX78" i="8" s="1"/>
  <c r="AY78" i="8" s="1"/>
  <c r="AZ78" i="8" s="1"/>
  <c r="BA78" i="8" s="1"/>
  <c r="BB78" i="8" s="1"/>
  <c r="BC78" i="8" s="1"/>
  <c r="BD78" i="8" s="1"/>
  <c r="BE78" i="8" s="1"/>
  <c r="BF78" i="8" s="1"/>
  <c r="BG78" i="8" s="1"/>
  <c r="BH78" i="8" s="1"/>
  <c r="BI78" i="8" s="1"/>
  <c r="BJ78" i="8" s="1"/>
  <c r="BK78" i="8" s="1"/>
  <c r="BL78" i="8" s="1"/>
  <c r="BM78" i="8" s="1"/>
  <c r="BN78" i="8" s="1"/>
  <c r="BO78" i="8" s="1"/>
  <c r="G10" i="8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AN10" i="8" s="1"/>
  <c r="AO10" i="8" s="1"/>
  <c r="AP10" i="8" s="1"/>
  <c r="AQ10" i="8" s="1"/>
  <c r="AR10" i="8" s="1"/>
  <c r="AS10" i="8" s="1"/>
  <c r="AT10" i="8" s="1"/>
  <c r="AU10" i="8" s="1"/>
  <c r="AV10" i="8" s="1"/>
  <c r="AW10" i="8" s="1"/>
  <c r="AX10" i="8" s="1"/>
  <c r="AY10" i="8" s="1"/>
  <c r="AZ10" i="8" s="1"/>
  <c r="BA10" i="8" s="1"/>
  <c r="BB10" i="8" s="1"/>
  <c r="BC10" i="8" s="1"/>
  <c r="BD10" i="8" s="1"/>
  <c r="BE10" i="8" s="1"/>
  <c r="BF10" i="8" s="1"/>
  <c r="BG10" i="8" s="1"/>
  <c r="BH10" i="8" s="1"/>
  <c r="BI10" i="8" s="1"/>
  <c r="BJ10" i="8" s="1"/>
  <c r="BK10" i="8" s="1"/>
  <c r="BL10" i="8" s="1"/>
  <c r="BM10" i="8" s="1"/>
  <c r="BN10" i="8" s="1"/>
  <c r="BO10" i="8" s="1"/>
  <c r="G37" i="8"/>
  <c r="H37" i="8" s="1"/>
  <c r="I37" i="8" s="1"/>
  <c r="J37" i="8" s="1"/>
  <c r="K37" i="8" s="1"/>
  <c r="L37" i="8" s="1"/>
  <c r="M37" i="8" s="1"/>
  <c r="N37" i="8" s="1"/>
  <c r="O37" i="8" s="1"/>
  <c r="P37" i="8" s="1"/>
  <c r="Q37" i="8" s="1"/>
  <c r="R37" i="8" s="1"/>
  <c r="S37" i="8" s="1"/>
  <c r="T37" i="8" s="1"/>
  <c r="U37" i="8" s="1"/>
  <c r="V37" i="8" s="1"/>
  <c r="W37" i="8" s="1"/>
  <c r="X37" i="8" s="1"/>
  <c r="Y37" i="8" s="1"/>
  <c r="Z37" i="8" s="1"/>
  <c r="AA37" i="8" s="1"/>
  <c r="AB37" i="8" s="1"/>
  <c r="AC37" i="8" s="1"/>
  <c r="AD37" i="8" s="1"/>
  <c r="AE37" i="8" s="1"/>
  <c r="AF37" i="8" s="1"/>
  <c r="AG37" i="8" s="1"/>
  <c r="AH37" i="8" s="1"/>
  <c r="AI37" i="8" s="1"/>
  <c r="AJ37" i="8" s="1"/>
  <c r="AK37" i="8" s="1"/>
  <c r="AL37" i="8" s="1"/>
  <c r="AM37" i="8" s="1"/>
  <c r="AN37" i="8" s="1"/>
  <c r="AO37" i="8" s="1"/>
  <c r="AP37" i="8" s="1"/>
  <c r="AQ37" i="8" s="1"/>
  <c r="AR37" i="8" s="1"/>
  <c r="AS37" i="8" s="1"/>
  <c r="AT37" i="8" s="1"/>
  <c r="AU37" i="8" s="1"/>
  <c r="AV37" i="8" s="1"/>
  <c r="AW37" i="8" s="1"/>
  <c r="AX37" i="8" s="1"/>
  <c r="AY37" i="8" s="1"/>
  <c r="AZ37" i="8" s="1"/>
  <c r="BA37" i="8" s="1"/>
  <c r="BB37" i="8" s="1"/>
  <c r="BC37" i="8" s="1"/>
  <c r="BD37" i="8" s="1"/>
  <c r="BE37" i="8" s="1"/>
  <c r="BF37" i="8" s="1"/>
  <c r="BG37" i="8" s="1"/>
  <c r="BH37" i="8" s="1"/>
  <c r="BI37" i="8" s="1"/>
  <c r="BJ37" i="8" s="1"/>
  <c r="BK37" i="8" s="1"/>
  <c r="BL37" i="8" s="1"/>
  <c r="BM37" i="8" s="1"/>
  <c r="BN37" i="8" s="1"/>
  <c r="BO37" i="8" s="1"/>
  <c r="G91" i="8"/>
  <c r="H91" i="8" s="1"/>
  <c r="I91" i="8" s="1"/>
  <c r="J91" i="8" s="1"/>
  <c r="K91" i="8" s="1"/>
  <c r="L91" i="8" s="1"/>
  <c r="M91" i="8" s="1"/>
  <c r="N91" i="8" s="1"/>
  <c r="O91" i="8" s="1"/>
  <c r="P91" i="8" s="1"/>
  <c r="Q91" i="8" s="1"/>
  <c r="R91" i="8" s="1"/>
  <c r="S91" i="8" s="1"/>
  <c r="T91" i="8" s="1"/>
  <c r="U91" i="8" s="1"/>
  <c r="V91" i="8" s="1"/>
  <c r="W91" i="8" s="1"/>
  <c r="X91" i="8" s="1"/>
  <c r="Y91" i="8" s="1"/>
  <c r="Z91" i="8" s="1"/>
  <c r="AA91" i="8" s="1"/>
  <c r="AB91" i="8" s="1"/>
  <c r="AC91" i="8" s="1"/>
  <c r="AD91" i="8" s="1"/>
  <c r="AE91" i="8" s="1"/>
  <c r="AF91" i="8" s="1"/>
  <c r="AG91" i="8" s="1"/>
  <c r="AH91" i="8" s="1"/>
  <c r="AI91" i="8" s="1"/>
  <c r="AJ91" i="8" s="1"/>
  <c r="AK91" i="8" s="1"/>
  <c r="AL91" i="8" s="1"/>
  <c r="AM91" i="8" s="1"/>
  <c r="AN91" i="8" s="1"/>
  <c r="AO91" i="8" s="1"/>
  <c r="AP91" i="8" s="1"/>
  <c r="AQ91" i="8" s="1"/>
  <c r="AR91" i="8" s="1"/>
  <c r="AS91" i="8" s="1"/>
  <c r="AT91" i="8" s="1"/>
  <c r="AU91" i="8" s="1"/>
  <c r="AV91" i="8" s="1"/>
  <c r="AW91" i="8" s="1"/>
  <c r="AX91" i="8" s="1"/>
  <c r="AY91" i="8" s="1"/>
  <c r="AZ91" i="8" s="1"/>
  <c r="BA91" i="8" s="1"/>
  <c r="BB91" i="8" s="1"/>
  <c r="BC91" i="8" s="1"/>
  <c r="BD91" i="8" s="1"/>
  <c r="BE91" i="8" s="1"/>
  <c r="BF91" i="8" s="1"/>
  <c r="BG91" i="8" s="1"/>
  <c r="BH91" i="8" s="1"/>
  <c r="BI91" i="8" s="1"/>
  <c r="BJ91" i="8" s="1"/>
  <c r="BK91" i="8" s="1"/>
  <c r="BL91" i="8" s="1"/>
  <c r="BM91" i="8" s="1"/>
  <c r="BN91" i="8" s="1"/>
  <c r="BO91" i="8" s="1"/>
  <c r="G92" i="8"/>
  <c r="H92" i="8" s="1"/>
  <c r="I92" i="8" s="1"/>
  <c r="J92" i="8" s="1"/>
  <c r="K92" i="8" s="1"/>
  <c r="L92" i="8" s="1"/>
  <c r="M92" i="8" s="1"/>
  <c r="N92" i="8" s="1"/>
  <c r="O92" i="8" s="1"/>
  <c r="P92" i="8" s="1"/>
  <c r="Q92" i="8" s="1"/>
  <c r="R92" i="8" s="1"/>
  <c r="S92" i="8" s="1"/>
  <c r="T92" i="8" s="1"/>
  <c r="U92" i="8" s="1"/>
  <c r="V92" i="8" s="1"/>
  <c r="W92" i="8" s="1"/>
  <c r="X92" i="8" s="1"/>
  <c r="Y92" i="8" s="1"/>
  <c r="Z92" i="8" s="1"/>
  <c r="AA92" i="8" s="1"/>
  <c r="AB92" i="8" s="1"/>
  <c r="AC92" i="8" s="1"/>
  <c r="AD92" i="8" s="1"/>
  <c r="AE92" i="8" s="1"/>
  <c r="AF92" i="8" s="1"/>
  <c r="AG92" i="8" s="1"/>
  <c r="AH92" i="8" s="1"/>
  <c r="AI92" i="8" s="1"/>
  <c r="AJ92" i="8" s="1"/>
  <c r="AK92" i="8" s="1"/>
  <c r="AL92" i="8" s="1"/>
  <c r="AM92" i="8" s="1"/>
  <c r="AN92" i="8" s="1"/>
  <c r="AO92" i="8" s="1"/>
  <c r="AP92" i="8" s="1"/>
  <c r="AQ92" i="8" s="1"/>
  <c r="AR92" i="8" s="1"/>
  <c r="AS92" i="8" s="1"/>
  <c r="AT92" i="8" s="1"/>
  <c r="AU92" i="8" s="1"/>
  <c r="AV92" i="8" s="1"/>
  <c r="AW92" i="8" s="1"/>
  <c r="AX92" i="8" s="1"/>
  <c r="AY92" i="8" s="1"/>
  <c r="AZ92" i="8" s="1"/>
  <c r="BA92" i="8" s="1"/>
  <c r="BB92" i="8" s="1"/>
  <c r="BC92" i="8" s="1"/>
  <c r="BD92" i="8" s="1"/>
  <c r="BE92" i="8" s="1"/>
  <c r="BF92" i="8" s="1"/>
  <c r="BG92" i="8" s="1"/>
  <c r="BH92" i="8" s="1"/>
  <c r="BI92" i="8" s="1"/>
  <c r="BJ92" i="8" s="1"/>
  <c r="BK92" i="8" s="1"/>
  <c r="BL92" i="8" s="1"/>
  <c r="BM92" i="8" s="1"/>
  <c r="BN92" i="8" s="1"/>
  <c r="BO92" i="8" s="1"/>
  <c r="G4" i="8"/>
  <c r="H4" i="8" s="1"/>
  <c r="I4" i="8" s="1"/>
  <c r="J4" i="8" s="1"/>
  <c r="K4" i="8" s="1"/>
  <c r="L4" i="8" s="1"/>
  <c r="M4" i="8" s="1"/>
  <c r="N4" i="8" s="1"/>
  <c r="O4" i="8" s="1"/>
  <c r="P4" i="8" s="1"/>
  <c r="Q4" i="8" s="1"/>
  <c r="R4" i="8" s="1"/>
  <c r="S4" i="8" s="1"/>
  <c r="T4" i="8" s="1"/>
  <c r="U4" i="8" s="1"/>
  <c r="V4" i="8" s="1"/>
  <c r="W4" i="8" s="1"/>
  <c r="X4" i="8" s="1"/>
  <c r="Y4" i="8" s="1"/>
  <c r="Z4" i="8" s="1"/>
  <c r="AA4" i="8" s="1"/>
  <c r="AB4" i="8" s="1"/>
  <c r="AC4" i="8" s="1"/>
  <c r="AD4" i="8" s="1"/>
  <c r="AE4" i="8" s="1"/>
  <c r="AF4" i="8" s="1"/>
  <c r="AG4" i="8" s="1"/>
  <c r="AH4" i="8" s="1"/>
  <c r="AI4" i="8" s="1"/>
  <c r="AJ4" i="8" s="1"/>
  <c r="AK4" i="8" s="1"/>
  <c r="AL4" i="8" s="1"/>
  <c r="AM4" i="8" s="1"/>
  <c r="AN4" i="8" s="1"/>
  <c r="AO4" i="8" s="1"/>
  <c r="AP4" i="8" s="1"/>
  <c r="AQ4" i="8" s="1"/>
  <c r="AR4" i="8" s="1"/>
  <c r="AS4" i="8" s="1"/>
  <c r="AT4" i="8" s="1"/>
  <c r="AU4" i="8" s="1"/>
  <c r="AV4" i="8" s="1"/>
  <c r="AW4" i="8" s="1"/>
  <c r="AX4" i="8" s="1"/>
  <c r="AY4" i="8" s="1"/>
  <c r="AZ4" i="8" s="1"/>
  <c r="BA4" i="8" s="1"/>
  <c r="BB4" i="8" s="1"/>
  <c r="BC4" i="8" s="1"/>
  <c r="BD4" i="8" s="1"/>
  <c r="BE4" i="8" s="1"/>
  <c r="BF4" i="8" s="1"/>
  <c r="BG4" i="8" s="1"/>
  <c r="BH4" i="8" s="1"/>
  <c r="BI4" i="8" s="1"/>
  <c r="BJ4" i="8" s="1"/>
  <c r="BK4" i="8" s="1"/>
  <c r="BL4" i="8" s="1"/>
  <c r="BM4" i="8" s="1"/>
  <c r="BN4" i="8" s="1"/>
  <c r="BO4" i="8" s="1"/>
  <c r="G34" i="8"/>
  <c r="H34" i="8" s="1"/>
  <c r="I34" i="8" s="1"/>
  <c r="J34" i="8" s="1"/>
  <c r="K34" i="8" s="1"/>
  <c r="L34" i="8" s="1"/>
  <c r="M34" i="8" s="1"/>
  <c r="N34" i="8" s="1"/>
  <c r="O34" i="8" s="1"/>
  <c r="P34" i="8" s="1"/>
  <c r="Q34" i="8" s="1"/>
  <c r="R34" i="8" s="1"/>
  <c r="S34" i="8" s="1"/>
  <c r="T34" i="8" s="1"/>
  <c r="U34" i="8" s="1"/>
  <c r="V34" i="8" s="1"/>
  <c r="W34" i="8" s="1"/>
  <c r="X34" i="8" s="1"/>
  <c r="Y34" i="8" s="1"/>
  <c r="Z34" i="8" s="1"/>
  <c r="AA34" i="8" s="1"/>
  <c r="AB34" i="8" s="1"/>
  <c r="AC34" i="8" s="1"/>
  <c r="AD34" i="8" s="1"/>
  <c r="AE34" i="8" s="1"/>
  <c r="AF34" i="8" s="1"/>
  <c r="AG34" i="8" s="1"/>
  <c r="AH34" i="8" s="1"/>
  <c r="AI34" i="8" s="1"/>
  <c r="AJ34" i="8" s="1"/>
  <c r="AK34" i="8" s="1"/>
  <c r="AL34" i="8" s="1"/>
  <c r="AM34" i="8" s="1"/>
  <c r="AN34" i="8" s="1"/>
  <c r="AO34" i="8" s="1"/>
  <c r="AP34" i="8" s="1"/>
  <c r="AQ34" i="8" s="1"/>
  <c r="AR34" i="8" s="1"/>
  <c r="AS34" i="8" s="1"/>
  <c r="AT34" i="8" s="1"/>
  <c r="AU34" i="8" s="1"/>
  <c r="AV34" i="8" s="1"/>
  <c r="AW34" i="8" s="1"/>
  <c r="AX34" i="8" s="1"/>
  <c r="AY34" i="8" s="1"/>
  <c r="AZ34" i="8" s="1"/>
  <c r="BA34" i="8" s="1"/>
  <c r="BB34" i="8" s="1"/>
  <c r="BC34" i="8" s="1"/>
  <c r="BD34" i="8" s="1"/>
  <c r="BE34" i="8" s="1"/>
  <c r="BF34" i="8" s="1"/>
  <c r="BG34" i="8" s="1"/>
  <c r="BH34" i="8" s="1"/>
  <c r="BI34" i="8" s="1"/>
  <c r="BJ34" i="8" s="1"/>
  <c r="BK34" i="8" s="1"/>
  <c r="BL34" i="8" s="1"/>
  <c r="BM34" i="8" s="1"/>
  <c r="BN34" i="8" s="1"/>
  <c r="BO34" i="8" s="1"/>
  <c r="G61" i="8"/>
  <c r="H61" i="8" s="1"/>
  <c r="I61" i="8" s="1"/>
  <c r="J61" i="8" s="1"/>
  <c r="K61" i="8" s="1"/>
  <c r="L61" i="8" s="1"/>
  <c r="M61" i="8" s="1"/>
  <c r="N61" i="8" s="1"/>
  <c r="O61" i="8" s="1"/>
  <c r="P61" i="8" s="1"/>
  <c r="Q61" i="8" s="1"/>
  <c r="R61" i="8" s="1"/>
  <c r="S61" i="8" s="1"/>
  <c r="T61" i="8" s="1"/>
  <c r="U61" i="8" s="1"/>
  <c r="V61" i="8" s="1"/>
  <c r="W61" i="8" s="1"/>
  <c r="X61" i="8" s="1"/>
  <c r="Y61" i="8" s="1"/>
  <c r="Z61" i="8" s="1"/>
  <c r="AA61" i="8" s="1"/>
  <c r="AB61" i="8" s="1"/>
  <c r="AC61" i="8" s="1"/>
  <c r="AD61" i="8" s="1"/>
  <c r="AE61" i="8" s="1"/>
  <c r="AF61" i="8" s="1"/>
  <c r="AG61" i="8" s="1"/>
  <c r="AH61" i="8" s="1"/>
  <c r="AI61" i="8" s="1"/>
  <c r="AJ61" i="8" s="1"/>
  <c r="AK61" i="8" s="1"/>
  <c r="AL61" i="8" s="1"/>
  <c r="AM61" i="8" s="1"/>
  <c r="AN61" i="8" s="1"/>
  <c r="AO61" i="8" s="1"/>
  <c r="AP61" i="8" s="1"/>
  <c r="AQ61" i="8" s="1"/>
  <c r="AR61" i="8" s="1"/>
  <c r="AS61" i="8" s="1"/>
  <c r="AT61" i="8" s="1"/>
  <c r="AU61" i="8" s="1"/>
  <c r="AV61" i="8" s="1"/>
  <c r="AW61" i="8" s="1"/>
  <c r="AX61" i="8" s="1"/>
  <c r="AY61" i="8" s="1"/>
  <c r="AZ61" i="8" s="1"/>
  <c r="BA61" i="8" s="1"/>
  <c r="BB61" i="8" s="1"/>
  <c r="BC61" i="8" s="1"/>
  <c r="BD61" i="8" s="1"/>
  <c r="BE61" i="8" s="1"/>
  <c r="BF61" i="8" s="1"/>
  <c r="BG61" i="8" s="1"/>
  <c r="BH61" i="8" s="1"/>
  <c r="BI61" i="8" s="1"/>
  <c r="BJ61" i="8" s="1"/>
  <c r="BK61" i="8" s="1"/>
  <c r="BL61" i="8" s="1"/>
  <c r="BM61" i="8" s="1"/>
  <c r="BN61" i="8" s="1"/>
  <c r="BO61" i="8" s="1"/>
  <c r="G49" i="8"/>
  <c r="H49" i="8" s="1"/>
  <c r="I49" i="8" s="1"/>
  <c r="J49" i="8" s="1"/>
  <c r="K49" i="8" s="1"/>
  <c r="L49" i="8" s="1"/>
  <c r="M49" i="8" s="1"/>
  <c r="N49" i="8" s="1"/>
  <c r="O49" i="8" s="1"/>
  <c r="P49" i="8" s="1"/>
  <c r="Q49" i="8" s="1"/>
  <c r="R49" i="8" s="1"/>
  <c r="S49" i="8" s="1"/>
  <c r="T49" i="8" s="1"/>
  <c r="U49" i="8" s="1"/>
  <c r="V49" i="8" s="1"/>
  <c r="W49" i="8" s="1"/>
  <c r="X49" i="8" s="1"/>
  <c r="Y49" i="8" s="1"/>
  <c r="Z49" i="8" s="1"/>
  <c r="AA49" i="8" s="1"/>
  <c r="AB49" i="8" s="1"/>
  <c r="AC49" i="8" s="1"/>
  <c r="AD49" i="8" s="1"/>
  <c r="AE49" i="8" s="1"/>
  <c r="AF49" i="8" s="1"/>
  <c r="AG49" i="8" s="1"/>
  <c r="AH49" i="8" s="1"/>
  <c r="AI49" i="8" s="1"/>
  <c r="AJ49" i="8" s="1"/>
  <c r="AK49" i="8" s="1"/>
  <c r="AL49" i="8" s="1"/>
  <c r="AM49" i="8" s="1"/>
  <c r="AN49" i="8" s="1"/>
  <c r="AO49" i="8" s="1"/>
  <c r="AP49" i="8" s="1"/>
  <c r="AQ49" i="8" s="1"/>
  <c r="AR49" i="8" s="1"/>
  <c r="AS49" i="8" s="1"/>
  <c r="AT49" i="8" s="1"/>
  <c r="AU49" i="8" s="1"/>
  <c r="AV49" i="8" s="1"/>
  <c r="AW49" i="8" s="1"/>
  <c r="AX49" i="8" s="1"/>
  <c r="AY49" i="8" s="1"/>
  <c r="AZ49" i="8" s="1"/>
  <c r="BA49" i="8" s="1"/>
  <c r="BB49" i="8" s="1"/>
  <c r="BC49" i="8" s="1"/>
  <c r="BD49" i="8" s="1"/>
  <c r="BE49" i="8" s="1"/>
  <c r="BF49" i="8" s="1"/>
  <c r="BG49" i="8" s="1"/>
  <c r="BH49" i="8" s="1"/>
  <c r="BI49" i="8" s="1"/>
  <c r="BJ49" i="8" s="1"/>
  <c r="BK49" i="8" s="1"/>
  <c r="BL49" i="8" s="1"/>
  <c r="BM49" i="8" s="1"/>
  <c r="BN49" i="8" s="1"/>
  <c r="BO49" i="8" s="1"/>
  <c r="G33" i="8"/>
  <c r="H33" i="8" s="1"/>
  <c r="I33" i="8" s="1"/>
  <c r="J33" i="8" s="1"/>
  <c r="K33" i="8" s="1"/>
  <c r="L33" i="8" s="1"/>
  <c r="M33" i="8" s="1"/>
  <c r="N33" i="8" s="1"/>
  <c r="O33" i="8" s="1"/>
  <c r="P33" i="8" s="1"/>
  <c r="Q33" i="8" s="1"/>
  <c r="R33" i="8" s="1"/>
  <c r="S33" i="8" s="1"/>
  <c r="T33" i="8" s="1"/>
  <c r="U33" i="8" s="1"/>
  <c r="V33" i="8" s="1"/>
  <c r="W33" i="8" s="1"/>
  <c r="X33" i="8" s="1"/>
  <c r="Y33" i="8" s="1"/>
  <c r="Z33" i="8" s="1"/>
  <c r="AA33" i="8" s="1"/>
  <c r="AB33" i="8" s="1"/>
  <c r="AC33" i="8" s="1"/>
  <c r="AD33" i="8" s="1"/>
  <c r="AE33" i="8" s="1"/>
  <c r="AF33" i="8" s="1"/>
  <c r="AG33" i="8" s="1"/>
  <c r="AH33" i="8" s="1"/>
  <c r="AI33" i="8" s="1"/>
  <c r="AJ33" i="8" s="1"/>
  <c r="AK33" i="8" s="1"/>
  <c r="AL33" i="8" s="1"/>
  <c r="AM33" i="8" s="1"/>
  <c r="AN33" i="8" s="1"/>
  <c r="AO33" i="8" s="1"/>
  <c r="AP33" i="8" s="1"/>
  <c r="AQ33" i="8" s="1"/>
  <c r="AR33" i="8" s="1"/>
  <c r="AS33" i="8" s="1"/>
  <c r="AT33" i="8" s="1"/>
  <c r="AU33" i="8" s="1"/>
  <c r="AV33" i="8" s="1"/>
  <c r="AW33" i="8" s="1"/>
  <c r="AX33" i="8" s="1"/>
  <c r="AY33" i="8" s="1"/>
  <c r="AZ33" i="8" s="1"/>
  <c r="BA33" i="8" s="1"/>
  <c r="BB33" i="8" s="1"/>
  <c r="BC33" i="8" s="1"/>
  <c r="BD33" i="8" s="1"/>
  <c r="BE33" i="8" s="1"/>
  <c r="BF33" i="8" s="1"/>
  <c r="BG33" i="8" s="1"/>
  <c r="BH33" i="8" s="1"/>
  <c r="BI33" i="8" s="1"/>
  <c r="BJ33" i="8" s="1"/>
  <c r="BK33" i="8" s="1"/>
  <c r="BL33" i="8" s="1"/>
  <c r="BM33" i="8" s="1"/>
  <c r="BN33" i="8" s="1"/>
  <c r="BO33" i="8" s="1"/>
  <c r="G47" i="8"/>
  <c r="H47" i="8" s="1"/>
  <c r="I47" i="8" s="1"/>
  <c r="J47" i="8" s="1"/>
  <c r="K47" i="8" s="1"/>
  <c r="L47" i="8" s="1"/>
  <c r="M47" i="8" s="1"/>
  <c r="N47" i="8" s="1"/>
  <c r="O47" i="8" s="1"/>
  <c r="P47" i="8" s="1"/>
  <c r="Q47" i="8" s="1"/>
  <c r="R47" i="8" s="1"/>
  <c r="S47" i="8" s="1"/>
  <c r="T47" i="8" s="1"/>
  <c r="U47" i="8" s="1"/>
  <c r="V47" i="8" s="1"/>
  <c r="W47" i="8" s="1"/>
  <c r="X47" i="8" s="1"/>
  <c r="Y47" i="8" s="1"/>
  <c r="Z47" i="8" s="1"/>
  <c r="AA47" i="8" s="1"/>
  <c r="AB47" i="8" s="1"/>
  <c r="AC47" i="8" s="1"/>
  <c r="AD47" i="8" s="1"/>
  <c r="AE47" i="8" s="1"/>
  <c r="AF47" i="8" s="1"/>
  <c r="AG47" i="8" s="1"/>
  <c r="AH47" i="8" s="1"/>
  <c r="AI47" i="8" s="1"/>
  <c r="AJ47" i="8" s="1"/>
  <c r="AK47" i="8" s="1"/>
  <c r="AL47" i="8" s="1"/>
  <c r="AM47" i="8" s="1"/>
  <c r="AN47" i="8" s="1"/>
  <c r="AO47" i="8" s="1"/>
  <c r="AP47" i="8" s="1"/>
  <c r="AQ47" i="8" s="1"/>
  <c r="AR47" i="8" s="1"/>
  <c r="AS47" i="8" s="1"/>
  <c r="AT47" i="8" s="1"/>
  <c r="AU47" i="8" s="1"/>
  <c r="AV47" i="8" s="1"/>
  <c r="AW47" i="8" s="1"/>
  <c r="AX47" i="8" s="1"/>
  <c r="AY47" i="8" s="1"/>
  <c r="AZ47" i="8" s="1"/>
  <c r="BA47" i="8" s="1"/>
  <c r="BB47" i="8" s="1"/>
  <c r="BC47" i="8" s="1"/>
  <c r="BD47" i="8" s="1"/>
  <c r="BE47" i="8" s="1"/>
  <c r="BF47" i="8" s="1"/>
  <c r="BG47" i="8" s="1"/>
  <c r="BH47" i="8" s="1"/>
  <c r="BI47" i="8" s="1"/>
  <c r="BJ47" i="8" s="1"/>
  <c r="BK47" i="8" s="1"/>
  <c r="BL47" i="8" s="1"/>
  <c r="BM47" i="8" s="1"/>
  <c r="BN47" i="8" s="1"/>
  <c r="BO47" i="8" s="1"/>
  <c r="G28" i="8"/>
  <c r="H28" i="8" s="1"/>
  <c r="I28" i="8" s="1"/>
  <c r="J28" i="8" s="1"/>
  <c r="K28" i="8" s="1"/>
  <c r="L28" i="8" s="1"/>
  <c r="M28" i="8" s="1"/>
  <c r="N28" i="8" s="1"/>
  <c r="O28" i="8" s="1"/>
  <c r="P28" i="8" s="1"/>
  <c r="Q28" i="8" s="1"/>
  <c r="R28" i="8" s="1"/>
  <c r="S28" i="8" s="1"/>
  <c r="T28" i="8" s="1"/>
  <c r="U28" i="8" s="1"/>
  <c r="V28" i="8" s="1"/>
  <c r="W28" i="8" s="1"/>
  <c r="X28" i="8" s="1"/>
  <c r="Y28" i="8" s="1"/>
  <c r="Z28" i="8" s="1"/>
  <c r="AA28" i="8" s="1"/>
  <c r="AB28" i="8" s="1"/>
  <c r="AC28" i="8" s="1"/>
  <c r="AD28" i="8" s="1"/>
  <c r="AE28" i="8" s="1"/>
  <c r="AF28" i="8" s="1"/>
  <c r="AG28" i="8" s="1"/>
  <c r="AH28" i="8" s="1"/>
  <c r="AI28" i="8" s="1"/>
  <c r="AJ28" i="8" s="1"/>
  <c r="AK28" i="8" s="1"/>
  <c r="AL28" i="8" s="1"/>
  <c r="AM28" i="8" s="1"/>
  <c r="AN28" i="8" s="1"/>
  <c r="AO28" i="8" s="1"/>
  <c r="AP28" i="8" s="1"/>
  <c r="AQ28" i="8" s="1"/>
  <c r="AR28" i="8" s="1"/>
  <c r="AS28" i="8" s="1"/>
  <c r="AT28" i="8" s="1"/>
  <c r="AU28" i="8" s="1"/>
  <c r="AV28" i="8" s="1"/>
  <c r="AW28" i="8" s="1"/>
  <c r="AX28" i="8" s="1"/>
  <c r="AY28" i="8" s="1"/>
  <c r="AZ28" i="8" s="1"/>
  <c r="BA28" i="8" s="1"/>
  <c r="BB28" i="8" s="1"/>
  <c r="BC28" i="8" s="1"/>
  <c r="BD28" i="8" s="1"/>
  <c r="BE28" i="8" s="1"/>
  <c r="BF28" i="8" s="1"/>
  <c r="BG28" i="8" s="1"/>
  <c r="BH28" i="8" s="1"/>
  <c r="BI28" i="8" s="1"/>
  <c r="BJ28" i="8" s="1"/>
  <c r="BK28" i="8" s="1"/>
  <c r="BL28" i="8" s="1"/>
  <c r="BM28" i="8" s="1"/>
  <c r="BN28" i="8" s="1"/>
  <c r="BO28" i="8" s="1"/>
  <c r="G58" i="8"/>
  <c r="H58" i="8" s="1"/>
  <c r="I58" i="8" s="1"/>
  <c r="J58" i="8" s="1"/>
  <c r="K58" i="8" s="1"/>
  <c r="L58" i="8" s="1"/>
  <c r="M58" i="8" s="1"/>
  <c r="N58" i="8" s="1"/>
  <c r="O58" i="8" s="1"/>
  <c r="P58" i="8" s="1"/>
  <c r="Q58" i="8" s="1"/>
  <c r="R58" i="8" s="1"/>
  <c r="S58" i="8" s="1"/>
  <c r="T58" i="8" s="1"/>
  <c r="U58" i="8" s="1"/>
  <c r="V58" i="8" s="1"/>
  <c r="W58" i="8" s="1"/>
  <c r="X58" i="8" s="1"/>
  <c r="Y58" i="8" s="1"/>
  <c r="Z58" i="8" s="1"/>
  <c r="AA58" i="8" s="1"/>
  <c r="AB58" i="8" s="1"/>
  <c r="AC58" i="8" s="1"/>
  <c r="AD58" i="8" s="1"/>
  <c r="AE58" i="8" s="1"/>
  <c r="AF58" i="8" s="1"/>
  <c r="AG58" i="8" s="1"/>
  <c r="AH58" i="8" s="1"/>
  <c r="AI58" i="8" s="1"/>
  <c r="AJ58" i="8" s="1"/>
  <c r="AK58" i="8" s="1"/>
  <c r="AL58" i="8" s="1"/>
  <c r="AM58" i="8" s="1"/>
  <c r="AN58" i="8" s="1"/>
  <c r="AO58" i="8" s="1"/>
  <c r="AP58" i="8" s="1"/>
  <c r="AQ58" i="8" s="1"/>
  <c r="AR58" i="8" s="1"/>
  <c r="AS58" i="8" s="1"/>
  <c r="AT58" i="8" s="1"/>
  <c r="AU58" i="8" s="1"/>
  <c r="AV58" i="8" s="1"/>
  <c r="AW58" i="8" s="1"/>
  <c r="AX58" i="8" s="1"/>
  <c r="AY58" i="8" s="1"/>
  <c r="AZ58" i="8" s="1"/>
  <c r="BA58" i="8" s="1"/>
  <c r="BB58" i="8" s="1"/>
  <c r="BC58" i="8" s="1"/>
  <c r="BD58" i="8" s="1"/>
  <c r="BE58" i="8" s="1"/>
  <c r="BF58" i="8" s="1"/>
  <c r="BG58" i="8" s="1"/>
  <c r="BH58" i="8" s="1"/>
  <c r="BI58" i="8" s="1"/>
  <c r="BJ58" i="8" s="1"/>
  <c r="BK58" i="8" s="1"/>
  <c r="BL58" i="8" s="1"/>
  <c r="BM58" i="8" s="1"/>
  <c r="BN58" i="8" s="1"/>
  <c r="BO58" i="8" s="1"/>
  <c r="G85" i="8"/>
  <c r="H85" i="8" s="1"/>
  <c r="I85" i="8" s="1"/>
  <c r="J85" i="8" s="1"/>
  <c r="K85" i="8" s="1"/>
  <c r="L85" i="8" s="1"/>
  <c r="M85" i="8" s="1"/>
  <c r="N85" i="8" s="1"/>
  <c r="O85" i="8" s="1"/>
  <c r="P85" i="8" s="1"/>
  <c r="Q85" i="8" s="1"/>
  <c r="R85" i="8" s="1"/>
  <c r="S85" i="8" s="1"/>
  <c r="T85" i="8" s="1"/>
  <c r="U85" i="8" s="1"/>
  <c r="V85" i="8" s="1"/>
  <c r="W85" i="8" s="1"/>
  <c r="X85" i="8" s="1"/>
  <c r="Y85" i="8" s="1"/>
  <c r="Z85" i="8" s="1"/>
  <c r="AA85" i="8" s="1"/>
  <c r="AB85" i="8" s="1"/>
  <c r="AC85" i="8" s="1"/>
  <c r="AD85" i="8" s="1"/>
  <c r="AE85" i="8" s="1"/>
  <c r="AF85" i="8" s="1"/>
  <c r="AG85" i="8" s="1"/>
  <c r="AH85" i="8" s="1"/>
  <c r="AI85" i="8" s="1"/>
  <c r="AJ85" i="8" s="1"/>
  <c r="AK85" i="8" s="1"/>
  <c r="AL85" i="8" s="1"/>
  <c r="AM85" i="8" s="1"/>
  <c r="AN85" i="8" s="1"/>
  <c r="AO85" i="8" s="1"/>
  <c r="AP85" i="8" s="1"/>
  <c r="AQ85" i="8" s="1"/>
  <c r="AR85" i="8" s="1"/>
  <c r="AS85" i="8" s="1"/>
  <c r="AT85" i="8" s="1"/>
  <c r="AU85" i="8" s="1"/>
  <c r="AV85" i="8" s="1"/>
  <c r="AW85" i="8" s="1"/>
  <c r="AX85" i="8" s="1"/>
  <c r="AY85" i="8" s="1"/>
  <c r="AZ85" i="8" s="1"/>
  <c r="BA85" i="8" s="1"/>
  <c r="BB85" i="8" s="1"/>
  <c r="BC85" i="8" s="1"/>
  <c r="BD85" i="8" s="1"/>
  <c r="BE85" i="8" s="1"/>
  <c r="BF85" i="8" s="1"/>
  <c r="BG85" i="8" s="1"/>
  <c r="BH85" i="8" s="1"/>
  <c r="BI85" i="8" s="1"/>
  <c r="BJ85" i="8" s="1"/>
  <c r="BK85" i="8" s="1"/>
  <c r="BL85" i="8" s="1"/>
  <c r="BM85" i="8" s="1"/>
  <c r="BN85" i="8" s="1"/>
  <c r="BO85" i="8" s="1"/>
  <c r="G51" i="8"/>
  <c r="H51" i="8" s="1"/>
  <c r="I51" i="8" s="1"/>
  <c r="J51" i="8" s="1"/>
  <c r="K51" i="8" s="1"/>
  <c r="L51" i="8" s="1"/>
  <c r="M51" i="8" s="1"/>
  <c r="N51" i="8" s="1"/>
  <c r="O51" i="8" s="1"/>
  <c r="P51" i="8" s="1"/>
  <c r="Q51" i="8" s="1"/>
  <c r="R51" i="8" s="1"/>
  <c r="S51" i="8" s="1"/>
  <c r="T51" i="8" s="1"/>
  <c r="U51" i="8" s="1"/>
  <c r="V51" i="8" s="1"/>
  <c r="W51" i="8" s="1"/>
  <c r="X51" i="8" s="1"/>
  <c r="Y51" i="8" s="1"/>
  <c r="Z51" i="8" s="1"/>
  <c r="AA51" i="8" s="1"/>
  <c r="AB51" i="8" s="1"/>
  <c r="AC51" i="8" s="1"/>
  <c r="AD51" i="8" s="1"/>
  <c r="AE51" i="8" s="1"/>
  <c r="AF51" i="8" s="1"/>
  <c r="AG51" i="8" s="1"/>
  <c r="AH51" i="8" s="1"/>
  <c r="AI51" i="8" s="1"/>
  <c r="AJ51" i="8" s="1"/>
  <c r="AK51" i="8" s="1"/>
  <c r="AL51" i="8" s="1"/>
  <c r="AM51" i="8" s="1"/>
  <c r="AN51" i="8" s="1"/>
  <c r="AO51" i="8" s="1"/>
  <c r="AP51" i="8" s="1"/>
  <c r="AQ51" i="8" s="1"/>
  <c r="AR51" i="8" s="1"/>
  <c r="AS51" i="8" s="1"/>
  <c r="AT51" i="8" s="1"/>
  <c r="AU51" i="8" s="1"/>
  <c r="AV51" i="8" s="1"/>
  <c r="AW51" i="8" s="1"/>
  <c r="AX51" i="8" s="1"/>
  <c r="AY51" i="8" s="1"/>
  <c r="AZ51" i="8" s="1"/>
  <c r="BA51" i="8" s="1"/>
  <c r="BB51" i="8" s="1"/>
  <c r="BC51" i="8" s="1"/>
  <c r="BD51" i="8" s="1"/>
  <c r="BE51" i="8" s="1"/>
  <c r="BF51" i="8" s="1"/>
  <c r="BG51" i="8" s="1"/>
  <c r="BH51" i="8" s="1"/>
  <c r="BI51" i="8" s="1"/>
  <c r="BJ51" i="8" s="1"/>
  <c r="BK51" i="8" s="1"/>
  <c r="BL51" i="8" s="1"/>
  <c r="BM51" i="8" s="1"/>
  <c r="BN51" i="8" s="1"/>
  <c r="BO51" i="8" s="1"/>
  <c r="G42" i="8"/>
  <c r="H42" i="8" s="1"/>
  <c r="I42" i="8" s="1"/>
  <c r="J42" i="8" s="1"/>
  <c r="K42" i="8" s="1"/>
  <c r="L42" i="8" s="1"/>
  <c r="M42" i="8" s="1"/>
  <c r="N42" i="8" s="1"/>
  <c r="O42" i="8" s="1"/>
  <c r="P42" i="8" s="1"/>
  <c r="Q42" i="8" s="1"/>
  <c r="R42" i="8" s="1"/>
  <c r="S42" i="8" s="1"/>
  <c r="T42" i="8" s="1"/>
  <c r="U42" i="8" s="1"/>
  <c r="V42" i="8" s="1"/>
  <c r="W42" i="8" s="1"/>
  <c r="X42" i="8" s="1"/>
  <c r="Y42" i="8" s="1"/>
  <c r="Z42" i="8" s="1"/>
  <c r="AA42" i="8" s="1"/>
  <c r="AB42" i="8" s="1"/>
  <c r="AC42" i="8" s="1"/>
  <c r="AD42" i="8" s="1"/>
  <c r="AE42" i="8" s="1"/>
  <c r="AF42" i="8" s="1"/>
  <c r="AG42" i="8" s="1"/>
  <c r="AH42" i="8" s="1"/>
  <c r="AI42" i="8" s="1"/>
  <c r="AJ42" i="8" s="1"/>
  <c r="AK42" i="8" s="1"/>
  <c r="AL42" i="8" s="1"/>
  <c r="AM42" i="8" s="1"/>
  <c r="AN42" i="8" s="1"/>
  <c r="AO42" i="8" s="1"/>
  <c r="AP42" i="8" s="1"/>
  <c r="AQ42" i="8" s="1"/>
  <c r="AR42" i="8" s="1"/>
  <c r="AS42" i="8" s="1"/>
  <c r="AT42" i="8" s="1"/>
  <c r="AU42" i="8" s="1"/>
  <c r="AV42" i="8" s="1"/>
  <c r="AW42" i="8" s="1"/>
  <c r="AX42" i="8" s="1"/>
  <c r="AY42" i="8" s="1"/>
  <c r="AZ42" i="8" s="1"/>
  <c r="BA42" i="8" s="1"/>
  <c r="BB42" i="8" s="1"/>
  <c r="BC42" i="8" s="1"/>
  <c r="BD42" i="8" s="1"/>
  <c r="BE42" i="8" s="1"/>
  <c r="BF42" i="8" s="1"/>
  <c r="BG42" i="8" s="1"/>
  <c r="BH42" i="8" s="1"/>
  <c r="BI42" i="8" s="1"/>
  <c r="BJ42" i="8" s="1"/>
  <c r="BK42" i="8" s="1"/>
  <c r="BL42" i="8" s="1"/>
  <c r="BM42" i="8" s="1"/>
  <c r="BN42" i="8" s="1"/>
  <c r="BO42" i="8" s="1"/>
  <c r="G95" i="8"/>
  <c r="H95" i="8" s="1"/>
  <c r="I95" i="8" s="1"/>
  <c r="J95" i="8" s="1"/>
  <c r="K95" i="8" s="1"/>
  <c r="L95" i="8" s="1"/>
  <c r="M95" i="8" s="1"/>
  <c r="N95" i="8" s="1"/>
  <c r="O95" i="8" s="1"/>
  <c r="P95" i="8" s="1"/>
  <c r="Q95" i="8" s="1"/>
  <c r="R95" i="8" s="1"/>
  <c r="S95" i="8" s="1"/>
  <c r="T95" i="8" s="1"/>
  <c r="U95" i="8" s="1"/>
  <c r="V95" i="8" s="1"/>
  <c r="W95" i="8" s="1"/>
  <c r="X95" i="8" s="1"/>
  <c r="Y95" i="8" s="1"/>
  <c r="Z95" i="8" s="1"/>
  <c r="AA95" i="8" s="1"/>
  <c r="AB95" i="8" s="1"/>
  <c r="AC95" i="8" s="1"/>
  <c r="AD95" i="8" s="1"/>
  <c r="AE95" i="8" s="1"/>
  <c r="AF95" i="8" s="1"/>
  <c r="AG95" i="8" s="1"/>
  <c r="AH95" i="8" s="1"/>
  <c r="AI95" i="8" s="1"/>
  <c r="AJ95" i="8" s="1"/>
  <c r="AK95" i="8" s="1"/>
  <c r="AL95" i="8" s="1"/>
  <c r="AM95" i="8" s="1"/>
  <c r="AN95" i="8" s="1"/>
  <c r="AO95" i="8" s="1"/>
  <c r="AP95" i="8" s="1"/>
  <c r="AQ95" i="8" s="1"/>
  <c r="AR95" i="8" s="1"/>
  <c r="AS95" i="8" s="1"/>
  <c r="AT95" i="8" s="1"/>
  <c r="AU95" i="8" s="1"/>
  <c r="AV95" i="8" s="1"/>
  <c r="AW95" i="8" s="1"/>
  <c r="AX95" i="8" s="1"/>
  <c r="AY95" i="8" s="1"/>
  <c r="AZ95" i="8" s="1"/>
  <c r="BA95" i="8" s="1"/>
  <c r="BB95" i="8" s="1"/>
  <c r="BC95" i="8" s="1"/>
  <c r="BD95" i="8" s="1"/>
  <c r="BE95" i="8" s="1"/>
  <c r="BF95" i="8" s="1"/>
  <c r="BG95" i="8" s="1"/>
  <c r="BH95" i="8" s="1"/>
  <c r="BI95" i="8" s="1"/>
  <c r="BJ95" i="8" s="1"/>
  <c r="BK95" i="8" s="1"/>
  <c r="BL95" i="8" s="1"/>
  <c r="BM95" i="8" s="1"/>
  <c r="BN95" i="8" s="1"/>
  <c r="BO95" i="8" s="1"/>
  <c r="G52" i="8"/>
  <c r="H52" i="8" s="1"/>
  <c r="I52" i="8" s="1"/>
  <c r="J52" i="8" s="1"/>
  <c r="K52" i="8" s="1"/>
  <c r="L52" i="8" s="1"/>
  <c r="M52" i="8" s="1"/>
  <c r="N52" i="8" s="1"/>
  <c r="O52" i="8" s="1"/>
  <c r="P52" i="8" s="1"/>
  <c r="Q52" i="8" s="1"/>
  <c r="R52" i="8" s="1"/>
  <c r="S52" i="8" s="1"/>
  <c r="T52" i="8" s="1"/>
  <c r="U52" i="8" s="1"/>
  <c r="V52" i="8" s="1"/>
  <c r="W52" i="8" s="1"/>
  <c r="X52" i="8" s="1"/>
  <c r="Y52" i="8" s="1"/>
  <c r="Z52" i="8" s="1"/>
  <c r="AA52" i="8" s="1"/>
  <c r="AB52" i="8" s="1"/>
  <c r="AC52" i="8" s="1"/>
  <c r="AD52" i="8" s="1"/>
  <c r="AE52" i="8" s="1"/>
  <c r="AF52" i="8" s="1"/>
  <c r="AG52" i="8" s="1"/>
  <c r="AH52" i="8" s="1"/>
  <c r="AI52" i="8" s="1"/>
  <c r="AJ52" i="8" s="1"/>
  <c r="AK52" i="8" s="1"/>
  <c r="AL52" i="8" s="1"/>
  <c r="AM52" i="8" s="1"/>
  <c r="AN52" i="8" s="1"/>
  <c r="AO52" i="8" s="1"/>
  <c r="AP52" i="8" s="1"/>
  <c r="AQ52" i="8" s="1"/>
  <c r="AR52" i="8" s="1"/>
  <c r="AS52" i="8" s="1"/>
  <c r="AT52" i="8" s="1"/>
  <c r="AU52" i="8" s="1"/>
  <c r="AV52" i="8" s="1"/>
  <c r="AW52" i="8" s="1"/>
  <c r="AX52" i="8" s="1"/>
  <c r="AY52" i="8" s="1"/>
  <c r="AZ52" i="8" s="1"/>
  <c r="BA52" i="8" s="1"/>
  <c r="BB52" i="8" s="1"/>
  <c r="BC52" i="8" s="1"/>
  <c r="BD52" i="8" s="1"/>
  <c r="BE52" i="8" s="1"/>
  <c r="BF52" i="8" s="1"/>
  <c r="BG52" i="8" s="1"/>
  <c r="BH52" i="8" s="1"/>
  <c r="BI52" i="8" s="1"/>
  <c r="BJ52" i="8" s="1"/>
  <c r="BK52" i="8" s="1"/>
  <c r="BL52" i="8" s="1"/>
  <c r="BM52" i="8" s="1"/>
  <c r="BN52" i="8" s="1"/>
  <c r="BO52" i="8" s="1"/>
  <c r="G82" i="8"/>
  <c r="H82" i="8" s="1"/>
  <c r="I82" i="8" s="1"/>
  <c r="J82" i="8" s="1"/>
  <c r="K82" i="8" s="1"/>
  <c r="L82" i="8" s="1"/>
  <c r="M82" i="8" s="1"/>
  <c r="N82" i="8" s="1"/>
  <c r="O82" i="8" s="1"/>
  <c r="P82" i="8" s="1"/>
  <c r="Q82" i="8" s="1"/>
  <c r="R82" i="8" s="1"/>
  <c r="S82" i="8" s="1"/>
  <c r="T82" i="8" s="1"/>
  <c r="U82" i="8" s="1"/>
  <c r="V82" i="8" s="1"/>
  <c r="W82" i="8" s="1"/>
  <c r="X82" i="8" s="1"/>
  <c r="Y82" i="8" s="1"/>
  <c r="Z82" i="8" s="1"/>
  <c r="AA82" i="8" s="1"/>
  <c r="AB82" i="8" s="1"/>
  <c r="AC82" i="8" s="1"/>
  <c r="AD82" i="8" s="1"/>
  <c r="AE82" i="8" s="1"/>
  <c r="AF82" i="8" s="1"/>
  <c r="AG82" i="8" s="1"/>
  <c r="AH82" i="8" s="1"/>
  <c r="AI82" i="8" s="1"/>
  <c r="AJ82" i="8" s="1"/>
  <c r="AK82" i="8" s="1"/>
  <c r="AL82" i="8" s="1"/>
  <c r="AM82" i="8" s="1"/>
  <c r="AN82" i="8" s="1"/>
  <c r="AO82" i="8" s="1"/>
  <c r="AP82" i="8" s="1"/>
  <c r="AQ82" i="8" s="1"/>
  <c r="AR82" i="8" s="1"/>
  <c r="AS82" i="8" s="1"/>
  <c r="AT82" i="8" s="1"/>
  <c r="AU82" i="8" s="1"/>
  <c r="AV82" i="8" s="1"/>
  <c r="AW82" i="8" s="1"/>
  <c r="AX82" i="8" s="1"/>
  <c r="AY82" i="8" s="1"/>
  <c r="AZ82" i="8" s="1"/>
  <c r="BA82" i="8" s="1"/>
  <c r="BB82" i="8" s="1"/>
  <c r="BC82" i="8" s="1"/>
  <c r="BD82" i="8" s="1"/>
  <c r="BE82" i="8" s="1"/>
  <c r="BF82" i="8" s="1"/>
  <c r="BG82" i="8" s="1"/>
  <c r="BH82" i="8" s="1"/>
  <c r="BI82" i="8" s="1"/>
  <c r="BJ82" i="8" s="1"/>
  <c r="BK82" i="8" s="1"/>
  <c r="BL82" i="8" s="1"/>
  <c r="BM82" i="8" s="1"/>
  <c r="BN82" i="8" s="1"/>
  <c r="BO82" i="8" s="1"/>
  <c r="G14" i="8"/>
  <c r="H14" i="8" s="1"/>
  <c r="I14" i="8" s="1"/>
  <c r="J14" i="8" s="1"/>
  <c r="K14" i="8" s="1"/>
  <c r="L14" i="8" s="1"/>
  <c r="M14" i="8" s="1"/>
  <c r="N14" i="8" s="1"/>
  <c r="O14" i="8" s="1"/>
  <c r="P14" i="8" s="1"/>
  <c r="Q14" i="8" s="1"/>
  <c r="R14" i="8" s="1"/>
  <c r="S14" i="8" s="1"/>
  <c r="T14" i="8" s="1"/>
  <c r="U14" i="8" s="1"/>
  <c r="V14" i="8" s="1"/>
  <c r="W14" i="8" s="1"/>
  <c r="X14" i="8" s="1"/>
  <c r="Y14" i="8" s="1"/>
  <c r="Z14" i="8" s="1"/>
  <c r="AA14" i="8" s="1"/>
  <c r="AB14" i="8" s="1"/>
  <c r="AC14" i="8" s="1"/>
  <c r="AD14" i="8" s="1"/>
  <c r="AE14" i="8" s="1"/>
  <c r="AF14" i="8" s="1"/>
  <c r="AG14" i="8" s="1"/>
  <c r="AH14" i="8" s="1"/>
  <c r="AI14" i="8" s="1"/>
  <c r="AJ14" i="8" s="1"/>
  <c r="AK14" i="8" s="1"/>
  <c r="AL14" i="8" s="1"/>
  <c r="AM14" i="8" s="1"/>
  <c r="AN14" i="8" s="1"/>
  <c r="AO14" i="8" s="1"/>
  <c r="AP14" i="8" s="1"/>
  <c r="AQ14" i="8" s="1"/>
  <c r="AR14" i="8" s="1"/>
  <c r="AS14" i="8" s="1"/>
  <c r="AT14" i="8" s="1"/>
  <c r="AU14" i="8" s="1"/>
  <c r="AV14" i="8" s="1"/>
  <c r="AW14" i="8" s="1"/>
  <c r="AX14" i="8" s="1"/>
  <c r="AY14" i="8" s="1"/>
  <c r="AZ14" i="8" s="1"/>
  <c r="BA14" i="8" s="1"/>
  <c r="BB14" i="8" s="1"/>
  <c r="BC14" i="8" s="1"/>
  <c r="BD14" i="8" s="1"/>
  <c r="BE14" i="8" s="1"/>
  <c r="BF14" i="8" s="1"/>
  <c r="BG14" i="8" s="1"/>
  <c r="BH14" i="8" s="1"/>
  <c r="BI14" i="8" s="1"/>
  <c r="BJ14" i="8" s="1"/>
  <c r="BK14" i="8" s="1"/>
  <c r="BL14" i="8" s="1"/>
  <c r="BM14" i="8" s="1"/>
  <c r="BN14" i="8" s="1"/>
  <c r="BO14" i="8" s="1"/>
  <c r="G72" i="8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AN72" i="8" s="1"/>
  <c r="AO72" i="8" s="1"/>
  <c r="AP72" i="8" s="1"/>
  <c r="AQ72" i="8" s="1"/>
  <c r="AR72" i="8" s="1"/>
  <c r="AS72" i="8" s="1"/>
  <c r="AT72" i="8" s="1"/>
  <c r="AU72" i="8" s="1"/>
  <c r="AV72" i="8" s="1"/>
  <c r="AW72" i="8" s="1"/>
  <c r="AX72" i="8" s="1"/>
  <c r="AY72" i="8" s="1"/>
  <c r="AZ72" i="8" s="1"/>
  <c r="BA72" i="8" s="1"/>
  <c r="BB72" i="8" s="1"/>
  <c r="BC72" i="8" s="1"/>
  <c r="BD72" i="8" s="1"/>
  <c r="BE72" i="8" s="1"/>
  <c r="BF72" i="8" s="1"/>
  <c r="BG72" i="8" s="1"/>
  <c r="BH72" i="8" s="1"/>
  <c r="BI72" i="8" s="1"/>
  <c r="BJ72" i="8" s="1"/>
  <c r="BK72" i="8" s="1"/>
  <c r="BL72" i="8" s="1"/>
  <c r="BM72" i="8" s="1"/>
  <c r="BN72" i="8" s="1"/>
  <c r="BO72" i="8" s="1"/>
  <c r="G76" i="8"/>
  <c r="H76" i="8" s="1"/>
  <c r="I76" i="8" s="1"/>
  <c r="J76" i="8" s="1"/>
  <c r="K76" i="8" s="1"/>
  <c r="L76" i="8" s="1"/>
  <c r="M76" i="8" s="1"/>
  <c r="N76" i="8" s="1"/>
  <c r="O76" i="8" s="1"/>
  <c r="P76" i="8" s="1"/>
  <c r="Q76" i="8" s="1"/>
  <c r="R76" i="8" s="1"/>
  <c r="S76" i="8" s="1"/>
  <c r="T76" i="8" s="1"/>
  <c r="U76" i="8" s="1"/>
  <c r="V76" i="8" s="1"/>
  <c r="W76" i="8" s="1"/>
  <c r="X76" i="8" s="1"/>
  <c r="Y76" i="8" s="1"/>
  <c r="Z76" i="8" s="1"/>
  <c r="AA76" i="8" s="1"/>
  <c r="AB76" i="8" s="1"/>
  <c r="AC76" i="8" s="1"/>
  <c r="AD76" i="8" s="1"/>
  <c r="AE76" i="8" s="1"/>
  <c r="AF76" i="8" s="1"/>
  <c r="AG76" i="8" s="1"/>
  <c r="AH76" i="8" s="1"/>
  <c r="AI76" i="8" s="1"/>
  <c r="AJ76" i="8" s="1"/>
  <c r="AK76" i="8" s="1"/>
  <c r="AL76" i="8" s="1"/>
  <c r="AM76" i="8" s="1"/>
  <c r="AN76" i="8" s="1"/>
  <c r="AO76" i="8" s="1"/>
  <c r="AP76" i="8" s="1"/>
  <c r="AQ76" i="8" s="1"/>
  <c r="AR76" i="8" s="1"/>
  <c r="AS76" i="8" s="1"/>
  <c r="AT76" i="8" s="1"/>
  <c r="AU76" i="8" s="1"/>
  <c r="AV76" i="8" s="1"/>
  <c r="AW76" i="8" s="1"/>
  <c r="AX76" i="8" s="1"/>
  <c r="AY76" i="8" s="1"/>
  <c r="AZ76" i="8" s="1"/>
  <c r="BA76" i="8" s="1"/>
  <c r="BB76" i="8" s="1"/>
  <c r="BC76" i="8" s="1"/>
  <c r="BD76" i="8" s="1"/>
  <c r="BE76" i="8" s="1"/>
  <c r="BF76" i="8" s="1"/>
  <c r="BG76" i="8" s="1"/>
  <c r="BH76" i="8" s="1"/>
  <c r="BI76" i="8" s="1"/>
  <c r="BJ76" i="8" s="1"/>
  <c r="BK76" i="8" s="1"/>
  <c r="BL76" i="8" s="1"/>
  <c r="BM76" i="8" s="1"/>
  <c r="BN76" i="8" s="1"/>
  <c r="BO76" i="8" s="1"/>
  <c r="G15" i="8"/>
  <c r="H15" i="8" s="1"/>
  <c r="I15" i="8" s="1"/>
  <c r="J15" i="8" s="1"/>
  <c r="K15" i="8" s="1"/>
  <c r="L15" i="8" s="1"/>
  <c r="M15" i="8" s="1"/>
  <c r="N15" i="8" s="1"/>
  <c r="O15" i="8" s="1"/>
  <c r="P15" i="8" s="1"/>
  <c r="Q15" i="8" s="1"/>
  <c r="R15" i="8" s="1"/>
  <c r="S15" i="8" s="1"/>
  <c r="T15" i="8" s="1"/>
  <c r="U15" i="8" s="1"/>
  <c r="V15" i="8" s="1"/>
  <c r="W15" i="8" s="1"/>
  <c r="X15" i="8" s="1"/>
  <c r="Y15" i="8" s="1"/>
  <c r="Z15" i="8" s="1"/>
  <c r="AA15" i="8" s="1"/>
  <c r="AB15" i="8" s="1"/>
  <c r="AC15" i="8" s="1"/>
  <c r="AD15" i="8" s="1"/>
  <c r="AE15" i="8" s="1"/>
  <c r="AF15" i="8" s="1"/>
  <c r="AG15" i="8" s="1"/>
  <c r="AH15" i="8" s="1"/>
  <c r="AI15" i="8" s="1"/>
  <c r="AJ15" i="8" s="1"/>
  <c r="AK15" i="8" s="1"/>
  <c r="AL15" i="8" s="1"/>
  <c r="AM15" i="8" s="1"/>
  <c r="AN15" i="8" s="1"/>
  <c r="AO15" i="8" s="1"/>
  <c r="AP15" i="8" s="1"/>
  <c r="AQ15" i="8" s="1"/>
  <c r="AR15" i="8" s="1"/>
  <c r="AS15" i="8" s="1"/>
  <c r="AT15" i="8" s="1"/>
  <c r="AU15" i="8" s="1"/>
  <c r="AV15" i="8" s="1"/>
  <c r="AW15" i="8" s="1"/>
  <c r="AX15" i="8" s="1"/>
  <c r="AY15" i="8" s="1"/>
  <c r="AZ15" i="8" s="1"/>
  <c r="BA15" i="8" s="1"/>
  <c r="BB15" i="8" s="1"/>
  <c r="BC15" i="8" s="1"/>
  <c r="BD15" i="8" s="1"/>
  <c r="BE15" i="8" s="1"/>
  <c r="BF15" i="8" s="1"/>
  <c r="BG15" i="8" s="1"/>
  <c r="BH15" i="8" s="1"/>
  <c r="BI15" i="8" s="1"/>
  <c r="BJ15" i="8" s="1"/>
  <c r="BK15" i="8" s="1"/>
  <c r="BL15" i="8" s="1"/>
  <c r="BM15" i="8" s="1"/>
  <c r="BN15" i="8" s="1"/>
  <c r="BO15" i="8" s="1"/>
  <c r="G87" i="8"/>
  <c r="H87" i="8" s="1"/>
  <c r="I87" i="8" s="1"/>
  <c r="J87" i="8" s="1"/>
  <c r="K87" i="8" s="1"/>
  <c r="L87" i="8" s="1"/>
  <c r="M87" i="8" s="1"/>
  <c r="N87" i="8" s="1"/>
  <c r="O87" i="8" s="1"/>
  <c r="P87" i="8" s="1"/>
  <c r="Q87" i="8" s="1"/>
  <c r="R87" i="8" s="1"/>
  <c r="S87" i="8" s="1"/>
  <c r="T87" i="8" s="1"/>
  <c r="U87" i="8" s="1"/>
  <c r="V87" i="8" s="1"/>
  <c r="W87" i="8" s="1"/>
  <c r="X87" i="8" s="1"/>
  <c r="Y87" i="8" s="1"/>
  <c r="Z87" i="8" s="1"/>
  <c r="AA87" i="8" s="1"/>
  <c r="AB87" i="8" s="1"/>
  <c r="AC87" i="8" s="1"/>
  <c r="AD87" i="8" s="1"/>
  <c r="AE87" i="8" s="1"/>
  <c r="AF87" i="8" s="1"/>
  <c r="AG87" i="8" s="1"/>
  <c r="AH87" i="8" s="1"/>
  <c r="AI87" i="8" s="1"/>
  <c r="AJ87" i="8" s="1"/>
  <c r="AK87" i="8" s="1"/>
  <c r="AL87" i="8" s="1"/>
  <c r="AM87" i="8" s="1"/>
  <c r="AN87" i="8" s="1"/>
  <c r="AO87" i="8" s="1"/>
  <c r="AP87" i="8" s="1"/>
  <c r="AQ87" i="8" s="1"/>
  <c r="AR87" i="8" s="1"/>
  <c r="AS87" i="8" s="1"/>
  <c r="AT87" i="8" s="1"/>
  <c r="AU87" i="8" s="1"/>
  <c r="AV87" i="8" s="1"/>
  <c r="AW87" i="8" s="1"/>
  <c r="AX87" i="8" s="1"/>
  <c r="AY87" i="8" s="1"/>
  <c r="AZ87" i="8" s="1"/>
  <c r="BA87" i="8" s="1"/>
  <c r="BB87" i="8" s="1"/>
  <c r="BC87" i="8" s="1"/>
  <c r="BD87" i="8" s="1"/>
  <c r="BE87" i="8" s="1"/>
  <c r="BF87" i="8" s="1"/>
  <c r="BG87" i="8" s="1"/>
  <c r="BH87" i="8" s="1"/>
  <c r="BI87" i="8" s="1"/>
  <c r="BJ87" i="8" s="1"/>
  <c r="BK87" i="8" s="1"/>
  <c r="BL87" i="8" s="1"/>
  <c r="BM87" i="8" s="1"/>
  <c r="BN87" i="8" s="1"/>
  <c r="BO87" i="8" s="1"/>
  <c r="G74" i="8"/>
  <c r="H74" i="8" s="1"/>
  <c r="I74" i="8" s="1"/>
  <c r="J74" i="8" s="1"/>
  <c r="K74" i="8" s="1"/>
  <c r="L74" i="8" s="1"/>
  <c r="M74" i="8" s="1"/>
  <c r="N74" i="8" s="1"/>
  <c r="O74" i="8" s="1"/>
  <c r="P74" i="8" s="1"/>
  <c r="Q74" i="8" s="1"/>
  <c r="R74" i="8" s="1"/>
  <c r="S74" i="8" s="1"/>
  <c r="T74" i="8" s="1"/>
  <c r="U74" i="8" s="1"/>
  <c r="V74" i="8" s="1"/>
  <c r="W74" i="8" s="1"/>
  <c r="X74" i="8" s="1"/>
  <c r="Y74" i="8" s="1"/>
  <c r="Z74" i="8" s="1"/>
  <c r="AA74" i="8" s="1"/>
  <c r="AB74" i="8" s="1"/>
  <c r="AC74" i="8" s="1"/>
  <c r="AD74" i="8" s="1"/>
  <c r="AE74" i="8" s="1"/>
  <c r="AF74" i="8" s="1"/>
  <c r="AG74" i="8" s="1"/>
  <c r="AH74" i="8" s="1"/>
  <c r="AI74" i="8" s="1"/>
  <c r="AJ74" i="8" s="1"/>
  <c r="AK74" i="8" s="1"/>
  <c r="AL74" i="8" s="1"/>
  <c r="AM74" i="8" s="1"/>
  <c r="AN74" i="8" s="1"/>
  <c r="AO74" i="8" s="1"/>
  <c r="AP74" i="8" s="1"/>
  <c r="AQ74" i="8" s="1"/>
  <c r="AR74" i="8" s="1"/>
  <c r="AS74" i="8" s="1"/>
  <c r="AT74" i="8" s="1"/>
  <c r="AU74" i="8" s="1"/>
  <c r="AV74" i="8" s="1"/>
  <c r="AW74" i="8" s="1"/>
  <c r="AX74" i="8" s="1"/>
  <c r="AY74" i="8" s="1"/>
  <c r="AZ74" i="8" s="1"/>
  <c r="BA74" i="8" s="1"/>
  <c r="BB74" i="8" s="1"/>
  <c r="BC74" i="8" s="1"/>
  <c r="BD74" i="8" s="1"/>
  <c r="BE74" i="8" s="1"/>
  <c r="BF74" i="8" s="1"/>
  <c r="BG74" i="8" s="1"/>
  <c r="BH74" i="8" s="1"/>
  <c r="BI74" i="8" s="1"/>
  <c r="BJ74" i="8" s="1"/>
  <c r="BK74" i="8" s="1"/>
  <c r="BL74" i="8" s="1"/>
  <c r="BM74" i="8" s="1"/>
  <c r="BN74" i="8" s="1"/>
  <c r="BO74" i="8" s="1"/>
  <c r="G100" i="8"/>
  <c r="H100" i="8" s="1"/>
  <c r="I100" i="8" s="1"/>
  <c r="J100" i="8" s="1"/>
  <c r="K100" i="8" s="1"/>
  <c r="L100" i="8" s="1"/>
  <c r="M100" i="8" s="1"/>
  <c r="N100" i="8" s="1"/>
  <c r="O100" i="8" s="1"/>
  <c r="P100" i="8" s="1"/>
  <c r="Q100" i="8" s="1"/>
  <c r="R100" i="8" s="1"/>
  <c r="S100" i="8" s="1"/>
  <c r="T100" i="8" s="1"/>
  <c r="U100" i="8" s="1"/>
  <c r="V100" i="8" s="1"/>
  <c r="W100" i="8" s="1"/>
  <c r="X100" i="8" s="1"/>
  <c r="Y100" i="8" s="1"/>
  <c r="Z100" i="8" s="1"/>
  <c r="AA100" i="8" s="1"/>
  <c r="AB100" i="8" s="1"/>
  <c r="AC100" i="8" s="1"/>
  <c r="AD100" i="8" s="1"/>
  <c r="AE100" i="8" s="1"/>
  <c r="AF100" i="8" s="1"/>
  <c r="AG100" i="8" s="1"/>
  <c r="AH100" i="8" s="1"/>
  <c r="AI100" i="8" s="1"/>
  <c r="AJ100" i="8" s="1"/>
  <c r="AK100" i="8" s="1"/>
  <c r="AL100" i="8" s="1"/>
  <c r="AM100" i="8" s="1"/>
  <c r="AN100" i="8" s="1"/>
  <c r="AO100" i="8" s="1"/>
  <c r="AP100" i="8" s="1"/>
  <c r="AQ100" i="8" s="1"/>
  <c r="AR100" i="8" s="1"/>
  <c r="AS100" i="8" s="1"/>
  <c r="AT100" i="8" s="1"/>
  <c r="AU100" i="8" s="1"/>
  <c r="AV100" i="8" s="1"/>
  <c r="AW100" i="8" s="1"/>
  <c r="AX100" i="8" s="1"/>
  <c r="AY100" i="8" s="1"/>
  <c r="AZ100" i="8" s="1"/>
  <c r="BA100" i="8" s="1"/>
  <c r="BB100" i="8" s="1"/>
  <c r="BC100" i="8" s="1"/>
  <c r="BD100" i="8" s="1"/>
  <c r="BE100" i="8" s="1"/>
  <c r="BF100" i="8" s="1"/>
  <c r="BG100" i="8" s="1"/>
  <c r="BH100" i="8" s="1"/>
  <c r="BI100" i="8" s="1"/>
  <c r="BJ100" i="8" s="1"/>
  <c r="BK100" i="8" s="1"/>
  <c r="BL100" i="8" s="1"/>
  <c r="BM100" i="8" s="1"/>
  <c r="BN100" i="8" s="1"/>
  <c r="BO100" i="8" s="1"/>
  <c r="G40" i="8"/>
  <c r="H40" i="8" s="1"/>
  <c r="I40" i="8" s="1"/>
  <c r="J40" i="8" s="1"/>
  <c r="K40" i="8" s="1"/>
  <c r="L40" i="8" s="1"/>
  <c r="M40" i="8" s="1"/>
  <c r="N40" i="8" s="1"/>
  <c r="O40" i="8" s="1"/>
  <c r="P40" i="8" s="1"/>
  <c r="Q40" i="8" s="1"/>
  <c r="R40" i="8" s="1"/>
  <c r="S40" i="8" s="1"/>
  <c r="T40" i="8" s="1"/>
  <c r="U40" i="8" s="1"/>
  <c r="V40" i="8" s="1"/>
  <c r="W40" i="8" s="1"/>
  <c r="X40" i="8" s="1"/>
  <c r="Y40" i="8" s="1"/>
  <c r="Z40" i="8" s="1"/>
  <c r="AA40" i="8" s="1"/>
  <c r="AB40" i="8" s="1"/>
  <c r="AC40" i="8" s="1"/>
  <c r="AD40" i="8" s="1"/>
  <c r="AE40" i="8" s="1"/>
  <c r="AF40" i="8" s="1"/>
  <c r="AG40" i="8" s="1"/>
  <c r="AH40" i="8" s="1"/>
  <c r="AI40" i="8" s="1"/>
  <c r="AJ40" i="8" s="1"/>
  <c r="AK40" i="8" s="1"/>
  <c r="AL40" i="8" s="1"/>
  <c r="AM40" i="8" s="1"/>
  <c r="AN40" i="8" s="1"/>
  <c r="AO40" i="8" s="1"/>
  <c r="AP40" i="8" s="1"/>
  <c r="AQ40" i="8" s="1"/>
  <c r="AR40" i="8" s="1"/>
  <c r="AS40" i="8" s="1"/>
  <c r="AT40" i="8" s="1"/>
  <c r="AU40" i="8" s="1"/>
  <c r="AV40" i="8" s="1"/>
  <c r="AW40" i="8" s="1"/>
  <c r="AX40" i="8" s="1"/>
  <c r="AY40" i="8" s="1"/>
  <c r="AZ40" i="8" s="1"/>
  <c r="BA40" i="8" s="1"/>
  <c r="BB40" i="8" s="1"/>
  <c r="BC40" i="8" s="1"/>
  <c r="BD40" i="8" s="1"/>
  <c r="BE40" i="8" s="1"/>
  <c r="BF40" i="8" s="1"/>
  <c r="BG40" i="8" s="1"/>
  <c r="BH40" i="8" s="1"/>
  <c r="BI40" i="8" s="1"/>
  <c r="BJ40" i="8" s="1"/>
  <c r="BK40" i="8" s="1"/>
  <c r="BL40" i="8" s="1"/>
  <c r="BM40" i="8" s="1"/>
  <c r="BN40" i="8" s="1"/>
  <c r="BO40" i="8" s="1"/>
  <c r="G16" i="8"/>
  <c r="H16" i="8" s="1"/>
  <c r="I16" i="8" s="1"/>
  <c r="J16" i="8" s="1"/>
  <c r="K16" i="8" s="1"/>
  <c r="L16" i="8" s="1"/>
  <c r="M16" i="8" s="1"/>
  <c r="N16" i="8" s="1"/>
  <c r="O16" i="8" s="1"/>
  <c r="P16" i="8" s="1"/>
  <c r="Q16" i="8" s="1"/>
  <c r="R16" i="8" s="1"/>
  <c r="S16" i="8" s="1"/>
  <c r="T16" i="8" s="1"/>
  <c r="U16" i="8" s="1"/>
  <c r="V16" i="8" s="1"/>
  <c r="W16" i="8" s="1"/>
  <c r="X16" i="8" s="1"/>
  <c r="Y16" i="8" s="1"/>
  <c r="Z16" i="8" s="1"/>
  <c r="AA16" i="8" s="1"/>
  <c r="AB16" i="8" s="1"/>
  <c r="AC16" i="8" s="1"/>
  <c r="AD16" i="8" s="1"/>
  <c r="AE16" i="8" s="1"/>
  <c r="AF16" i="8" s="1"/>
  <c r="AG16" i="8" s="1"/>
  <c r="AH16" i="8" s="1"/>
  <c r="AI16" i="8" s="1"/>
  <c r="AJ16" i="8" s="1"/>
  <c r="AK16" i="8" s="1"/>
  <c r="AL16" i="8" s="1"/>
  <c r="AM16" i="8" s="1"/>
  <c r="AN16" i="8" s="1"/>
  <c r="AO16" i="8" s="1"/>
  <c r="AP16" i="8" s="1"/>
  <c r="AQ16" i="8" s="1"/>
  <c r="AR16" i="8" s="1"/>
  <c r="AS16" i="8" s="1"/>
  <c r="AT16" i="8" s="1"/>
  <c r="AU16" i="8" s="1"/>
  <c r="AV16" i="8" s="1"/>
  <c r="AW16" i="8" s="1"/>
  <c r="AX16" i="8" s="1"/>
  <c r="AY16" i="8" s="1"/>
  <c r="AZ16" i="8" s="1"/>
  <c r="BA16" i="8" s="1"/>
  <c r="BB16" i="8" s="1"/>
  <c r="BC16" i="8" s="1"/>
  <c r="BD16" i="8" s="1"/>
  <c r="BE16" i="8" s="1"/>
  <c r="BF16" i="8" s="1"/>
  <c r="BG16" i="8" s="1"/>
  <c r="BH16" i="8" s="1"/>
  <c r="BI16" i="8" s="1"/>
  <c r="BJ16" i="8" s="1"/>
  <c r="BK16" i="8" s="1"/>
  <c r="BL16" i="8" s="1"/>
  <c r="BM16" i="8" s="1"/>
  <c r="BN16" i="8" s="1"/>
  <c r="BO16" i="8" s="1"/>
  <c r="G23" i="8"/>
  <c r="H23" i="8" s="1"/>
  <c r="I23" i="8" s="1"/>
  <c r="J23" i="8" s="1"/>
  <c r="K23" i="8" s="1"/>
  <c r="L23" i="8" s="1"/>
  <c r="M23" i="8" s="1"/>
  <c r="N23" i="8" s="1"/>
  <c r="O23" i="8" s="1"/>
  <c r="P23" i="8" s="1"/>
  <c r="Q23" i="8" s="1"/>
  <c r="R23" i="8" s="1"/>
  <c r="S23" i="8" s="1"/>
  <c r="T23" i="8" s="1"/>
  <c r="U23" i="8" s="1"/>
  <c r="V23" i="8" s="1"/>
  <c r="W23" i="8" s="1"/>
  <c r="X23" i="8" s="1"/>
  <c r="Y23" i="8" s="1"/>
  <c r="Z23" i="8" s="1"/>
  <c r="AA23" i="8" s="1"/>
  <c r="AB23" i="8" s="1"/>
  <c r="AC23" i="8" s="1"/>
  <c r="AD23" i="8" s="1"/>
  <c r="AE23" i="8" s="1"/>
  <c r="AF23" i="8" s="1"/>
  <c r="AG23" i="8" s="1"/>
  <c r="AH23" i="8" s="1"/>
  <c r="AI23" i="8" s="1"/>
  <c r="AJ23" i="8" s="1"/>
  <c r="AK23" i="8" s="1"/>
  <c r="AL23" i="8" s="1"/>
  <c r="AM23" i="8" s="1"/>
  <c r="AN23" i="8" s="1"/>
  <c r="AO23" i="8" s="1"/>
  <c r="AP23" i="8" s="1"/>
  <c r="AQ23" i="8" s="1"/>
  <c r="AR23" i="8" s="1"/>
  <c r="AS23" i="8" s="1"/>
  <c r="AT23" i="8" s="1"/>
  <c r="AU23" i="8" s="1"/>
  <c r="AV23" i="8" s="1"/>
  <c r="AW23" i="8" s="1"/>
  <c r="AX23" i="8" s="1"/>
  <c r="AY23" i="8" s="1"/>
  <c r="AZ23" i="8" s="1"/>
  <c r="BA23" i="8" s="1"/>
  <c r="BB23" i="8" s="1"/>
  <c r="BC23" i="8" s="1"/>
  <c r="BD23" i="8" s="1"/>
  <c r="BE23" i="8" s="1"/>
  <c r="BF23" i="8" s="1"/>
  <c r="BG23" i="8" s="1"/>
  <c r="BH23" i="8" s="1"/>
  <c r="BI23" i="8" s="1"/>
  <c r="BJ23" i="8" s="1"/>
  <c r="BK23" i="8" s="1"/>
  <c r="BL23" i="8" s="1"/>
  <c r="BM23" i="8" s="1"/>
  <c r="BN23" i="8" s="1"/>
  <c r="BO23" i="8" s="1"/>
  <c r="G6" i="8"/>
  <c r="H6" i="8" s="1"/>
  <c r="I6" i="8" s="1"/>
  <c r="J6" i="8" s="1"/>
  <c r="K6" i="8" s="1"/>
  <c r="L6" i="8" s="1"/>
  <c r="M6" i="8" s="1"/>
  <c r="N6" i="8" s="1"/>
  <c r="O6" i="8" s="1"/>
  <c r="P6" i="8" s="1"/>
  <c r="Q6" i="8" s="1"/>
  <c r="R6" i="8" s="1"/>
  <c r="S6" i="8" s="1"/>
  <c r="T6" i="8" s="1"/>
  <c r="U6" i="8" s="1"/>
  <c r="V6" i="8" s="1"/>
  <c r="W6" i="8" s="1"/>
  <c r="X6" i="8" s="1"/>
  <c r="Y6" i="8" s="1"/>
  <c r="Z6" i="8" s="1"/>
  <c r="AA6" i="8" s="1"/>
  <c r="AB6" i="8" s="1"/>
  <c r="AC6" i="8" s="1"/>
  <c r="AD6" i="8" s="1"/>
  <c r="AE6" i="8" s="1"/>
  <c r="AF6" i="8" s="1"/>
  <c r="AG6" i="8" s="1"/>
  <c r="AH6" i="8" s="1"/>
  <c r="AI6" i="8" s="1"/>
  <c r="AJ6" i="8" s="1"/>
  <c r="AK6" i="8" s="1"/>
  <c r="AL6" i="8" s="1"/>
  <c r="AM6" i="8" s="1"/>
  <c r="AN6" i="8" s="1"/>
  <c r="AO6" i="8" s="1"/>
  <c r="AP6" i="8" s="1"/>
  <c r="AQ6" i="8" s="1"/>
  <c r="AR6" i="8" s="1"/>
  <c r="AS6" i="8" s="1"/>
  <c r="AT6" i="8" s="1"/>
  <c r="AU6" i="8" s="1"/>
  <c r="AV6" i="8" s="1"/>
  <c r="AW6" i="8" s="1"/>
  <c r="AX6" i="8" s="1"/>
  <c r="AY6" i="8" s="1"/>
  <c r="AZ6" i="8" s="1"/>
  <c r="BA6" i="8" s="1"/>
  <c r="BB6" i="8" s="1"/>
  <c r="BC6" i="8" s="1"/>
  <c r="BD6" i="8" s="1"/>
  <c r="BE6" i="8" s="1"/>
  <c r="BF6" i="8" s="1"/>
  <c r="BG6" i="8" s="1"/>
  <c r="BH6" i="8" s="1"/>
  <c r="BI6" i="8" s="1"/>
  <c r="BJ6" i="8" s="1"/>
  <c r="BK6" i="8" s="1"/>
  <c r="BL6" i="8" s="1"/>
  <c r="BM6" i="8" s="1"/>
  <c r="BN6" i="8" s="1"/>
  <c r="BO6" i="8" s="1"/>
  <c r="G5" i="8"/>
  <c r="H5" i="8" s="1"/>
  <c r="I5" i="8" s="1"/>
  <c r="J5" i="8" s="1"/>
  <c r="K5" i="8" s="1"/>
  <c r="L5" i="8" s="1"/>
  <c r="M5" i="8" s="1"/>
  <c r="N5" i="8" s="1"/>
  <c r="O5" i="8" s="1"/>
  <c r="P5" i="8" s="1"/>
  <c r="Q5" i="8" s="1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AJ5" i="8" s="1"/>
  <c r="AK5" i="8" s="1"/>
  <c r="AL5" i="8" s="1"/>
  <c r="AM5" i="8" s="1"/>
  <c r="AN5" i="8" s="1"/>
  <c r="AO5" i="8" s="1"/>
  <c r="AP5" i="8" s="1"/>
  <c r="AQ5" i="8" s="1"/>
  <c r="AR5" i="8" s="1"/>
  <c r="AS5" i="8" s="1"/>
  <c r="AT5" i="8" s="1"/>
  <c r="AU5" i="8" s="1"/>
  <c r="AV5" i="8" s="1"/>
  <c r="AW5" i="8" s="1"/>
  <c r="AX5" i="8" s="1"/>
  <c r="AY5" i="8" s="1"/>
  <c r="AZ5" i="8" s="1"/>
  <c r="BA5" i="8" s="1"/>
  <c r="BB5" i="8" s="1"/>
  <c r="BC5" i="8" s="1"/>
  <c r="BD5" i="8" s="1"/>
  <c r="BE5" i="8" s="1"/>
  <c r="BF5" i="8" s="1"/>
  <c r="BG5" i="8" s="1"/>
  <c r="BH5" i="8" s="1"/>
  <c r="BI5" i="8" s="1"/>
  <c r="BJ5" i="8" s="1"/>
  <c r="BK5" i="8" s="1"/>
  <c r="BL5" i="8" s="1"/>
  <c r="BM5" i="8" s="1"/>
  <c r="BN5" i="8" s="1"/>
  <c r="BO5" i="8" s="1"/>
  <c r="G11" i="8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AN11" i="8" s="1"/>
  <c r="AO11" i="8" s="1"/>
  <c r="AP11" i="8" s="1"/>
  <c r="AQ11" i="8" s="1"/>
  <c r="AR11" i="8" s="1"/>
  <c r="AS11" i="8" s="1"/>
  <c r="AT11" i="8" s="1"/>
  <c r="AU11" i="8" s="1"/>
  <c r="AV11" i="8" s="1"/>
  <c r="AW11" i="8" s="1"/>
  <c r="AX11" i="8" s="1"/>
  <c r="AY11" i="8" s="1"/>
  <c r="AZ11" i="8" s="1"/>
  <c r="BA11" i="8" s="1"/>
  <c r="BB11" i="8" s="1"/>
  <c r="BC11" i="8" s="1"/>
  <c r="BD11" i="8" s="1"/>
  <c r="BE11" i="8" s="1"/>
  <c r="BF11" i="8" s="1"/>
  <c r="BG11" i="8" s="1"/>
  <c r="BH11" i="8" s="1"/>
  <c r="BI11" i="8" s="1"/>
  <c r="BJ11" i="8" s="1"/>
  <c r="BK11" i="8" s="1"/>
  <c r="BL11" i="8" s="1"/>
  <c r="BM11" i="8" s="1"/>
  <c r="BN11" i="8" s="1"/>
  <c r="BO11" i="8" s="1"/>
  <c r="G98" i="8"/>
  <c r="H98" i="8" s="1"/>
  <c r="I98" i="8" s="1"/>
  <c r="J98" i="8" s="1"/>
  <c r="K98" i="8" s="1"/>
  <c r="L98" i="8" s="1"/>
  <c r="M98" i="8" s="1"/>
  <c r="N98" i="8" s="1"/>
  <c r="O98" i="8" s="1"/>
  <c r="P98" i="8" s="1"/>
  <c r="Q98" i="8" s="1"/>
  <c r="R98" i="8" s="1"/>
  <c r="S98" i="8" s="1"/>
  <c r="T98" i="8" s="1"/>
  <c r="U98" i="8" s="1"/>
  <c r="V98" i="8" s="1"/>
  <c r="W98" i="8" s="1"/>
  <c r="X98" i="8" s="1"/>
  <c r="Y98" i="8" s="1"/>
  <c r="Z98" i="8" s="1"/>
  <c r="AA98" i="8" s="1"/>
  <c r="AB98" i="8" s="1"/>
  <c r="AC98" i="8" s="1"/>
  <c r="AD98" i="8" s="1"/>
  <c r="AE98" i="8" s="1"/>
  <c r="AF98" i="8" s="1"/>
  <c r="AG98" i="8" s="1"/>
  <c r="AH98" i="8" s="1"/>
  <c r="AI98" i="8" s="1"/>
  <c r="AJ98" i="8" s="1"/>
  <c r="AK98" i="8" s="1"/>
  <c r="AL98" i="8" s="1"/>
  <c r="AM98" i="8" s="1"/>
  <c r="AN98" i="8" s="1"/>
  <c r="AO98" i="8" s="1"/>
  <c r="AP98" i="8" s="1"/>
  <c r="AQ98" i="8" s="1"/>
  <c r="AR98" i="8" s="1"/>
  <c r="AS98" i="8" s="1"/>
  <c r="AT98" i="8" s="1"/>
  <c r="AU98" i="8" s="1"/>
  <c r="AV98" i="8" s="1"/>
  <c r="AW98" i="8" s="1"/>
  <c r="AX98" i="8" s="1"/>
  <c r="AY98" i="8" s="1"/>
  <c r="AZ98" i="8" s="1"/>
  <c r="BA98" i="8" s="1"/>
  <c r="BB98" i="8" s="1"/>
  <c r="BC98" i="8" s="1"/>
  <c r="BD98" i="8" s="1"/>
  <c r="BE98" i="8" s="1"/>
  <c r="BF98" i="8" s="1"/>
  <c r="BG98" i="8" s="1"/>
  <c r="BH98" i="8" s="1"/>
  <c r="BI98" i="8" s="1"/>
  <c r="BJ98" i="8" s="1"/>
  <c r="BK98" i="8" s="1"/>
  <c r="BL98" i="8" s="1"/>
  <c r="BM98" i="8" s="1"/>
  <c r="BN98" i="8" s="1"/>
  <c r="BO98" i="8" s="1"/>
  <c r="G21" i="8"/>
  <c r="H21" i="8" s="1"/>
  <c r="I21" i="8" s="1"/>
  <c r="J21" i="8" s="1"/>
  <c r="K21" i="8" s="1"/>
  <c r="L21" i="8" s="1"/>
  <c r="M21" i="8" s="1"/>
  <c r="N21" i="8" s="1"/>
  <c r="O21" i="8" s="1"/>
  <c r="P21" i="8" s="1"/>
  <c r="Q21" i="8" s="1"/>
  <c r="R21" i="8" s="1"/>
  <c r="S21" i="8" s="1"/>
  <c r="T21" i="8" s="1"/>
  <c r="U21" i="8" s="1"/>
  <c r="V21" i="8" s="1"/>
  <c r="W21" i="8" s="1"/>
  <c r="X21" i="8" s="1"/>
  <c r="Y21" i="8" s="1"/>
  <c r="Z21" i="8" s="1"/>
  <c r="AA21" i="8" s="1"/>
  <c r="AB21" i="8" s="1"/>
  <c r="AC21" i="8" s="1"/>
  <c r="AD21" i="8" s="1"/>
  <c r="AE21" i="8" s="1"/>
  <c r="AF21" i="8" s="1"/>
  <c r="AG21" i="8" s="1"/>
  <c r="AH21" i="8" s="1"/>
  <c r="AI21" i="8" s="1"/>
  <c r="AJ21" i="8" s="1"/>
  <c r="AK21" i="8" s="1"/>
  <c r="AL21" i="8" s="1"/>
  <c r="AM21" i="8" s="1"/>
  <c r="AN21" i="8" s="1"/>
  <c r="AO21" i="8" s="1"/>
  <c r="AP21" i="8" s="1"/>
  <c r="AQ21" i="8" s="1"/>
  <c r="AR21" i="8" s="1"/>
  <c r="AS21" i="8" s="1"/>
  <c r="AT21" i="8" s="1"/>
  <c r="AU21" i="8" s="1"/>
  <c r="AV21" i="8" s="1"/>
  <c r="AW21" i="8" s="1"/>
  <c r="AX21" i="8" s="1"/>
  <c r="AY21" i="8" s="1"/>
  <c r="AZ21" i="8" s="1"/>
  <c r="BA21" i="8" s="1"/>
  <c r="BB21" i="8" s="1"/>
  <c r="BC21" i="8" s="1"/>
  <c r="BD21" i="8" s="1"/>
  <c r="BE21" i="8" s="1"/>
  <c r="BF21" i="8" s="1"/>
  <c r="BG21" i="8" s="1"/>
  <c r="BH21" i="8" s="1"/>
  <c r="BI21" i="8" s="1"/>
  <c r="BJ21" i="8" s="1"/>
  <c r="BK21" i="8" s="1"/>
  <c r="BL21" i="8" s="1"/>
  <c r="BM21" i="8" s="1"/>
  <c r="BN21" i="8" s="1"/>
  <c r="BO21" i="8" s="1"/>
  <c r="G7" i="8"/>
  <c r="H7" i="8" s="1"/>
  <c r="I7" i="8" s="1"/>
  <c r="J7" i="8" s="1"/>
  <c r="K7" i="8" s="1"/>
  <c r="L7" i="8" s="1"/>
  <c r="M7" i="8" s="1"/>
  <c r="N7" i="8" s="1"/>
  <c r="O7" i="8" s="1"/>
  <c r="P7" i="8" s="1"/>
  <c r="Q7" i="8" s="1"/>
  <c r="R7" i="8" s="1"/>
  <c r="S7" i="8" s="1"/>
  <c r="T7" i="8" s="1"/>
  <c r="U7" i="8" s="1"/>
  <c r="V7" i="8" s="1"/>
  <c r="W7" i="8" s="1"/>
  <c r="X7" i="8" s="1"/>
  <c r="Y7" i="8" s="1"/>
  <c r="Z7" i="8" s="1"/>
  <c r="AA7" i="8" s="1"/>
  <c r="AB7" i="8" s="1"/>
  <c r="AC7" i="8" s="1"/>
  <c r="AD7" i="8" s="1"/>
  <c r="AE7" i="8" s="1"/>
  <c r="AF7" i="8" s="1"/>
  <c r="AG7" i="8" s="1"/>
  <c r="AH7" i="8" s="1"/>
  <c r="AI7" i="8" s="1"/>
  <c r="AJ7" i="8" s="1"/>
  <c r="AK7" i="8" s="1"/>
  <c r="AL7" i="8" s="1"/>
  <c r="AM7" i="8" s="1"/>
  <c r="AN7" i="8" s="1"/>
  <c r="AO7" i="8" s="1"/>
  <c r="AP7" i="8" s="1"/>
  <c r="AQ7" i="8" s="1"/>
  <c r="AR7" i="8" s="1"/>
  <c r="AS7" i="8" s="1"/>
  <c r="AT7" i="8" s="1"/>
  <c r="AU7" i="8" s="1"/>
  <c r="AV7" i="8" s="1"/>
  <c r="AW7" i="8" s="1"/>
  <c r="AX7" i="8" s="1"/>
  <c r="AY7" i="8" s="1"/>
  <c r="AZ7" i="8" s="1"/>
  <c r="BA7" i="8" s="1"/>
  <c r="BB7" i="8" s="1"/>
  <c r="BC7" i="8" s="1"/>
  <c r="BD7" i="8" s="1"/>
  <c r="BE7" i="8" s="1"/>
  <c r="BF7" i="8" s="1"/>
  <c r="BG7" i="8" s="1"/>
  <c r="BH7" i="8" s="1"/>
  <c r="BI7" i="8" s="1"/>
  <c r="BJ7" i="8" s="1"/>
  <c r="BK7" i="8" s="1"/>
  <c r="BL7" i="8" s="1"/>
  <c r="BM7" i="8" s="1"/>
  <c r="BN7" i="8" s="1"/>
  <c r="BO7" i="8" s="1"/>
  <c r="G35" i="8"/>
  <c r="H35" i="8" s="1"/>
  <c r="I35" i="8" s="1"/>
  <c r="J35" i="8" s="1"/>
  <c r="K35" i="8" s="1"/>
  <c r="L35" i="8" s="1"/>
  <c r="M35" i="8" s="1"/>
  <c r="N35" i="8" s="1"/>
  <c r="O35" i="8" s="1"/>
  <c r="P35" i="8" s="1"/>
  <c r="Q35" i="8" s="1"/>
  <c r="R35" i="8" s="1"/>
  <c r="S35" i="8" s="1"/>
  <c r="T35" i="8" s="1"/>
  <c r="U35" i="8" s="1"/>
  <c r="V35" i="8" s="1"/>
  <c r="W35" i="8" s="1"/>
  <c r="X35" i="8" s="1"/>
  <c r="Y35" i="8" s="1"/>
  <c r="Z35" i="8" s="1"/>
  <c r="AA35" i="8" s="1"/>
  <c r="AB35" i="8" s="1"/>
  <c r="AC35" i="8" s="1"/>
  <c r="AD35" i="8" s="1"/>
  <c r="AE35" i="8" s="1"/>
  <c r="AF35" i="8" s="1"/>
  <c r="AG35" i="8" s="1"/>
  <c r="AH35" i="8" s="1"/>
  <c r="AI35" i="8" s="1"/>
  <c r="AJ35" i="8" s="1"/>
  <c r="AK35" i="8" s="1"/>
  <c r="AL35" i="8" s="1"/>
  <c r="AM35" i="8" s="1"/>
  <c r="AN35" i="8" s="1"/>
  <c r="AO35" i="8" s="1"/>
  <c r="AP35" i="8" s="1"/>
  <c r="AQ35" i="8" s="1"/>
  <c r="AR35" i="8" s="1"/>
  <c r="AS35" i="8" s="1"/>
  <c r="AT35" i="8" s="1"/>
  <c r="AU35" i="8" s="1"/>
  <c r="AV35" i="8" s="1"/>
  <c r="AW35" i="8" s="1"/>
  <c r="AX35" i="8" s="1"/>
  <c r="AY35" i="8" s="1"/>
  <c r="AZ35" i="8" s="1"/>
  <c r="BA35" i="8" s="1"/>
  <c r="BB35" i="8" s="1"/>
  <c r="BC35" i="8" s="1"/>
  <c r="BD35" i="8" s="1"/>
  <c r="BE35" i="8" s="1"/>
  <c r="BF35" i="8" s="1"/>
  <c r="BG35" i="8" s="1"/>
  <c r="BH35" i="8" s="1"/>
  <c r="BI35" i="8" s="1"/>
  <c r="BJ35" i="8" s="1"/>
  <c r="BK35" i="8" s="1"/>
  <c r="BL35" i="8" s="1"/>
  <c r="BM35" i="8" s="1"/>
  <c r="BN35" i="8" s="1"/>
  <c r="BO35" i="8" s="1"/>
  <c r="G101" i="8"/>
  <c r="H101" i="8" s="1"/>
  <c r="I101" i="8" s="1"/>
  <c r="J101" i="8" s="1"/>
  <c r="K101" i="8" s="1"/>
  <c r="L101" i="8" s="1"/>
  <c r="M101" i="8" s="1"/>
  <c r="N101" i="8" s="1"/>
  <c r="O101" i="8" s="1"/>
  <c r="P101" i="8" s="1"/>
  <c r="Q101" i="8" s="1"/>
  <c r="R101" i="8" s="1"/>
  <c r="S101" i="8" s="1"/>
  <c r="T101" i="8" s="1"/>
  <c r="U101" i="8" s="1"/>
  <c r="V101" i="8" s="1"/>
  <c r="W101" i="8" s="1"/>
  <c r="X101" i="8" s="1"/>
  <c r="Y101" i="8" s="1"/>
  <c r="Z101" i="8" s="1"/>
  <c r="AA101" i="8" s="1"/>
  <c r="AB101" i="8" s="1"/>
  <c r="AC101" i="8" s="1"/>
  <c r="AD101" i="8" s="1"/>
  <c r="AE101" i="8" s="1"/>
  <c r="AF101" i="8" s="1"/>
  <c r="AG101" i="8" s="1"/>
  <c r="AH101" i="8" s="1"/>
  <c r="AI101" i="8" s="1"/>
  <c r="AJ101" i="8" s="1"/>
  <c r="AK101" i="8" s="1"/>
  <c r="AL101" i="8" s="1"/>
  <c r="AM101" i="8" s="1"/>
  <c r="AN101" i="8" s="1"/>
  <c r="AO101" i="8" s="1"/>
  <c r="AP101" i="8" s="1"/>
  <c r="AQ101" i="8" s="1"/>
  <c r="AR101" i="8" s="1"/>
  <c r="AS101" i="8" s="1"/>
  <c r="AT101" i="8" s="1"/>
  <c r="AU101" i="8" s="1"/>
  <c r="AV101" i="8" s="1"/>
  <c r="AW101" i="8" s="1"/>
  <c r="AX101" i="8" s="1"/>
  <c r="AY101" i="8" s="1"/>
  <c r="AZ101" i="8" s="1"/>
  <c r="BA101" i="8" s="1"/>
  <c r="BB101" i="8" s="1"/>
  <c r="BC101" i="8" s="1"/>
  <c r="BD101" i="8" s="1"/>
  <c r="BE101" i="8" s="1"/>
  <c r="BF101" i="8" s="1"/>
  <c r="BG101" i="8" s="1"/>
  <c r="BH101" i="8" s="1"/>
  <c r="BI101" i="8" s="1"/>
  <c r="BJ101" i="8" s="1"/>
  <c r="BK101" i="8" s="1"/>
  <c r="BL101" i="8" s="1"/>
  <c r="BM101" i="8" s="1"/>
  <c r="BN101" i="8" s="1"/>
  <c r="BO101" i="8" s="1"/>
  <c r="G45" i="8"/>
  <c r="H45" i="8" s="1"/>
  <c r="I45" i="8" s="1"/>
  <c r="J45" i="8" s="1"/>
  <c r="K45" i="8" s="1"/>
  <c r="L45" i="8" s="1"/>
  <c r="M45" i="8" s="1"/>
  <c r="N45" i="8" s="1"/>
  <c r="O45" i="8" s="1"/>
  <c r="P45" i="8" s="1"/>
  <c r="Q45" i="8" s="1"/>
  <c r="R45" i="8" s="1"/>
  <c r="S45" i="8" s="1"/>
  <c r="T45" i="8" s="1"/>
  <c r="U45" i="8" s="1"/>
  <c r="V45" i="8" s="1"/>
  <c r="W45" i="8" s="1"/>
  <c r="X45" i="8" s="1"/>
  <c r="Y45" i="8" s="1"/>
  <c r="Z45" i="8" s="1"/>
  <c r="AA45" i="8" s="1"/>
  <c r="AB45" i="8" s="1"/>
  <c r="AC45" i="8" s="1"/>
  <c r="AD45" i="8" s="1"/>
  <c r="AE45" i="8" s="1"/>
  <c r="AF45" i="8" s="1"/>
  <c r="AG45" i="8" s="1"/>
  <c r="AH45" i="8" s="1"/>
  <c r="AI45" i="8" s="1"/>
  <c r="AJ45" i="8" s="1"/>
  <c r="AK45" i="8" s="1"/>
  <c r="AL45" i="8" s="1"/>
  <c r="AM45" i="8" s="1"/>
  <c r="AN45" i="8" s="1"/>
  <c r="AO45" i="8" s="1"/>
  <c r="AP45" i="8" s="1"/>
  <c r="AQ45" i="8" s="1"/>
  <c r="AR45" i="8" s="1"/>
  <c r="AS45" i="8" s="1"/>
  <c r="AT45" i="8" s="1"/>
  <c r="AU45" i="8" s="1"/>
  <c r="AV45" i="8" s="1"/>
  <c r="AW45" i="8" s="1"/>
  <c r="AX45" i="8" s="1"/>
  <c r="AY45" i="8" s="1"/>
  <c r="AZ45" i="8" s="1"/>
  <c r="BA45" i="8" s="1"/>
  <c r="BB45" i="8" s="1"/>
  <c r="BC45" i="8" s="1"/>
  <c r="BD45" i="8" s="1"/>
  <c r="BE45" i="8" s="1"/>
  <c r="BF45" i="8" s="1"/>
  <c r="BG45" i="8" s="1"/>
  <c r="BH45" i="8" s="1"/>
  <c r="BI45" i="8" s="1"/>
  <c r="BJ45" i="8" s="1"/>
  <c r="BK45" i="8" s="1"/>
  <c r="BL45" i="8" s="1"/>
  <c r="BM45" i="8" s="1"/>
  <c r="BN45" i="8" s="1"/>
  <c r="BO45" i="8" s="1"/>
  <c r="G31" i="8"/>
  <c r="H31" i="8" s="1"/>
  <c r="I31" i="8" s="1"/>
  <c r="J31" i="8" s="1"/>
  <c r="K31" i="8" s="1"/>
  <c r="L31" i="8" s="1"/>
  <c r="M31" i="8" s="1"/>
  <c r="N31" i="8" s="1"/>
  <c r="O31" i="8" s="1"/>
  <c r="P31" i="8" s="1"/>
  <c r="Q31" i="8" s="1"/>
  <c r="R31" i="8" s="1"/>
  <c r="S31" i="8" s="1"/>
  <c r="T31" i="8" s="1"/>
  <c r="U31" i="8" s="1"/>
  <c r="V31" i="8" s="1"/>
  <c r="W31" i="8" s="1"/>
  <c r="X31" i="8" s="1"/>
  <c r="Y31" i="8" s="1"/>
  <c r="Z31" i="8" s="1"/>
  <c r="AA31" i="8" s="1"/>
  <c r="AB31" i="8" s="1"/>
  <c r="AC31" i="8" s="1"/>
  <c r="AD31" i="8" s="1"/>
  <c r="AE31" i="8" s="1"/>
  <c r="AF31" i="8" s="1"/>
  <c r="AG31" i="8" s="1"/>
  <c r="AH31" i="8" s="1"/>
  <c r="AI31" i="8" s="1"/>
  <c r="AJ31" i="8" s="1"/>
  <c r="AK31" i="8" s="1"/>
  <c r="AL31" i="8" s="1"/>
  <c r="AM31" i="8" s="1"/>
  <c r="AN31" i="8" s="1"/>
  <c r="AO31" i="8" s="1"/>
  <c r="AP31" i="8" s="1"/>
  <c r="AQ31" i="8" s="1"/>
  <c r="AR31" i="8" s="1"/>
  <c r="AS31" i="8" s="1"/>
  <c r="AT31" i="8" s="1"/>
  <c r="AU31" i="8" s="1"/>
  <c r="AV31" i="8" s="1"/>
  <c r="AW31" i="8" s="1"/>
  <c r="AX31" i="8" s="1"/>
  <c r="AY31" i="8" s="1"/>
  <c r="AZ31" i="8" s="1"/>
  <c r="BA31" i="8" s="1"/>
  <c r="BB31" i="8" s="1"/>
  <c r="BC31" i="8" s="1"/>
  <c r="BD31" i="8" s="1"/>
  <c r="BE31" i="8" s="1"/>
  <c r="BF31" i="8" s="1"/>
  <c r="BG31" i="8" s="1"/>
  <c r="BH31" i="8" s="1"/>
  <c r="BI31" i="8" s="1"/>
  <c r="BJ31" i="8" s="1"/>
  <c r="BK31" i="8" s="1"/>
  <c r="BL31" i="8" s="1"/>
  <c r="BM31" i="8" s="1"/>
  <c r="BN31" i="8" s="1"/>
  <c r="BO31" i="8" s="1"/>
  <c r="G59" i="8"/>
  <c r="H59" i="8" s="1"/>
  <c r="I59" i="8" s="1"/>
  <c r="J59" i="8" s="1"/>
  <c r="K59" i="8" s="1"/>
  <c r="L59" i="8" s="1"/>
  <c r="M59" i="8" s="1"/>
  <c r="N59" i="8" s="1"/>
  <c r="O59" i="8" s="1"/>
  <c r="P59" i="8" s="1"/>
  <c r="Q59" i="8" s="1"/>
  <c r="R59" i="8" s="1"/>
  <c r="S59" i="8" s="1"/>
  <c r="T59" i="8" s="1"/>
  <c r="U59" i="8" s="1"/>
  <c r="V59" i="8" s="1"/>
  <c r="W59" i="8" s="1"/>
  <c r="X59" i="8" s="1"/>
  <c r="Y59" i="8" s="1"/>
  <c r="Z59" i="8" s="1"/>
  <c r="AA59" i="8" s="1"/>
  <c r="AB59" i="8" s="1"/>
  <c r="AC59" i="8" s="1"/>
  <c r="AD59" i="8" s="1"/>
  <c r="AE59" i="8" s="1"/>
  <c r="AF59" i="8" s="1"/>
  <c r="AG59" i="8" s="1"/>
  <c r="AH59" i="8" s="1"/>
  <c r="AI59" i="8" s="1"/>
  <c r="AJ59" i="8" s="1"/>
  <c r="AK59" i="8" s="1"/>
  <c r="AL59" i="8" s="1"/>
  <c r="AM59" i="8" s="1"/>
  <c r="AN59" i="8" s="1"/>
  <c r="AO59" i="8" s="1"/>
  <c r="AP59" i="8" s="1"/>
  <c r="AQ59" i="8" s="1"/>
  <c r="AR59" i="8" s="1"/>
  <c r="AS59" i="8" s="1"/>
  <c r="AT59" i="8" s="1"/>
  <c r="AU59" i="8" s="1"/>
  <c r="AV59" i="8" s="1"/>
  <c r="AW59" i="8" s="1"/>
  <c r="AX59" i="8" s="1"/>
  <c r="AY59" i="8" s="1"/>
  <c r="AZ59" i="8" s="1"/>
  <c r="BA59" i="8" s="1"/>
  <c r="BB59" i="8" s="1"/>
  <c r="BC59" i="8" s="1"/>
  <c r="BD59" i="8" s="1"/>
  <c r="BE59" i="8" s="1"/>
  <c r="BF59" i="8" s="1"/>
  <c r="BG59" i="8" s="1"/>
  <c r="BH59" i="8" s="1"/>
  <c r="BI59" i="8" s="1"/>
  <c r="BJ59" i="8" s="1"/>
  <c r="BK59" i="8" s="1"/>
  <c r="BL59" i="8" s="1"/>
  <c r="BM59" i="8" s="1"/>
  <c r="BN59" i="8" s="1"/>
  <c r="BO59" i="8" s="1"/>
  <c r="G30" i="8"/>
  <c r="H30" i="8" s="1"/>
  <c r="I30" i="8" s="1"/>
  <c r="J30" i="8" s="1"/>
  <c r="K30" i="8" s="1"/>
  <c r="L30" i="8" s="1"/>
  <c r="M30" i="8" s="1"/>
  <c r="N30" i="8" s="1"/>
  <c r="O30" i="8" s="1"/>
  <c r="P30" i="8" s="1"/>
  <c r="Q30" i="8" s="1"/>
  <c r="R30" i="8" s="1"/>
  <c r="S30" i="8" s="1"/>
  <c r="T30" i="8" s="1"/>
  <c r="U30" i="8" s="1"/>
  <c r="V30" i="8" s="1"/>
  <c r="W30" i="8" s="1"/>
  <c r="X30" i="8" s="1"/>
  <c r="Y30" i="8" s="1"/>
  <c r="Z30" i="8" s="1"/>
  <c r="AA30" i="8" s="1"/>
  <c r="AB30" i="8" s="1"/>
  <c r="AC30" i="8" s="1"/>
  <c r="AD30" i="8" s="1"/>
  <c r="AE30" i="8" s="1"/>
  <c r="AF30" i="8" s="1"/>
  <c r="AG30" i="8" s="1"/>
  <c r="AH30" i="8" s="1"/>
  <c r="AI30" i="8" s="1"/>
  <c r="AJ30" i="8" s="1"/>
  <c r="AK30" i="8" s="1"/>
  <c r="AL30" i="8" s="1"/>
  <c r="AM30" i="8" s="1"/>
  <c r="AN30" i="8" s="1"/>
  <c r="AO30" i="8" s="1"/>
  <c r="AP30" i="8" s="1"/>
  <c r="AQ30" i="8" s="1"/>
  <c r="AR30" i="8" s="1"/>
  <c r="AS30" i="8" s="1"/>
  <c r="AT30" i="8" s="1"/>
  <c r="AU30" i="8" s="1"/>
  <c r="AV30" i="8" s="1"/>
  <c r="AW30" i="8" s="1"/>
  <c r="AX30" i="8" s="1"/>
  <c r="AY30" i="8" s="1"/>
  <c r="AZ30" i="8" s="1"/>
  <c r="BA30" i="8" s="1"/>
  <c r="BB30" i="8" s="1"/>
  <c r="BC30" i="8" s="1"/>
  <c r="BD30" i="8" s="1"/>
  <c r="BE30" i="8" s="1"/>
  <c r="BF30" i="8" s="1"/>
  <c r="BG30" i="8" s="1"/>
  <c r="BH30" i="8" s="1"/>
  <c r="BI30" i="8" s="1"/>
  <c r="BJ30" i="8" s="1"/>
  <c r="BK30" i="8" s="1"/>
  <c r="BL30" i="8" s="1"/>
  <c r="BM30" i="8" s="1"/>
  <c r="BN30" i="8" s="1"/>
  <c r="BO30" i="8" s="1"/>
  <c r="G73" i="8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AN73" i="8" s="1"/>
  <c r="AO73" i="8" s="1"/>
  <c r="AP73" i="8" s="1"/>
  <c r="AQ73" i="8" s="1"/>
  <c r="AR73" i="8" s="1"/>
  <c r="AS73" i="8" s="1"/>
  <c r="AT73" i="8" s="1"/>
  <c r="AU73" i="8" s="1"/>
  <c r="AV73" i="8" s="1"/>
  <c r="AW73" i="8" s="1"/>
  <c r="AX73" i="8" s="1"/>
  <c r="AY73" i="8" s="1"/>
  <c r="AZ73" i="8" s="1"/>
  <c r="BA73" i="8" s="1"/>
  <c r="BB73" i="8" s="1"/>
  <c r="BC73" i="8" s="1"/>
  <c r="BD73" i="8" s="1"/>
  <c r="BE73" i="8" s="1"/>
  <c r="BF73" i="8" s="1"/>
  <c r="BG73" i="8" s="1"/>
  <c r="BH73" i="8" s="1"/>
  <c r="BI73" i="8" s="1"/>
  <c r="BJ73" i="8" s="1"/>
  <c r="BK73" i="8" s="1"/>
  <c r="BL73" i="8" s="1"/>
  <c r="BM73" i="8" s="1"/>
  <c r="BN73" i="8" s="1"/>
  <c r="BO73" i="8" s="1"/>
  <c r="G69" i="8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AN69" i="8" s="1"/>
  <c r="AO69" i="8" s="1"/>
  <c r="AP69" i="8" s="1"/>
  <c r="AQ69" i="8" s="1"/>
  <c r="AR69" i="8" s="1"/>
  <c r="AS69" i="8" s="1"/>
  <c r="AT69" i="8" s="1"/>
  <c r="AU69" i="8" s="1"/>
  <c r="AV69" i="8" s="1"/>
  <c r="AW69" i="8" s="1"/>
  <c r="AX69" i="8" s="1"/>
  <c r="AY69" i="8" s="1"/>
  <c r="AZ69" i="8" s="1"/>
  <c r="BA69" i="8" s="1"/>
  <c r="BB69" i="8" s="1"/>
  <c r="BC69" i="8" s="1"/>
  <c r="BD69" i="8" s="1"/>
  <c r="BE69" i="8" s="1"/>
  <c r="BF69" i="8" s="1"/>
  <c r="BG69" i="8" s="1"/>
  <c r="BH69" i="8" s="1"/>
  <c r="BI69" i="8" s="1"/>
  <c r="BJ69" i="8" s="1"/>
  <c r="BK69" i="8" s="1"/>
  <c r="BL69" i="8" s="1"/>
  <c r="BM69" i="8" s="1"/>
  <c r="BN69" i="8" s="1"/>
  <c r="BO69" i="8" s="1"/>
  <c r="G55" i="8"/>
  <c r="H55" i="8" s="1"/>
  <c r="I55" i="8" s="1"/>
  <c r="J55" i="8" s="1"/>
  <c r="K55" i="8" s="1"/>
  <c r="L55" i="8" s="1"/>
  <c r="M55" i="8" s="1"/>
  <c r="N55" i="8" s="1"/>
  <c r="O55" i="8" s="1"/>
  <c r="P55" i="8" s="1"/>
  <c r="Q55" i="8" s="1"/>
  <c r="R55" i="8" s="1"/>
  <c r="S55" i="8" s="1"/>
  <c r="T55" i="8" s="1"/>
  <c r="U55" i="8" s="1"/>
  <c r="V55" i="8" s="1"/>
  <c r="W55" i="8" s="1"/>
  <c r="X55" i="8" s="1"/>
  <c r="Y55" i="8" s="1"/>
  <c r="Z55" i="8" s="1"/>
  <c r="AA55" i="8" s="1"/>
  <c r="AB55" i="8" s="1"/>
  <c r="AC55" i="8" s="1"/>
  <c r="AD55" i="8" s="1"/>
  <c r="AE55" i="8" s="1"/>
  <c r="AF55" i="8" s="1"/>
  <c r="AG55" i="8" s="1"/>
  <c r="AH55" i="8" s="1"/>
  <c r="AI55" i="8" s="1"/>
  <c r="AJ55" i="8" s="1"/>
  <c r="AK55" i="8" s="1"/>
  <c r="AL55" i="8" s="1"/>
  <c r="AM55" i="8" s="1"/>
  <c r="AN55" i="8" s="1"/>
  <c r="AO55" i="8" s="1"/>
  <c r="AP55" i="8" s="1"/>
  <c r="AQ55" i="8" s="1"/>
  <c r="AR55" i="8" s="1"/>
  <c r="AS55" i="8" s="1"/>
  <c r="AT55" i="8" s="1"/>
  <c r="AU55" i="8" s="1"/>
  <c r="AV55" i="8" s="1"/>
  <c r="AW55" i="8" s="1"/>
  <c r="AX55" i="8" s="1"/>
  <c r="AY55" i="8" s="1"/>
  <c r="AZ55" i="8" s="1"/>
  <c r="BA55" i="8" s="1"/>
  <c r="BB55" i="8" s="1"/>
  <c r="BC55" i="8" s="1"/>
  <c r="BD55" i="8" s="1"/>
  <c r="BE55" i="8" s="1"/>
  <c r="BF55" i="8" s="1"/>
  <c r="BG55" i="8" s="1"/>
  <c r="BH55" i="8" s="1"/>
  <c r="BI55" i="8" s="1"/>
  <c r="BJ55" i="8" s="1"/>
  <c r="BK55" i="8" s="1"/>
  <c r="BL55" i="8" s="1"/>
  <c r="BM55" i="8" s="1"/>
  <c r="BN55" i="8" s="1"/>
  <c r="BO55" i="8" s="1"/>
  <c r="G83" i="8"/>
  <c r="H83" i="8" s="1"/>
  <c r="I83" i="8" s="1"/>
  <c r="J83" i="8" s="1"/>
  <c r="K83" i="8" s="1"/>
  <c r="L83" i="8" s="1"/>
  <c r="M83" i="8" s="1"/>
  <c r="N83" i="8" s="1"/>
  <c r="O83" i="8" s="1"/>
  <c r="P83" i="8" s="1"/>
  <c r="Q83" i="8" s="1"/>
  <c r="R83" i="8" s="1"/>
  <c r="S83" i="8" s="1"/>
  <c r="T83" i="8" s="1"/>
  <c r="U83" i="8" s="1"/>
  <c r="V83" i="8" s="1"/>
  <c r="W83" i="8" s="1"/>
  <c r="X83" i="8" s="1"/>
  <c r="Y83" i="8" s="1"/>
  <c r="Z83" i="8" s="1"/>
  <c r="AA83" i="8" s="1"/>
  <c r="AB83" i="8" s="1"/>
  <c r="AC83" i="8" s="1"/>
  <c r="AD83" i="8" s="1"/>
  <c r="AE83" i="8" s="1"/>
  <c r="AF83" i="8" s="1"/>
  <c r="AG83" i="8" s="1"/>
  <c r="AH83" i="8" s="1"/>
  <c r="AI83" i="8" s="1"/>
  <c r="AJ83" i="8" s="1"/>
  <c r="AK83" i="8" s="1"/>
  <c r="AL83" i="8" s="1"/>
  <c r="AM83" i="8" s="1"/>
  <c r="AN83" i="8" s="1"/>
  <c r="AO83" i="8" s="1"/>
  <c r="AP83" i="8" s="1"/>
  <c r="AQ83" i="8" s="1"/>
  <c r="AR83" i="8" s="1"/>
  <c r="AS83" i="8" s="1"/>
  <c r="AT83" i="8" s="1"/>
  <c r="AU83" i="8" s="1"/>
  <c r="AV83" i="8" s="1"/>
  <c r="AW83" i="8" s="1"/>
  <c r="AX83" i="8" s="1"/>
  <c r="AY83" i="8" s="1"/>
  <c r="AZ83" i="8" s="1"/>
  <c r="BA83" i="8" s="1"/>
  <c r="BB83" i="8" s="1"/>
  <c r="BC83" i="8" s="1"/>
  <c r="BD83" i="8" s="1"/>
  <c r="BE83" i="8" s="1"/>
  <c r="BF83" i="8" s="1"/>
  <c r="BG83" i="8" s="1"/>
  <c r="BH83" i="8" s="1"/>
  <c r="BI83" i="8" s="1"/>
  <c r="BJ83" i="8" s="1"/>
  <c r="BK83" i="8" s="1"/>
  <c r="BL83" i="8" s="1"/>
  <c r="BM83" i="8" s="1"/>
  <c r="BN83" i="8" s="1"/>
  <c r="BO83" i="8" s="1"/>
  <c r="G86" i="8"/>
  <c r="H86" i="8" s="1"/>
  <c r="I86" i="8" s="1"/>
  <c r="J86" i="8" s="1"/>
  <c r="K86" i="8" s="1"/>
  <c r="L86" i="8" s="1"/>
  <c r="M86" i="8" s="1"/>
  <c r="N86" i="8" s="1"/>
  <c r="O86" i="8" s="1"/>
  <c r="P86" i="8" s="1"/>
  <c r="Q86" i="8" s="1"/>
  <c r="R86" i="8" s="1"/>
  <c r="S86" i="8" s="1"/>
  <c r="T86" i="8" s="1"/>
  <c r="U86" i="8" s="1"/>
  <c r="V86" i="8" s="1"/>
  <c r="W86" i="8" s="1"/>
  <c r="X86" i="8" s="1"/>
  <c r="Y86" i="8" s="1"/>
  <c r="Z86" i="8" s="1"/>
  <c r="AA86" i="8" s="1"/>
  <c r="AB86" i="8" s="1"/>
  <c r="AC86" i="8" s="1"/>
  <c r="AD86" i="8" s="1"/>
  <c r="AE86" i="8" s="1"/>
  <c r="AF86" i="8" s="1"/>
  <c r="AG86" i="8" s="1"/>
  <c r="AH86" i="8" s="1"/>
  <c r="AI86" i="8" s="1"/>
  <c r="AJ86" i="8" s="1"/>
  <c r="AK86" i="8" s="1"/>
  <c r="AL86" i="8" s="1"/>
  <c r="AM86" i="8" s="1"/>
  <c r="AN86" i="8" s="1"/>
  <c r="AO86" i="8" s="1"/>
  <c r="AP86" i="8" s="1"/>
  <c r="AQ86" i="8" s="1"/>
  <c r="AR86" i="8" s="1"/>
  <c r="AS86" i="8" s="1"/>
  <c r="AT86" i="8" s="1"/>
  <c r="AU86" i="8" s="1"/>
  <c r="AV86" i="8" s="1"/>
  <c r="AW86" i="8" s="1"/>
  <c r="AX86" i="8" s="1"/>
  <c r="AY86" i="8" s="1"/>
  <c r="AZ86" i="8" s="1"/>
  <c r="BA86" i="8" s="1"/>
  <c r="BB86" i="8" s="1"/>
  <c r="BC86" i="8" s="1"/>
  <c r="BD86" i="8" s="1"/>
  <c r="BE86" i="8" s="1"/>
  <c r="BF86" i="8" s="1"/>
  <c r="BG86" i="8" s="1"/>
  <c r="BH86" i="8" s="1"/>
  <c r="BI86" i="8" s="1"/>
  <c r="BJ86" i="8" s="1"/>
  <c r="BK86" i="8" s="1"/>
  <c r="BL86" i="8" s="1"/>
  <c r="BM86" i="8" s="1"/>
  <c r="BN86" i="8" s="1"/>
  <c r="BO86" i="8" s="1"/>
  <c r="G88" i="8"/>
  <c r="H88" i="8" s="1"/>
  <c r="I88" i="8" s="1"/>
  <c r="J88" i="8" s="1"/>
  <c r="K88" i="8" s="1"/>
  <c r="L88" i="8" s="1"/>
  <c r="M88" i="8" s="1"/>
  <c r="N88" i="8" s="1"/>
  <c r="O88" i="8" s="1"/>
  <c r="P88" i="8" s="1"/>
  <c r="Q88" i="8" s="1"/>
  <c r="R88" i="8" s="1"/>
  <c r="S88" i="8" s="1"/>
  <c r="T88" i="8" s="1"/>
  <c r="U88" i="8" s="1"/>
  <c r="V88" i="8" s="1"/>
  <c r="W88" i="8" s="1"/>
  <c r="X88" i="8" s="1"/>
  <c r="Y88" i="8" s="1"/>
  <c r="Z88" i="8" s="1"/>
  <c r="AA88" i="8" s="1"/>
  <c r="AB88" i="8" s="1"/>
  <c r="AC88" i="8" s="1"/>
  <c r="AD88" i="8" s="1"/>
  <c r="AE88" i="8" s="1"/>
  <c r="AF88" i="8" s="1"/>
  <c r="AG88" i="8" s="1"/>
  <c r="AH88" i="8" s="1"/>
  <c r="AI88" i="8" s="1"/>
  <c r="AJ88" i="8" s="1"/>
  <c r="AK88" i="8" s="1"/>
  <c r="AL88" i="8" s="1"/>
  <c r="AM88" i="8" s="1"/>
  <c r="AN88" i="8" s="1"/>
  <c r="AO88" i="8" s="1"/>
  <c r="AP88" i="8" s="1"/>
  <c r="AQ88" i="8" s="1"/>
  <c r="AR88" i="8" s="1"/>
  <c r="AS88" i="8" s="1"/>
  <c r="AT88" i="8" s="1"/>
  <c r="AU88" i="8" s="1"/>
  <c r="AV88" i="8" s="1"/>
  <c r="AW88" i="8" s="1"/>
  <c r="AX88" i="8" s="1"/>
  <c r="AY88" i="8" s="1"/>
  <c r="AZ88" i="8" s="1"/>
  <c r="BA88" i="8" s="1"/>
  <c r="BB88" i="8" s="1"/>
  <c r="BC88" i="8" s="1"/>
  <c r="BD88" i="8" s="1"/>
  <c r="BE88" i="8" s="1"/>
  <c r="BF88" i="8" s="1"/>
  <c r="BG88" i="8" s="1"/>
  <c r="BH88" i="8" s="1"/>
  <c r="BI88" i="8" s="1"/>
  <c r="BJ88" i="8" s="1"/>
  <c r="BK88" i="8" s="1"/>
  <c r="BL88" i="8" s="1"/>
  <c r="BM88" i="8" s="1"/>
  <c r="BN88" i="8" s="1"/>
  <c r="BO88" i="8" s="1"/>
  <c r="G93" i="8"/>
  <c r="H93" i="8" s="1"/>
  <c r="I93" i="8" s="1"/>
  <c r="J93" i="8" s="1"/>
  <c r="K93" i="8" s="1"/>
  <c r="L93" i="8" s="1"/>
  <c r="M93" i="8" s="1"/>
  <c r="N93" i="8" s="1"/>
  <c r="O93" i="8" s="1"/>
  <c r="P93" i="8" s="1"/>
  <c r="Q93" i="8" s="1"/>
  <c r="R93" i="8" s="1"/>
  <c r="S93" i="8" s="1"/>
  <c r="T93" i="8" s="1"/>
  <c r="U93" i="8" s="1"/>
  <c r="V93" i="8" s="1"/>
  <c r="W93" i="8" s="1"/>
  <c r="X93" i="8" s="1"/>
  <c r="Y93" i="8" s="1"/>
  <c r="Z93" i="8" s="1"/>
  <c r="AA93" i="8" s="1"/>
  <c r="AB93" i="8" s="1"/>
  <c r="AC93" i="8" s="1"/>
  <c r="AD93" i="8" s="1"/>
  <c r="AE93" i="8" s="1"/>
  <c r="AF93" i="8" s="1"/>
  <c r="AG93" i="8" s="1"/>
  <c r="AH93" i="8" s="1"/>
  <c r="AI93" i="8" s="1"/>
  <c r="AJ93" i="8" s="1"/>
  <c r="AK93" i="8" s="1"/>
  <c r="AL93" i="8" s="1"/>
  <c r="AM93" i="8" s="1"/>
  <c r="AN93" i="8" s="1"/>
  <c r="AO93" i="8" s="1"/>
  <c r="AP93" i="8" s="1"/>
  <c r="AQ93" i="8" s="1"/>
  <c r="AR93" i="8" s="1"/>
  <c r="AS93" i="8" s="1"/>
  <c r="AT93" i="8" s="1"/>
  <c r="AU93" i="8" s="1"/>
  <c r="AV93" i="8" s="1"/>
  <c r="AW93" i="8" s="1"/>
  <c r="AX93" i="8" s="1"/>
  <c r="AY93" i="8" s="1"/>
  <c r="AZ93" i="8" s="1"/>
  <c r="BA93" i="8" s="1"/>
  <c r="BB93" i="8" s="1"/>
  <c r="BC93" i="8" s="1"/>
  <c r="BD93" i="8" s="1"/>
  <c r="BE93" i="8" s="1"/>
  <c r="BF93" i="8" s="1"/>
  <c r="BG93" i="8" s="1"/>
  <c r="BH93" i="8" s="1"/>
  <c r="BI93" i="8" s="1"/>
  <c r="BJ93" i="8" s="1"/>
  <c r="BK93" i="8" s="1"/>
  <c r="BL93" i="8" s="1"/>
  <c r="BM93" i="8" s="1"/>
  <c r="BN93" i="8" s="1"/>
  <c r="BO93" i="8" s="1"/>
  <c r="G79" i="8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AN79" i="8" s="1"/>
  <c r="AO79" i="8" s="1"/>
  <c r="AP79" i="8" s="1"/>
  <c r="AQ79" i="8" s="1"/>
  <c r="AR79" i="8" s="1"/>
  <c r="AS79" i="8" s="1"/>
  <c r="AT79" i="8" s="1"/>
  <c r="AU79" i="8" s="1"/>
  <c r="AV79" i="8" s="1"/>
  <c r="AW79" i="8" s="1"/>
  <c r="AX79" i="8" s="1"/>
  <c r="AY79" i="8" s="1"/>
  <c r="AZ79" i="8" s="1"/>
  <c r="BA79" i="8" s="1"/>
  <c r="BB79" i="8" s="1"/>
  <c r="BC79" i="8" s="1"/>
  <c r="BD79" i="8" s="1"/>
  <c r="BE79" i="8" s="1"/>
  <c r="BF79" i="8" s="1"/>
  <c r="BG79" i="8" s="1"/>
  <c r="BH79" i="8" s="1"/>
  <c r="BI79" i="8" s="1"/>
  <c r="BJ79" i="8" s="1"/>
  <c r="BK79" i="8" s="1"/>
  <c r="BL79" i="8" s="1"/>
  <c r="BM79" i="8" s="1"/>
  <c r="BN79" i="8" s="1"/>
  <c r="BO79" i="8" s="1"/>
  <c r="G38" i="8"/>
  <c r="H38" i="8" s="1"/>
  <c r="I38" i="8" s="1"/>
  <c r="J38" i="8" s="1"/>
  <c r="K38" i="8" s="1"/>
  <c r="L38" i="8" s="1"/>
  <c r="M38" i="8" s="1"/>
  <c r="N38" i="8" s="1"/>
  <c r="O38" i="8" s="1"/>
  <c r="P38" i="8" s="1"/>
  <c r="Q38" i="8" s="1"/>
  <c r="R38" i="8" s="1"/>
  <c r="S38" i="8" s="1"/>
  <c r="T38" i="8" s="1"/>
  <c r="U38" i="8" s="1"/>
  <c r="V38" i="8" s="1"/>
  <c r="W38" i="8" s="1"/>
  <c r="X38" i="8" s="1"/>
  <c r="Y38" i="8" s="1"/>
  <c r="Z38" i="8" s="1"/>
  <c r="AA38" i="8" s="1"/>
  <c r="AB38" i="8" s="1"/>
  <c r="AC38" i="8" s="1"/>
  <c r="AD38" i="8" s="1"/>
  <c r="AE38" i="8" s="1"/>
  <c r="AF38" i="8" s="1"/>
  <c r="AG38" i="8" s="1"/>
  <c r="AH38" i="8" s="1"/>
  <c r="AI38" i="8" s="1"/>
  <c r="AJ38" i="8" s="1"/>
  <c r="AK38" i="8" s="1"/>
  <c r="AL38" i="8" s="1"/>
  <c r="AM38" i="8" s="1"/>
  <c r="AN38" i="8" s="1"/>
  <c r="AO38" i="8" s="1"/>
  <c r="AP38" i="8" s="1"/>
  <c r="AQ38" i="8" s="1"/>
  <c r="AR38" i="8" s="1"/>
  <c r="AS38" i="8" s="1"/>
  <c r="AT38" i="8" s="1"/>
  <c r="AU38" i="8" s="1"/>
  <c r="AV38" i="8" s="1"/>
  <c r="AW38" i="8" s="1"/>
  <c r="AX38" i="8" s="1"/>
  <c r="AY38" i="8" s="1"/>
  <c r="AZ38" i="8" s="1"/>
  <c r="BA38" i="8" s="1"/>
  <c r="BB38" i="8" s="1"/>
  <c r="BC38" i="8" s="1"/>
  <c r="BD38" i="8" s="1"/>
  <c r="BE38" i="8" s="1"/>
  <c r="BF38" i="8" s="1"/>
  <c r="BG38" i="8" s="1"/>
  <c r="BH38" i="8" s="1"/>
  <c r="BI38" i="8" s="1"/>
  <c r="BJ38" i="8" s="1"/>
  <c r="BK38" i="8" s="1"/>
  <c r="BL38" i="8" s="1"/>
  <c r="BM38" i="8" s="1"/>
  <c r="BN38" i="8" s="1"/>
  <c r="BO38" i="8" s="1"/>
  <c r="G27" i="8"/>
  <c r="H27" i="8" s="1"/>
  <c r="I27" i="8" s="1"/>
  <c r="J27" i="8" s="1"/>
  <c r="K27" i="8" s="1"/>
  <c r="L27" i="8" s="1"/>
  <c r="M27" i="8" s="1"/>
  <c r="N27" i="8" s="1"/>
  <c r="O27" i="8" s="1"/>
  <c r="P27" i="8" s="1"/>
  <c r="Q27" i="8" s="1"/>
  <c r="R27" i="8" s="1"/>
  <c r="S27" i="8" s="1"/>
  <c r="T27" i="8" s="1"/>
  <c r="U27" i="8" s="1"/>
  <c r="V27" i="8" s="1"/>
  <c r="W27" i="8" s="1"/>
  <c r="X27" i="8" s="1"/>
  <c r="Y27" i="8" s="1"/>
  <c r="Z27" i="8" s="1"/>
  <c r="AA27" i="8" s="1"/>
  <c r="AB27" i="8" s="1"/>
  <c r="AC27" i="8" s="1"/>
  <c r="AD27" i="8" s="1"/>
  <c r="AE27" i="8" s="1"/>
  <c r="AF27" i="8" s="1"/>
  <c r="AG27" i="8" s="1"/>
  <c r="AH27" i="8" s="1"/>
  <c r="AI27" i="8" s="1"/>
  <c r="AJ27" i="8" s="1"/>
  <c r="AK27" i="8" s="1"/>
  <c r="AL27" i="8" s="1"/>
  <c r="AM27" i="8" s="1"/>
  <c r="AN27" i="8" s="1"/>
  <c r="AO27" i="8" s="1"/>
  <c r="AP27" i="8" s="1"/>
  <c r="AQ27" i="8" s="1"/>
  <c r="AR27" i="8" s="1"/>
  <c r="AS27" i="8" s="1"/>
  <c r="AT27" i="8" s="1"/>
  <c r="AU27" i="8" s="1"/>
  <c r="AV27" i="8" s="1"/>
  <c r="AW27" i="8" s="1"/>
  <c r="AX27" i="8" s="1"/>
  <c r="AY27" i="8" s="1"/>
  <c r="AZ27" i="8" s="1"/>
  <c r="BA27" i="8" s="1"/>
  <c r="BB27" i="8" s="1"/>
  <c r="BC27" i="8" s="1"/>
  <c r="BD27" i="8" s="1"/>
  <c r="BE27" i="8" s="1"/>
  <c r="BF27" i="8" s="1"/>
  <c r="BG27" i="8" s="1"/>
  <c r="BH27" i="8" s="1"/>
  <c r="BI27" i="8" s="1"/>
  <c r="BJ27" i="8" s="1"/>
  <c r="BK27" i="8" s="1"/>
  <c r="BL27" i="8" s="1"/>
  <c r="BM27" i="8" s="1"/>
  <c r="BN27" i="8" s="1"/>
  <c r="BO27" i="8" s="1"/>
  <c r="G8" i="8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AG8" i="8" s="1"/>
  <c r="AH8" i="8" s="1"/>
  <c r="AI8" i="8" s="1"/>
  <c r="AJ8" i="8" s="1"/>
  <c r="AK8" i="8" s="1"/>
  <c r="AL8" i="8" s="1"/>
  <c r="AM8" i="8" s="1"/>
  <c r="AN8" i="8" s="1"/>
  <c r="AO8" i="8" s="1"/>
  <c r="AP8" i="8" s="1"/>
  <c r="AQ8" i="8" s="1"/>
  <c r="AR8" i="8" s="1"/>
  <c r="AS8" i="8" s="1"/>
  <c r="AT8" i="8" s="1"/>
  <c r="AU8" i="8" s="1"/>
  <c r="AV8" i="8" s="1"/>
  <c r="AW8" i="8" s="1"/>
  <c r="AX8" i="8" s="1"/>
  <c r="AY8" i="8" s="1"/>
  <c r="AZ8" i="8" s="1"/>
  <c r="BA8" i="8" s="1"/>
  <c r="BB8" i="8" s="1"/>
  <c r="BC8" i="8" s="1"/>
  <c r="BD8" i="8" s="1"/>
  <c r="BE8" i="8" s="1"/>
  <c r="BF8" i="8" s="1"/>
  <c r="BG8" i="8" s="1"/>
  <c r="BH8" i="8" s="1"/>
  <c r="BI8" i="8" s="1"/>
  <c r="BJ8" i="8" s="1"/>
  <c r="BK8" i="8" s="1"/>
  <c r="BL8" i="8" s="1"/>
  <c r="BM8" i="8" s="1"/>
  <c r="BN8" i="8" s="1"/>
  <c r="BO8" i="8" s="1"/>
  <c r="G71" i="8"/>
  <c r="H71" i="8" s="1"/>
  <c r="I71" i="8" s="1"/>
  <c r="J71" i="8" s="1"/>
  <c r="K71" i="8" s="1"/>
  <c r="L71" i="8" s="1"/>
  <c r="M71" i="8" s="1"/>
  <c r="N71" i="8" s="1"/>
  <c r="O71" i="8" s="1"/>
  <c r="P71" i="8" s="1"/>
  <c r="Q71" i="8" s="1"/>
  <c r="R71" i="8" s="1"/>
  <c r="S71" i="8" s="1"/>
  <c r="T71" i="8" s="1"/>
  <c r="U71" i="8" s="1"/>
  <c r="V71" i="8" s="1"/>
  <c r="W71" i="8" s="1"/>
  <c r="X71" i="8" s="1"/>
  <c r="Y71" i="8" s="1"/>
  <c r="Z71" i="8" s="1"/>
  <c r="AA71" i="8" s="1"/>
  <c r="AB71" i="8" s="1"/>
  <c r="AC71" i="8" s="1"/>
  <c r="AD71" i="8" s="1"/>
  <c r="AE71" i="8" s="1"/>
  <c r="AF71" i="8" s="1"/>
  <c r="AG71" i="8" s="1"/>
  <c r="AH71" i="8" s="1"/>
  <c r="AI71" i="8" s="1"/>
  <c r="AJ71" i="8" s="1"/>
  <c r="AK71" i="8" s="1"/>
  <c r="AL71" i="8" s="1"/>
  <c r="AM71" i="8" s="1"/>
  <c r="AN71" i="8" s="1"/>
  <c r="AO71" i="8" s="1"/>
  <c r="AP71" i="8" s="1"/>
  <c r="AQ71" i="8" s="1"/>
  <c r="AR71" i="8" s="1"/>
  <c r="AS71" i="8" s="1"/>
  <c r="AT71" i="8" s="1"/>
  <c r="AU71" i="8" s="1"/>
  <c r="AV71" i="8" s="1"/>
  <c r="AW71" i="8" s="1"/>
  <c r="AX71" i="8" s="1"/>
  <c r="AY71" i="8" s="1"/>
  <c r="AZ71" i="8" s="1"/>
  <c r="BA71" i="8" s="1"/>
  <c r="BB71" i="8" s="1"/>
  <c r="BC71" i="8" s="1"/>
  <c r="BD71" i="8" s="1"/>
  <c r="BE71" i="8" s="1"/>
  <c r="BF71" i="8" s="1"/>
  <c r="BG71" i="8" s="1"/>
  <c r="BH71" i="8" s="1"/>
  <c r="BI71" i="8" s="1"/>
  <c r="BJ71" i="8" s="1"/>
  <c r="BK71" i="8" s="1"/>
  <c r="BL71" i="8" s="1"/>
  <c r="BM71" i="8" s="1"/>
  <c r="BN71" i="8" s="1"/>
  <c r="BO71" i="8" s="1"/>
  <c r="G2" i="8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G2" i="8" s="1"/>
  <c r="AH2" i="8" s="1"/>
  <c r="AI2" i="8" s="1"/>
  <c r="AJ2" i="8" s="1"/>
  <c r="AK2" i="8" s="1"/>
  <c r="AL2" i="8" s="1"/>
  <c r="AM2" i="8" s="1"/>
  <c r="AN2" i="8" s="1"/>
  <c r="AO2" i="8" s="1"/>
  <c r="AP2" i="8" s="1"/>
  <c r="AQ2" i="8" s="1"/>
  <c r="AR2" i="8" s="1"/>
  <c r="AS2" i="8" s="1"/>
  <c r="AT2" i="8" s="1"/>
  <c r="AU2" i="8" s="1"/>
  <c r="AV2" i="8" s="1"/>
  <c r="AW2" i="8" s="1"/>
  <c r="AX2" i="8" s="1"/>
  <c r="AY2" i="8" s="1"/>
  <c r="AZ2" i="8" s="1"/>
  <c r="BA2" i="8" s="1"/>
  <c r="BB2" i="8" s="1"/>
  <c r="BC2" i="8" s="1"/>
  <c r="BD2" i="8" s="1"/>
  <c r="BE2" i="8" s="1"/>
  <c r="BF2" i="8" s="1"/>
  <c r="BG2" i="8" s="1"/>
  <c r="BH2" i="8" s="1"/>
  <c r="BI2" i="8" s="1"/>
  <c r="BJ2" i="8" s="1"/>
  <c r="BK2" i="8" s="1"/>
  <c r="BL2" i="8" s="1"/>
  <c r="BM2" i="8" s="1"/>
  <c r="BN2" i="8" s="1"/>
  <c r="BO2" i="8" s="1"/>
  <c r="G63" i="8"/>
  <c r="H63" i="8" s="1"/>
  <c r="I63" i="8" s="1"/>
  <c r="J63" i="8" s="1"/>
  <c r="K63" i="8" s="1"/>
  <c r="L63" i="8" s="1"/>
  <c r="M63" i="8" s="1"/>
  <c r="N63" i="8" s="1"/>
  <c r="O63" i="8" s="1"/>
  <c r="P63" i="8" s="1"/>
  <c r="Q63" i="8" s="1"/>
  <c r="R63" i="8" s="1"/>
  <c r="S63" i="8" s="1"/>
  <c r="T63" i="8" s="1"/>
  <c r="U63" i="8" s="1"/>
  <c r="V63" i="8" s="1"/>
  <c r="W63" i="8" s="1"/>
  <c r="X63" i="8" s="1"/>
  <c r="Y63" i="8" s="1"/>
  <c r="Z63" i="8" s="1"/>
  <c r="AA63" i="8" s="1"/>
  <c r="AB63" i="8" s="1"/>
  <c r="AC63" i="8" s="1"/>
  <c r="AD63" i="8" s="1"/>
  <c r="AE63" i="8" s="1"/>
  <c r="AF63" i="8" s="1"/>
  <c r="AG63" i="8" s="1"/>
  <c r="AH63" i="8" s="1"/>
  <c r="AI63" i="8" s="1"/>
  <c r="AJ63" i="8" s="1"/>
  <c r="AK63" i="8" s="1"/>
  <c r="AL63" i="8" s="1"/>
  <c r="AM63" i="8" s="1"/>
  <c r="AN63" i="8" s="1"/>
  <c r="AO63" i="8" s="1"/>
  <c r="AP63" i="8" s="1"/>
  <c r="AQ63" i="8" s="1"/>
  <c r="AR63" i="8" s="1"/>
  <c r="AS63" i="8" s="1"/>
  <c r="AT63" i="8" s="1"/>
  <c r="AU63" i="8" s="1"/>
  <c r="AV63" i="8" s="1"/>
  <c r="AW63" i="8" s="1"/>
  <c r="AX63" i="8" s="1"/>
  <c r="AY63" i="8" s="1"/>
  <c r="AZ63" i="8" s="1"/>
  <c r="BA63" i="8" s="1"/>
  <c r="BB63" i="8" s="1"/>
  <c r="BC63" i="8" s="1"/>
  <c r="BD63" i="8" s="1"/>
  <c r="BE63" i="8" s="1"/>
  <c r="BF63" i="8" s="1"/>
  <c r="BG63" i="8" s="1"/>
  <c r="BH63" i="8" s="1"/>
  <c r="BI63" i="8" s="1"/>
  <c r="BJ63" i="8" s="1"/>
  <c r="BK63" i="8" s="1"/>
  <c r="BL63" i="8" s="1"/>
  <c r="BM63" i="8" s="1"/>
  <c r="BN63" i="8" s="1"/>
  <c r="BO63" i="8" s="1"/>
  <c r="G54" i="8"/>
  <c r="H54" i="8" s="1"/>
  <c r="I54" i="8" s="1"/>
  <c r="J54" i="8" s="1"/>
  <c r="K54" i="8" s="1"/>
  <c r="L54" i="8" s="1"/>
  <c r="M54" i="8" s="1"/>
  <c r="N54" i="8" s="1"/>
  <c r="O54" i="8" s="1"/>
  <c r="P54" i="8" s="1"/>
  <c r="Q54" i="8" s="1"/>
  <c r="R54" i="8" s="1"/>
  <c r="S54" i="8" s="1"/>
  <c r="T54" i="8" s="1"/>
  <c r="U54" i="8" s="1"/>
  <c r="V54" i="8" s="1"/>
  <c r="W54" i="8" s="1"/>
  <c r="X54" i="8" s="1"/>
  <c r="Y54" i="8" s="1"/>
  <c r="Z54" i="8" s="1"/>
  <c r="AA54" i="8" s="1"/>
  <c r="AB54" i="8" s="1"/>
  <c r="AC54" i="8" s="1"/>
  <c r="AD54" i="8" s="1"/>
  <c r="AE54" i="8" s="1"/>
  <c r="AF54" i="8" s="1"/>
  <c r="AG54" i="8" s="1"/>
  <c r="AH54" i="8" s="1"/>
  <c r="AI54" i="8" s="1"/>
  <c r="AJ54" i="8" s="1"/>
  <c r="AK54" i="8" s="1"/>
  <c r="AL54" i="8" s="1"/>
  <c r="AM54" i="8" s="1"/>
  <c r="AN54" i="8" s="1"/>
  <c r="AO54" i="8" s="1"/>
  <c r="AP54" i="8" s="1"/>
  <c r="AQ54" i="8" s="1"/>
  <c r="AR54" i="8" s="1"/>
  <c r="AS54" i="8" s="1"/>
  <c r="AT54" i="8" s="1"/>
  <c r="AU54" i="8" s="1"/>
  <c r="AV54" i="8" s="1"/>
  <c r="AW54" i="8" s="1"/>
  <c r="AX54" i="8" s="1"/>
  <c r="AY54" i="8" s="1"/>
  <c r="AZ54" i="8" s="1"/>
  <c r="BA54" i="8" s="1"/>
  <c r="BB54" i="8" s="1"/>
  <c r="BC54" i="8" s="1"/>
  <c r="BD54" i="8" s="1"/>
  <c r="BE54" i="8" s="1"/>
  <c r="BF54" i="8" s="1"/>
  <c r="BG54" i="8" s="1"/>
  <c r="BH54" i="8" s="1"/>
  <c r="BI54" i="8" s="1"/>
  <c r="BJ54" i="8" s="1"/>
  <c r="BK54" i="8" s="1"/>
  <c r="BL54" i="8" s="1"/>
  <c r="BM54" i="8" s="1"/>
  <c r="BN54" i="8" s="1"/>
  <c r="BO54" i="8" s="1"/>
  <c r="G66" i="8"/>
  <c r="H66" i="8" s="1"/>
  <c r="I66" i="8" s="1"/>
  <c r="J66" i="8" s="1"/>
  <c r="K66" i="8" s="1"/>
  <c r="L66" i="8" s="1"/>
  <c r="M66" i="8" s="1"/>
  <c r="N66" i="8" s="1"/>
  <c r="O66" i="8" s="1"/>
  <c r="P66" i="8" s="1"/>
  <c r="Q66" i="8" s="1"/>
  <c r="R66" i="8" s="1"/>
  <c r="S66" i="8" s="1"/>
  <c r="T66" i="8" s="1"/>
  <c r="U66" i="8" s="1"/>
  <c r="V66" i="8" s="1"/>
  <c r="W66" i="8" s="1"/>
  <c r="X66" i="8" s="1"/>
  <c r="Y66" i="8" s="1"/>
  <c r="Z66" i="8" s="1"/>
  <c r="AA66" i="8" s="1"/>
  <c r="AB66" i="8" s="1"/>
  <c r="AC66" i="8" s="1"/>
  <c r="AD66" i="8" s="1"/>
  <c r="AE66" i="8" s="1"/>
  <c r="AF66" i="8" s="1"/>
  <c r="AG66" i="8" s="1"/>
  <c r="AH66" i="8" s="1"/>
  <c r="AI66" i="8" s="1"/>
  <c r="AJ66" i="8" s="1"/>
  <c r="AK66" i="8" s="1"/>
  <c r="AL66" i="8" s="1"/>
  <c r="AM66" i="8" s="1"/>
  <c r="AN66" i="8" s="1"/>
  <c r="AO66" i="8" s="1"/>
  <c r="AP66" i="8" s="1"/>
  <c r="AQ66" i="8" s="1"/>
  <c r="AR66" i="8" s="1"/>
  <c r="AS66" i="8" s="1"/>
  <c r="AT66" i="8" s="1"/>
  <c r="AU66" i="8" s="1"/>
  <c r="AV66" i="8" s="1"/>
  <c r="AW66" i="8" s="1"/>
  <c r="AX66" i="8" s="1"/>
  <c r="AY66" i="8" s="1"/>
  <c r="AZ66" i="8" s="1"/>
  <c r="BA66" i="8" s="1"/>
  <c r="BB66" i="8" s="1"/>
  <c r="BC66" i="8" s="1"/>
  <c r="BD66" i="8" s="1"/>
  <c r="BE66" i="8" s="1"/>
  <c r="BF66" i="8" s="1"/>
  <c r="BG66" i="8" s="1"/>
  <c r="BH66" i="8" s="1"/>
  <c r="BI66" i="8" s="1"/>
  <c r="BJ66" i="8" s="1"/>
  <c r="BK66" i="8" s="1"/>
  <c r="BL66" i="8" s="1"/>
  <c r="BM66" i="8" s="1"/>
  <c r="BN66" i="8" s="1"/>
  <c r="BO66" i="8" s="1"/>
  <c r="G48" i="8"/>
  <c r="H48" i="8" s="1"/>
  <c r="I48" i="8" s="1"/>
  <c r="J48" i="8" s="1"/>
  <c r="K48" i="8" s="1"/>
  <c r="L48" i="8" s="1"/>
  <c r="M48" i="8" s="1"/>
  <c r="N48" i="8" s="1"/>
  <c r="O48" i="8" s="1"/>
  <c r="P48" i="8" s="1"/>
  <c r="Q48" i="8" s="1"/>
  <c r="R48" i="8" s="1"/>
  <c r="S48" i="8" s="1"/>
  <c r="T48" i="8" s="1"/>
  <c r="U48" i="8" s="1"/>
  <c r="V48" i="8" s="1"/>
  <c r="W48" i="8" s="1"/>
  <c r="X48" i="8" s="1"/>
  <c r="Y48" i="8" s="1"/>
  <c r="Z48" i="8" s="1"/>
  <c r="AA48" i="8" s="1"/>
  <c r="AB48" i="8" s="1"/>
  <c r="AC48" i="8" s="1"/>
  <c r="AD48" i="8" s="1"/>
  <c r="AE48" i="8" s="1"/>
  <c r="AF48" i="8" s="1"/>
  <c r="AG48" i="8" s="1"/>
  <c r="AH48" i="8" s="1"/>
  <c r="AI48" i="8" s="1"/>
  <c r="AJ48" i="8" s="1"/>
  <c r="AK48" i="8" s="1"/>
  <c r="AL48" i="8" s="1"/>
  <c r="AM48" i="8" s="1"/>
  <c r="AN48" i="8" s="1"/>
  <c r="AO48" i="8" s="1"/>
  <c r="AP48" i="8" s="1"/>
  <c r="AQ48" i="8" s="1"/>
  <c r="AR48" i="8" s="1"/>
  <c r="AS48" i="8" s="1"/>
  <c r="AT48" i="8" s="1"/>
  <c r="AU48" i="8" s="1"/>
  <c r="AV48" i="8" s="1"/>
  <c r="AW48" i="8" s="1"/>
  <c r="AX48" i="8" s="1"/>
  <c r="AY48" i="8" s="1"/>
  <c r="AZ48" i="8" s="1"/>
  <c r="BA48" i="8" s="1"/>
  <c r="BB48" i="8" s="1"/>
  <c r="BC48" i="8" s="1"/>
  <c r="BD48" i="8" s="1"/>
  <c r="BE48" i="8" s="1"/>
  <c r="BF48" i="8" s="1"/>
  <c r="BG48" i="8" s="1"/>
  <c r="BH48" i="8" s="1"/>
  <c r="BI48" i="8" s="1"/>
  <c r="BJ48" i="8" s="1"/>
  <c r="BK48" i="8" s="1"/>
  <c r="BL48" i="8" s="1"/>
  <c r="BM48" i="8" s="1"/>
  <c r="BN48" i="8" s="1"/>
  <c r="BO48" i="8" s="1"/>
  <c r="G57" i="8"/>
  <c r="H57" i="8" s="1"/>
  <c r="I57" i="8" s="1"/>
  <c r="J57" i="8" s="1"/>
  <c r="K57" i="8" s="1"/>
  <c r="L57" i="8" s="1"/>
  <c r="M57" i="8" s="1"/>
  <c r="N57" i="8" s="1"/>
  <c r="O57" i="8" s="1"/>
  <c r="P57" i="8" s="1"/>
  <c r="Q57" i="8" s="1"/>
  <c r="R57" i="8" s="1"/>
  <c r="S57" i="8" s="1"/>
  <c r="T57" i="8" s="1"/>
  <c r="U57" i="8" s="1"/>
  <c r="V57" i="8" s="1"/>
  <c r="W57" i="8" s="1"/>
  <c r="X57" i="8" s="1"/>
  <c r="Y57" i="8" s="1"/>
  <c r="Z57" i="8" s="1"/>
  <c r="AA57" i="8" s="1"/>
  <c r="AB57" i="8" s="1"/>
  <c r="AC57" i="8" s="1"/>
  <c r="AD57" i="8" s="1"/>
  <c r="AE57" i="8" s="1"/>
  <c r="AF57" i="8" s="1"/>
  <c r="AG57" i="8" s="1"/>
  <c r="AH57" i="8" s="1"/>
  <c r="AI57" i="8" s="1"/>
  <c r="AJ57" i="8" s="1"/>
  <c r="AK57" i="8" s="1"/>
  <c r="AL57" i="8" s="1"/>
  <c r="AM57" i="8" s="1"/>
  <c r="AN57" i="8" s="1"/>
  <c r="AO57" i="8" s="1"/>
  <c r="AP57" i="8" s="1"/>
  <c r="AQ57" i="8" s="1"/>
  <c r="AR57" i="8" s="1"/>
  <c r="AS57" i="8" s="1"/>
  <c r="AT57" i="8" s="1"/>
  <c r="AU57" i="8" s="1"/>
  <c r="AV57" i="8" s="1"/>
  <c r="AW57" i="8" s="1"/>
  <c r="AX57" i="8" s="1"/>
  <c r="AY57" i="8" s="1"/>
  <c r="AZ57" i="8" s="1"/>
  <c r="BA57" i="8" s="1"/>
  <c r="BB57" i="8" s="1"/>
  <c r="BC57" i="8" s="1"/>
  <c r="BD57" i="8" s="1"/>
  <c r="BE57" i="8" s="1"/>
  <c r="BF57" i="8" s="1"/>
  <c r="BG57" i="8" s="1"/>
  <c r="BH57" i="8" s="1"/>
  <c r="BI57" i="8" s="1"/>
  <c r="BJ57" i="8" s="1"/>
  <c r="BK57" i="8" s="1"/>
  <c r="BL57" i="8" s="1"/>
  <c r="BM57" i="8" s="1"/>
  <c r="BN57" i="8" s="1"/>
  <c r="BO57" i="8" s="1"/>
  <c r="G25" i="8"/>
  <c r="H25" i="8" s="1"/>
  <c r="I25" i="8" s="1"/>
  <c r="J25" i="8" s="1"/>
  <c r="K25" i="8" s="1"/>
  <c r="L25" i="8" s="1"/>
  <c r="M25" i="8" s="1"/>
  <c r="N25" i="8" s="1"/>
  <c r="O25" i="8" s="1"/>
  <c r="P25" i="8" s="1"/>
  <c r="Q25" i="8" s="1"/>
  <c r="R25" i="8" s="1"/>
  <c r="S25" i="8" s="1"/>
  <c r="T25" i="8" s="1"/>
  <c r="U25" i="8" s="1"/>
  <c r="V25" i="8" s="1"/>
  <c r="W25" i="8" s="1"/>
  <c r="X25" i="8" s="1"/>
  <c r="Y25" i="8" s="1"/>
  <c r="Z25" i="8" s="1"/>
  <c r="AA25" i="8" s="1"/>
  <c r="AB25" i="8" s="1"/>
  <c r="AC25" i="8" s="1"/>
  <c r="AD25" i="8" s="1"/>
  <c r="AE25" i="8" s="1"/>
  <c r="AF25" i="8" s="1"/>
  <c r="AG25" i="8" s="1"/>
  <c r="AH25" i="8" s="1"/>
  <c r="AI25" i="8" s="1"/>
  <c r="AJ25" i="8" s="1"/>
  <c r="AK25" i="8" s="1"/>
  <c r="AL25" i="8" s="1"/>
  <c r="AM25" i="8" s="1"/>
  <c r="AN25" i="8" s="1"/>
  <c r="AO25" i="8" s="1"/>
  <c r="AP25" i="8" s="1"/>
  <c r="AQ25" i="8" s="1"/>
  <c r="AR25" i="8" s="1"/>
  <c r="AS25" i="8" s="1"/>
  <c r="AT25" i="8" s="1"/>
  <c r="AU25" i="8" s="1"/>
  <c r="AV25" i="8" s="1"/>
  <c r="AW25" i="8" s="1"/>
  <c r="AX25" i="8" s="1"/>
  <c r="AY25" i="8" s="1"/>
  <c r="AZ25" i="8" s="1"/>
  <c r="BA25" i="8" s="1"/>
  <c r="BB25" i="8" s="1"/>
  <c r="BC25" i="8" s="1"/>
  <c r="BD25" i="8" s="1"/>
  <c r="BE25" i="8" s="1"/>
  <c r="BF25" i="8" s="1"/>
  <c r="BG25" i="8" s="1"/>
  <c r="BH25" i="8" s="1"/>
  <c r="BI25" i="8" s="1"/>
  <c r="BJ25" i="8" s="1"/>
  <c r="BK25" i="8" s="1"/>
  <c r="BL25" i="8" s="1"/>
  <c r="BM25" i="8" s="1"/>
  <c r="BN25" i="8" s="1"/>
  <c r="BO25" i="8" s="1"/>
  <c r="G32" i="8"/>
  <c r="H32" i="8" s="1"/>
  <c r="I32" i="8" s="1"/>
  <c r="J32" i="8" s="1"/>
  <c r="K32" i="8" s="1"/>
  <c r="L32" i="8" s="1"/>
  <c r="M32" i="8" s="1"/>
  <c r="N32" i="8" s="1"/>
  <c r="O32" i="8" s="1"/>
  <c r="P32" i="8" s="1"/>
  <c r="Q32" i="8" s="1"/>
  <c r="R32" i="8" s="1"/>
  <c r="S32" i="8" s="1"/>
  <c r="T32" i="8" s="1"/>
  <c r="U32" i="8" s="1"/>
  <c r="V32" i="8" s="1"/>
  <c r="W32" i="8" s="1"/>
  <c r="X32" i="8" s="1"/>
  <c r="Y32" i="8" s="1"/>
  <c r="Z32" i="8" s="1"/>
  <c r="AA32" i="8" s="1"/>
  <c r="AB32" i="8" s="1"/>
  <c r="AC32" i="8" s="1"/>
  <c r="AD32" i="8" s="1"/>
  <c r="AE32" i="8" s="1"/>
  <c r="AF32" i="8" s="1"/>
  <c r="AG32" i="8" s="1"/>
  <c r="AH32" i="8" s="1"/>
  <c r="AI32" i="8" s="1"/>
  <c r="AJ32" i="8" s="1"/>
  <c r="AK32" i="8" s="1"/>
  <c r="AL32" i="8" s="1"/>
  <c r="AM32" i="8" s="1"/>
  <c r="AN32" i="8" s="1"/>
  <c r="AO32" i="8" s="1"/>
  <c r="AP32" i="8" s="1"/>
  <c r="AQ32" i="8" s="1"/>
  <c r="AR32" i="8" s="1"/>
  <c r="AS32" i="8" s="1"/>
  <c r="AT32" i="8" s="1"/>
  <c r="AU32" i="8" s="1"/>
  <c r="AV32" i="8" s="1"/>
  <c r="AW32" i="8" s="1"/>
  <c r="AX32" i="8" s="1"/>
  <c r="AY32" i="8" s="1"/>
  <c r="AZ32" i="8" s="1"/>
  <c r="BA32" i="8" s="1"/>
  <c r="BB32" i="8" s="1"/>
  <c r="BC32" i="8" s="1"/>
  <c r="BD32" i="8" s="1"/>
  <c r="BE32" i="8" s="1"/>
  <c r="BF32" i="8" s="1"/>
  <c r="BG32" i="8" s="1"/>
  <c r="BH32" i="8" s="1"/>
  <c r="BI32" i="8" s="1"/>
  <c r="BJ32" i="8" s="1"/>
  <c r="BK32" i="8" s="1"/>
  <c r="BL32" i="8" s="1"/>
  <c r="BM32" i="8" s="1"/>
  <c r="BN32" i="8" s="1"/>
  <c r="BO32" i="8" s="1"/>
  <c r="G50" i="8"/>
  <c r="H50" i="8" s="1"/>
  <c r="I50" i="8" s="1"/>
  <c r="J50" i="8" s="1"/>
  <c r="K50" i="8" s="1"/>
  <c r="L50" i="8" s="1"/>
  <c r="M50" i="8" s="1"/>
  <c r="N50" i="8" s="1"/>
  <c r="O50" i="8" s="1"/>
  <c r="P50" i="8" s="1"/>
  <c r="Q50" i="8" s="1"/>
  <c r="R50" i="8" s="1"/>
  <c r="S50" i="8" s="1"/>
  <c r="T50" i="8" s="1"/>
  <c r="U50" i="8" s="1"/>
  <c r="V50" i="8" s="1"/>
  <c r="W50" i="8" s="1"/>
  <c r="X50" i="8" s="1"/>
  <c r="Y50" i="8" s="1"/>
  <c r="Z50" i="8" s="1"/>
  <c r="AA50" i="8" s="1"/>
  <c r="AB50" i="8" s="1"/>
  <c r="AC50" i="8" s="1"/>
  <c r="AD50" i="8" s="1"/>
  <c r="AE50" i="8" s="1"/>
  <c r="AF50" i="8" s="1"/>
  <c r="AG50" i="8" s="1"/>
  <c r="AH50" i="8" s="1"/>
  <c r="AI50" i="8" s="1"/>
  <c r="AJ50" i="8" s="1"/>
  <c r="AK50" i="8" s="1"/>
  <c r="AL50" i="8" s="1"/>
  <c r="AM50" i="8" s="1"/>
  <c r="AN50" i="8" s="1"/>
  <c r="AO50" i="8" s="1"/>
  <c r="AP50" i="8" s="1"/>
  <c r="AQ50" i="8" s="1"/>
  <c r="AR50" i="8" s="1"/>
  <c r="AS50" i="8" s="1"/>
  <c r="AT50" i="8" s="1"/>
  <c r="AU50" i="8" s="1"/>
  <c r="AV50" i="8" s="1"/>
  <c r="AW50" i="8" s="1"/>
  <c r="AX50" i="8" s="1"/>
  <c r="AY50" i="8" s="1"/>
  <c r="AZ50" i="8" s="1"/>
  <c r="BA50" i="8" s="1"/>
  <c r="BB50" i="8" s="1"/>
  <c r="BC50" i="8" s="1"/>
  <c r="BD50" i="8" s="1"/>
  <c r="BE50" i="8" s="1"/>
  <c r="BF50" i="8" s="1"/>
  <c r="BG50" i="8" s="1"/>
  <c r="BH50" i="8" s="1"/>
  <c r="BI50" i="8" s="1"/>
  <c r="BJ50" i="8" s="1"/>
  <c r="BK50" i="8" s="1"/>
  <c r="BL50" i="8" s="1"/>
  <c r="BM50" i="8" s="1"/>
  <c r="BN50" i="8" s="1"/>
  <c r="BO50" i="8" s="1"/>
  <c r="G17" i="8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A17" i="8" s="1"/>
  <c r="AB17" i="8" s="1"/>
  <c r="AC17" i="8" s="1"/>
  <c r="AD17" i="8" s="1"/>
  <c r="AE17" i="8" s="1"/>
  <c r="AF17" i="8" s="1"/>
  <c r="AG17" i="8" s="1"/>
  <c r="AH17" i="8" s="1"/>
  <c r="AI17" i="8" s="1"/>
  <c r="AJ17" i="8" s="1"/>
  <c r="AK17" i="8" s="1"/>
  <c r="AL17" i="8" s="1"/>
  <c r="AM17" i="8" s="1"/>
  <c r="AN17" i="8" s="1"/>
  <c r="AO17" i="8" s="1"/>
  <c r="AP17" i="8" s="1"/>
  <c r="AQ17" i="8" s="1"/>
  <c r="AR17" i="8" s="1"/>
  <c r="AS17" i="8" s="1"/>
  <c r="AT17" i="8" s="1"/>
  <c r="AU17" i="8" s="1"/>
  <c r="AV17" i="8" s="1"/>
  <c r="AW17" i="8" s="1"/>
  <c r="AX17" i="8" s="1"/>
  <c r="AY17" i="8" s="1"/>
  <c r="AZ17" i="8" s="1"/>
  <c r="BA17" i="8" s="1"/>
  <c r="BB17" i="8" s="1"/>
  <c r="BC17" i="8" s="1"/>
  <c r="BD17" i="8" s="1"/>
  <c r="BE17" i="8" s="1"/>
  <c r="BF17" i="8" s="1"/>
  <c r="BG17" i="8" s="1"/>
  <c r="BH17" i="8" s="1"/>
  <c r="BI17" i="8" s="1"/>
  <c r="BJ17" i="8" s="1"/>
  <c r="BK17" i="8" s="1"/>
  <c r="BL17" i="8" s="1"/>
  <c r="BM17" i="8" s="1"/>
  <c r="BN17" i="8" s="1"/>
  <c r="BO17" i="8" s="1"/>
  <c r="G62" i="8"/>
  <c r="H62" i="8" s="1"/>
  <c r="I62" i="8" s="1"/>
  <c r="J62" i="8" s="1"/>
  <c r="K62" i="8" s="1"/>
  <c r="L62" i="8" s="1"/>
  <c r="M62" i="8" s="1"/>
  <c r="N62" i="8" s="1"/>
  <c r="O62" i="8" s="1"/>
  <c r="P62" i="8" s="1"/>
  <c r="Q62" i="8" s="1"/>
  <c r="R62" i="8" s="1"/>
  <c r="S62" i="8" s="1"/>
  <c r="T62" i="8" s="1"/>
  <c r="U62" i="8" s="1"/>
  <c r="V62" i="8" s="1"/>
  <c r="W62" i="8" s="1"/>
  <c r="X62" i="8" s="1"/>
  <c r="Y62" i="8" s="1"/>
  <c r="Z62" i="8" s="1"/>
  <c r="AA62" i="8" s="1"/>
  <c r="AB62" i="8" s="1"/>
  <c r="AC62" i="8" s="1"/>
  <c r="AD62" i="8" s="1"/>
  <c r="AE62" i="8" s="1"/>
  <c r="AF62" i="8" s="1"/>
  <c r="AG62" i="8" s="1"/>
  <c r="AH62" i="8" s="1"/>
  <c r="AI62" i="8" s="1"/>
  <c r="AJ62" i="8" s="1"/>
  <c r="AK62" i="8" s="1"/>
  <c r="AL62" i="8" s="1"/>
  <c r="AM62" i="8" s="1"/>
  <c r="AN62" i="8" s="1"/>
  <c r="AO62" i="8" s="1"/>
  <c r="AP62" i="8" s="1"/>
  <c r="AQ62" i="8" s="1"/>
  <c r="AR62" i="8" s="1"/>
  <c r="AS62" i="8" s="1"/>
  <c r="AT62" i="8" s="1"/>
  <c r="AU62" i="8" s="1"/>
  <c r="AV62" i="8" s="1"/>
  <c r="AW62" i="8" s="1"/>
  <c r="AX62" i="8" s="1"/>
  <c r="AY62" i="8" s="1"/>
  <c r="AZ62" i="8" s="1"/>
  <c r="BA62" i="8" s="1"/>
  <c r="BB62" i="8" s="1"/>
  <c r="BC62" i="8" s="1"/>
  <c r="BD62" i="8" s="1"/>
  <c r="BE62" i="8" s="1"/>
  <c r="BF62" i="8" s="1"/>
  <c r="BG62" i="8" s="1"/>
  <c r="BH62" i="8" s="1"/>
  <c r="BI62" i="8" s="1"/>
  <c r="BJ62" i="8" s="1"/>
  <c r="BK62" i="8" s="1"/>
  <c r="BL62" i="8" s="1"/>
  <c r="BM62" i="8" s="1"/>
  <c r="BN62" i="8" s="1"/>
  <c r="BO62" i="8" s="1"/>
  <c r="H3" i="8"/>
  <c r="I3" i="8" s="1"/>
  <c r="J3" i="8" s="1"/>
  <c r="K3" i="8" s="1"/>
  <c r="L3" i="8" s="1"/>
  <c r="M3" i="8" s="1"/>
  <c r="N3" i="8" s="1"/>
  <c r="O3" i="8" s="1"/>
  <c r="P3" i="8" s="1"/>
  <c r="Q3" i="8" s="1"/>
  <c r="R3" i="8" s="1"/>
  <c r="S3" i="8" s="1"/>
  <c r="T3" i="8" s="1"/>
  <c r="U3" i="8" s="1"/>
  <c r="V3" i="8" s="1"/>
  <c r="W3" i="8" s="1"/>
  <c r="X3" i="8" s="1"/>
  <c r="Y3" i="8" s="1"/>
  <c r="Z3" i="8" s="1"/>
  <c r="AA3" i="8" s="1"/>
  <c r="AB3" i="8" s="1"/>
  <c r="AC3" i="8" s="1"/>
  <c r="AD3" i="8" s="1"/>
  <c r="AE3" i="8" s="1"/>
  <c r="AF3" i="8" s="1"/>
  <c r="AG3" i="8" s="1"/>
  <c r="AH3" i="8" s="1"/>
  <c r="AI3" i="8" s="1"/>
  <c r="AJ3" i="8" s="1"/>
  <c r="AK3" i="8" s="1"/>
  <c r="AL3" i="8" s="1"/>
  <c r="AM3" i="8" s="1"/>
  <c r="AN3" i="8" s="1"/>
  <c r="AO3" i="8" s="1"/>
  <c r="AP3" i="8" s="1"/>
  <c r="AQ3" i="8" s="1"/>
  <c r="AR3" i="8" s="1"/>
  <c r="AS3" i="8" s="1"/>
  <c r="AT3" i="8" s="1"/>
  <c r="AU3" i="8" s="1"/>
  <c r="AV3" i="8" s="1"/>
  <c r="AW3" i="8" s="1"/>
  <c r="AX3" i="8" s="1"/>
  <c r="AY3" i="8" s="1"/>
  <c r="AZ3" i="8" s="1"/>
  <c r="BA3" i="8" s="1"/>
  <c r="BB3" i="8" s="1"/>
  <c r="BC3" i="8" s="1"/>
  <c r="BD3" i="8" s="1"/>
  <c r="BE3" i="8" s="1"/>
  <c r="BF3" i="8" s="1"/>
  <c r="BG3" i="8" s="1"/>
  <c r="BH3" i="8" s="1"/>
  <c r="BI3" i="8" s="1"/>
  <c r="BJ3" i="8" s="1"/>
  <c r="BK3" i="8" s="1"/>
  <c r="BL3" i="8" s="1"/>
  <c r="BM3" i="8" s="1"/>
  <c r="BN3" i="8" s="1"/>
  <c r="BO3" i="8" s="1"/>
  <c r="G56" i="8"/>
  <c r="H56" i="8" s="1"/>
  <c r="I56" i="8" s="1"/>
  <c r="J56" i="8" s="1"/>
  <c r="K56" i="8" s="1"/>
  <c r="L56" i="8" s="1"/>
  <c r="M56" i="8" s="1"/>
  <c r="N56" i="8" s="1"/>
  <c r="O56" i="8" s="1"/>
  <c r="P56" i="8" s="1"/>
  <c r="Q56" i="8" s="1"/>
  <c r="R56" i="8" s="1"/>
  <c r="S56" i="8" s="1"/>
  <c r="T56" i="8" s="1"/>
  <c r="U56" i="8" s="1"/>
  <c r="V56" i="8" s="1"/>
  <c r="W56" i="8" s="1"/>
  <c r="X56" i="8" s="1"/>
  <c r="Y56" i="8" s="1"/>
  <c r="Z56" i="8" s="1"/>
  <c r="AA56" i="8" s="1"/>
  <c r="AB56" i="8" s="1"/>
  <c r="AC56" i="8" s="1"/>
  <c r="AD56" i="8" s="1"/>
  <c r="AE56" i="8" s="1"/>
  <c r="AF56" i="8" s="1"/>
  <c r="AG56" i="8" s="1"/>
  <c r="AH56" i="8" s="1"/>
  <c r="AI56" i="8" s="1"/>
  <c r="AJ56" i="8" s="1"/>
  <c r="AK56" i="8" s="1"/>
  <c r="AL56" i="8" s="1"/>
  <c r="AM56" i="8" s="1"/>
  <c r="AN56" i="8" s="1"/>
  <c r="AO56" i="8" s="1"/>
  <c r="AP56" i="8" s="1"/>
  <c r="AQ56" i="8" s="1"/>
  <c r="AR56" i="8" s="1"/>
  <c r="AS56" i="8" s="1"/>
  <c r="AT56" i="8" s="1"/>
  <c r="AU56" i="8" s="1"/>
  <c r="AV56" i="8" s="1"/>
  <c r="AW56" i="8" s="1"/>
  <c r="AX56" i="8" s="1"/>
  <c r="AY56" i="8" s="1"/>
  <c r="AZ56" i="8" s="1"/>
  <c r="BA56" i="8" s="1"/>
  <c r="BB56" i="8" s="1"/>
  <c r="BC56" i="8" s="1"/>
  <c r="BD56" i="8" s="1"/>
  <c r="BE56" i="8" s="1"/>
  <c r="BF56" i="8" s="1"/>
  <c r="BG56" i="8" s="1"/>
  <c r="BH56" i="8" s="1"/>
  <c r="BI56" i="8" s="1"/>
  <c r="BJ56" i="8" s="1"/>
  <c r="BK56" i="8" s="1"/>
  <c r="BL56" i="8" s="1"/>
  <c r="BM56" i="8" s="1"/>
  <c r="BN56" i="8" s="1"/>
  <c r="BO56" i="8" s="1"/>
  <c r="G29" i="8"/>
  <c r="H29" i="8" s="1"/>
  <c r="I29" i="8" s="1"/>
  <c r="J29" i="8" s="1"/>
  <c r="K29" i="8" s="1"/>
  <c r="L29" i="8" s="1"/>
  <c r="M29" i="8" s="1"/>
  <c r="N29" i="8" s="1"/>
  <c r="O29" i="8" s="1"/>
  <c r="P29" i="8" s="1"/>
  <c r="Q29" i="8" s="1"/>
  <c r="R29" i="8" s="1"/>
  <c r="S29" i="8" s="1"/>
  <c r="T29" i="8" s="1"/>
  <c r="U29" i="8" s="1"/>
  <c r="V29" i="8" s="1"/>
  <c r="W29" i="8" s="1"/>
  <c r="X29" i="8" s="1"/>
  <c r="Y29" i="8" s="1"/>
  <c r="Z29" i="8" s="1"/>
  <c r="AA29" i="8" s="1"/>
  <c r="AB29" i="8" s="1"/>
  <c r="AC29" i="8" s="1"/>
  <c r="AD29" i="8" s="1"/>
  <c r="AE29" i="8" s="1"/>
  <c r="AF29" i="8" s="1"/>
  <c r="AG29" i="8" s="1"/>
  <c r="AH29" i="8" s="1"/>
  <c r="AI29" i="8" s="1"/>
  <c r="AJ29" i="8" s="1"/>
  <c r="AK29" i="8" s="1"/>
  <c r="AL29" i="8" s="1"/>
  <c r="AM29" i="8" s="1"/>
  <c r="AN29" i="8" s="1"/>
  <c r="AO29" i="8" s="1"/>
  <c r="AP29" i="8" s="1"/>
  <c r="AQ29" i="8" s="1"/>
  <c r="AR29" i="8" s="1"/>
  <c r="AS29" i="8" s="1"/>
  <c r="AT29" i="8" s="1"/>
  <c r="AU29" i="8" s="1"/>
  <c r="AV29" i="8" s="1"/>
  <c r="AW29" i="8" s="1"/>
  <c r="AX29" i="8" s="1"/>
  <c r="AY29" i="8" s="1"/>
  <c r="AZ29" i="8" s="1"/>
  <c r="BA29" i="8" s="1"/>
  <c r="BB29" i="8" s="1"/>
  <c r="BC29" i="8" s="1"/>
  <c r="BD29" i="8" s="1"/>
  <c r="BE29" i="8" s="1"/>
  <c r="BF29" i="8" s="1"/>
  <c r="BG29" i="8" s="1"/>
  <c r="BH29" i="8" s="1"/>
  <c r="BI29" i="8" s="1"/>
  <c r="BJ29" i="8" s="1"/>
  <c r="BK29" i="8" s="1"/>
  <c r="BL29" i="8" s="1"/>
  <c r="BM29" i="8" s="1"/>
  <c r="BN29" i="8" s="1"/>
  <c r="BO29" i="8" s="1"/>
  <c r="G41" i="8"/>
  <c r="H41" i="8" s="1"/>
  <c r="I41" i="8" s="1"/>
  <c r="J41" i="8" s="1"/>
  <c r="K41" i="8" s="1"/>
  <c r="L41" i="8" s="1"/>
  <c r="M41" i="8" s="1"/>
  <c r="N41" i="8" s="1"/>
  <c r="O41" i="8" s="1"/>
  <c r="P41" i="8" s="1"/>
  <c r="Q41" i="8" s="1"/>
  <c r="R41" i="8" s="1"/>
  <c r="S41" i="8" s="1"/>
  <c r="T41" i="8" s="1"/>
  <c r="U41" i="8" s="1"/>
  <c r="V41" i="8" s="1"/>
  <c r="W41" i="8" s="1"/>
  <c r="X41" i="8" s="1"/>
  <c r="Y41" i="8" s="1"/>
  <c r="Z41" i="8" s="1"/>
  <c r="AA41" i="8" s="1"/>
  <c r="AB41" i="8" s="1"/>
  <c r="AC41" i="8" s="1"/>
  <c r="AD41" i="8" s="1"/>
  <c r="AE41" i="8" s="1"/>
  <c r="AF41" i="8" s="1"/>
  <c r="AG41" i="8" s="1"/>
  <c r="AH41" i="8" s="1"/>
  <c r="AI41" i="8" s="1"/>
  <c r="AJ41" i="8" s="1"/>
  <c r="AK41" i="8" s="1"/>
  <c r="AL41" i="8" s="1"/>
  <c r="AM41" i="8" s="1"/>
  <c r="AN41" i="8" s="1"/>
  <c r="AO41" i="8" s="1"/>
  <c r="AP41" i="8" s="1"/>
  <c r="AQ41" i="8" s="1"/>
  <c r="AR41" i="8" s="1"/>
  <c r="AS41" i="8" s="1"/>
  <c r="AT41" i="8" s="1"/>
  <c r="AU41" i="8" s="1"/>
  <c r="AV41" i="8" s="1"/>
  <c r="AW41" i="8" s="1"/>
  <c r="AX41" i="8" s="1"/>
  <c r="AY41" i="8" s="1"/>
  <c r="AZ41" i="8" s="1"/>
  <c r="BA41" i="8" s="1"/>
  <c r="BB41" i="8" s="1"/>
  <c r="BC41" i="8" s="1"/>
  <c r="BD41" i="8" s="1"/>
  <c r="BE41" i="8" s="1"/>
  <c r="BF41" i="8" s="1"/>
  <c r="BG41" i="8" s="1"/>
  <c r="BH41" i="8" s="1"/>
  <c r="BI41" i="8" s="1"/>
  <c r="BJ41" i="8" s="1"/>
  <c r="BK41" i="8" s="1"/>
  <c r="BL41" i="8" s="1"/>
  <c r="BM41" i="8" s="1"/>
  <c r="BN41" i="8" s="1"/>
  <c r="BO41" i="8" s="1"/>
  <c r="G65" i="8"/>
  <c r="H65" i="8" s="1"/>
  <c r="I65" i="8" s="1"/>
  <c r="J65" i="8" s="1"/>
  <c r="K65" i="8" s="1"/>
  <c r="L65" i="8" s="1"/>
  <c r="M65" i="8" s="1"/>
  <c r="N65" i="8" s="1"/>
  <c r="O65" i="8" s="1"/>
  <c r="P65" i="8" s="1"/>
  <c r="Q65" i="8" s="1"/>
  <c r="R65" i="8" s="1"/>
  <c r="S65" i="8" s="1"/>
  <c r="T65" i="8" s="1"/>
  <c r="U65" i="8" s="1"/>
  <c r="V65" i="8" s="1"/>
  <c r="W65" i="8" s="1"/>
  <c r="X65" i="8" s="1"/>
  <c r="Y65" i="8" s="1"/>
  <c r="Z65" i="8" s="1"/>
  <c r="AA65" i="8" s="1"/>
  <c r="AB65" i="8" s="1"/>
  <c r="AC65" i="8" s="1"/>
  <c r="AD65" i="8" s="1"/>
  <c r="AE65" i="8" s="1"/>
  <c r="AF65" i="8" s="1"/>
  <c r="AG65" i="8" s="1"/>
  <c r="AH65" i="8" s="1"/>
  <c r="AI65" i="8" s="1"/>
  <c r="AJ65" i="8" s="1"/>
  <c r="AK65" i="8" s="1"/>
  <c r="AL65" i="8" s="1"/>
  <c r="AM65" i="8" s="1"/>
  <c r="AN65" i="8" s="1"/>
  <c r="AO65" i="8" s="1"/>
  <c r="AP65" i="8" s="1"/>
  <c r="AQ65" i="8" s="1"/>
  <c r="AR65" i="8" s="1"/>
  <c r="AS65" i="8" s="1"/>
  <c r="AT65" i="8" s="1"/>
  <c r="AU65" i="8" s="1"/>
  <c r="AV65" i="8" s="1"/>
  <c r="AW65" i="8" s="1"/>
  <c r="AX65" i="8" s="1"/>
  <c r="AY65" i="8" s="1"/>
  <c r="AZ65" i="8" s="1"/>
  <c r="BA65" i="8" s="1"/>
  <c r="BB65" i="8" s="1"/>
  <c r="BC65" i="8" s="1"/>
  <c r="BD65" i="8" s="1"/>
  <c r="BE65" i="8" s="1"/>
  <c r="BF65" i="8" s="1"/>
  <c r="BG65" i="8" s="1"/>
  <c r="BH65" i="8" s="1"/>
  <c r="BI65" i="8" s="1"/>
  <c r="BJ65" i="8" s="1"/>
  <c r="BK65" i="8" s="1"/>
  <c r="BL65" i="8" s="1"/>
  <c r="BM65" i="8" s="1"/>
  <c r="BN65" i="8" s="1"/>
  <c r="BO65" i="8" s="1"/>
  <c r="G22" i="8"/>
  <c r="H22" i="8" s="1"/>
  <c r="I22" i="8" s="1"/>
  <c r="J22" i="8" s="1"/>
  <c r="K22" i="8" s="1"/>
  <c r="L22" i="8" s="1"/>
  <c r="M22" i="8" s="1"/>
  <c r="N22" i="8" s="1"/>
  <c r="O22" i="8" s="1"/>
  <c r="P22" i="8" s="1"/>
  <c r="Q22" i="8" s="1"/>
  <c r="R22" i="8" s="1"/>
  <c r="S22" i="8" s="1"/>
  <c r="T22" i="8" s="1"/>
  <c r="U22" i="8" s="1"/>
  <c r="V22" i="8" s="1"/>
  <c r="W22" i="8" s="1"/>
  <c r="X22" i="8" s="1"/>
  <c r="Y22" i="8" s="1"/>
  <c r="Z22" i="8" s="1"/>
  <c r="AA22" i="8" s="1"/>
  <c r="AB22" i="8" s="1"/>
  <c r="AC22" i="8" s="1"/>
  <c r="AD22" i="8" s="1"/>
  <c r="AE22" i="8" s="1"/>
  <c r="AF22" i="8" s="1"/>
  <c r="AG22" i="8" s="1"/>
  <c r="AH22" i="8" s="1"/>
  <c r="AI22" i="8" s="1"/>
  <c r="AJ22" i="8" s="1"/>
  <c r="AK22" i="8" s="1"/>
  <c r="AL22" i="8" s="1"/>
  <c r="AM22" i="8" s="1"/>
  <c r="AN22" i="8" s="1"/>
  <c r="AO22" i="8" s="1"/>
  <c r="AP22" i="8" s="1"/>
  <c r="AQ22" i="8" s="1"/>
  <c r="AR22" i="8" s="1"/>
  <c r="AS22" i="8" s="1"/>
  <c r="AT22" i="8" s="1"/>
  <c r="AU22" i="8" s="1"/>
  <c r="AV22" i="8" s="1"/>
  <c r="AW22" i="8" s="1"/>
  <c r="AX22" i="8" s="1"/>
  <c r="AY22" i="8" s="1"/>
  <c r="AZ22" i="8" s="1"/>
  <c r="BA22" i="8" s="1"/>
  <c r="BB22" i="8" s="1"/>
  <c r="BC22" i="8" s="1"/>
  <c r="BD22" i="8" s="1"/>
  <c r="BE22" i="8" s="1"/>
  <c r="BF22" i="8" s="1"/>
  <c r="BG22" i="8" s="1"/>
  <c r="BH22" i="8" s="1"/>
  <c r="BI22" i="8" s="1"/>
  <c r="BJ22" i="8" s="1"/>
  <c r="BK22" i="8" s="1"/>
  <c r="BL22" i="8" s="1"/>
  <c r="BM22" i="8" s="1"/>
  <c r="BN22" i="8" s="1"/>
  <c r="BO22" i="8" s="1"/>
  <c r="G80" i="8"/>
  <c r="H80" i="8" s="1"/>
  <c r="I80" i="8" s="1"/>
  <c r="J80" i="8" s="1"/>
  <c r="K80" i="8" s="1"/>
  <c r="L80" i="8" s="1"/>
  <c r="M80" i="8" s="1"/>
  <c r="N80" i="8" s="1"/>
  <c r="O80" i="8" s="1"/>
  <c r="P80" i="8" s="1"/>
  <c r="Q80" i="8" s="1"/>
  <c r="R80" i="8" s="1"/>
  <c r="S80" i="8" s="1"/>
  <c r="T80" i="8" s="1"/>
  <c r="U80" i="8" s="1"/>
  <c r="V80" i="8" s="1"/>
  <c r="W80" i="8" s="1"/>
  <c r="X80" i="8" s="1"/>
  <c r="Y80" i="8" s="1"/>
  <c r="Z80" i="8" s="1"/>
  <c r="AA80" i="8" s="1"/>
  <c r="AB80" i="8" s="1"/>
  <c r="AC80" i="8" s="1"/>
  <c r="AD80" i="8" s="1"/>
  <c r="AE80" i="8" s="1"/>
  <c r="AF80" i="8" s="1"/>
  <c r="AG80" i="8" s="1"/>
  <c r="AH80" i="8" s="1"/>
  <c r="AI80" i="8" s="1"/>
  <c r="AJ80" i="8" s="1"/>
  <c r="AK80" i="8" s="1"/>
  <c r="AL80" i="8" s="1"/>
  <c r="AM80" i="8" s="1"/>
  <c r="AN80" i="8" s="1"/>
  <c r="AO80" i="8" s="1"/>
  <c r="AP80" i="8" s="1"/>
  <c r="AQ80" i="8" s="1"/>
  <c r="AR80" i="8" s="1"/>
  <c r="AS80" i="8" s="1"/>
  <c r="AT80" i="8" s="1"/>
  <c r="AU80" i="8" s="1"/>
  <c r="AV80" i="8" s="1"/>
  <c r="AW80" i="8" s="1"/>
  <c r="AX80" i="8" s="1"/>
  <c r="AY80" i="8" s="1"/>
  <c r="AZ80" i="8" s="1"/>
  <c r="BA80" i="8" s="1"/>
  <c r="BB80" i="8" s="1"/>
  <c r="BC80" i="8" s="1"/>
  <c r="BD80" i="8" s="1"/>
  <c r="BE80" i="8" s="1"/>
  <c r="BF80" i="8" s="1"/>
  <c r="BG80" i="8" s="1"/>
  <c r="BH80" i="8" s="1"/>
  <c r="BI80" i="8" s="1"/>
  <c r="BJ80" i="8" s="1"/>
  <c r="BK80" i="8" s="1"/>
  <c r="BL80" i="8" s="1"/>
  <c r="BM80" i="8" s="1"/>
  <c r="BN80" i="8" s="1"/>
  <c r="BO80" i="8" s="1"/>
  <c r="G12" i="8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AN12" i="8" s="1"/>
  <c r="AO12" i="8" s="1"/>
  <c r="AP12" i="8" s="1"/>
  <c r="AQ12" i="8" s="1"/>
  <c r="AR12" i="8" s="1"/>
  <c r="AS12" i="8" s="1"/>
  <c r="AT12" i="8" s="1"/>
  <c r="AU12" i="8" s="1"/>
  <c r="AV12" i="8" s="1"/>
  <c r="AW12" i="8" s="1"/>
  <c r="AX12" i="8" s="1"/>
  <c r="AY12" i="8" s="1"/>
  <c r="AZ12" i="8" s="1"/>
  <c r="BA12" i="8" s="1"/>
  <c r="BB12" i="8" s="1"/>
  <c r="BC12" i="8" s="1"/>
  <c r="BD12" i="8" s="1"/>
  <c r="BE12" i="8" s="1"/>
  <c r="BF12" i="8" s="1"/>
  <c r="BG12" i="8" s="1"/>
  <c r="BH12" i="8" s="1"/>
  <c r="BI12" i="8" s="1"/>
  <c r="BJ12" i="8" s="1"/>
  <c r="BK12" i="8" s="1"/>
  <c r="BL12" i="8" s="1"/>
  <c r="BM12" i="8" s="1"/>
  <c r="BN12" i="8" s="1"/>
  <c r="BO12" i="8" s="1"/>
  <c r="G89" i="8"/>
  <c r="H89" i="8" s="1"/>
  <c r="I89" i="8" s="1"/>
  <c r="J89" i="8" s="1"/>
  <c r="K89" i="8" s="1"/>
  <c r="L89" i="8" s="1"/>
  <c r="M89" i="8" s="1"/>
  <c r="N89" i="8" s="1"/>
  <c r="O89" i="8" s="1"/>
  <c r="P89" i="8" s="1"/>
  <c r="Q89" i="8" s="1"/>
  <c r="R89" i="8" s="1"/>
  <c r="S89" i="8" s="1"/>
  <c r="T89" i="8" s="1"/>
  <c r="U89" i="8" s="1"/>
  <c r="V89" i="8" s="1"/>
  <c r="W89" i="8" s="1"/>
  <c r="X89" i="8" s="1"/>
  <c r="Y89" i="8" s="1"/>
  <c r="Z89" i="8" s="1"/>
  <c r="AA89" i="8" s="1"/>
  <c r="AB89" i="8" s="1"/>
  <c r="AC89" i="8" s="1"/>
  <c r="AD89" i="8" s="1"/>
  <c r="AE89" i="8" s="1"/>
  <c r="AF89" i="8" s="1"/>
  <c r="AG89" i="8" s="1"/>
  <c r="AH89" i="8" s="1"/>
  <c r="AI89" i="8" s="1"/>
  <c r="AJ89" i="8" s="1"/>
  <c r="AK89" i="8" s="1"/>
  <c r="AL89" i="8" s="1"/>
  <c r="AM89" i="8" s="1"/>
  <c r="AN89" i="8" s="1"/>
  <c r="AO89" i="8" s="1"/>
  <c r="AP89" i="8" s="1"/>
  <c r="AQ89" i="8" s="1"/>
  <c r="AR89" i="8" s="1"/>
  <c r="AS89" i="8" s="1"/>
  <c r="AT89" i="8" s="1"/>
  <c r="AU89" i="8" s="1"/>
  <c r="AV89" i="8" s="1"/>
  <c r="AW89" i="8" s="1"/>
  <c r="AX89" i="8" s="1"/>
  <c r="AY89" i="8" s="1"/>
  <c r="AZ89" i="8" s="1"/>
  <c r="BA89" i="8" s="1"/>
  <c r="BB89" i="8" s="1"/>
  <c r="BC89" i="8" s="1"/>
  <c r="BD89" i="8" s="1"/>
  <c r="BE89" i="8" s="1"/>
  <c r="BF89" i="8" s="1"/>
  <c r="BG89" i="8" s="1"/>
  <c r="BH89" i="8" s="1"/>
  <c r="BI89" i="8" s="1"/>
  <c r="BJ89" i="8" s="1"/>
  <c r="BK89" i="8" s="1"/>
  <c r="BL89" i="8" s="1"/>
  <c r="BM89" i="8" s="1"/>
  <c r="BN89" i="8" s="1"/>
  <c r="BO89" i="8" s="1"/>
  <c r="G46" i="8"/>
  <c r="H46" i="8" s="1"/>
  <c r="I46" i="8" s="1"/>
  <c r="J46" i="8" s="1"/>
  <c r="K46" i="8" s="1"/>
  <c r="L46" i="8" s="1"/>
  <c r="M46" i="8" s="1"/>
  <c r="N46" i="8" s="1"/>
  <c r="O46" i="8" s="1"/>
  <c r="P46" i="8" s="1"/>
  <c r="Q46" i="8" s="1"/>
  <c r="R46" i="8" s="1"/>
  <c r="S46" i="8" s="1"/>
  <c r="T46" i="8" s="1"/>
  <c r="U46" i="8" s="1"/>
  <c r="V46" i="8" s="1"/>
  <c r="W46" i="8" s="1"/>
  <c r="X46" i="8" s="1"/>
  <c r="Y46" i="8" s="1"/>
  <c r="Z46" i="8" s="1"/>
  <c r="AA46" i="8" s="1"/>
  <c r="AB46" i="8" s="1"/>
  <c r="AC46" i="8" s="1"/>
  <c r="AD46" i="8" s="1"/>
  <c r="AE46" i="8" s="1"/>
  <c r="AF46" i="8" s="1"/>
  <c r="AG46" i="8" s="1"/>
  <c r="AH46" i="8" s="1"/>
  <c r="AI46" i="8" s="1"/>
  <c r="AJ46" i="8" s="1"/>
  <c r="AK46" i="8" s="1"/>
  <c r="AL46" i="8" s="1"/>
  <c r="AM46" i="8" s="1"/>
  <c r="AN46" i="8" s="1"/>
  <c r="AO46" i="8" s="1"/>
  <c r="AP46" i="8" s="1"/>
  <c r="AQ46" i="8" s="1"/>
  <c r="AR46" i="8" s="1"/>
  <c r="AS46" i="8" s="1"/>
  <c r="AT46" i="8" s="1"/>
  <c r="AU46" i="8" s="1"/>
  <c r="AV46" i="8" s="1"/>
  <c r="AW46" i="8" s="1"/>
  <c r="AX46" i="8" s="1"/>
  <c r="AY46" i="8" s="1"/>
  <c r="AZ46" i="8" s="1"/>
  <c r="BA46" i="8" s="1"/>
  <c r="BB46" i="8" s="1"/>
  <c r="BC46" i="8" s="1"/>
  <c r="BD46" i="8" s="1"/>
  <c r="BE46" i="8" s="1"/>
  <c r="BF46" i="8" s="1"/>
  <c r="BG46" i="8" s="1"/>
  <c r="BH46" i="8" s="1"/>
  <c r="BI46" i="8" s="1"/>
  <c r="BJ46" i="8" s="1"/>
  <c r="BK46" i="8" s="1"/>
  <c r="BL46" i="8" s="1"/>
  <c r="BM46" i="8" s="1"/>
  <c r="BN46" i="8" s="1"/>
  <c r="BO46" i="8" s="1"/>
  <c r="G102" i="8"/>
  <c r="H102" i="8" s="1"/>
  <c r="I102" i="8" s="1"/>
  <c r="J102" i="8" s="1"/>
  <c r="K102" i="8" s="1"/>
  <c r="L102" i="8" s="1"/>
  <c r="M102" i="8" s="1"/>
  <c r="N102" i="8" s="1"/>
  <c r="O102" i="8" s="1"/>
  <c r="P102" i="8" s="1"/>
  <c r="Q102" i="8" s="1"/>
  <c r="R102" i="8" s="1"/>
  <c r="S102" i="8" s="1"/>
  <c r="T102" i="8" s="1"/>
  <c r="U102" i="8" s="1"/>
  <c r="V102" i="8" s="1"/>
  <c r="W102" i="8" s="1"/>
  <c r="X102" i="8" s="1"/>
  <c r="Y102" i="8" s="1"/>
  <c r="Z102" i="8" s="1"/>
  <c r="AA102" i="8" s="1"/>
  <c r="AB102" i="8" s="1"/>
  <c r="AC102" i="8" s="1"/>
  <c r="AD102" i="8" s="1"/>
  <c r="AE102" i="8" s="1"/>
  <c r="AF102" i="8" s="1"/>
  <c r="AG102" i="8" s="1"/>
  <c r="AH102" i="8" s="1"/>
  <c r="AI102" i="8" s="1"/>
  <c r="AJ102" i="8" s="1"/>
  <c r="AK102" i="8" s="1"/>
  <c r="AL102" i="8" s="1"/>
  <c r="AM102" i="8" s="1"/>
  <c r="AN102" i="8" s="1"/>
  <c r="AO102" i="8" s="1"/>
  <c r="AP102" i="8" s="1"/>
  <c r="AQ102" i="8" s="1"/>
  <c r="AR102" i="8" s="1"/>
  <c r="AS102" i="8" s="1"/>
  <c r="AT102" i="8" s="1"/>
  <c r="AU102" i="8" s="1"/>
  <c r="AV102" i="8" s="1"/>
  <c r="AW102" i="8" s="1"/>
  <c r="AX102" i="8" s="1"/>
  <c r="AY102" i="8" s="1"/>
  <c r="AZ102" i="8" s="1"/>
  <c r="BA102" i="8" s="1"/>
  <c r="BB102" i="8" s="1"/>
  <c r="BC102" i="8" s="1"/>
  <c r="BD102" i="8" s="1"/>
  <c r="BE102" i="8" s="1"/>
  <c r="BF102" i="8" s="1"/>
  <c r="BG102" i="8" s="1"/>
  <c r="BH102" i="8" s="1"/>
  <c r="BI102" i="8" s="1"/>
  <c r="BJ102" i="8" s="1"/>
  <c r="BK102" i="8" s="1"/>
  <c r="BL102" i="8" s="1"/>
  <c r="BM102" i="8" s="1"/>
  <c r="BN102" i="8" s="1"/>
  <c r="BO102" i="8" s="1"/>
  <c r="G36" i="8"/>
  <c r="H36" i="8" s="1"/>
  <c r="I36" i="8" s="1"/>
  <c r="J36" i="8" s="1"/>
  <c r="K36" i="8" s="1"/>
  <c r="L36" i="8" s="1"/>
  <c r="M36" i="8" s="1"/>
  <c r="N36" i="8" s="1"/>
  <c r="O36" i="8" s="1"/>
  <c r="P36" i="8" s="1"/>
  <c r="Q36" i="8" s="1"/>
  <c r="R36" i="8" s="1"/>
  <c r="S36" i="8" s="1"/>
  <c r="T36" i="8" s="1"/>
  <c r="U36" i="8" s="1"/>
  <c r="V36" i="8" s="1"/>
  <c r="W36" i="8" s="1"/>
  <c r="X36" i="8" s="1"/>
  <c r="Y36" i="8" s="1"/>
  <c r="Z36" i="8" s="1"/>
  <c r="AA36" i="8" s="1"/>
  <c r="AB36" i="8" s="1"/>
  <c r="AC36" i="8" s="1"/>
  <c r="AD36" i="8" s="1"/>
  <c r="AE36" i="8" s="1"/>
  <c r="AF36" i="8" s="1"/>
  <c r="AG36" i="8" s="1"/>
  <c r="AH36" i="8" s="1"/>
  <c r="AI36" i="8" s="1"/>
  <c r="AJ36" i="8" s="1"/>
  <c r="AK36" i="8" s="1"/>
  <c r="AL36" i="8" s="1"/>
  <c r="AM36" i="8" s="1"/>
  <c r="AN36" i="8" s="1"/>
  <c r="AO36" i="8" s="1"/>
  <c r="AP36" i="8" s="1"/>
  <c r="AQ36" i="8" s="1"/>
  <c r="AR36" i="8" s="1"/>
  <c r="AS36" i="8" s="1"/>
  <c r="AT36" i="8" s="1"/>
  <c r="AU36" i="8" s="1"/>
  <c r="AV36" i="8" s="1"/>
  <c r="AW36" i="8" s="1"/>
  <c r="AX36" i="8" s="1"/>
  <c r="AY36" i="8" s="1"/>
  <c r="AZ36" i="8" s="1"/>
  <c r="BA36" i="8" s="1"/>
  <c r="BB36" i="8" s="1"/>
  <c r="BC36" i="8" s="1"/>
  <c r="BD36" i="8" s="1"/>
  <c r="BE36" i="8" s="1"/>
  <c r="BF36" i="8" s="1"/>
  <c r="BG36" i="8" s="1"/>
  <c r="BH36" i="8" s="1"/>
  <c r="BI36" i="8" s="1"/>
  <c r="BJ36" i="8" s="1"/>
  <c r="BK36" i="8" s="1"/>
  <c r="BL36" i="8" s="1"/>
  <c r="BM36" i="8" s="1"/>
  <c r="BN36" i="8" s="1"/>
  <c r="BO36" i="8" s="1"/>
  <c r="G70" i="8"/>
  <c r="H70" i="8" s="1"/>
  <c r="I70" i="8" s="1"/>
  <c r="J70" i="8" s="1"/>
  <c r="K70" i="8" s="1"/>
  <c r="L70" i="8" s="1"/>
  <c r="M70" i="8" s="1"/>
  <c r="N70" i="8" s="1"/>
  <c r="O70" i="8" s="1"/>
  <c r="P70" i="8" s="1"/>
  <c r="Q70" i="8" s="1"/>
  <c r="R70" i="8" s="1"/>
  <c r="S70" i="8" s="1"/>
  <c r="T70" i="8" s="1"/>
  <c r="U70" i="8" s="1"/>
  <c r="V70" i="8" s="1"/>
  <c r="W70" i="8" s="1"/>
  <c r="X70" i="8" s="1"/>
  <c r="Y70" i="8" s="1"/>
  <c r="Z70" i="8" s="1"/>
  <c r="AA70" i="8" s="1"/>
  <c r="AB70" i="8" s="1"/>
  <c r="AC70" i="8" s="1"/>
  <c r="AD70" i="8" s="1"/>
  <c r="AE70" i="8" s="1"/>
  <c r="AF70" i="8" s="1"/>
  <c r="AG70" i="8" s="1"/>
  <c r="AH70" i="8" s="1"/>
  <c r="AI70" i="8" s="1"/>
  <c r="AJ70" i="8" s="1"/>
  <c r="AK70" i="8" s="1"/>
  <c r="AL70" i="8" s="1"/>
  <c r="AM70" i="8" s="1"/>
  <c r="AN70" i="8" s="1"/>
  <c r="AO70" i="8" s="1"/>
  <c r="AP70" i="8" s="1"/>
  <c r="AQ70" i="8" s="1"/>
  <c r="AR70" i="8" s="1"/>
  <c r="AS70" i="8" s="1"/>
  <c r="AT70" i="8" s="1"/>
  <c r="AU70" i="8" s="1"/>
  <c r="AV70" i="8" s="1"/>
  <c r="AW70" i="8" s="1"/>
  <c r="AX70" i="8" s="1"/>
  <c r="AY70" i="8" s="1"/>
  <c r="AZ70" i="8" s="1"/>
  <c r="BA70" i="8" s="1"/>
  <c r="BB70" i="8" s="1"/>
  <c r="BC70" i="8" s="1"/>
  <c r="BD70" i="8" s="1"/>
  <c r="BE70" i="8" s="1"/>
  <c r="BF70" i="8" s="1"/>
  <c r="BG70" i="8" s="1"/>
  <c r="BH70" i="8" s="1"/>
  <c r="BI70" i="8" s="1"/>
  <c r="BJ70" i="8" s="1"/>
  <c r="BK70" i="8" s="1"/>
  <c r="BL70" i="8" s="1"/>
  <c r="BM70" i="8" s="1"/>
  <c r="BN70" i="8" s="1"/>
  <c r="BO70" i="8" s="1"/>
  <c r="G9" i="8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N9" i="8" s="1"/>
  <c r="AO9" i="8" s="1"/>
  <c r="AP9" i="8" s="1"/>
  <c r="AQ9" i="8" s="1"/>
  <c r="AR9" i="8" s="1"/>
  <c r="AS9" i="8" s="1"/>
  <c r="AT9" i="8" s="1"/>
  <c r="AU9" i="8" s="1"/>
  <c r="AV9" i="8" s="1"/>
  <c r="AW9" i="8" s="1"/>
  <c r="AX9" i="8" s="1"/>
  <c r="AY9" i="8" s="1"/>
  <c r="AZ9" i="8" s="1"/>
  <c r="BA9" i="8" s="1"/>
  <c r="BB9" i="8" s="1"/>
  <c r="BC9" i="8" s="1"/>
  <c r="BD9" i="8" s="1"/>
  <c r="BE9" i="8" s="1"/>
  <c r="BF9" i="8" s="1"/>
  <c r="BG9" i="8" s="1"/>
  <c r="BH9" i="8" s="1"/>
  <c r="BI9" i="8" s="1"/>
  <c r="BJ9" i="8" s="1"/>
  <c r="BK9" i="8" s="1"/>
  <c r="BL9" i="8" s="1"/>
  <c r="BM9" i="8" s="1"/>
  <c r="BN9" i="8" s="1"/>
  <c r="BO9" i="8" s="1"/>
  <c r="G60" i="8"/>
  <c r="H60" i="8" s="1"/>
  <c r="I60" i="8" s="1"/>
  <c r="J60" i="8" s="1"/>
  <c r="K60" i="8" s="1"/>
  <c r="L60" i="8" s="1"/>
  <c r="M60" i="8" s="1"/>
  <c r="N60" i="8" s="1"/>
  <c r="O60" i="8" s="1"/>
  <c r="P60" i="8" s="1"/>
  <c r="Q60" i="8" s="1"/>
  <c r="R60" i="8" s="1"/>
  <c r="S60" i="8" s="1"/>
  <c r="T60" i="8" s="1"/>
  <c r="U60" i="8" s="1"/>
  <c r="V60" i="8" s="1"/>
  <c r="W60" i="8" s="1"/>
  <c r="X60" i="8" s="1"/>
  <c r="Y60" i="8" s="1"/>
  <c r="Z60" i="8" s="1"/>
  <c r="AA60" i="8" s="1"/>
  <c r="AB60" i="8" s="1"/>
  <c r="AC60" i="8" s="1"/>
  <c r="AD60" i="8" s="1"/>
  <c r="AE60" i="8" s="1"/>
  <c r="AF60" i="8" s="1"/>
  <c r="AG60" i="8" s="1"/>
  <c r="AH60" i="8" s="1"/>
  <c r="AI60" i="8" s="1"/>
  <c r="AJ60" i="8" s="1"/>
  <c r="AK60" i="8" s="1"/>
  <c r="AL60" i="8" s="1"/>
  <c r="AM60" i="8" s="1"/>
  <c r="AN60" i="8" s="1"/>
  <c r="AO60" i="8" s="1"/>
  <c r="AP60" i="8" s="1"/>
  <c r="AQ60" i="8" s="1"/>
  <c r="AR60" i="8" s="1"/>
  <c r="AS60" i="8" s="1"/>
  <c r="AT60" i="8" s="1"/>
  <c r="AU60" i="8" s="1"/>
  <c r="AV60" i="8" s="1"/>
  <c r="AW60" i="8" s="1"/>
  <c r="AX60" i="8" s="1"/>
  <c r="AY60" i="8" s="1"/>
  <c r="AZ60" i="8" s="1"/>
  <c r="BA60" i="8" s="1"/>
  <c r="BB60" i="8" s="1"/>
  <c r="BC60" i="8" s="1"/>
  <c r="BD60" i="8" s="1"/>
  <c r="BE60" i="8" s="1"/>
  <c r="BF60" i="8" s="1"/>
  <c r="BG60" i="8" s="1"/>
  <c r="BH60" i="8" s="1"/>
  <c r="BI60" i="8" s="1"/>
  <c r="BJ60" i="8" s="1"/>
  <c r="BK60" i="8" s="1"/>
  <c r="BL60" i="8" s="1"/>
  <c r="BM60" i="8" s="1"/>
  <c r="BN60" i="8" s="1"/>
  <c r="BO60" i="8" s="1"/>
  <c r="G18" i="8"/>
  <c r="H18" i="8" s="1"/>
  <c r="I18" i="8" s="1"/>
  <c r="J18" i="8" s="1"/>
  <c r="K18" i="8" s="1"/>
  <c r="L18" i="8" s="1"/>
  <c r="M18" i="8" s="1"/>
  <c r="N18" i="8" s="1"/>
  <c r="O18" i="8" s="1"/>
  <c r="P18" i="8" s="1"/>
  <c r="Q18" i="8" s="1"/>
  <c r="R18" i="8" s="1"/>
  <c r="S18" i="8" s="1"/>
  <c r="T18" i="8" s="1"/>
  <c r="U18" i="8" s="1"/>
  <c r="V18" i="8" s="1"/>
  <c r="W18" i="8" s="1"/>
  <c r="X18" i="8" s="1"/>
  <c r="Y18" i="8" s="1"/>
  <c r="Z18" i="8" s="1"/>
  <c r="AA18" i="8" s="1"/>
  <c r="AB18" i="8" s="1"/>
  <c r="AC18" i="8" s="1"/>
  <c r="AD18" i="8" s="1"/>
  <c r="AE18" i="8" s="1"/>
  <c r="AF18" i="8" s="1"/>
  <c r="AG18" i="8" s="1"/>
  <c r="AH18" i="8" s="1"/>
  <c r="AI18" i="8" s="1"/>
  <c r="AJ18" i="8" s="1"/>
  <c r="AK18" i="8" s="1"/>
  <c r="AL18" i="8" s="1"/>
  <c r="AM18" i="8" s="1"/>
  <c r="AN18" i="8" s="1"/>
  <c r="AO18" i="8" s="1"/>
  <c r="AP18" i="8" s="1"/>
  <c r="AQ18" i="8" s="1"/>
  <c r="AR18" i="8" s="1"/>
  <c r="AS18" i="8" s="1"/>
  <c r="AT18" i="8" s="1"/>
  <c r="AU18" i="8" s="1"/>
  <c r="AV18" i="8" s="1"/>
  <c r="AW18" i="8" s="1"/>
  <c r="AX18" i="8" s="1"/>
  <c r="AY18" i="8" s="1"/>
  <c r="AZ18" i="8" s="1"/>
  <c r="BA18" i="8" s="1"/>
  <c r="BB18" i="8" s="1"/>
  <c r="BC18" i="8" s="1"/>
  <c r="BD18" i="8" s="1"/>
  <c r="BE18" i="8" s="1"/>
  <c r="BF18" i="8" s="1"/>
  <c r="BG18" i="8" s="1"/>
  <c r="BH18" i="8" s="1"/>
  <c r="BI18" i="8" s="1"/>
  <c r="BJ18" i="8" s="1"/>
  <c r="BK18" i="8" s="1"/>
  <c r="BL18" i="8" s="1"/>
  <c r="BM18" i="8" s="1"/>
  <c r="BN18" i="8" s="1"/>
  <c r="BO18" i="8" s="1"/>
  <c r="G94" i="8"/>
  <c r="H94" i="8" s="1"/>
  <c r="I94" i="8" s="1"/>
  <c r="J94" i="8" s="1"/>
  <c r="K94" i="8" s="1"/>
  <c r="L94" i="8" s="1"/>
  <c r="M94" i="8" s="1"/>
  <c r="N94" i="8" s="1"/>
  <c r="O94" i="8" s="1"/>
  <c r="P94" i="8" s="1"/>
  <c r="Q94" i="8" s="1"/>
  <c r="R94" i="8" s="1"/>
  <c r="S94" i="8" s="1"/>
  <c r="T94" i="8" s="1"/>
  <c r="U94" i="8" s="1"/>
  <c r="V94" i="8" s="1"/>
  <c r="W94" i="8" s="1"/>
  <c r="X94" i="8" s="1"/>
  <c r="Y94" i="8" s="1"/>
  <c r="Z94" i="8" s="1"/>
  <c r="AA94" i="8" s="1"/>
  <c r="AB94" i="8" s="1"/>
  <c r="AC94" i="8" s="1"/>
  <c r="AD94" i="8" s="1"/>
  <c r="AE94" i="8" s="1"/>
  <c r="AF94" i="8" s="1"/>
  <c r="AG94" i="8" s="1"/>
  <c r="AH94" i="8" s="1"/>
  <c r="AI94" i="8" s="1"/>
  <c r="AJ94" i="8" s="1"/>
  <c r="AK94" i="8" s="1"/>
  <c r="AL94" i="8" s="1"/>
  <c r="AM94" i="8" s="1"/>
  <c r="AN94" i="8" s="1"/>
  <c r="AO94" i="8" s="1"/>
  <c r="AP94" i="8" s="1"/>
  <c r="AQ94" i="8" s="1"/>
  <c r="AR94" i="8" s="1"/>
  <c r="AS94" i="8" s="1"/>
  <c r="AT94" i="8" s="1"/>
  <c r="AU94" i="8" s="1"/>
  <c r="AV94" i="8" s="1"/>
  <c r="AW94" i="8" s="1"/>
  <c r="AX94" i="8" s="1"/>
  <c r="AY94" i="8" s="1"/>
  <c r="AZ94" i="8" s="1"/>
  <c r="BA94" i="8" s="1"/>
  <c r="BB94" i="8" s="1"/>
  <c r="BC94" i="8" s="1"/>
  <c r="BD94" i="8" s="1"/>
  <c r="BE94" i="8" s="1"/>
  <c r="BF94" i="8" s="1"/>
  <c r="BG94" i="8" s="1"/>
  <c r="BH94" i="8" s="1"/>
  <c r="BI94" i="8" s="1"/>
  <c r="BJ94" i="8" s="1"/>
  <c r="BK94" i="8" s="1"/>
  <c r="BL94" i="8" s="1"/>
  <c r="BM94" i="8" s="1"/>
  <c r="BN94" i="8" s="1"/>
  <c r="BO94" i="8" s="1"/>
  <c r="G33" i="2"/>
  <c r="H32" i="2"/>
  <c r="BO104" i="8" l="1"/>
  <c r="G34" i="2"/>
  <c r="H33" i="2"/>
  <c r="G35" i="2" l="1"/>
  <c r="H34" i="2"/>
  <c r="G36" i="2" l="1"/>
  <c r="H35" i="2"/>
  <c r="G37" i="2" l="1"/>
  <c r="H36" i="2"/>
  <c r="G38" i="2" l="1"/>
  <c r="H37" i="2"/>
  <c r="G39" i="2" l="1"/>
  <c r="H38" i="2"/>
  <c r="G40" i="2" l="1"/>
  <c r="H39" i="2"/>
  <c r="G41" i="2" l="1"/>
  <c r="H40" i="2"/>
  <c r="G42" i="2" l="1"/>
  <c r="H41" i="2"/>
  <c r="G43" i="2" l="1"/>
  <c r="H42" i="2"/>
  <c r="G44" i="2" l="1"/>
  <c r="H43" i="2"/>
  <c r="G45" i="2" l="1"/>
  <c r="H44" i="2"/>
  <c r="G46" i="2" l="1"/>
  <c r="H45" i="2"/>
  <c r="G47" i="2" l="1"/>
  <c r="H46" i="2"/>
  <c r="G48" i="2" l="1"/>
  <c r="H47" i="2"/>
  <c r="G49" i="2" l="1"/>
  <c r="H48" i="2"/>
  <c r="G50" i="2" l="1"/>
  <c r="H49" i="2"/>
  <c r="G51" i="2" l="1"/>
  <c r="H50" i="2"/>
  <c r="G52" i="2" l="1"/>
  <c r="H51" i="2"/>
  <c r="G53" i="2" l="1"/>
  <c r="H52" i="2"/>
  <c r="G54" i="2" l="1"/>
  <c r="H53" i="2"/>
  <c r="G55" i="2" l="1"/>
  <c r="H54" i="2"/>
  <c r="G56" i="2" l="1"/>
  <c r="H55" i="2"/>
  <c r="G57" i="2" l="1"/>
  <c r="H56" i="2"/>
  <c r="G58" i="2" l="1"/>
  <c r="H57" i="2"/>
  <c r="G59" i="2" l="1"/>
  <c r="H58" i="2"/>
  <c r="G60" i="2" l="1"/>
  <c r="H59" i="2"/>
  <c r="G61" i="2" l="1"/>
  <c r="H60" i="2"/>
  <c r="G62" i="2" l="1"/>
  <c r="H61" i="2"/>
  <c r="G63" i="2" l="1"/>
  <c r="H62" i="2"/>
  <c r="G64" i="2" l="1"/>
  <c r="H63" i="2"/>
  <c r="G65" i="2" l="1"/>
  <c r="H64" i="2"/>
  <c r="G66" i="2" l="1"/>
  <c r="H65" i="2"/>
  <c r="G67" i="2" l="1"/>
  <c r="H66" i="2"/>
  <c r="G68" i="2" l="1"/>
  <c r="H67" i="2"/>
  <c r="G69" i="2" l="1"/>
  <c r="H68" i="2"/>
  <c r="G70" i="2" l="1"/>
  <c r="H69" i="2"/>
  <c r="G71" i="2" l="1"/>
  <c r="H70" i="2"/>
  <c r="G72" i="2" l="1"/>
  <c r="H71" i="2"/>
  <c r="G73" i="2" l="1"/>
  <c r="H72" i="2"/>
  <c r="G74" i="2" l="1"/>
  <c r="H73" i="2"/>
  <c r="G75" i="2" l="1"/>
  <c r="H74" i="2"/>
  <c r="G76" i="2" l="1"/>
  <c r="H75" i="2"/>
  <c r="G77" i="2" l="1"/>
  <c r="H76" i="2"/>
  <c r="G78" i="2" l="1"/>
  <c r="H77" i="2"/>
  <c r="G79" i="2" l="1"/>
  <c r="H78" i="2"/>
  <c r="G80" i="2" l="1"/>
  <c r="H79" i="2"/>
  <c r="G81" i="2" l="1"/>
  <c r="H80" i="2"/>
  <c r="G82" i="2" l="1"/>
  <c r="H81" i="2"/>
  <c r="G83" i="2" l="1"/>
  <c r="H82" i="2"/>
  <c r="G84" i="2" l="1"/>
  <c r="H83" i="2"/>
  <c r="G85" i="2" l="1"/>
  <c r="H84" i="2"/>
  <c r="G86" i="2" l="1"/>
  <c r="H85" i="2"/>
  <c r="G87" i="2" l="1"/>
  <c r="H86" i="2"/>
  <c r="G88" i="2" l="1"/>
  <c r="H87" i="2"/>
  <c r="G89" i="2" l="1"/>
  <c r="H88" i="2"/>
  <c r="G90" i="2" l="1"/>
  <c r="H89" i="2"/>
  <c r="G91" i="2" l="1"/>
  <c r="H90" i="2"/>
  <c r="G92" i="2" l="1"/>
  <c r="H91" i="2"/>
  <c r="G93" i="2" l="1"/>
  <c r="H92" i="2"/>
  <c r="G94" i="2" l="1"/>
  <c r="H93" i="2"/>
  <c r="G95" i="2" l="1"/>
  <c r="H94" i="2"/>
  <c r="G96" i="2" l="1"/>
  <c r="H95" i="2"/>
  <c r="G97" i="2" l="1"/>
  <c r="H96" i="2"/>
  <c r="G98" i="2" l="1"/>
  <c r="H97" i="2"/>
  <c r="G99" i="2" l="1"/>
  <c r="H98" i="2"/>
  <c r="G100" i="2" l="1"/>
  <c r="H99" i="2"/>
  <c r="G101" i="2" l="1"/>
  <c r="H100" i="2"/>
  <c r="G102" i="2" l="1"/>
  <c r="H101" i="2"/>
  <c r="G103" i="2" l="1"/>
  <c r="H102" i="2"/>
  <c r="G104" i="2" l="1"/>
  <c r="H103" i="2"/>
  <c r="G105" i="2" l="1"/>
  <c r="H104" i="2"/>
  <c r="G106" i="2" l="1"/>
  <c r="H105" i="2"/>
  <c r="G107" i="2" l="1"/>
  <c r="H106" i="2"/>
  <c r="G108" i="2" l="1"/>
  <c r="H107" i="2"/>
  <c r="G109" i="2" l="1"/>
  <c r="H108" i="2"/>
  <c r="G110" i="2" l="1"/>
  <c r="H109" i="2"/>
  <c r="G111" i="2" l="1"/>
  <c r="H110" i="2"/>
  <c r="G112" i="2" l="1"/>
  <c r="H111" i="2"/>
  <c r="G113" i="2" l="1"/>
  <c r="H112" i="2"/>
  <c r="G114" i="2" l="1"/>
  <c r="H113" i="2"/>
  <c r="G115" i="2" l="1"/>
  <c r="H114" i="2"/>
  <c r="G116" i="2" l="1"/>
  <c r="H115" i="2"/>
  <c r="G117" i="2" l="1"/>
  <c r="H116" i="2"/>
  <c r="G118" i="2" l="1"/>
  <c r="H117" i="2"/>
  <c r="G119" i="2" l="1"/>
  <c r="H118" i="2"/>
  <c r="G120" i="2" l="1"/>
  <c r="H119" i="2"/>
  <c r="G121" i="2" l="1"/>
  <c r="H120" i="2"/>
  <c r="G122" i="2" l="1"/>
  <c r="H121" i="2"/>
  <c r="G123" i="2" l="1"/>
  <c r="H122" i="2"/>
  <c r="G124" i="2" l="1"/>
  <c r="H123" i="2"/>
  <c r="G125" i="2" l="1"/>
  <c r="H124" i="2"/>
  <c r="G126" i="2" l="1"/>
  <c r="H125" i="2"/>
  <c r="G127" i="2" l="1"/>
  <c r="H126" i="2"/>
  <c r="G128" i="2" l="1"/>
  <c r="H127" i="2"/>
  <c r="G129" i="2" l="1"/>
  <c r="H128" i="2"/>
  <c r="G130" i="2" l="1"/>
  <c r="H129" i="2"/>
  <c r="G131" i="2" l="1"/>
  <c r="H130" i="2"/>
  <c r="G132" i="2" l="1"/>
  <c r="H131" i="2"/>
  <c r="G133" i="2" l="1"/>
  <c r="H132" i="2"/>
  <c r="G134" i="2" l="1"/>
  <c r="H133" i="2"/>
  <c r="G135" i="2" l="1"/>
  <c r="H134" i="2"/>
  <c r="G136" i="2" l="1"/>
  <c r="H135" i="2"/>
  <c r="G137" i="2" l="1"/>
  <c r="H136" i="2"/>
  <c r="G138" i="2" l="1"/>
  <c r="H137" i="2"/>
  <c r="G139" i="2" l="1"/>
  <c r="H138" i="2"/>
  <c r="G140" i="2" l="1"/>
  <c r="H139" i="2"/>
  <c r="G141" i="2" l="1"/>
  <c r="H140" i="2"/>
  <c r="G142" i="2" l="1"/>
  <c r="H141" i="2"/>
  <c r="G143" i="2" l="1"/>
  <c r="H142" i="2"/>
  <c r="G144" i="2" l="1"/>
  <c r="H143" i="2"/>
  <c r="G145" i="2" l="1"/>
  <c r="H144" i="2"/>
  <c r="G146" i="2" l="1"/>
  <c r="H145" i="2"/>
  <c r="G147" i="2" l="1"/>
  <c r="H146" i="2"/>
  <c r="G148" i="2" l="1"/>
  <c r="H147" i="2"/>
  <c r="G149" i="2" l="1"/>
  <c r="H148" i="2"/>
  <c r="G150" i="2" l="1"/>
  <c r="H149" i="2"/>
  <c r="G151" i="2" l="1"/>
  <c r="H150" i="2"/>
  <c r="G152" i="2" l="1"/>
  <c r="H151" i="2"/>
  <c r="G153" i="2" l="1"/>
  <c r="H152" i="2"/>
  <c r="G154" i="2" l="1"/>
  <c r="H153" i="2"/>
  <c r="G155" i="2" l="1"/>
  <c r="H154" i="2"/>
  <c r="G156" i="2" l="1"/>
  <c r="H155" i="2"/>
  <c r="G157" i="2" l="1"/>
  <c r="H156" i="2"/>
  <c r="G158" i="2" l="1"/>
  <c r="H157" i="2"/>
  <c r="G159" i="2" l="1"/>
  <c r="H158" i="2"/>
  <c r="G160" i="2" l="1"/>
  <c r="H159" i="2"/>
  <c r="G161" i="2" l="1"/>
  <c r="H160" i="2"/>
  <c r="G162" i="2" l="1"/>
  <c r="H161" i="2"/>
  <c r="G163" i="2" l="1"/>
  <c r="H162" i="2"/>
  <c r="G164" i="2" l="1"/>
  <c r="H163" i="2"/>
  <c r="G165" i="2" l="1"/>
  <c r="H164" i="2"/>
  <c r="G166" i="2" l="1"/>
  <c r="H165" i="2"/>
  <c r="G167" i="2" l="1"/>
  <c r="H166" i="2"/>
  <c r="G168" i="2" l="1"/>
  <c r="H167" i="2"/>
  <c r="G169" i="2" l="1"/>
  <c r="H168" i="2"/>
  <c r="G170" i="2" l="1"/>
  <c r="H169" i="2"/>
  <c r="G171" i="2" l="1"/>
  <c r="H170" i="2"/>
  <c r="G172" i="2" l="1"/>
  <c r="H171" i="2"/>
  <c r="G173" i="2" l="1"/>
  <c r="H172" i="2"/>
  <c r="G174" i="2" l="1"/>
  <c r="H173" i="2"/>
  <c r="G175" i="2" l="1"/>
  <c r="H174" i="2"/>
  <c r="G176" i="2" l="1"/>
  <c r="H175" i="2"/>
  <c r="G177" i="2" l="1"/>
  <c r="H176" i="2"/>
  <c r="G178" i="2" l="1"/>
  <c r="H177" i="2"/>
  <c r="G179" i="2" l="1"/>
  <c r="H178" i="2"/>
  <c r="G180" i="2" l="1"/>
  <c r="H179" i="2"/>
  <c r="G181" i="2" l="1"/>
  <c r="H180" i="2"/>
  <c r="G182" i="2" l="1"/>
  <c r="H181" i="2"/>
  <c r="G183" i="2" l="1"/>
  <c r="H182" i="2"/>
  <c r="G184" i="2" l="1"/>
  <c r="H183" i="2"/>
  <c r="G185" i="2" l="1"/>
  <c r="H184" i="2"/>
  <c r="G186" i="2" l="1"/>
  <c r="H185" i="2"/>
  <c r="G187" i="2" l="1"/>
  <c r="H186" i="2"/>
  <c r="G188" i="2" l="1"/>
  <c r="H187" i="2"/>
  <c r="G189" i="2" l="1"/>
  <c r="H188" i="2"/>
  <c r="G190" i="2" l="1"/>
  <c r="H189" i="2"/>
  <c r="G191" i="2" l="1"/>
  <c r="H190" i="2"/>
  <c r="G192" i="2" l="1"/>
  <c r="H192" i="2" s="1"/>
  <c r="H19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tc={24E61288-A05B-4415-AC5F-9F4F87BA746F}</author>
    <author>tc={62984D9C-D9EE-4E68-8517-7479F75A98CD}</author>
    <author>tc={080B9AF8-31C9-46A9-8FCB-79360F785379}</author>
    <author>tc={9F08842F-1328-44B5-B76F-507AC488C9CE}</author>
    <author>tc={8DD0012D-81F8-4422-A839-FD6126BE03F7}</author>
  </authors>
  <commentList>
    <comment ref="C1" authorId="0" shapeId="0" xr:uid="{24E61288-A05B-4415-AC5F-9F4F87BA746F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BRISTOL-MYERS SQUIBB CO</t>
      </text>
    </comment>
    <comment ref="D1" authorId="1" shapeId="0" xr:uid="{62984D9C-D9EE-4E68-8517-7479F75A98CD}">
      <text>
        <t>[Threaded comment]
Your version of Excel allows you to read this threaded comment; however, any edits to it will get removed if the file is opened in a newer version of Excel. Learn more: https://go.microsoft.com/fwlink/?linkid=870924
Comment:
     NETFLIX INC</t>
      </text>
    </comment>
    <comment ref="E1" authorId="2" shapeId="0" xr:uid="{080B9AF8-31C9-46A9-8FCB-79360F785379}">
      <text>
        <t>[Threaded comment]
Your version of Excel allows you to read this threaded comment; however, any edits to it will get removed if the file is opened in a newer version of Excel. Learn more: https://go.microsoft.com/fwlink/?linkid=870924
Comment:
    S&amp;P 500 INDEX</t>
      </text>
    </comment>
    <comment ref="B184" authorId="3" shapeId="0" xr:uid="{9F08842F-1328-44B5-B76F-507AC488C9C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the remainder of the data till 31 of March 2025</t>
      </text>
    </comment>
    <comment ref="E192" authorId="4" shapeId="0" xr:uid="{8DD0012D-81F8-4422-A839-FD6126BE03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Found on Bloomberg on 26 March 2025, 12:55 10 year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tc={3AACACB0-C02C-4CE2-9218-B2390A9FC022}</author>
    <author>tc={AEEC41BB-E16B-4F9A-ABE7-072A08C926D2}</author>
    <author>tc={4163330B-9EDA-4A56-B4C7-4B66EA9B47DF}</author>
  </authors>
  <commentList>
    <comment ref="B1" authorId="0" shapeId="0" xr:uid="{3AACACB0-C02C-4CE2-9218-B2390A9FC022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BRISTOL-MYERS SQUIBB CO</t>
      </text>
    </comment>
    <comment ref="C1" authorId="1" shapeId="0" xr:uid="{AEEC41BB-E16B-4F9A-ABE7-072A08C926D2}">
      <text>
        <t>[Threaded comment]
Your version of Excel allows you to read this threaded comment; however, any edits to it will get removed if the file is opened in a newer version of Excel. Learn more: https://go.microsoft.com/fwlink/?linkid=870924
Comment:
    S&amp;P 500 INDEX</t>
      </text>
    </comment>
    <comment ref="A184" authorId="2" shapeId="0" xr:uid="{4163330B-9EDA-4A56-B4C7-4B66EA9B47DF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the remainder of the data till 31 of March 2025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tc={48B24D5A-D624-4DA7-A7F6-52B823268AA7}</author>
    <author>tc={F7607D63-BB2B-4014-BE5D-56D343AFA6D3}</author>
    <author>tc={9578CE7F-DA84-465D-9581-0D25AE1EE71F}</author>
    <author>tc={6C2D5754-F5B7-4B63-8983-85BE822D6C89}</author>
    <author>tc={F502FE10-4A9F-4F95-85F5-2CBD58457B11}</author>
  </authors>
  <commentList>
    <comment ref="B4" authorId="0" shapeId="0" xr:uid="{48B24D5A-D624-4DA7-A7F6-52B823268AA7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BRISTOL-MYERS SQUIBB CO</t>
      </text>
    </comment>
    <comment ref="C14" authorId="1" shapeId="0" xr:uid="{F7607D63-BB2B-4014-BE5D-56D343AFA6D3}">
      <text>
        <t>[Threaded comment]
Your version of Excel allows you to read this threaded comment; however, any edits to it will get removed if the file is opened in a newer version of Excel. Learn more: https://go.microsoft.com/fwlink/?linkid=870924
Comment:
    9th day stops here</t>
      </text>
    </comment>
    <comment ref="D17" authorId="2" shapeId="0" xr:uid="{9578CE7F-DA84-465D-9581-0D25AE1EE71F}">
      <text>
        <t>[Threaded comment]
Your version of Excel allows you to read this threaded comment; however, any edits to it will get removed if the file is opened in a newer version of Excel. Learn more: https://go.microsoft.com/fwlink/?linkid=870924
Comment:
    12th day stops here</t>
      </text>
    </comment>
    <comment ref="E31" authorId="3" shapeId="0" xr:uid="{6C2D5754-F5B7-4B63-8983-85BE822D6C89}">
      <text>
        <t>[Threaded comment]
Your version of Excel allows you to read this threaded comment; however, any edits to it will get removed if the file is opened in a newer version of Excel. Learn more: https://go.microsoft.com/fwlink/?linkid=870924
Comment:
    26th day ends here</t>
      </text>
    </comment>
    <comment ref="A186" authorId="4" shapeId="0" xr:uid="{F502FE10-4A9F-4F95-85F5-2CBD58457B1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the remainder of the data till 31 of March 2025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tc={8503D5CB-6532-4FD3-A627-30CB9A2C11BE}</author>
    <author>tc={08A34376-14FD-44F0-B85F-E72DE2D56879}</author>
    <author>tc={3FC0FB44-624E-462B-A18F-7757C3D7FC91}</author>
    <author>tc={9D6E72B4-DBA0-4F99-9192-238BBA5631C4}</author>
  </authors>
  <commentList>
    <comment ref="B1" authorId="0" shapeId="0" xr:uid="{8503D5CB-6532-4FD3-A627-30CB9A2C11BE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BRISTOL-MYERS SQUIBB CO</t>
      </text>
    </comment>
    <comment ref="F16" authorId="1" shapeId="0" xr:uid="{08A34376-14FD-44F0-B85F-E72DE2D56879}">
      <text>
        <t>[Threaded comment]
Your version of Excel allows you to read this threaded comment; however, any edits to it will get removed if the file is opened in a newer version of Excel. Learn more: https://go.microsoft.com/fwlink/?linkid=870924
Comment:
    Ask him why he used the first 10 cells</t>
      </text>
    </comment>
    <comment ref="F17" authorId="2" shapeId="0" xr:uid="{3FC0FB44-624E-462B-A18F-7757C3D7FC9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Ask him why he used the smoothing formula </t>
      </text>
    </comment>
    <comment ref="A183" authorId="3" shapeId="0" xr:uid="{9D6E72B4-DBA0-4F99-9192-238BBA5631C4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the remainder of the data till 31 of March 2025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tc={1E384016-80D5-467E-9F04-C632E25E3A61}</author>
    <author>tc={8C43DEAE-A3BC-4124-816E-0360ED873356}</author>
  </authors>
  <commentList>
    <comment ref="B1" authorId="0" shapeId="0" xr:uid="{1E384016-80D5-467E-9F04-C632E25E3A61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BRISTOL-MYERS SQUIBB CO</t>
      </text>
    </comment>
    <comment ref="A183" authorId="1" shapeId="0" xr:uid="{8C43DEAE-A3BC-4124-816E-0360ED873356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the remainder of the data till 31 of March 2025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tc={D3BD89B1-5A99-497E-B5F4-29B17B4D5F64}</author>
    <author>tc={7CC274F1-2EE9-4001-8D68-9AF1E0B447EC}</author>
  </authors>
  <commentList>
    <comment ref="B1" authorId="0" shapeId="0" xr:uid="{D3BD89B1-5A99-497E-B5F4-29B17B4D5F64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BRISTOL-MYERS SQUIBB CO</t>
      </text>
    </comment>
    <comment ref="A183" authorId="1" shapeId="0" xr:uid="{7CC274F1-2EE9-4001-8D68-9AF1E0B447EC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the remainder of the data till 31 of March 2025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tc={83B365BC-983E-4B38-BA27-DA19B8C5A85B}</author>
    <author>tc={AF04A69D-AE31-4C8D-BBC1-01E3946B98A1}</author>
    <author>tc={8B042BE1-6F5F-4620-8D4A-D26E0BD25A77}</author>
    <author>tc={A3218517-7A8F-4F8F-93C6-5E5C5F849B65}</author>
    <author>tc={0AC2BE53-0A66-4B69-B45F-D1831029E3D0}</author>
  </authors>
  <commentList>
    <comment ref="A1" authorId="0" shapeId="0" xr:uid="{83B365BC-983E-4B38-BA27-DA19B8C5A8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Design one according to the data of your stock </t>
      </text>
    </comment>
    <comment ref="C1" authorId="1" shapeId="0" xr:uid="{AF04A69D-AE31-4C8D-BBC1-01E3946B98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What is the difference between question 4 and 5 </t>
      </text>
    </comment>
    <comment ref="A4" authorId="2" shapeId="0" xr:uid="{8B042BE1-6F5F-4620-8D4A-D26E0BD25A77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BRISTOL-MYERS SQUIBB CO</t>
      </text>
    </comment>
    <comment ref="B4" authorId="3" shapeId="0" xr:uid="{A3218517-7A8F-4F8F-93C6-5E5C5F849B65}">
      <text>
        <t>[Threaded comment]
Your version of Excel allows you to read this threaded comment; however, any edits to it will get removed if the file is opened in a newer version of Excel. Learn more: https://go.microsoft.com/fwlink/?linkid=870924
Comment:
    31/03/2025</t>
      </text>
    </comment>
    <comment ref="B12" authorId="4" shapeId="0" xr:uid="{0AC2BE53-0A66-4B69-B45F-D1831029E3D0}">
      <text>
        <t>[Threaded comment]
Your version of Excel allows you to read this threaded comment; however, any edits to it will get removed if the file is opened in a newer version of Excel. Learn more: https://go.microsoft.com/fwlink/?linkid=870924
Comment:
    Ask him what type of normal standard distribution we use
Reply:
    Do we used normal standard or normal dis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tc={89859E04-E631-4606-82DA-34EE41153C0A}</author>
    <author>tc={4FB8E336-E44C-47DB-B557-D04FA15585BA}</author>
    <author>tc={B9E4688B-58AE-41D7-A049-837B6E8B798E}</author>
  </authors>
  <commentList>
    <comment ref="E2" authorId="0" shapeId="0" xr:uid="{89859E04-E631-4606-82DA-34EE41153C0A}">
      <text>
        <t>[Threaded comment]
Your version of Excel allows you to read this threaded comment; however, any edits to it will get removed if the file is opened in a newer version of Excel. Learn more: https://go.microsoft.com/fwlink/?linkid=870924
Comment:
    BRISTOL-MYERS SQUIBB CO</t>
      </text>
    </comment>
    <comment ref="B6" authorId="1" shapeId="0" xr:uid="{4FB8E336-E44C-47DB-B557-D04FA15585BA}">
      <text>
        <t>[Threaded comment]
Your version of Excel allows you to read this threaded comment; however, any edits to it will get removed if the file is opened in a newer version of Excel. Learn more: https://go.microsoft.com/fwlink/?linkid=870924
Comment:
    60 days 
Reply:
    3 months 
Reply:
    T</t>
      </text>
    </comment>
    <comment ref="J31" authorId="2" shapeId="0" xr:uid="{B9E4688B-58AE-41D7-A049-837B6E8B798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Might need to rewind the lecture a bit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<sst xmlns="http://schemas.openxmlformats.org/spreadsheetml/2006/main" count="104" uniqueCount="74">
  <si>
    <t>BMY US</t>
  </si>
  <si>
    <t>NFLX</t>
  </si>
  <si>
    <t>SPX</t>
  </si>
  <si>
    <t xml:space="preserve">BMY UN </t>
  </si>
  <si>
    <t>Date</t>
  </si>
  <si>
    <t>Last Price</t>
  </si>
  <si>
    <t xml:space="preserve">Log Return </t>
  </si>
  <si>
    <t>x-mean</t>
  </si>
  <si>
    <t>(x-mean)^2</t>
  </si>
  <si>
    <t>Count</t>
  </si>
  <si>
    <t xml:space="preserve">Risk Free rate </t>
  </si>
  <si>
    <t>Sum</t>
  </si>
  <si>
    <t>/n-1</t>
  </si>
  <si>
    <t>Average Returns</t>
  </si>
  <si>
    <t>stdev</t>
  </si>
  <si>
    <t xml:space="preserve">Annualised </t>
  </si>
  <si>
    <t>annualised</t>
  </si>
  <si>
    <t>Critical value 95%</t>
  </si>
  <si>
    <t xml:space="preserve">StDev </t>
  </si>
  <si>
    <t xml:space="preserve">Portolio value </t>
  </si>
  <si>
    <t xml:space="preserve">VAR </t>
  </si>
  <si>
    <t xml:space="preserve">The most we will lose </t>
  </si>
  <si>
    <t>Risk Free Rate</t>
  </si>
  <si>
    <t>ER_BMY UN</t>
  </si>
  <si>
    <t>ER_SPX</t>
  </si>
  <si>
    <t>Beta</t>
  </si>
  <si>
    <t>Regression</t>
  </si>
  <si>
    <t>n</t>
  </si>
  <si>
    <t>Weight</t>
  </si>
  <si>
    <t>9-Day EMA</t>
  </si>
  <si>
    <t>12-Day EMA</t>
  </si>
  <si>
    <t>26-Day EMA</t>
  </si>
  <si>
    <t xml:space="preserve">MACD Line </t>
  </si>
  <si>
    <t xml:space="preserve">Signal Line </t>
  </si>
  <si>
    <t>Histogram</t>
  </si>
  <si>
    <t xml:space="preserve">Change </t>
  </si>
  <si>
    <t>Gain</t>
  </si>
  <si>
    <t>Loss</t>
  </si>
  <si>
    <t xml:space="preserve">Average Gain </t>
  </si>
  <si>
    <t>Average Loss</t>
  </si>
  <si>
    <t>RS</t>
  </si>
  <si>
    <t xml:space="preserve">14-Day RSI </t>
  </si>
  <si>
    <t>30 Line</t>
  </si>
  <si>
    <t>70 line</t>
  </si>
  <si>
    <t>count</t>
  </si>
  <si>
    <t>20 Day MA</t>
  </si>
  <si>
    <t>STD DEV</t>
  </si>
  <si>
    <t>Upper Band</t>
  </si>
  <si>
    <t>Lower Band</t>
  </si>
  <si>
    <t xml:space="preserve">Count </t>
  </si>
  <si>
    <t>%K Line</t>
  </si>
  <si>
    <t>%D Line</t>
  </si>
  <si>
    <t xml:space="preserve">80 Line </t>
  </si>
  <si>
    <t xml:space="preserve">20 line </t>
  </si>
  <si>
    <t xml:space="preserve">European Option Model </t>
  </si>
  <si>
    <t xml:space="preserve">BMY UN Price  </t>
  </si>
  <si>
    <t>d1</t>
  </si>
  <si>
    <t xml:space="preserve">Strike Price </t>
  </si>
  <si>
    <t>d2</t>
  </si>
  <si>
    <t>Risk-Free Rate</t>
  </si>
  <si>
    <t xml:space="preserve">Volatitlity </t>
  </si>
  <si>
    <t xml:space="preserve">Time </t>
  </si>
  <si>
    <t xml:space="preserve">Call </t>
  </si>
  <si>
    <t xml:space="preserve">Option Price </t>
  </si>
  <si>
    <t>Asset</t>
  </si>
  <si>
    <t>Time</t>
  </si>
  <si>
    <t>Payoff - call</t>
  </si>
  <si>
    <t>Drift</t>
  </si>
  <si>
    <t>Volitility</t>
  </si>
  <si>
    <t>Timestep</t>
  </si>
  <si>
    <t>Risk free rate</t>
  </si>
  <si>
    <t xml:space="preserve">Maturity </t>
  </si>
  <si>
    <t xml:space="preserve">Call price </t>
  </si>
  <si>
    <t>strike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</si>
</sst>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00"/>
    <numFmt numFmtId="166" formatCode="0.000%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2" fontId="0" fillId="0" borderId="0" xfId="0" applyNumberFormat="1"/>
    <xf numFmtId="10" fontId="0" fillId="0" borderId="0" xfId="2" applyNumberFormat="1" applyFont="1"/>
    <xf numFmtId="10" fontId="0" fillId="0" borderId="0" xfId="0" applyNumberFormat="1"/>
    <xf numFmtId="9" fontId="0" fillId="2" borderId="0" xfId="2" applyFont="1" applyFill="1"/>
    <xf numFmtId="164" fontId="0" fillId="0" borderId="0" xfId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9" fontId="0" fillId="0" borderId="0" xfId="0" applyNumberFormat="1"/>
    <xf numFmtId="0" fontId="2" fillId="0" borderId="0" xfId="0" applyFont="1"/>
    <xf numFmtId="165" fontId="0" fillId="0" borderId="0" xfId="0" applyNumberFormat="1"/>
    <xf numFmtId="166" fontId="0" fillId="0" borderId="0" xfId="0" applyNumberFormat="1"/>
    <xf numFmtId="0" fontId="3" fillId="0" borderId="0" xfId="0" applyFont="1"/>
    <xf numFmtId="0" fontId="4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chartsheet" Target="chartsheets/sheet1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tyles" Target="styles.xml"/><Relationship Id="rId5" Type="http://schemas.openxmlformats.org/officeDocument/2006/relationships/worksheet" Target="worksheets/sheet4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CAPM!$K$12:$L$12</c:f>
              <c:numCache>
                <c:formatCode>General</c:formatCode>
                <c:ptCount val="2"/>
                <c:pt idx="0">
                  <c:v>1.683206427322707E-2</c:v>
                </c:pt>
                <c:pt idx="1">
                  <c:v>-43.685991787595583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D1-4E1B-B6CA-4B840C8F4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75088"/>
        <c:axId val="11184688"/>
      </c:barChart>
      <c:catAx>
        <c:axId val="111750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84688"/>
        <c:crosses val="autoZero"/>
        <c:auto val="1"/>
        <c:lblAlgn val="ctr"/>
        <c:lblOffset val="100"/>
        <c:noMultiLvlLbl val="0"/>
      </c:catAx>
      <c:valAx>
        <c:axId val="1118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5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EMA</a:t>
            </a:r>
            <a:r>
              <a:rPr lang="en-GB" baseline="0"/>
              <a:t> for BMY UN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5.8058789545625399E-2"/>
          <c:y val="6.9356037672512236E-2"/>
          <c:w val="0.89657684395683979"/>
          <c:h val="0.73420495283358422"/>
        </c:manualLayout>
      </c:layout>
      <c:lineChart>
        <c:grouping val="standard"/>
        <c:varyColors val="0"/>
        <c:ser>
          <c:idx val="0"/>
          <c:order val="0"/>
          <c:tx>
            <c:strRef>
              <c:f>MACD!$B$4</c:f>
              <c:strCache>
                <c:ptCount val="1"/>
                <c:pt idx="0">
                  <c:v>BMY UN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MACD!$A$17:$A$192</c:f>
              <c:numCache>
                <c:formatCode>m/d/yyyy</c:formatCode>
                <c:ptCount val="176"/>
                <c:pt idx="0">
                  <c:v>45491</c:v>
                </c:pt>
                <c:pt idx="1">
                  <c:v>45492</c:v>
                </c:pt>
                <c:pt idx="2">
                  <c:v>45495</c:v>
                </c:pt>
                <c:pt idx="3">
                  <c:v>45496</c:v>
                </c:pt>
                <c:pt idx="4">
                  <c:v>45497</c:v>
                </c:pt>
                <c:pt idx="5">
                  <c:v>45498</c:v>
                </c:pt>
                <c:pt idx="6">
                  <c:v>45499</c:v>
                </c:pt>
                <c:pt idx="7">
                  <c:v>45502</c:v>
                </c:pt>
                <c:pt idx="8">
                  <c:v>45503</c:v>
                </c:pt>
                <c:pt idx="9">
                  <c:v>45504</c:v>
                </c:pt>
                <c:pt idx="10">
                  <c:v>45505</c:v>
                </c:pt>
                <c:pt idx="11">
                  <c:v>45506</c:v>
                </c:pt>
                <c:pt idx="12">
                  <c:v>45509</c:v>
                </c:pt>
                <c:pt idx="13">
                  <c:v>45510</c:v>
                </c:pt>
                <c:pt idx="14">
                  <c:v>45511</c:v>
                </c:pt>
                <c:pt idx="15">
                  <c:v>45512</c:v>
                </c:pt>
                <c:pt idx="16">
                  <c:v>45513</c:v>
                </c:pt>
                <c:pt idx="17">
                  <c:v>45516</c:v>
                </c:pt>
                <c:pt idx="18">
                  <c:v>45517</c:v>
                </c:pt>
                <c:pt idx="19">
                  <c:v>45518</c:v>
                </c:pt>
                <c:pt idx="20">
                  <c:v>45519</c:v>
                </c:pt>
                <c:pt idx="21">
                  <c:v>45520</c:v>
                </c:pt>
                <c:pt idx="22">
                  <c:v>45523</c:v>
                </c:pt>
                <c:pt idx="23">
                  <c:v>45524</c:v>
                </c:pt>
                <c:pt idx="24">
                  <c:v>45525</c:v>
                </c:pt>
                <c:pt idx="25">
                  <c:v>45526</c:v>
                </c:pt>
                <c:pt idx="26">
                  <c:v>45527</c:v>
                </c:pt>
                <c:pt idx="27">
                  <c:v>45530</c:v>
                </c:pt>
                <c:pt idx="28">
                  <c:v>45531</c:v>
                </c:pt>
                <c:pt idx="29">
                  <c:v>45532</c:v>
                </c:pt>
                <c:pt idx="30">
                  <c:v>45533</c:v>
                </c:pt>
                <c:pt idx="31">
                  <c:v>45534</c:v>
                </c:pt>
                <c:pt idx="32">
                  <c:v>45538</c:v>
                </c:pt>
                <c:pt idx="33">
                  <c:v>45539</c:v>
                </c:pt>
                <c:pt idx="34">
                  <c:v>45540</c:v>
                </c:pt>
                <c:pt idx="35">
                  <c:v>45541</c:v>
                </c:pt>
                <c:pt idx="36">
                  <c:v>45544</c:v>
                </c:pt>
                <c:pt idx="37">
                  <c:v>45545</c:v>
                </c:pt>
                <c:pt idx="38">
                  <c:v>45546</c:v>
                </c:pt>
                <c:pt idx="39">
                  <c:v>45547</c:v>
                </c:pt>
                <c:pt idx="40">
                  <c:v>45548</c:v>
                </c:pt>
                <c:pt idx="41">
                  <c:v>45551</c:v>
                </c:pt>
                <c:pt idx="42">
                  <c:v>45552</c:v>
                </c:pt>
                <c:pt idx="43">
                  <c:v>45553</c:v>
                </c:pt>
                <c:pt idx="44">
                  <c:v>45554</c:v>
                </c:pt>
                <c:pt idx="45">
                  <c:v>45555</c:v>
                </c:pt>
                <c:pt idx="46">
                  <c:v>45558</c:v>
                </c:pt>
                <c:pt idx="47">
                  <c:v>45559</c:v>
                </c:pt>
                <c:pt idx="48">
                  <c:v>45560</c:v>
                </c:pt>
                <c:pt idx="49">
                  <c:v>45561</c:v>
                </c:pt>
                <c:pt idx="50">
                  <c:v>45562</c:v>
                </c:pt>
                <c:pt idx="51">
                  <c:v>45565</c:v>
                </c:pt>
                <c:pt idx="52">
                  <c:v>45566</c:v>
                </c:pt>
                <c:pt idx="53">
                  <c:v>45567</c:v>
                </c:pt>
                <c:pt idx="54">
                  <c:v>45568</c:v>
                </c:pt>
                <c:pt idx="55">
                  <c:v>45569</c:v>
                </c:pt>
                <c:pt idx="56">
                  <c:v>45572</c:v>
                </c:pt>
                <c:pt idx="57">
                  <c:v>45573</c:v>
                </c:pt>
                <c:pt idx="58">
                  <c:v>45574</c:v>
                </c:pt>
                <c:pt idx="59">
                  <c:v>45575</c:v>
                </c:pt>
                <c:pt idx="60">
                  <c:v>45576</c:v>
                </c:pt>
                <c:pt idx="61">
                  <c:v>45579</c:v>
                </c:pt>
                <c:pt idx="62">
                  <c:v>45580</c:v>
                </c:pt>
                <c:pt idx="63">
                  <c:v>45581</c:v>
                </c:pt>
                <c:pt idx="64">
                  <c:v>45582</c:v>
                </c:pt>
                <c:pt idx="65">
                  <c:v>45583</c:v>
                </c:pt>
                <c:pt idx="66">
                  <c:v>45586</c:v>
                </c:pt>
                <c:pt idx="67">
                  <c:v>45587</c:v>
                </c:pt>
                <c:pt idx="68">
                  <c:v>45588</c:v>
                </c:pt>
                <c:pt idx="69">
                  <c:v>45589</c:v>
                </c:pt>
                <c:pt idx="70">
                  <c:v>45590</c:v>
                </c:pt>
                <c:pt idx="71">
                  <c:v>45593</c:v>
                </c:pt>
                <c:pt idx="72">
                  <c:v>45594</c:v>
                </c:pt>
                <c:pt idx="73">
                  <c:v>45595</c:v>
                </c:pt>
                <c:pt idx="74">
                  <c:v>45596</c:v>
                </c:pt>
                <c:pt idx="75">
                  <c:v>45597</c:v>
                </c:pt>
                <c:pt idx="76">
                  <c:v>45600</c:v>
                </c:pt>
                <c:pt idx="77">
                  <c:v>45601</c:v>
                </c:pt>
                <c:pt idx="78">
                  <c:v>45602</c:v>
                </c:pt>
                <c:pt idx="79">
                  <c:v>45603</c:v>
                </c:pt>
                <c:pt idx="80">
                  <c:v>45604</c:v>
                </c:pt>
                <c:pt idx="81">
                  <c:v>45607</c:v>
                </c:pt>
                <c:pt idx="82">
                  <c:v>45608</c:v>
                </c:pt>
                <c:pt idx="83">
                  <c:v>45609</c:v>
                </c:pt>
                <c:pt idx="84">
                  <c:v>45610</c:v>
                </c:pt>
                <c:pt idx="85">
                  <c:v>45611</c:v>
                </c:pt>
                <c:pt idx="86">
                  <c:v>45614</c:v>
                </c:pt>
                <c:pt idx="87">
                  <c:v>45615</c:v>
                </c:pt>
                <c:pt idx="88">
                  <c:v>45616</c:v>
                </c:pt>
                <c:pt idx="89">
                  <c:v>45617</c:v>
                </c:pt>
                <c:pt idx="90">
                  <c:v>45618</c:v>
                </c:pt>
                <c:pt idx="91">
                  <c:v>45621</c:v>
                </c:pt>
                <c:pt idx="92">
                  <c:v>45622</c:v>
                </c:pt>
                <c:pt idx="93">
                  <c:v>45623</c:v>
                </c:pt>
                <c:pt idx="94">
                  <c:v>45625</c:v>
                </c:pt>
                <c:pt idx="95">
                  <c:v>45628</c:v>
                </c:pt>
                <c:pt idx="96">
                  <c:v>45629</c:v>
                </c:pt>
                <c:pt idx="97">
                  <c:v>45630</c:v>
                </c:pt>
                <c:pt idx="98">
                  <c:v>45631</c:v>
                </c:pt>
                <c:pt idx="99">
                  <c:v>45632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45642</c:v>
                </c:pt>
                <c:pt idx="106">
                  <c:v>45643</c:v>
                </c:pt>
                <c:pt idx="107">
                  <c:v>45644</c:v>
                </c:pt>
                <c:pt idx="108">
                  <c:v>45645</c:v>
                </c:pt>
                <c:pt idx="109">
                  <c:v>45646</c:v>
                </c:pt>
                <c:pt idx="110">
                  <c:v>45649</c:v>
                </c:pt>
                <c:pt idx="111">
                  <c:v>45650</c:v>
                </c:pt>
                <c:pt idx="112">
                  <c:v>45652</c:v>
                </c:pt>
                <c:pt idx="113">
                  <c:v>45653</c:v>
                </c:pt>
                <c:pt idx="114">
                  <c:v>45656</c:v>
                </c:pt>
                <c:pt idx="115">
                  <c:v>45657</c:v>
                </c:pt>
                <c:pt idx="116">
                  <c:v>45659</c:v>
                </c:pt>
                <c:pt idx="117">
                  <c:v>45660</c:v>
                </c:pt>
                <c:pt idx="118">
                  <c:v>45663</c:v>
                </c:pt>
                <c:pt idx="119">
                  <c:v>45664</c:v>
                </c:pt>
                <c:pt idx="120">
                  <c:v>45665</c:v>
                </c:pt>
                <c:pt idx="121">
                  <c:v>45667</c:v>
                </c:pt>
                <c:pt idx="122">
                  <c:v>45670</c:v>
                </c:pt>
                <c:pt idx="123">
                  <c:v>45671</c:v>
                </c:pt>
                <c:pt idx="124">
                  <c:v>45672</c:v>
                </c:pt>
                <c:pt idx="125">
                  <c:v>45673</c:v>
                </c:pt>
                <c:pt idx="126">
                  <c:v>45674</c:v>
                </c:pt>
                <c:pt idx="127">
                  <c:v>45678</c:v>
                </c:pt>
                <c:pt idx="128">
                  <c:v>45679</c:v>
                </c:pt>
                <c:pt idx="129">
                  <c:v>45680</c:v>
                </c:pt>
                <c:pt idx="130">
                  <c:v>45681</c:v>
                </c:pt>
                <c:pt idx="131">
                  <c:v>45684</c:v>
                </c:pt>
                <c:pt idx="132">
                  <c:v>45685</c:v>
                </c:pt>
                <c:pt idx="133">
                  <c:v>45686</c:v>
                </c:pt>
                <c:pt idx="134">
                  <c:v>45687</c:v>
                </c:pt>
                <c:pt idx="135">
                  <c:v>45688</c:v>
                </c:pt>
                <c:pt idx="136">
                  <c:v>45691</c:v>
                </c:pt>
                <c:pt idx="137">
                  <c:v>45692</c:v>
                </c:pt>
                <c:pt idx="138">
                  <c:v>45693</c:v>
                </c:pt>
                <c:pt idx="139">
                  <c:v>45694</c:v>
                </c:pt>
                <c:pt idx="140">
                  <c:v>45695</c:v>
                </c:pt>
                <c:pt idx="141">
                  <c:v>45698</c:v>
                </c:pt>
                <c:pt idx="142">
                  <c:v>45699</c:v>
                </c:pt>
                <c:pt idx="143">
                  <c:v>45700</c:v>
                </c:pt>
                <c:pt idx="144">
                  <c:v>45701</c:v>
                </c:pt>
                <c:pt idx="145">
                  <c:v>45702</c:v>
                </c:pt>
                <c:pt idx="146">
                  <c:v>45706</c:v>
                </c:pt>
                <c:pt idx="147">
                  <c:v>45707</c:v>
                </c:pt>
                <c:pt idx="148">
                  <c:v>45708</c:v>
                </c:pt>
                <c:pt idx="149">
                  <c:v>45709</c:v>
                </c:pt>
                <c:pt idx="150">
                  <c:v>45712</c:v>
                </c:pt>
                <c:pt idx="151">
                  <c:v>45713</c:v>
                </c:pt>
                <c:pt idx="152">
                  <c:v>45714</c:v>
                </c:pt>
                <c:pt idx="153">
                  <c:v>45715</c:v>
                </c:pt>
                <c:pt idx="154">
                  <c:v>45716</c:v>
                </c:pt>
                <c:pt idx="155">
                  <c:v>45719</c:v>
                </c:pt>
                <c:pt idx="156">
                  <c:v>45720</c:v>
                </c:pt>
                <c:pt idx="157">
                  <c:v>45721</c:v>
                </c:pt>
                <c:pt idx="158">
                  <c:v>45722</c:v>
                </c:pt>
                <c:pt idx="159">
                  <c:v>45723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45733</c:v>
                </c:pt>
                <c:pt idx="166">
                  <c:v>45734</c:v>
                </c:pt>
                <c:pt idx="167">
                  <c:v>45735</c:v>
                </c:pt>
                <c:pt idx="168">
                  <c:v>45736</c:v>
                </c:pt>
                <c:pt idx="169">
                  <c:v>45737</c:v>
                </c:pt>
                <c:pt idx="170">
                  <c:v>45740</c:v>
                </c:pt>
                <c:pt idx="171">
                  <c:v>45741</c:v>
                </c:pt>
                <c:pt idx="172">
                  <c:v>45742</c:v>
                </c:pt>
                <c:pt idx="173">
                  <c:v>45743</c:v>
                </c:pt>
                <c:pt idx="174">
                  <c:v>45744</c:v>
                </c:pt>
                <c:pt idx="175">
                  <c:v>45747</c:v>
                </c:pt>
              </c:numCache>
            </c:numRef>
          </c:cat>
          <c:val>
            <c:numRef>
              <c:f>MACD!$B$17:$B$192</c:f>
              <c:numCache>
                <c:formatCode>General</c:formatCode>
                <c:ptCount val="176"/>
                <c:pt idx="0">
                  <c:v>42.39</c:v>
                </c:pt>
                <c:pt idx="1">
                  <c:v>42.64</c:v>
                </c:pt>
                <c:pt idx="2">
                  <c:v>42.67</c:v>
                </c:pt>
                <c:pt idx="3">
                  <c:v>42.98</c:v>
                </c:pt>
                <c:pt idx="4">
                  <c:v>44.66</c:v>
                </c:pt>
                <c:pt idx="5">
                  <c:v>45.27</c:v>
                </c:pt>
                <c:pt idx="6">
                  <c:v>50.45</c:v>
                </c:pt>
                <c:pt idx="7">
                  <c:v>48.98</c:v>
                </c:pt>
                <c:pt idx="8">
                  <c:v>49.05</c:v>
                </c:pt>
                <c:pt idx="9">
                  <c:v>47.56</c:v>
                </c:pt>
                <c:pt idx="10">
                  <c:v>48.17</c:v>
                </c:pt>
                <c:pt idx="11">
                  <c:v>48.77</c:v>
                </c:pt>
                <c:pt idx="12">
                  <c:v>47.59</c:v>
                </c:pt>
                <c:pt idx="13">
                  <c:v>47.31</c:v>
                </c:pt>
                <c:pt idx="14">
                  <c:v>46.5</c:v>
                </c:pt>
                <c:pt idx="15">
                  <c:v>46.85</c:v>
                </c:pt>
                <c:pt idx="16">
                  <c:v>46.72</c:v>
                </c:pt>
                <c:pt idx="17">
                  <c:v>47.06</c:v>
                </c:pt>
                <c:pt idx="18">
                  <c:v>49.06</c:v>
                </c:pt>
                <c:pt idx="19">
                  <c:v>48.41</c:v>
                </c:pt>
                <c:pt idx="20">
                  <c:v>49.11</c:v>
                </c:pt>
                <c:pt idx="21">
                  <c:v>49.36</c:v>
                </c:pt>
                <c:pt idx="22">
                  <c:v>49.3</c:v>
                </c:pt>
                <c:pt idx="23">
                  <c:v>48.98</c:v>
                </c:pt>
                <c:pt idx="24">
                  <c:v>48.44</c:v>
                </c:pt>
                <c:pt idx="25">
                  <c:v>47.62</c:v>
                </c:pt>
                <c:pt idx="26">
                  <c:v>48.11</c:v>
                </c:pt>
                <c:pt idx="27">
                  <c:v>48.24</c:v>
                </c:pt>
                <c:pt idx="28">
                  <c:v>48.12</c:v>
                </c:pt>
                <c:pt idx="29">
                  <c:v>49.06</c:v>
                </c:pt>
                <c:pt idx="30">
                  <c:v>49.72</c:v>
                </c:pt>
                <c:pt idx="31">
                  <c:v>49.95</c:v>
                </c:pt>
                <c:pt idx="32">
                  <c:v>50.52</c:v>
                </c:pt>
                <c:pt idx="33">
                  <c:v>49.96</c:v>
                </c:pt>
                <c:pt idx="34">
                  <c:v>49.8</c:v>
                </c:pt>
                <c:pt idx="35">
                  <c:v>48.7</c:v>
                </c:pt>
                <c:pt idx="36">
                  <c:v>48.5</c:v>
                </c:pt>
                <c:pt idx="37">
                  <c:v>49.28</c:v>
                </c:pt>
                <c:pt idx="38">
                  <c:v>48.59</c:v>
                </c:pt>
                <c:pt idx="39">
                  <c:v>48.24</c:v>
                </c:pt>
                <c:pt idx="40">
                  <c:v>49.13</c:v>
                </c:pt>
                <c:pt idx="41">
                  <c:v>49.99</c:v>
                </c:pt>
                <c:pt idx="42">
                  <c:v>49.49</c:v>
                </c:pt>
                <c:pt idx="43">
                  <c:v>49.74</c:v>
                </c:pt>
                <c:pt idx="44">
                  <c:v>49.02</c:v>
                </c:pt>
                <c:pt idx="45">
                  <c:v>49.41</c:v>
                </c:pt>
                <c:pt idx="46">
                  <c:v>50.01</c:v>
                </c:pt>
                <c:pt idx="47">
                  <c:v>50.94</c:v>
                </c:pt>
                <c:pt idx="48">
                  <c:v>49.95</c:v>
                </c:pt>
                <c:pt idx="49">
                  <c:v>50.12</c:v>
                </c:pt>
                <c:pt idx="50">
                  <c:v>50.91</c:v>
                </c:pt>
                <c:pt idx="51">
                  <c:v>51.74</c:v>
                </c:pt>
                <c:pt idx="52">
                  <c:v>52.9</c:v>
                </c:pt>
                <c:pt idx="53">
                  <c:v>53.76</c:v>
                </c:pt>
                <c:pt idx="54">
                  <c:v>54.2</c:v>
                </c:pt>
                <c:pt idx="55">
                  <c:v>53.96</c:v>
                </c:pt>
                <c:pt idx="56">
                  <c:v>53.44</c:v>
                </c:pt>
                <c:pt idx="57">
                  <c:v>52.48</c:v>
                </c:pt>
                <c:pt idx="58">
                  <c:v>52.8</c:v>
                </c:pt>
                <c:pt idx="59">
                  <c:v>52.4</c:v>
                </c:pt>
                <c:pt idx="60">
                  <c:v>52.2</c:v>
                </c:pt>
                <c:pt idx="61">
                  <c:v>52.67</c:v>
                </c:pt>
                <c:pt idx="62">
                  <c:v>52.76</c:v>
                </c:pt>
                <c:pt idx="63">
                  <c:v>53.37</c:v>
                </c:pt>
                <c:pt idx="64">
                  <c:v>53.18</c:v>
                </c:pt>
                <c:pt idx="65">
                  <c:v>53.22</c:v>
                </c:pt>
                <c:pt idx="66">
                  <c:v>52.12</c:v>
                </c:pt>
                <c:pt idx="67">
                  <c:v>52.76</c:v>
                </c:pt>
                <c:pt idx="68">
                  <c:v>53.06</c:v>
                </c:pt>
                <c:pt idx="69">
                  <c:v>52.92</c:v>
                </c:pt>
                <c:pt idx="70">
                  <c:v>51.92</c:v>
                </c:pt>
                <c:pt idx="71">
                  <c:v>52.64</c:v>
                </c:pt>
                <c:pt idx="72">
                  <c:v>52.5</c:v>
                </c:pt>
                <c:pt idx="73">
                  <c:v>52.66</c:v>
                </c:pt>
                <c:pt idx="74">
                  <c:v>55.77</c:v>
                </c:pt>
                <c:pt idx="75">
                  <c:v>54.32</c:v>
                </c:pt>
                <c:pt idx="76">
                  <c:v>55.45</c:v>
                </c:pt>
                <c:pt idx="77">
                  <c:v>55.95</c:v>
                </c:pt>
                <c:pt idx="78">
                  <c:v>55.28</c:v>
                </c:pt>
                <c:pt idx="79">
                  <c:v>54.71</c:v>
                </c:pt>
                <c:pt idx="80">
                  <c:v>54.14</c:v>
                </c:pt>
                <c:pt idx="81">
                  <c:v>59.82</c:v>
                </c:pt>
                <c:pt idx="82">
                  <c:v>59.02</c:v>
                </c:pt>
                <c:pt idx="83">
                  <c:v>58.41</c:v>
                </c:pt>
                <c:pt idx="84">
                  <c:v>58.5</c:v>
                </c:pt>
                <c:pt idx="85">
                  <c:v>56.22</c:v>
                </c:pt>
                <c:pt idx="86">
                  <c:v>56.8</c:v>
                </c:pt>
                <c:pt idx="87">
                  <c:v>58.23</c:v>
                </c:pt>
                <c:pt idx="88">
                  <c:v>57.88</c:v>
                </c:pt>
                <c:pt idx="89">
                  <c:v>58.23</c:v>
                </c:pt>
                <c:pt idx="90">
                  <c:v>58.87</c:v>
                </c:pt>
                <c:pt idx="91">
                  <c:v>58.78</c:v>
                </c:pt>
                <c:pt idx="92">
                  <c:v>58.74</c:v>
                </c:pt>
                <c:pt idx="93">
                  <c:v>59.27</c:v>
                </c:pt>
                <c:pt idx="94">
                  <c:v>59.22</c:v>
                </c:pt>
                <c:pt idx="95">
                  <c:v>59.94</c:v>
                </c:pt>
                <c:pt idx="96">
                  <c:v>58.69</c:v>
                </c:pt>
                <c:pt idx="97">
                  <c:v>58.37</c:v>
                </c:pt>
                <c:pt idx="98">
                  <c:v>58.84</c:v>
                </c:pt>
                <c:pt idx="99">
                  <c:v>59.38</c:v>
                </c:pt>
                <c:pt idx="100">
                  <c:v>58.71</c:v>
                </c:pt>
                <c:pt idx="101">
                  <c:v>58.12</c:v>
                </c:pt>
                <c:pt idx="102">
                  <c:v>56.65</c:v>
                </c:pt>
                <c:pt idx="103">
                  <c:v>56.28</c:v>
                </c:pt>
                <c:pt idx="104">
                  <c:v>55.78</c:v>
                </c:pt>
                <c:pt idx="105">
                  <c:v>55.87</c:v>
                </c:pt>
                <c:pt idx="106">
                  <c:v>57.65</c:v>
                </c:pt>
                <c:pt idx="107">
                  <c:v>56.84</c:v>
                </c:pt>
                <c:pt idx="108">
                  <c:v>56.3</c:v>
                </c:pt>
                <c:pt idx="109">
                  <c:v>57.33</c:v>
                </c:pt>
                <c:pt idx="110">
                  <c:v>57.58</c:v>
                </c:pt>
                <c:pt idx="111">
                  <c:v>57.76</c:v>
                </c:pt>
                <c:pt idx="112">
                  <c:v>58</c:v>
                </c:pt>
                <c:pt idx="113">
                  <c:v>57.68</c:v>
                </c:pt>
                <c:pt idx="114">
                  <c:v>56.06</c:v>
                </c:pt>
                <c:pt idx="115">
                  <c:v>56.56</c:v>
                </c:pt>
                <c:pt idx="116">
                  <c:v>56.79</c:v>
                </c:pt>
                <c:pt idx="117">
                  <c:v>56.57</c:v>
                </c:pt>
                <c:pt idx="118">
                  <c:v>56.68</c:v>
                </c:pt>
                <c:pt idx="119">
                  <c:v>57.14</c:v>
                </c:pt>
                <c:pt idx="120">
                  <c:v>56.81</c:v>
                </c:pt>
                <c:pt idx="121">
                  <c:v>55.83</c:v>
                </c:pt>
                <c:pt idx="122">
                  <c:v>55.36</c:v>
                </c:pt>
                <c:pt idx="123">
                  <c:v>55.74</c:v>
                </c:pt>
                <c:pt idx="124">
                  <c:v>55.91</c:v>
                </c:pt>
                <c:pt idx="125">
                  <c:v>56.38</c:v>
                </c:pt>
                <c:pt idx="126">
                  <c:v>56.29</c:v>
                </c:pt>
                <c:pt idx="127">
                  <c:v>57.04</c:v>
                </c:pt>
                <c:pt idx="128">
                  <c:v>57.09</c:v>
                </c:pt>
                <c:pt idx="129">
                  <c:v>59.14</c:v>
                </c:pt>
                <c:pt idx="130">
                  <c:v>59.67</c:v>
                </c:pt>
                <c:pt idx="131">
                  <c:v>60.6</c:v>
                </c:pt>
                <c:pt idx="132">
                  <c:v>58.76</c:v>
                </c:pt>
                <c:pt idx="133">
                  <c:v>59.05</c:v>
                </c:pt>
                <c:pt idx="134">
                  <c:v>59.14</c:v>
                </c:pt>
                <c:pt idx="135">
                  <c:v>58.95</c:v>
                </c:pt>
                <c:pt idx="136">
                  <c:v>59.95</c:v>
                </c:pt>
                <c:pt idx="137">
                  <c:v>59.12</c:v>
                </c:pt>
                <c:pt idx="138">
                  <c:v>59.71</c:v>
                </c:pt>
                <c:pt idx="139">
                  <c:v>57.42</c:v>
                </c:pt>
                <c:pt idx="140">
                  <c:v>56.85</c:v>
                </c:pt>
                <c:pt idx="141">
                  <c:v>55.53</c:v>
                </c:pt>
                <c:pt idx="142">
                  <c:v>55.94</c:v>
                </c:pt>
                <c:pt idx="143">
                  <c:v>56.15</c:v>
                </c:pt>
                <c:pt idx="144">
                  <c:v>55.97</c:v>
                </c:pt>
                <c:pt idx="145">
                  <c:v>53.9</c:v>
                </c:pt>
                <c:pt idx="146">
                  <c:v>54.43</c:v>
                </c:pt>
                <c:pt idx="147">
                  <c:v>54.98</c:v>
                </c:pt>
                <c:pt idx="148">
                  <c:v>55.79</c:v>
                </c:pt>
                <c:pt idx="149">
                  <c:v>55.83</c:v>
                </c:pt>
                <c:pt idx="150">
                  <c:v>57.88</c:v>
                </c:pt>
                <c:pt idx="151">
                  <c:v>58.21</c:v>
                </c:pt>
                <c:pt idx="152">
                  <c:v>57.38</c:v>
                </c:pt>
                <c:pt idx="153">
                  <c:v>58.8</c:v>
                </c:pt>
                <c:pt idx="154">
                  <c:v>59.62</c:v>
                </c:pt>
                <c:pt idx="155">
                  <c:v>59.87</c:v>
                </c:pt>
                <c:pt idx="156">
                  <c:v>59.44</c:v>
                </c:pt>
                <c:pt idx="157">
                  <c:v>59.82</c:v>
                </c:pt>
                <c:pt idx="158">
                  <c:v>60.18</c:v>
                </c:pt>
                <c:pt idx="159">
                  <c:v>61.09</c:v>
                </c:pt>
                <c:pt idx="160">
                  <c:v>63.11</c:v>
                </c:pt>
                <c:pt idx="161">
                  <c:v>61.51</c:v>
                </c:pt>
                <c:pt idx="162">
                  <c:v>59.81</c:v>
                </c:pt>
                <c:pt idx="163">
                  <c:v>60.28</c:v>
                </c:pt>
                <c:pt idx="164">
                  <c:v>59.01</c:v>
                </c:pt>
                <c:pt idx="165">
                  <c:v>59.99</c:v>
                </c:pt>
                <c:pt idx="166">
                  <c:v>59.9</c:v>
                </c:pt>
                <c:pt idx="167">
                  <c:v>60.08</c:v>
                </c:pt>
                <c:pt idx="168">
                  <c:v>60.42</c:v>
                </c:pt>
                <c:pt idx="169">
                  <c:v>60.99</c:v>
                </c:pt>
                <c:pt idx="170">
                  <c:v>61.05</c:v>
                </c:pt>
                <c:pt idx="171">
                  <c:v>59.19</c:v>
                </c:pt>
                <c:pt idx="172">
                  <c:v>59.21</c:v>
                </c:pt>
                <c:pt idx="173">
                  <c:v>58.9</c:v>
                </c:pt>
                <c:pt idx="174">
                  <c:v>60.02</c:v>
                </c:pt>
                <c:pt idx="175">
                  <c:v>60.99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4-471F-A094-64C2C72DA596}"/>
            </c:ext>
          </c:extLst>
        </c:ser>
        <c:ser>
          <c:idx val="1"/>
          <c:order val="1"/>
          <c:tx>
            <c:strRef>
              <c:f>MACD!$D$4</c:f>
              <c:strCache>
                <c:ptCount val="1"/>
                <c:pt idx="0">
                  <c:v>12-Day EMA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MACD!$A$17:$A$192</c:f>
              <c:numCache>
                <c:formatCode>m/d/yyyy</c:formatCode>
                <c:ptCount val="176"/>
                <c:pt idx="0">
                  <c:v>45491</c:v>
                </c:pt>
                <c:pt idx="1">
                  <c:v>45492</c:v>
                </c:pt>
                <c:pt idx="2">
                  <c:v>45495</c:v>
                </c:pt>
                <c:pt idx="3">
                  <c:v>45496</c:v>
                </c:pt>
                <c:pt idx="4">
                  <c:v>45497</c:v>
                </c:pt>
                <c:pt idx="5">
                  <c:v>45498</c:v>
                </c:pt>
                <c:pt idx="6">
                  <c:v>45499</c:v>
                </c:pt>
                <c:pt idx="7">
                  <c:v>45502</c:v>
                </c:pt>
                <c:pt idx="8">
                  <c:v>45503</c:v>
                </c:pt>
                <c:pt idx="9">
                  <c:v>45504</c:v>
                </c:pt>
                <c:pt idx="10">
                  <c:v>45505</c:v>
                </c:pt>
                <c:pt idx="11">
                  <c:v>45506</c:v>
                </c:pt>
                <c:pt idx="12">
                  <c:v>45509</c:v>
                </c:pt>
                <c:pt idx="13">
                  <c:v>45510</c:v>
                </c:pt>
                <c:pt idx="14">
                  <c:v>45511</c:v>
                </c:pt>
                <c:pt idx="15">
                  <c:v>45512</c:v>
                </c:pt>
                <c:pt idx="16">
                  <c:v>45513</c:v>
                </c:pt>
                <c:pt idx="17">
                  <c:v>45516</c:v>
                </c:pt>
                <c:pt idx="18">
                  <c:v>45517</c:v>
                </c:pt>
                <c:pt idx="19">
                  <c:v>45518</c:v>
                </c:pt>
                <c:pt idx="20">
                  <c:v>45519</c:v>
                </c:pt>
                <c:pt idx="21">
                  <c:v>45520</c:v>
                </c:pt>
                <c:pt idx="22">
                  <c:v>45523</c:v>
                </c:pt>
                <c:pt idx="23">
                  <c:v>45524</c:v>
                </c:pt>
                <c:pt idx="24">
                  <c:v>45525</c:v>
                </c:pt>
                <c:pt idx="25">
                  <c:v>45526</c:v>
                </c:pt>
                <c:pt idx="26">
                  <c:v>45527</c:v>
                </c:pt>
                <c:pt idx="27">
                  <c:v>45530</c:v>
                </c:pt>
                <c:pt idx="28">
                  <c:v>45531</c:v>
                </c:pt>
                <c:pt idx="29">
                  <c:v>45532</c:v>
                </c:pt>
                <c:pt idx="30">
                  <c:v>45533</c:v>
                </c:pt>
                <c:pt idx="31">
                  <c:v>45534</c:v>
                </c:pt>
                <c:pt idx="32">
                  <c:v>45538</c:v>
                </c:pt>
                <c:pt idx="33">
                  <c:v>45539</c:v>
                </c:pt>
                <c:pt idx="34">
                  <c:v>45540</c:v>
                </c:pt>
                <c:pt idx="35">
                  <c:v>45541</c:v>
                </c:pt>
                <c:pt idx="36">
                  <c:v>45544</c:v>
                </c:pt>
                <c:pt idx="37">
                  <c:v>45545</c:v>
                </c:pt>
                <c:pt idx="38">
                  <c:v>45546</c:v>
                </c:pt>
                <c:pt idx="39">
                  <c:v>45547</c:v>
                </c:pt>
                <c:pt idx="40">
                  <c:v>45548</c:v>
                </c:pt>
                <c:pt idx="41">
                  <c:v>45551</c:v>
                </c:pt>
                <c:pt idx="42">
                  <c:v>45552</c:v>
                </c:pt>
                <c:pt idx="43">
                  <c:v>45553</c:v>
                </c:pt>
                <c:pt idx="44">
                  <c:v>45554</c:v>
                </c:pt>
                <c:pt idx="45">
                  <c:v>45555</c:v>
                </c:pt>
                <c:pt idx="46">
                  <c:v>45558</c:v>
                </c:pt>
                <c:pt idx="47">
                  <c:v>45559</c:v>
                </c:pt>
                <c:pt idx="48">
                  <c:v>45560</c:v>
                </c:pt>
                <c:pt idx="49">
                  <c:v>45561</c:v>
                </c:pt>
                <c:pt idx="50">
                  <c:v>45562</c:v>
                </c:pt>
                <c:pt idx="51">
                  <c:v>45565</c:v>
                </c:pt>
                <c:pt idx="52">
                  <c:v>45566</c:v>
                </c:pt>
                <c:pt idx="53">
                  <c:v>45567</c:v>
                </c:pt>
                <c:pt idx="54">
                  <c:v>45568</c:v>
                </c:pt>
                <c:pt idx="55">
                  <c:v>45569</c:v>
                </c:pt>
                <c:pt idx="56">
                  <c:v>45572</c:v>
                </c:pt>
                <c:pt idx="57">
                  <c:v>45573</c:v>
                </c:pt>
                <c:pt idx="58">
                  <c:v>45574</c:v>
                </c:pt>
                <c:pt idx="59">
                  <c:v>45575</c:v>
                </c:pt>
                <c:pt idx="60">
                  <c:v>45576</c:v>
                </c:pt>
                <c:pt idx="61">
                  <c:v>45579</c:v>
                </c:pt>
                <c:pt idx="62">
                  <c:v>45580</c:v>
                </c:pt>
                <c:pt idx="63">
                  <c:v>45581</c:v>
                </c:pt>
                <c:pt idx="64">
                  <c:v>45582</c:v>
                </c:pt>
                <c:pt idx="65">
                  <c:v>45583</c:v>
                </c:pt>
                <c:pt idx="66">
                  <c:v>45586</c:v>
                </c:pt>
                <c:pt idx="67">
                  <c:v>45587</c:v>
                </c:pt>
                <c:pt idx="68">
                  <c:v>45588</c:v>
                </c:pt>
                <c:pt idx="69">
                  <c:v>45589</c:v>
                </c:pt>
                <c:pt idx="70">
                  <c:v>45590</c:v>
                </c:pt>
                <c:pt idx="71">
                  <c:v>45593</c:v>
                </c:pt>
                <c:pt idx="72">
                  <c:v>45594</c:v>
                </c:pt>
                <c:pt idx="73">
                  <c:v>45595</c:v>
                </c:pt>
                <c:pt idx="74">
                  <c:v>45596</c:v>
                </c:pt>
                <c:pt idx="75">
                  <c:v>45597</c:v>
                </c:pt>
                <c:pt idx="76">
                  <c:v>45600</c:v>
                </c:pt>
                <c:pt idx="77">
                  <c:v>45601</c:v>
                </c:pt>
                <c:pt idx="78">
                  <c:v>45602</c:v>
                </c:pt>
                <c:pt idx="79">
                  <c:v>45603</c:v>
                </c:pt>
                <c:pt idx="80">
                  <c:v>45604</c:v>
                </c:pt>
                <c:pt idx="81">
                  <c:v>45607</c:v>
                </c:pt>
                <c:pt idx="82">
                  <c:v>45608</c:v>
                </c:pt>
                <c:pt idx="83">
                  <c:v>45609</c:v>
                </c:pt>
                <c:pt idx="84">
                  <c:v>45610</c:v>
                </c:pt>
                <c:pt idx="85">
                  <c:v>45611</c:v>
                </c:pt>
                <c:pt idx="86">
                  <c:v>45614</c:v>
                </c:pt>
                <c:pt idx="87">
                  <c:v>45615</c:v>
                </c:pt>
                <c:pt idx="88">
                  <c:v>45616</c:v>
                </c:pt>
                <c:pt idx="89">
                  <c:v>45617</c:v>
                </c:pt>
                <c:pt idx="90">
                  <c:v>45618</c:v>
                </c:pt>
                <c:pt idx="91">
                  <c:v>45621</c:v>
                </c:pt>
                <c:pt idx="92">
                  <c:v>45622</c:v>
                </c:pt>
                <c:pt idx="93">
                  <c:v>45623</c:v>
                </c:pt>
                <c:pt idx="94">
                  <c:v>45625</c:v>
                </c:pt>
                <c:pt idx="95">
                  <c:v>45628</c:v>
                </c:pt>
                <c:pt idx="96">
                  <c:v>45629</c:v>
                </c:pt>
                <c:pt idx="97">
                  <c:v>45630</c:v>
                </c:pt>
                <c:pt idx="98">
                  <c:v>45631</c:v>
                </c:pt>
                <c:pt idx="99">
                  <c:v>45632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45642</c:v>
                </c:pt>
                <c:pt idx="106">
                  <c:v>45643</c:v>
                </c:pt>
                <c:pt idx="107">
                  <c:v>45644</c:v>
                </c:pt>
                <c:pt idx="108">
                  <c:v>45645</c:v>
                </c:pt>
                <c:pt idx="109">
                  <c:v>45646</c:v>
                </c:pt>
                <c:pt idx="110">
                  <c:v>45649</c:v>
                </c:pt>
                <c:pt idx="111">
                  <c:v>45650</c:v>
                </c:pt>
                <c:pt idx="112">
                  <c:v>45652</c:v>
                </c:pt>
                <c:pt idx="113">
                  <c:v>45653</c:v>
                </c:pt>
                <c:pt idx="114">
                  <c:v>45656</c:v>
                </c:pt>
                <c:pt idx="115">
                  <c:v>45657</c:v>
                </c:pt>
                <c:pt idx="116">
                  <c:v>45659</c:v>
                </c:pt>
                <c:pt idx="117">
                  <c:v>45660</c:v>
                </c:pt>
                <c:pt idx="118">
                  <c:v>45663</c:v>
                </c:pt>
                <c:pt idx="119">
                  <c:v>45664</c:v>
                </c:pt>
                <c:pt idx="120">
                  <c:v>45665</c:v>
                </c:pt>
                <c:pt idx="121">
                  <c:v>45667</c:v>
                </c:pt>
                <c:pt idx="122">
                  <c:v>45670</c:v>
                </c:pt>
                <c:pt idx="123">
                  <c:v>45671</c:v>
                </c:pt>
                <c:pt idx="124">
                  <c:v>45672</c:v>
                </c:pt>
                <c:pt idx="125">
                  <c:v>45673</c:v>
                </c:pt>
                <c:pt idx="126">
                  <c:v>45674</c:v>
                </c:pt>
                <c:pt idx="127">
                  <c:v>45678</c:v>
                </c:pt>
                <c:pt idx="128">
                  <c:v>45679</c:v>
                </c:pt>
                <c:pt idx="129">
                  <c:v>45680</c:v>
                </c:pt>
                <c:pt idx="130">
                  <c:v>45681</c:v>
                </c:pt>
                <c:pt idx="131">
                  <c:v>45684</c:v>
                </c:pt>
                <c:pt idx="132">
                  <c:v>45685</c:v>
                </c:pt>
                <c:pt idx="133">
                  <c:v>45686</c:v>
                </c:pt>
                <c:pt idx="134">
                  <c:v>45687</c:v>
                </c:pt>
                <c:pt idx="135">
                  <c:v>45688</c:v>
                </c:pt>
                <c:pt idx="136">
                  <c:v>45691</c:v>
                </c:pt>
                <c:pt idx="137">
                  <c:v>45692</c:v>
                </c:pt>
                <c:pt idx="138">
                  <c:v>45693</c:v>
                </c:pt>
                <c:pt idx="139">
                  <c:v>45694</c:v>
                </c:pt>
                <c:pt idx="140">
                  <c:v>45695</c:v>
                </c:pt>
                <c:pt idx="141">
                  <c:v>45698</c:v>
                </c:pt>
                <c:pt idx="142">
                  <c:v>45699</c:v>
                </c:pt>
                <c:pt idx="143">
                  <c:v>45700</c:v>
                </c:pt>
                <c:pt idx="144">
                  <c:v>45701</c:v>
                </c:pt>
                <c:pt idx="145">
                  <c:v>45702</c:v>
                </c:pt>
                <c:pt idx="146">
                  <c:v>45706</c:v>
                </c:pt>
                <c:pt idx="147">
                  <c:v>45707</c:v>
                </c:pt>
                <c:pt idx="148">
                  <c:v>45708</c:v>
                </c:pt>
                <c:pt idx="149">
                  <c:v>45709</c:v>
                </c:pt>
                <c:pt idx="150">
                  <c:v>45712</c:v>
                </c:pt>
                <c:pt idx="151">
                  <c:v>45713</c:v>
                </c:pt>
                <c:pt idx="152">
                  <c:v>45714</c:v>
                </c:pt>
                <c:pt idx="153">
                  <c:v>45715</c:v>
                </c:pt>
                <c:pt idx="154">
                  <c:v>45716</c:v>
                </c:pt>
                <c:pt idx="155">
                  <c:v>45719</c:v>
                </c:pt>
                <c:pt idx="156">
                  <c:v>45720</c:v>
                </c:pt>
                <c:pt idx="157">
                  <c:v>45721</c:v>
                </c:pt>
                <c:pt idx="158">
                  <c:v>45722</c:v>
                </c:pt>
                <c:pt idx="159">
                  <c:v>45723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45733</c:v>
                </c:pt>
                <c:pt idx="166">
                  <c:v>45734</c:v>
                </c:pt>
                <c:pt idx="167">
                  <c:v>45735</c:v>
                </c:pt>
                <c:pt idx="168">
                  <c:v>45736</c:v>
                </c:pt>
                <c:pt idx="169">
                  <c:v>45737</c:v>
                </c:pt>
                <c:pt idx="170">
                  <c:v>45740</c:v>
                </c:pt>
                <c:pt idx="171">
                  <c:v>45741</c:v>
                </c:pt>
                <c:pt idx="172">
                  <c:v>45742</c:v>
                </c:pt>
                <c:pt idx="173">
                  <c:v>45743</c:v>
                </c:pt>
                <c:pt idx="174">
                  <c:v>45744</c:v>
                </c:pt>
                <c:pt idx="175">
                  <c:v>45747</c:v>
                </c:pt>
              </c:numCache>
            </c:numRef>
          </c:cat>
          <c:val>
            <c:numRef>
              <c:f>MACD!$D$17:$D$192</c:f>
              <c:numCache>
                <c:formatCode>0.00</c:formatCode>
                <c:ptCount val="176"/>
                <c:pt idx="0">
                  <c:v>41.012884615384614</c:v>
                </c:pt>
                <c:pt idx="1">
                  <c:v>41.263210059171598</c:v>
                </c:pt>
                <c:pt idx="2">
                  <c:v>41.479639280837503</c:v>
                </c:pt>
                <c:pt idx="3">
                  <c:v>41.710464006862502</c:v>
                </c:pt>
                <c:pt idx="4">
                  <c:v>42.164238775037504</c:v>
                </c:pt>
                <c:pt idx="5">
                  <c:v>42.6420481942625</c:v>
                </c:pt>
                <c:pt idx="6">
                  <c:v>43.843271548991346</c:v>
                </c:pt>
                <c:pt idx="7">
                  <c:v>44.633537464531138</c:v>
                </c:pt>
                <c:pt idx="8">
                  <c:v>45.312993239218656</c:v>
                </c:pt>
                <c:pt idx="9">
                  <c:v>45.65868658703117</c:v>
                </c:pt>
                <c:pt idx="10">
                  <c:v>46.045042496718679</c:v>
                </c:pt>
                <c:pt idx="11">
                  <c:v>46.464266727992729</c:v>
                </c:pt>
                <c:pt idx="12">
                  <c:v>46.637456462147696</c:v>
                </c:pt>
                <c:pt idx="13">
                  <c:v>46.740924698740358</c:v>
                </c:pt>
                <c:pt idx="14">
                  <c:v>46.703859360472613</c:v>
                </c:pt>
                <c:pt idx="15">
                  <c:v>46.726342535784518</c:v>
                </c:pt>
                <c:pt idx="16">
                  <c:v>46.725366761048441</c:v>
                </c:pt>
                <c:pt idx="17">
                  <c:v>46.776848797810217</c:v>
                </c:pt>
                <c:pt idx="18">
                  <c:v>47.12810282891634</c:v>
                </c:pt>
                <c:pt idx="19">
                  <c:v>47.325317778313824</c:v>
                </c:pt>
                <c:pt idx="20">
                  <c:v>47.599884273957848</c:v>
                </c:pt>
                <c:pt idx="21">
                  <c:v>47.870671308733563</c:v>
                </c:pt>
                <c:pt idx="22">
                  <c:v>48.090568030466862</c:v>
                </c:pt>
                <c:pt idx="23">
                  <c:v>48.227403718087345</c:v>
                </c:pt>
                <c:pt idx="24">
                  <c:v>48.2601108383816</c:v>
                </c:pt>
                <c:pt idx="25">
                  <c:v>48.161632247861355</c:v>
                </c:pt>
                <c:pt idx="26">
                  <c:v>48.153688825113456</c:v>
                </c:pt>
                <c:pt idx="27">
                  <c:v>48.166967467403694</c:v>
                </c:pt>
                <c:pt idx="28">
                  <c:v>48.159741703187741</c:v>
                </c:pt>
                <c:pt idx="29">
                  <c:v>48.298242979620397</c:v>
                </c:pt>
                <c:pt idx="30">
                  <c:v>48.516974828909568</c:v>
                </c:pt>
                <c:pt idx="31">
                  <c:v>48.737440239846556</c:v>
                </c:pt>
                <c:pt idx="32">
                  <c:v>49.011680202947083</c:v>
                </c:pt>
                <c:pt idx="33">
                  <c:v>49.157575556339843</c:v>
                </c:pt>
                <c:pt idx="34">
                  <c:v>49.256410086133712</c:v>
                </c:pt>
                <c:pt idx="35">
                  <c:v>49.170808534420836</c:v>
                </c:pt>
                <c:pt idx="36">
                  <c:v>49.067607221433015</c:v>
                </c:pt>
                <c:pt idx="37">
                  <c:v>49.100283033520242</c:v>
                </c:pt>
                <c:pt idx="38">
                  <c:v>49.021777951440207</c:v>
                </c:pt>
                <c:pt idx="39">
                  <c:v>48.901504420449406</c:v>
                </c:pt>
                <c:pt idx="40">
                  <c:v>48.93665758653411</c:v>
                </c:pt>
                <c:pt idx="41">
                  <c:v>49.098710265528865</c:v>
                </c:pt>
                <c:pt idx="42">
                  <c:v>49.158908686216733</c:v>
                </c:pt>
                <c:pt idx="43">
                  <c:v>49.248307349875695</c:v>
                </c:pt>
                <c:pt idx="44">
                  <c:v>49.21318314220251</c:v>
                </c:pt>
                <c:pt idx="45">
                  <c:v>49.24346265878674</c:v>
                </c:pt>
                <c:pt idx="46">
                  <c:v>49.361391480511855</c:v>
                </c:pt>
                <c:pt idx="47">
                  <c:v>49.604254329663874</c:v>
                </c:pt>
                <c:pt idx="48">
                  <c:v>49.657445971254049</c:v>
                </c:pt>
                <c:pt idx="49">
                  <c:v>49.728608129522655</c:v>
                </c:pt>
                <c:pt idx="50">
                  <c:v>49.910360724980706</c:v>
                </c:pt>
                <c:pt idx="51">
                  <c:v>50.191843690368287</c:v>
                </c:pt>
                <c:pt idx="52">
                  <c:v>50.608483122619319</c:v>
                </c:pt>
                <c:pt idx="53">
                  <c:v>51.09333187298558</c:v>
                </c:pt>
                <c:pt idx="54">
                  <c:v>51.571280815603181</c:v>
                </c:pt>
                <c:pt idx="55">
                  <c:v>51.938776074741156</c:v>
                </c:pt>
                <c:pt idx="56">
                  <c:v>52.169733601704053</c:v>
                </c:pt>
                <c:pt idx="57">
                  <c:v>52.217466893749581</c:v>
                </c:pt>
                <c:pt idx="58">
                  <c:v>52.30708737163426</c:v>
                </c:pt>
                <c:pt idx="59">
                  <c:v>52.321381622152067</c:v>
                </c:pt>
                <c:pt idx="60">
                  <c:v>52.302707526436365</c:v>
                </c:pt>
                <c:pt idx="61">
                  <c:v>52.359214060830773</c:v>
                </c:pt>
                <c:pt idx="62">
                  <c:v>52.420873436087575</c:v>
                </c:pt>
                <c:pt idx="63">
                  <c:v>52.566892907458715</c:v>
                </c:pt>
                <c:pt idx="64">
                  <c:v>52.661217075541991</c:v>
                </c:pt>
                <c:pt idx="65">
                  <c:v>52.747183679304761</c:v>
                </c:pt>
                <c:pt idx="66">
                  <c:v>52.650693882488646</c:v>
                </c:pt>
                <c:pt idx="67">
                  <c:v>52.667510208259621</c:v>
                </c:pt>
                <c:pt idx="68">
                  <c:v>52.72789325314276</c:v>
                </c:pt>
                <c:pt idx="69">
                  <c:v>52.757448137274643</c:v>
                </c:pt>
                <c:pt idx="70">
                  <c:v>52.628609962309312</c:v>
                </c:pt>
                <c:pt idx="71">
                  <c:v>52.630362275800188</c:v>
                </c:pt>
                <c:pt idx="72">
                  <c:v>52.610306541061696</c:v>
                </c:pt>
                <c:pt idx="73">
                  <c:v>52.617951688590665</c:v>
                </c:pt>
                <c:pt idx="74">
                  <c:v>53.102882198038259</c:v>
                </c:pt>
                <c:pt idx="75">
                  <c:v>53.290131090647755</c:v>
                </c:pt>
                <c:pt idx="76">
                  <c:v>53.622418615163483</c:v>
                </c:pt>
                <c:pt idx="77">
                  <c:v>53.980508058984483</c:v>
                </c:pt>
                <c:pt idx="78">
                  <c:v>54.180429896063792</c:v>
                </c:pt>
                <c:pt idx="79">
                  <c:v>54.261902219746283</c:v>
                </c:pt>
                <c:pt idx="80">
                  <c:v>54.243148032093011</c:v>
                </c:pt>
                <c:pt idx="81">
                  <c:v>55.101125257924856</c:v>
                </c:pt>
                <c:pt idx="82">
                  <c:v>55.704029064397957</c:v>
                </c:pt>
                <c:pt idx="83">
                  <c:v>56.120332285259806</c:v>
                </c:pt>
                <c:pt idx="84">
                  <c:v>56.486435010604453</c:v>
                </c:pt>
                <c:pt idx="85">
                  <c:v>56.445445008972996</c:v>
                </c:pt>
                <c:pt idx="86">
                  <c:v>56.499991930669459</c:v>
                </c:pt>
                <c:pt idx="87">
                  <c:v>56.766147018258771</c:v>
                </c:pt>
                <c:pt idx="88">
                  <c:v>56.937509015449727</c:v>
                </c:pt>
                <c:pt idx="89">
                  <c:v>57.136353782303615</c:v>
                </c:pt>
                <c:pt idx="90">
                  <c:v>57.403068585026134</c:v>
                </c:pt>
                <c:pt idx="91">
                  <c:v>57.614904187329806</c:v>
                </c:pt>
                <c:pt idx="92">
                  <c:v>57.787995850817531</c:v>
                </c:pt>
                <c:pt idx="93">
                  <c:v>58.015996489153295</c:v>
                </c:pt>
                <c:pt idx="94">
                  <c:v>58.201227798514324</c:v>
                </c:pt>
                <c:pt idx="95">
                  <c:v>58.468731214127502</c:v>
                </c:pt>
                <c:pt idx="96">
                  <c:v>58.502772565800193</c:v>
                </c:pt>
                <c:pt idx="97">
                  <c:v>58.482346017215548</c:v>
                </c:pt>
                <c:pt idx="98">
                  <c:v>58.537369706874692</c:v>
                </c:pt>
                <c:pt idx="99">
                  <c:v>58.667005136586276</c:v>
                </c:pt>
                <c:pt idx="100">
                  <c:v>58.673619730957618</c:v>
                </c:pt>
                <c:pt idx="101">
                  <c:v>58.588447464656447</c:v>
                </c:pt>
                <c:pt idx="102">
                  <c:v>58.290224777786221</c:v>
                </c:pt>
                <c:pt idx="103">
                  <c:v>57.980959427357575</c:v>
                </c:pt>
                <c:pt idx="104">
                  <c:v>57.642350284687183</c:v>
                </c:pt>
                <c:pt idx="105">
                  <c:v>57.369681010119926</c:v>
                </c:pt>
                <c:pt idx="106">
                  <c:v>57.412807008563014</c:v>
                </c:pt>
                <c:pt idx="107">
                  <c:v>57.324682853399473</c:v>
                </c:pt>
                <c:pt idx="108">
                  <c:v>57.167039337491865</c:v>
                </c:pt>
                <c:pt idx="109">
                  <c:v>57.192110208646959</c:v>
                </c:pt>
                <c:pt idx="110">
                  <c:v>57.251785561162812</c:v>
                </c:pt>
                <c:pt idx="111">
                  <c:v>57.329972397906992</c:v>
                </c:pt>
                <c:pt idx="112">
                  <c:v>57.433053567459766</c:v>
                </c:pt>
                <c:pt idx="113">
                  <c:v>57.471045326312108</c:v>
                </c:pt>
                <c:pt idx="114">
                  <c:v>57.253961429956398</c:v>
                </c:pt>
                <c:pt idx="115">
                  <c:v>57.147198133040028</c:v>
                </c:pt>
                <c:pt idx="116">
                  <c:v>57.092244574110794</c:v>
                </c:pt>
                <c:pt idx="117">
                  <c:v>57.011899255016829</c:v>
                </c:pt>
                <c:pt idx="118">
                  <c:v>56.960837831168085</c:v>
                </c:pt>
                <c:pt idx="119">
                  <c:v>56.988401241757607</c:v>
                </c:pt>
                <c:pt idx="120">
                  <c:v>56.960954896871819</c:v>
                </c:pt>
                <c:pt idx="121">
                  <c:v>56.786961835814616</c:v>
                </c:pt>
                <c:pt idx="122">
                  <c:v>56.56742924568929</c:v>
                </c:pt>
                <c:pt idx="123">
                  <c:v>56.440132438660171</c:v>
                </c:pt>
                <c:pt idx="124">
                  <c:v>56.35857360194322</c:v>
                </c:pt>
                <c:pt idx="125">
                  <c:v>56.361869970875034</c:v>
                </c:pt>
                <c:pt idx="126">
                  <c:v>56.350813052278873</c:v>
                </c:pt>
                <c:pt idx="127">
                  <c:v>56.456841813466738</c:v>
                </c:pt>
                <c:pt idx="128">
                  <c:v>56.554250765241086</c:v>
                </c:pt>
                <c:pt idx="129">
                  <c:v>56.952058339819381</c:v>
                </c:pt>
                <c:pt idx="130">
                  <c:v>57.370203210616403</c:v>
                </c:pt>
                <c:pt idx="131">
                  <c:v>57.867095024367728</c:v>
                </c:pt>
                <c:pt idx="132">
                  <c:v>58.004465020618845</c:v>
                </c:pt>
                <c:pt idx="133">
                  <c:v>58.165316555908255</c:v>
                </c:pt>
                <c:pt idx="134">
                  <c:v>58.315267854999291</c:v>
                </c:pt>
                <c:pt idx="135">
                  <c:v>58.412918954230172</c:v>
                </c:pt>
                <c:pt idx="136">
                  <c:v>58.649392961271687</c:v>
                </c:pt>
                <c:pt idx="137">
                  <c:v>58.721794044152965</c:v>
                </c:pt>
                <c:pt idx="138">
                  <c:v>58.873825729667892</c:v>
                </c:pt>
                <c:pt idx="139">
                  <c:v>58.650160232795912</c:v>
                </c:pt>
                <c:pt idx="140">
                  <c:v>58.373212504673461</c:v>
                </c:pt>
                <c:pt idx="141">
                  <c:v>57.935795196262163</c:v>
                </c:pt>
                <c:pt idx="142">
                  <c:v>57.628749781452598</c:v>
                </c:pt>
                <c:pt idx="143">
                  <c:v>57.401249815075275</c:v>
                </c:pt>
                <c:pt idx="144">
                  <c:v>57.181057535832927</c:v>
                </c:pt>
                <c:pt idx="145">
                  <c:v>56.676279453397093</c:v>
                </c:pt>
                <c:pt idx="146">
                  <c:v>56.33069799902831</c:v>
                </c:pt>
                <c:pt idx="147">
                  <c:v>56.122898306870106</c:v>
                </c:pt>
                <c:pt idx="148">
                  <c:v>56.071683182736244</c:v>
                </c:pt>
                <c:pt idx="149">
                  <c:v>56.034501154622973</c:v>
                </c:pt>
                <c:pt idx="150">
                  <c:v>56.318424053911748</c:v>
                </c:pt>
                <c:pt idx="151">
                  <c:v>56.609435737925324</c:v>
                </c:pt>
                <c:pt idx="152">
                  <c:v>56.727984085936811</c:v>
                </c:pt>
                <c:pt idx="153">
                  <c:v>57.046755765023455</c:v>
                </c:pt>
                <c:pt idx="154">
                  <c:v>57.442639493481387</c:v>
                </c:pt>
                <c:pt idx="155">
                  <c:v>57.816079571407329</c:v>
                </c:pt>
                <c:pt idx="156">
                  <c:v>58.065913483498505</c:v>
                </c:pt>
                <c:pt idx="157">
                  <c:v>58.335772947575656</c:v>
                </c:pt>
                <c:pt idx="158">
                  <c:v>58.619500186410171</c:v>
                </c:pt>
                <c:pt idx="159">
                  <c:v>58.999577080808606</c:v>
                </c:pt>
                <c:pt idx="160">
                  <c:v>59.63194983760728</c:v>
                </c:pt>
                <c:pt idx="161">
                  <c:v>59.920880631821547</c:v>
                </c:pt>
                <c:pt idx="162">
                  <c:v>59.903822073079773</c:v>
                </c:pt>
                <c:pt idx="163">
                  <c:v>59.96169560029827</c:v>
                </c:pt>
                <c:pt idx="164">
                  <c:v>59.815280892560075</c:v>
                </c:pt>
                <c:pt idx="165">
                  <c:v>59.842160755243142</c:v>
                </c:pt>
                <c:pt idx="166">
                  <c:v>59.851059100590348</c:v>
                </c:pt>
                <c:pt idx="167">
                  <c:v>59.886280777422598</c:v>
                </c:pt>
                <c:pt idx="168">
                  <c:v>59.968391427049895</c:v>
                </c:pt>
                <c:pt idx="169">
                  <c:v>60.125561976734524</c:v>
                </c:pt>
                <c:pt idx="170">
                  <c:v>60.267783211083056</c:v>
                </c:pt>
                <c:pt idx="171">
                  <c:v>60.101970409377969</c:v>
                </c:pt>
                <c:pt idx="172">
                  <c:v>59.96474419255059</c:v>
                </c:pt>
                <c:pt idx="173">
                  <c:v>59.80093739369665</c:v>
                </c:pt>
                <c:pt idx="174">
                  <c:v>59.834639333127932</c:v>
                </c:pt>
                <c:pt idx="175">
                  <c:v>60.012387128031328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A4-471F-A094-64C2C72DA596}"/>
            </c:ext>
          </c:extLst>
        </c:ser>
        <c:ser>
          <c:idx val="2"/>
          <c:order val="2"/>
          <c:tx>
            <c:strRef>
              <c:f>MACD!$E$4</c:f>
              <c:strCache>
                <c:ptCount val="1"/>
                <c:pt idx="0">
                  <c:v>26-Day EMA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MACD!$A$17:$A$192</c:f>
              <c:numCache>
                <c:formatCode>m/d/yyyy</c:formatCode>
                <c:ptCount val="176"/>
                <c:pt idx="0">
                  <c:v>45491</c:v>
                </c:pt>
                <c:pt idx="1">
                  <c:v>45492</c:v>
                </c:pt>
                <c:pt idx="2">
                  <c:v>45495</c:v>
                </c:pt>
                <c:pt idx="3">
                  <c:v>45496</c:v>
                </c:pt>
                <c:pt idx="4">
                  <c:v>45497</c:v>
                </c:pt>
                <c:pt idx="5">
                  <c:v>45498</c:v>
                </c:pt>
                <c:pt idx="6">
                  <c:v>45499</c:v>
                </c:pt>
                <c:pt idx="7">
                  <c:v>45502</c:v>
                </c:pt>
                <c:pt idx="8">
                  <c:v>45503</c:v>
                </c:pt>
                <c:pt idx="9">
                  <c:v>45504</c:v>
                </c:pt>
                <c:pt idx="10">
                  <c:v>45505</c:v>
                </c:pt>
                <c:pt idx="11">
                  <c:v>45506</c:v>
                </c:pt>
                <c:pt idx="12">
                  <c:v>45509</c:v>
                </c:pt>
                <c:pt idx="13">
                  <c:v>45510</c:v>
                </c:pt>
                <c:pt idx="14">
                  <c:v>45511</c:v>
                </c:pt>
                <c:pt idx="15">
                  <c:v>45512</c:v>
                </c:pt>
                <c:pt idx="16">
                  <c:v>45513</c:v>
                </c:pt>
                <c:pt idx="17">
                  <c:v>45516</c:v>
                </c:pt>
                <c:pt idx="18">
                  <c:v>45517</c:v>
                </c:pt>
                <c:pt idx="19">
                  <c:v>45518</c:v>
                </c:pt>
                <c:pt idx="20">
                  <c:v>45519</c:v>
                </c:pt>
                <c:pt idx="21">
                  <c:v>45520</c:v>
                </c:pt>
                <c:pt idx="22">
                  <c:v>45523</c:v>
                </c:pt>
                <c:pt idx="23">
                  <c:v>45524</c:v>
                </c:pt>
                <c:pt idx="24">
                  <c:v>45525</c:v>
                </c:pt>
                <c:pt idx="25">
                  <c:v>45526</c:v>
                </c:pt>
                <c:pt idx="26">
                  <c:v>45527</c:v>
                </c:pt>
                <c:pt idx="27">
                  <c:v>45530</c:v>
                </c:pt>
                <c:pt idx="28">
                  <c:v>45531</c:v>
                </c:pt>
                <c:pt idx="29">
                  <c:v>45532</c:v>
                </c:pt>
                <c:pt idx="30">
                  <c:v>45533</c:v>
                </c:pt>
                <c:pt idx="31">
                  <c:v>45534</c:v>
                </c:pt>
                <c:pt idx="32">
                  <c:v>45538</c:v>
                </c:pt>
                <c:pt idx="33">
                  <c:v>45539</c:v>
                </c:pt>
                <c:pt idx="34">
                  <c:v>45540</c:v>
                </c:pt>
                <c:pt idx="35">
                  <c:v>45541</c:v>
                </c:pt>
                <c:pt idx="36">
                  <c:v>45544</c:v>
                </c:pt>
                <c:pt idx="37">
                  <c:v>45545</c:v>
                </c:pt>
                <c:pt idx="38">
                  <c:v>45546</c:v>
                </c:pt>
                <c:pt idx="39">
                  <c:v>45547</c:v>
                </c:pt>
                <c:pt idx="40">
                  <c:v>45548</c:v>
                </c:pt>
                <c:pt idx="41">
                  <c:v>45551</c:v>
                </c:pt>
                <c:pt idx="42">
                  <c:v>45552</c:v>
                </c:pt>
                <c:pt idx="43">
                  <c:v>45553</c:v>
                </c:pt>
                <c:pt idx="44">
                  <c:v>45554</c:v>
                </c:pt>
                <c:pt idx="45">
                  <c:v>45555</c:v>
                </c:pt>
                <c:pt idx="46">
                  <c:v>45558</c:v>
                </c:pt>
                <c:pt idx="47">
                  <c:v>45559</c:v>
                </c:pt>
                <c:pt idx="48">
                  <c:v>45560</c:v>
                </c:pt>
                <c:pt idx="49">
                  <c:v>45561</c:v>
                </c:pt>
                <c:pt idx="50">
                  <c:v>45562</c:v>
                </c:pt>
                <c:pt idx="51">
                  <c:v>45565</c:v>
                </c:pt>
                <c:pt idx="52">
                  <c:v>45566</c:v>
                </c:pt>
                <c:pt idx="53">
                  <c:v>45567</c:v>
                </c:pt>
                <c:pt idx="54">
                  <c:v>45568</c:v>
                </c:pt>
                <c:pt idx="55">
                  <c:v>45569</c:v>
                </c:pt>
                <c:pt idx="56">
                  <c:v>45572</c:v>
                </c:pt>
                <c:pt idx="57">
                  <c:v>45573</c:v>
                </c:pt>
                <c:pt idx="58">
                  <c:v>45574</c:v>
                </c:pt>
                <c:pt idx="59">
                  <c:v>45575</c:v>
                </c:pt>
                <c:pt idx="60">
                  <c:v>45576</c:v>
                </c:pt>
                <c:pt idx="61">
                  <c:v>45579</c:v>
                </c:pt>
                <c:pt idx="62">
                  <c:v>45580</c:v>
                </c:pt>
                <c:pt idx="63">
                  <c:v>45581</c:v>
                </c:pt>
                <c:pt idx="64">
                  <c:v>45582</c:v>
                </c:pt>
                <c:pt idx="65">
                  <c:v>45583</c:v>
                </c:pt>
                <c:pt idx="66">
                  <c:v>45586</c:v>
                </c:pt>
                <c:pt idx="67">
                  <c:v>45587</c:v>
                </c:pt>
                <c:pt idx="68">
                  <c:v>45588</c:v>
                </c:pt>
                <c:pt idx="69">
                  <c:v>45589</c:v>
                </c:pt>
                <c:pt idx="70">
                  <c:v>45590</c:v>
                </c:pt>
                <c:pt idx="71">
                  <c:v>45593</c:v>
                </c:pt>
                <c:pt idx="72">
                  <c:v>45594</c:v>
                </c:pt>
                <c:pt idx="73">
                  <c:v>45595</c:v>
                </c:pt>
                <c:pt idx="74">
                  <c:v>45596</c:v>
                </c:pt>
                <c:pt idx="75">
                  <c:v>45597</c:v>
                </c:pt>
                <c:pt idx="76">
                  <c:v>45600</c:v>
                </c:pt>
                <c:pt idx="77">
                  <c:v>45601</c:v>
                </c:pt>
                <c:pt idx="78">
                  <c:v>45602</c:v>
                </c:pt>
                <c:pt idx="79">
                  <c:v>45603</c:v>
                </c:pt>
                <c:pt idx="80">
                  <c:v>45604</c:v>
                </c:pt>
                <c:pt idx="81">
                  <c:v>45607</c:v>
                </c:pt>
                <c:pt idx="82">
                  <c:v>45608</c:v>
                </c:pt>
                <c:pt idx="83">
                  <c:v>45609</c:v>
                </c:pt>
                <c:pt idx="84">
                  <c:v>45610</c:v>
                </c:pt>
                <c:pt idx="85">
                  <c:v>45611</c:v>
                </c:pt>
                <c:pt idx="86">
                  <c:v>45614</c:v>
                </c:pt>
                <c:pt idx="87">
                  <c:v>45615</c:v>
                </c:pt>
                <c:pt idx="88">
                  <c:v>45616</c:v>
                </c:pt>
                <c:pt idx="89">
                  <c:v>45617</c:v>
                </c:pt>
                <c:pt idx="90">
                  <c:v>45618</c:v>
                </c:pt>
                <c:pt idx="91">
                  <c:v>45621</c:v>
                </c:pt>
                <c:pt idx="92">
                  <c:v>45622</c:v>
                </c:pt>
                <c:pt idx="93">
                  <c:v>45623</c:v>
                </c:pt>
                <c:pt idx="94">
                  <c:v>45625</c:v>
                </c:pt>
                <c:pt idx="95">
                  <c:v>45628</c:v>
                </c:pt>
                <c:pt idx="96">
                  <c:v>45629</c:v>
                </c:pt>
                <c:pt idx="97">
                  <c:v>45630</c:v>
                </c:pt>
                <c:pt idx="98">
                  <c:v>45631</c:v>
                </c:pt>
                <c:pt idx="99">
                  <c:v>45632</c:v>
                </c:pt>
                <c:pt idx="100">
                  <c:v>45635</c:v>
                </c:pt>
                <c:pt idx="101">
                  <c:v>45636</c:v>
                </c:pt>
                <c:pt idx="102">
                  <c:v>45637</c:v>
                </c:pt>
                <c:pt idx="103">
                  <c:v>45638</c:v>
                </c:pt>
                <c:pt idx="104">
                  <c:v>45639</c:v>
                </c:pt>
                <c:pt idx="105">
                  <c:v>45642</c:v>
                </c:pt>
                <c:pt idx="106">
                  <c:v>45643</c:v>
                </c:pt>
                <c:pt idx="107">
                  <c:v>45644</c:v>
                </c:pt>
                <c:pt idx="108">
                  <c:v>45645</c:v>
                </c:pt>
                <c:pt idx="109">
                  <c:v>45646</c:v>
                </c:pt>
                <c:pt idx="110">
                  <c:v>45649</c:v>
                </c:pt>
                <c:pt idx="111">
                  <c:v>45650</c:v>
                </c:pt>
                <c:pt idx="112">
                  <c:v>45652</c:v>
                </c:pt>
                <c:pt idx="113">
                  <c:v>45653</c:v>
                </c:pt>
                <c:pt idx="114">
                  <c:v>45656</c:v>
                </c:pt>
                <c:pt idx="115">
                  <c:v>45657</c:v>
                </c:pt>
                <c:pt idx="116">
                  <c:v>45659</c:v>
                </c:pt>
                <c:pt idx="117">
                  <c:v>45660</c:v>
                </c:pt>
                <c:pt idx="118">
                  <c:v>45663</c:v>
                </c:pt>
                <c:pt idx="119">
                  <c:v>45664</c:v>
                </c:pt>
                <c:pt idx="120">
                  <c:v>45665</c:v>
                </c:pt>
                <c:pt idx="121">
                  <c:v>45667</c:v>
                </c:pt>
                <c:pt idx="122">
                  <c:v>45670</c:v>
                </c:pt>
                <c:pt idx="123">
                  <c:v>45671</c:v>
                </c:pt>
                <c:pt idx="124">
                  <c:v>45672</c:v>
                </c:pt>
                <c:pt idx="125">
                  <c:v>45673</c:v>
                </c:pt>
                <c:pt idx="126">
                  <c:v>45674</c:v>
                </c:pt>
                <c:pt idx="127">
                  <c:v>45678</c:v>
                </c:pt>
                <c:pt idx="128">
                  <c:v>45679</c:v>
                </c:pt>
                <c:pt idx="129">
                  <c:v>45680</c:v>
                </c:pt>
                <c:pt idx="130">
                  <c:v>45681</c:v>
                </c:pt>
                <c:pt idx="131">
                  <c:v>45684</c:v>
                </c:pt>
                <c:pt idx="132">
                  <c:v>45685</c:v>
                </c:pt>
                <c:pt idx="133">
                  <c:v>45686</c:v>
                </c:pt>
                <c:pt idx="134">
                  <c:v>45687</c:v>
                </c:pt>
                <c:pt idx="135">
                  <c:v>45688</c:v>
                </c:pt>
                <c:pt idx="136">
                  <c:v>45691</c:v>
                </c:pt>
                <c:pt idx="137">
                  <c:v>45692</c:v>
                </c:pt>
                <c:pt idx="138">
                  <c:v>45693</c:v>
                </c:pt>
                <c:pt idx="139">
                  <c:v>45694</c:v>
                </c:pt>
                <c:pt idx="140">
                  <c:v>45695</c:v>
                </c:pt>
                <c:pt idx="141">
                  <c:v>45698</c:v>
                </c:pt>
                <c:pt idx="142">
                  <c:v>45699</c:v>
                </c:pt>
                <c:pt idx="143">
                  <c:v>45700</c:v>
                </c:pt>
                <c:pt idx="144">
                  <c:v>45701</c:v>
                </c:pt>
                <c:pt idx="145">
                  <c:v>45702</c:v>
                </c:pt>
                <c:pt idx="146">
                  <c:v>45706</c:v>
                </c:pt>
                <c:pt idx="147">
                  <c:v>45707</c:v>
                </c:pt>
                <c:pt idx="148">
                  <c:v>45708</c:v>
                </c:pt>
                <c:pt idx="149">
                  <c:v>45709</c:v>
                </c:pt>
                <c:pt idx="150">
                  <c:v>45712</c:v>
                </c:pt>
                <c:pt idx="151">
                  <c:v>45713</c:v>
                </c:pt>
                <c:pt idx="152">
                  <c:v>45714</c:v>
                </c:pt>
                <c:pt idx="153">
                  <c:v>45715</c:v>
                </c:pt>
                <c:pt idx="154">
                  <c:v>45716</c:v>
                </c:pt>
                <c:pt idx="155">
                  <c:v>45719</c:v>
                </c:pt>
                <c:pt idx="156">
                  <c:v>45720</c:v>
                </c:pt>
                <c:pt idx="157">
                  <c:v>45721</c:v>
                </c:pt>
                <c:pt idx="158">
                  <c:v>45722</c:v>
                </c:pt>
                <c:pt idx="159">
                  <c:v>45723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45733</c:v>
                </c:pt>
                <c:pt idx="166">
                  <c:v>45734</c:v>
                </c:pt>
                <c:pt idx="167">
                  <c:v>45735</c:v>
                </c:pt>
                <c:pt idx="168">
                  <c:v>45736</c:v>
                </c:pt>
                <c:pt idx="169">
                  <c:v>45737</c:v>
                </c:pt>
                <c:pt idx="170">
                  <c:v>45740</c:v>
                </c:pt>
                <c:pt idx="171">
                  <c:v>45741</c:v>
                </c:pt>
                <c:pt idx="172">
                  <c:v>45742</c:v>
                </c:pt>
                <c:pt idx="173">
                  <c:v>45743</c:v>
                </c:pt>
                <c:pt idx="174">
                  <c:v>45744</c:v>
                </c:pt>
                <c:pt idx="175">
                  <c:v>45747</c:v>
                </c:pt>
              </c:numCache>
            </c:numRef>
          </c:cat>
          <c:val>
            <c:numRef>
              <c:f>MACD!$E$17:$E$192</c:f>
              <c:numCache>
                <c:formatCode>0.00</c:formatCode>
                <c:ptCount val="176"/>
                <c:pt idx="0">
                  <c:v>40.887692307692305</c:v>
                </c:pt>
                <c:pt idx="1">
                  <c:v>41.012857142857136</c:v>
                </c:pt>
                <c:pt idx="2">
                  <c:v>41.123333333333328</c:v>
                </c:pt>
                <c:pt idx="3">
                  <c:v>41.239374999999995</c:v>
                </c:pt>
                <c:pt idx="4">
                  <c:v>41.440588235294115</c:v>
                </c:pt>
                <c:pt idx="5">
                  <c:v>41.653333333333329</c:v>
                </c:pt>
                <c:pt idx="6">
                  <c:v>42.116315789473681</c:v>
                </c:pt>
                <c:pt idx="7">
                  <c:v>42.459499999999998</c:v>
                </c:pt>
                <c:pt idx="8">
                  <c:v>42.773333333333326</c:v>
                </c:pt>
                <c:pt idx="9">
                  <c:v>42.990909090909092</c:v>
                </c:pt>
                <c:pt idx="10">
                  <c:v>43.216086956521735</c:v>
                </c:pt>
                <c:pt idx="11">
                  <c:v>43.447499999999998</c:v>
                </c:pt>
                <c:pt idx="12">
                  <c:v>43.613199999999999</c:v>
                </c:pt>
                <c:pt idx="13">
                  <c:v>43.755384615384614</c:v>
                </c:pt>
                <c:pt idx="14">
                  <c:v>43.958689458689456</c:v>
                </c:pt>
                <c:pt idx="15">
                  <c:v>44.172860609897647</c:v>
                </c:pt>
                <c:pt idx="16">
                  <c:v>44.361537601757078</c:v>
                </c:pt>
                <c:pt idx="17">
                  <c:v>44.561423705330625</c:v>
                </c:pt>
                <c:pt idx="18">
                  <c:v>44.894651579009839</c:v>
                </c:pt>
                <c:pt idx="19">
                  <c:v>45.155047758342441</c:v>
                </c:pt>
                <c:pt idx="20">
                  <c:v>45.448007183650411</c:v>
                </c:pt>
                <c:pt idx="21">
                  <c:v>45.737784429305933</c:v>
                </c:pt>
                <c:pt idx="22">
                  <c:v>46.001652249357342</c:v>
                </c:pt>
                <c:pt idx="23">
                  <c:v>46.222270601256795</c:v>
                </c:pt>
                <c:pt idx="24">
                  <c:v>46.386546853015552</c:v>
                </c:pt>
                <c:pt idx="25">
                  <c:v>46.477913752792176</c:v>
                </c:pt>
                <c:pt idx="26">
                  <c:v>46.598809030363128</c:v>
                </c:pt>
                <c:pt idx="27">
                  <c:v>46.720378731817711</c:v>
                </c:pt>
                <c:pt idx="28">
                  <c:v>46.824054381312692</c:v>
                </c:pt>
                <c:pt idx="29">
                  <c:v>46.989679982696934</c:v>
                </c:pt>
                <c:pt idx="30">
                  <c:v>47.191925909904569</c:v>
                </c:pt>
                <c:pt idx="31">
                  <c:v>47.396227694356085</c:v>
                </c:pt>
                <c:pt idx="32">
                  <c:v>47.627618235514895</c:v>
                </c:pt>
                <c:pt idx="33">
                  <c:v>47.800387255106386</c:v>
                </c:pt>
                <c:pt idx="34">
                  <c:v>47.948506717691096</c:v>
                </c:pt>
                <c:pt idx="35">
                  <c:v>48.004172886751014</c:v>
                </c:pt>
                <c:pt idx="36">
                  <c:v>48.040900821065755</c:v>
                </c:pt>
                <c:pt idx="37">
                  <c:v>48.132685945431255</c:v>
                </c:pt>
                <c:pt idx="38">
                  <c:v>48.166561060584499</c:v>
                </c:pt>
                <c:pt idx="39">
                  <c:v>48.172000982022688</c:v>
                </c:pt>
                <c:pt idx="40">
                  <c:v>48.24296387224323</c:v>
                </c:pt>
                <c:pt idx="41">
                  <c:v>48.372373955780766</c:v>
                </c:pt>
                <c:pt idx="42">
                  <c:v>48.455161070167378</c:v>
                </c:pt>
                <c:pt idx="43">
                  <c:v>48.550334324229055</c:v>
                </c:pt>
                <c:pt idx="44">
                  <c:v>48.58512437428616</c:v>
                </c:pt>
                <c:pt idx="45">
                  <c:v>48.646226272487183</c:v>
                </c:pt>
                <c:pt idx="46">
                  <c:v>48.747246548599243</c:v>
                </c:pt>
                <c:pt idx="47">
                  <c:v>48.909672730184482</c:v>
                </c:pt>
                <c:pt idx="48">
                  <c:v>48.986734009430073</c:v>
                </c:pt>
                <c:pt idx="49">
                  <c:v>49.070679638361177</c:v>
                </c:pt>
                <c:pt idx="50">
                  <c:v>49.206925591075162</c:v>
                </c:pt>
                <c:pt idx="51">
                  <c:v>49.394560732477004</c:v>
                </c:pt>
                <c:pt idx="52">
                  <c:v>49.654222900441667</c:v>
                </c:pt>
                <c:pt idx="53">
                  <c:v>49.958354537445985</c:v>
                </c:pt>
                <c:pt idx="54">
                  <c:v>50.272550497635173</c:v>
                </c:pt>
                <c:pt idx="55">
                  <c:v>50.545694905217751</c:v>
                </c:pt>
                <c:pt idx="56">
                  <c:v>50.76008787520162</c:v>
                </c:pt>
                <c:pt idx="57">
                  <c:v>50.88748877333483</c:v>
                </c:pt>
                <c:pt idx="58">
                  <c:v>51.029156271606325</c:v>
                </c:pt>
                <c:pt idx="59">
                  <c:v>51.13070025148734</c:v>
                </c:pt>
                <c:pt idx="60">
                  <c:v>51.209907640266053</c:v>
                </c:pt>
                <c:pt idx="61">
                  <c:v>51.318062629875975</c:v>
                </c:pt>
                <c:pt idx="62">
                  <c:v>51.424872805440714</c:v>
                </c:pt>
                <c:pt idx="63">
                  <c:v>51.568956301333991</c:v>
                </c:pt>
                <c:pt idx="64">
                  <c:v>51.688292871605547</c:v>
                </c:pt>
                <c:pt idx="65">
                  <c:v>51.801752658894024</c:v>
                </c:pt>
                <c:pt idx="66">
                  <c:v>51.825326536012987</c:v>
                </c:pt>
                <c:pt idx="67">
                  <c:v>51.894561607419433</c:v>
                </c:pt>
                <c:pt idx="68">
                  <c:v>51.980890377240215</c:v>
                </c:pt>
                <c:pt idx="69">
                  <c:v>52.050454053000202</c:v>
                </c:pt>
                <c:pt idx="70">
                  <c:v>52.040790789814999</c:v>
                </c:pt>
                <c:pt idx="71">
                  <c:v>52.085176657236111</c:v>
                </c:pt>
                <c:pt idx="72">
                  <c:v>52.115904312255658</c:v>
                </c:pt>
                <c:pt idx="73">
                  <c:v>52.156207696533016</c:v>
                </c:pt>
                <c:pt idx="74">
                  <c:v>52.423896015308351</c:v>
                </c:pt>
                <c:pt idx="75">
                  <c:v>52.564348162322545</c:v>
                </c:pt>
                <c:pt idx="76">
                  <c:v>52.778100150298656</c:v>
                </c:pt>
                <c:pt idx="77">
                  <c:v>53.013055694720975</c:v>
                </c:pt>
                <c:pt idx="78">
                  <c:v>53.180977495112018</c:v>
                </c:pt>
                <c:pt idx="79">
                  <c:v>53.294238421400017</c:v>
                </c:pt>
                <c:pt idx="80">
                  <c:v>53.35688742722224</c:v>
                </c:pt>
                <c:pt idx="81">
                  <c:v>53.835636506687258</c:v>
                </c:pt>
                <c:pt idx="82">
                  <c:v>54.219663432117834</c:v>
                </c:pt>
                <c:pt idx="83">
                  <c:v>54.530058733442438</c:v>
                </c:pt>
                <c:pt idx="84">
                  <c:v>54.824128456891145</c:v>
                </c:pt>
                <c:pt idx="85">
                  <c:v>54.927526348973281</c:v>
                </c:pt>
                <c:pt idx="86">
                  <c:v>55.066228100901185</c:v>
                </c:pt>
                <c:pt idx="87">
                  <c:v>55.300581574908506</c:v>
                </c:pt>
                <c:pt idx="88">
                  <c:v>55.491649606396763</c:v>
                </c:pt>
                <c:pt idx="89">
                  <c:v>55.694490376293295</c:v>
                </c:pt>
                <c:pt idx="90">
                  <c:v>55.929713311382677</c:v>
                </c:pt>
                <c:pt idx="91">
                  <c:v>56.140845658687667</c:v>
                </c:pt>
                <c:pt idx="92">
                  <c:v>56.333375609895988</c:v>
                </c:pt>
                <c:pt idx="93">
                  <c:v>56.550903342496284</c:v>
                </c:pt>
                <c:pt idx="94">
                  <c:v>56.748614206015077</c:v>
                </c:pt>
                <c:pt idx="95">
                  <c:v>56.985013153717667</c:v>
                </c:pt>
                <c:pt idx="96">
                  <c:v>57.111308475664508</c:v>
                </c:pt>
                <c:pt idx="97">
                  <c:v>57.204544884874544</c:v>
                </c:pt>
                <c:pt idx="98">
                  <c:v>57.325689708217169</c:v>
                </c:pt>
                <c:pt idx="99">
                  <c:v>57.477860840941823</c:v>
                </c:pt>
                <c:pt idx="100">
                  <c:v>57.569130408279463</c:v>
                </c:pt>
                <c:pt idx="101">
                  <c:v>57.609935563221725</c:v>
                </c:pt>
                <c:pt idx="102">
                  <c:v>57.538829225205298</c:v>
                </c:pt>
                <c:pt idx="103">
                  <c:v>57.445582615930832</c:v>
                </c:pt>
                <c:pt idx="104">
                  <c:v>57.322206125861882</c:v>
                </c:pt>
                <c:pt idx="105">
                  <c:v>57.214635301723966</c:v>
                </c:pt>
                <c:pt idx="106">
                  <c:v>57.246884538633303</c:v>
                </c:pt>
                <c:pt idx="107">
                  <c:v>57.216744943178988</c:v>
                </c:pt>
                <c:pt idx="108">
                  <c:v>57.148837910350913</c:v>
                </c:pt>
                <c:pt idx="109">
                  <c:v>57.162257324398993</c:v>
                </c:pt>
                <c:pt idx="110">
                  <c:v>57.193201226295365</c:v>
                </c:pt>
                <c:pt idx="111">
                  <c:v>57.235186320643855</c:v>
                </c:pt>
                <c:pt idx="112">
                  <c:v>57.291839185781349</c:v>
                </c:pt>
                <c:pt idx="113">
                  <c:v>57.320591838686433</c:v>
                </c:pt>
                <c:pt idx="114">
                  <c:v>57.227214665450404</c:v>
                </c:pt>
                <c:pt idx="115">
                  <c:v>57.177791356898524</c:v>
                </c:pt>
                <c:pt idx="116">
                  <c:v>57.149066071202334</c:v>
                </c:pt>
                <c:pt idx="117">
                  <c:v>57.106172288150312</c:v>
                </c:pt>
                <c:pt idx="118">
                  <c:v>57.07460397050955</c:v>
                </c:pt>
                <c:pt idx="119">
                  <c:v>57.079448120842173</c:v>
                </c:pt>
                <c:pt idx="120">
                  <c:v>57.059489000779791</c:v>
                </c:pt>
                <c:pt idx="121">
                  <c:v>56.968415741462771</c:v>
                </c:pt>
                <c:pt idx="122">
                  <c:v>56.84927383468775</c:v>
                </c:pt>
                <c:pt idx="123">
                  <c:v>56.76710540248866</c:v>
                </c:pt>
                <c:pt idx="124">
                  <c:v>56.703616113415428</c:v>
                </c:pt>
                <c:pt idx="125">
                  <c:v>56.679644549458729</c:v>
                </c:pt>
                <c:pt idx="126">
                  <c:v>56.650781990239565</c:v>
                </c:pt>
                <c:pt idx="127">
                  <c:v>56.67961295392552</c:v>
                </c:pt>
                <c:pt idx="128">
                  <c:v>56.710011994375485</c:v>
                </c:pt>
                <c:pt idx="129">
                  <c:v>56.890011105903227</c:v>
                </c:pt>
                <c:pt idx="130">
                  <c:v>57.095936209169658</c:v>
                </c:pt>
                <c:pt idx="131">
                  <c:v>57.355496489971905</c:v>
                </c:pt>
                <c:pt idx="132">
                  <c:v>57.459533787011026</c:v>
                </c:pt>
                <c:pt idx="133">
                  <c:v>57.577346099084281</c:v>
                </c:pt>
                <c:pt idx="134">
                  <c:v>57.693098239892855</c:v>
                </c:pt>
                <c:pt idx="135">
                  <c:v>57.786202073974863</c:v>
                </c:pt>
                <c:pt idx="136">
                  <c:v>57.94648340182858</c:v>
                </c:pt>
                <c:pt idx="137">
                  <c:v>58.033410557248686</c:v>
                </c:pt>
                <c:pt idx="138">
                  <c:v>58.157602367822861</c:v>
                </c:pt>
                <c:pt idx="139">
                  <c:v>58.102965155391537</c:v>
                </c:pt>
                <c:pt idx="140">
                  <c:v>58.010152921658829</c:v>
                </c:pt>
                <c:pt idx="141">
                  <c:v>57.826437890424842</c:v>
                </c:pt>
                <c:pt idx="142">
                  <c:v>57.686701750393375</c:v>
                </c:pt>
                <c:pt idx="143">
                  <c:v>57.572871991104975</c:v>
                </c:pt>
                <c:pt idx="144">
                  <c:v>57.454140732504605</c:v>
                </c:pt>
                <c:pt idx="145">
                  <c:v>57.190871048615378</c:v>
                </c:pt>
                <c:pt idx="146">
                  <c:v>56.986362082051279</c:v>
                </c:pt>
                <c:pt idx="147">
                  <c:v>56.837742668566001</c:v>
                </c:pt>
                <c:pt idx="148">
                  <c:v>56.760132100524075</c:v>
                </c:pt>
                <c:pt idx="149">
                  <c:v>56.691233426411181</c:v>
                </c:pt>
                <c:pt idx="150">
                  <c:v>56.779290209639981</c:v>
                </c:pt>
                <c:pt idx="151">
                  <c:v>56.88526871262961</c:v>
                </c:pt>
                <c:pt idx="152">
                  <c:v>56.921915474657048</c:v>
                </c:pt>
                <c:pt idx="153">
                  <c:v>57.061032846904673</c:v>
                </c:pt>
                <c:pt idx="154">
                  <c:v>57.25058596935618</c:v>
                </c:pt>
                <c:pt idx="155">
                  <c:v>57.444616638292757</c:v>
                </c:pt>
                <c:pt idx="156">
                  <c:v>57.592422813234037</c:v>
                </c:pt>
                <c:pt idx="157">
                  <c:v>57.757428530772259</c:v>
                </c:pt>
                <c:pt idx="158">
                  <c:v>57.936878269233574</c:v>
                </c:pt>
                <c:pt idx="159">
                  <c:v>58.170442841882938</c:v>
                </c:pt>
                <c:pt idx="160">
                  <c:v>58.536335964706424</c:v>
                </c:pt>
                <c:pt idx="161">
                  <c:v>58.756607374728169</c:v>
                </c:pt>
                <c:pt idx="162">
                  <c:v>58.83463645808164</c:v>
                </c:pt>
                <c:pt idx="163">
                  <c:v>58.941700424149666</c:v>
                </c:pt>
                <c:pt idx="164">
                  <c:v>58.946759651990433</c:v>
                </c:pt>
                <c:pt idx="165">
                  <c:v>59.024036714805959</c:v>
                </c:pt>
                <c:pt idx="166">
                  <c:v>59.088922884079594</c:v>
                </c:pt>
                <c:pt idx="167">
                  <c:v>59.162336003777405</c:v>
                </c:pt>
                <c:pt idx="168">
                  <c:v>59.25549629979389</c:v>
                </c:pt>
                <c:pt idx="169">
                  <c:v>59.383978055364715</c:v>
                </c:pt>
                <c:pt idx="170">
                  <c:v>59.507387088300661</c:v>
                </c:pt>
                <c:pt idx="171">
                  <c:v>59.483876933611725</c:v>
                </c:pt>
                <c:pt idx="172">
                  <c:v>59.463589753344188</c:v>
                </c:pt>
                <c:pt idx="173">
                  <c:v>59.421842364207578</c:v>
                </c:pt>
                <c:pt idx="174">
                  <c:v>59.466150337229237</c:v>
                </c:pt>
                <c:pt idx="175">
                  <c:v>59.579028090027073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A4-471F-A094-64C2C72DA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3181967"/>
        <c:axId val="943183407"/>
      </c:lineChart>
      <c:dateAx>
        <c:axId val="9431819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183407"/>
        <c:crosses val="autoZero"/>
        <c:auto val="1"/>
        <c:lblOffset val="100"/>
        <c:baseTimeUnit val="days"/>
      </c:dateAx>
      <c:valAx>
        <c:axId val="94318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181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6814693745401411"/>
          <c:y val="0.93639077085586075"/>
          <c:w val="0.28881381990421512"/>
          <c:h val="1.85258799611120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/>
              <a:t>MACD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088360100361899E-2"/>
          <c:y val="8.5221615057680625E-2"/>
          <c:w val="0.941227352087597"/>
          <c:h val="0.82764998637465403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MACD!$H$4</c:f>
              <c:strCache>
                <c:ptCount val="1"/>
                <c:pt idx="0">
                  <c:v>Histogram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MACD!$A$18:$A$192</c:f>
              <c:numCache>
                <c:formatCode>m/d/yyyy</c:formatCode>
                <c:ptCount val="175"/>
                <c:pt idx="0">
                  <c:v>45492</c:v>
                </c:pt>
                <c:pt idx="1">
                  <c:v>45495</c:v>
                </c:pt>
                <c:pt idx="2">
                  <c:v>45496</c:v>
                </c:pt>
                <c:pt idx="3">
                  <c:v>45497</c:v>
                </c:pt>
                <c:pt idx="4">
                  <c:v>45498</c:v>
                </c:pt>
                <c:pt idx="5">
                  <c:v>45499</c:v>
                </c:pt>
                <c:pt idx="6">
                  <c:v>45502</c:v>
                </c:pt>
                <c:pt idx="7">
                  <c:v>45503</c:v>
                </c:pt>
                <c:pt idx="8">
                  <c:v>45504</c:v>
                </c:pt>
                <c:pt idx="9">
                  <c:v>45505</c:v>
                </c:pt>
                <c:pt idx="10">
                  <c:v>45506</c:v>
                </c:pt>
                <c:pt idx="11">
                  <c:v>45509</c:v>
                </c:pt>
                <c:pt idx="12">
                  <c:v>45510</c:v>
                </c:pt>
                <c:pt idx="13">
                  <c:v>45511</c:v>
                </c:pt>
                <c:pt idx="14">
                  <c:v>45512</c:v>
                </c:pt>
                <c:pt idx="15">
                  <c:v>45513</c:v>
                </c:pt>
                <c:pt idx="16">
                  <c:v>45516</c:v>
                </c:pt>
                <c:pt idx="17">
                  <c:v>45517</c:v>
                </c:pt>
                <c:pt idx="18">
                  <c:v>45518</c:v>
                </c:pt>
                <c:pt idx="19">
                  <c:v>45519</c:v>
                </c:pt>
                <c:pt idx="20">
                  <c:v>45520</c:v>
                </c:pt>
                <c:pt idx="21">
                  <c:v>45523</c:v>
                </c:pt>
                <c:pt idx="22">
                  <c:v>45524</c:v>
                </c:pt>
                <c:pt idx="23">
                  <c:v>45525</c:v>
                </c:pt>
                <c:pt idx="24">
                  <c:v>45526</c:v>
                </c:pt>
                <c:pt idx="25">
                  <c:v>45527</c:v>
                </c:pt>
                <c:pt idx="26">
                  <c:v>45530</c:v>
                </c:pt>
                <c:pt idx="27">
                  <c:v>45531</c:v>
                </c:pt>
                <c:pt idx="28">
                  <c:v>45532</c:v>
                </c:pt>
                <c:pt idx="29">
                  <c:v>45533</c:v>
                </c:pt>
                <c:pt idx="30">
                  <c:v>45534</c:v>
                </c:pt>
                <c:pt idx="31">
                  <c:v>45538</c:v>
                </c:pt>
                <c:pt idx="32">
                  <c:v>45539</c:v>
                </c:pt>
                <c:pt idx="33">
                  <c:v>45540</c:v>
                </c:pt>
                <c:pt idx="34">
                  <c:v>45541</c:v>
                </c:pt>
                <c:pt idx="35">
                  <c:v>45544</c:v>
                </c:pt>
                <c:pt idx="36">
                  <c:v>45545</c:v>
                </c:pt>
                <c:pt idx="37">
                  <c:v>45546</c:v>
                </c:pt>
                <c:pt idx="38">
                  <c:v>45547</c:v>
                </c:pt>
                <c:pt idx="39">
                  <c:v>45548</c:v>
                </c:pt>
                <c:pt idx="40">
                  <c:v>45551</c:v>
                </c:pt>
                <c:pt idx="41">
                  <c:v>45552</c:v>
                </c:pt>
                <c:pt idx="42">
                  <c:v>45553</c:v>
                </c:pt>
                <c:pt idx="43">
                  <c:v>45554</c:v>
                </c:pt>
                <c:pt idx="44">
                  <c:v>45555</c:v>
                </c:pt>
                <c:pt idx="45">
                  <c:v>45558</c:v>
                </c:pt>
                <c:pt idx="46">
                  <c:v>45559</c:v>
                </c:pt>
                <c:pt idx="47">
                  <c:v>45560</c:v>
                </c:pt>
                <c:pt idx="48">
                  <c:v>45561</c:v>
                </c:pt>
                <c:pt idx="49">
                  <c:v>45562</c:v>
                </c:pt>
                <c:pt idx="50">
                  <c:v>45565</c:v>
                </c:pt>
                <c:pt idx="51">
                  <c:v>45566</c:v>
                </c:pt>
                <c:pt idx="52">
                  <c:v>45567</c:v>
                </c:pt>
                <c:pt idx="53">
                  <c:v>45568</c:v>
                </c:pt>
                <c:pt idx="54">
                  <c:v>45569</c:v>
                </c:pt>
                <c:pt idx="55">
                  <c:v>45572</c:v>
                </c:pt>
                <c:pt idx="56">
                  <c:v>45573</c:v>
                </c:pt>
                <c:pt idx="57">
                  <c:v>45574</c:v>
                </c:pt>
                <c:pt idx="58">
                  <c:v>45575</c:v>
                </c:pt>
                <c:pt idx="59">
                  <c:v>45576</c:v>
                </c:pt>
                <c:pt idx="60">
                  <c:v>45579</c:v>
                </c:pt>
                <c:pt idx="61">
                  <c:v>45580</c:v>
                </c:pt>
                <c:pt idx="62">
                  <c:v>45581</c:v>
                </c:pt>
                <c:pt idx="63">
                  <c:v>45582</c:v>
                </c:pt>
                <c:pt idx="64">
                  <c:v>45583</c:v>
                </c:pt>
                <c:pt idx="65">
                  <c:v>45586</c:v>
                </c:pt>
                <c:pt idx="66">
                  <c:v>45587</c:v>
                </c:pt>
                <c:pt idx="67">
                  <c:v>45588</c:v>
                </c:pt>
                <c:pt idx="68">
                  <c:v>45589</c:v>
                </c:pt>
                <c:pt idx="69">
                  <c:v>45590</c:v>
                </c:pt>
                <c:pt idx="70">
                  <c:v>45593</c:v>
                </c:pt>
                <c:pt idx="71">
                  <c:v>45594</c:v>
                </c:pt>
                <c:pt idx="72">
                  <c:v>45595</c:v>
                </c:pt>
                <c:pt idx="73">
                  <c:v>45596</c:v>
                </c:pt>
                <c:pt idx="74">
                  <c:v>45597</c:v>
                </c:pt>
                <c:pt idx="75">
                  <c:v>45600</c:v>
                </c:pt>
                <c:pt idx="76">
                  <c:v>45601</c:v>
                </c:pt>
                <c:pt idx="77">
                  <c:v>45602</c:v>
                </c:pt>
                <c:pt idx="78">
                  <c:v>45603</c:v>
                </c:pt>
                <c:pt idx="79">
                  <c:v>45604</c:v>
                </c:pt>
                <c:pt idx="80">
                  <c:v>45607</c:v>
                </c:pt>
                <c:pt idx="81">
                  <c:v>45608</c:v>
                </c:pt>
                <c:pt idx="82">
                  <c:v>45609</c:v>
                </c:pt>
                <c:pt idx="83">
                  <c:v>45610</c:v>
                </c:pt>
                <c:pt idx="84">
                  <c:v>45611</c:v>
                </c:pt>
                <c:pt idx="85">
                  <c:v>45614</c:v>
                </c:pt>
                <c:pt idx="86">
                  <c:v>45615</c:v>
                </c:pt>
                <c:pt idx="87">
                  <c:v>45616</c:v>
                </c:pt>
                <c:pt idx="88">
                  <c:v>45617</c:v>
                </c:pt>
                <c:pt idx="89">
                  <c:v>45618</c:v>
                </c:pt>
                <c:pt idx="90">
                  <c:v>45621</c:v>
                </c:pt>
                <c:pt idx="91">
                  <c:v>45622</c:v>
                </c:pt>
                <c:pt idx="92">
                  <c:v>45623</c:v>
                </c:pt>
                <c:pt idx="93">
                  <c:v>45625</c:v>
                </c:pt>
                <c:pt idx="94">
                  <c:v>45628</c:v>
                </c:pt>
                <c:pt idx="95">
                  <c:v>45629</c:v>
                </c:pt>
                <c:pt idx="96">
                  <c:v>45630</c:v>
                </c:pt>
                <c:pt idx="97">
                  <c:v>45631</c:v>
                </c:pt>
                <c:pt idx="98">
                  <c:v>45632</c:v>
                </c:pt>
                <c:pt idx="99">
                  <c:v>45635</c:v>
                </c:pt>
                <c:pt idx="100">
                  <c:v>45636</c:v>
                </c:pt>
                <c:pt idx="101">
                  <c:v>45637</c:v>
                </c:pt>
                <c:pt idx="102">
                  <c:v>45638</c:v>
                </c:pt>
                <c:pt idx="103">
                  <c:v>45639</c:v>
                </c:pt>
                <c:pt idx="104">
                  <c:v>45642</c:v>
                </c:pt>
                <c:pt idx="105">
                  <c:v>45643</c:v>
                </c:pt>
                <c:pt idx="106">
                  <c:v>45644</c:v>
                </c:pt>
                <c:pt idx="107">
                  <c:v>45645</c:v>
                </c:pt>
                <c:pt idx="108">
                  <c:v>45646</c:v>
                </c:pt>
                <c:pt idx="109">
                  <c:v>45649</c:v>
                </c:pt>
                <c:pt idx="110">
                  <c:v>45650</c:v>
                </c:pt>
                <c:pt idx="111">
                  <c:v>45652</c:v>
                </c:pt>
                <c:pt idx="112">
                  <c:v>45653</c:v>
                </c:pt>
                <c:pt idx="113">
                  <c:v>45656</c:v>
                </c:pt>
                <c:pt idx="114">
                  <c:v>45657</c:v>
                </c:pt>
                <c:pt idx="115">
                  <c:v>45659</c:v>
                </c:pt>
                <c:pt idx="116">
                  <c:v>45660</c:v>
                </c:pt>
                <c:pt idx="117">
                  <c:v>45663</c:v>
                </c:pt>
                <c:pt idx="118">
                  <c:v>45664</c:v>
                </c:pt>
                <c:pt idx="119">
                  <c:v>45665</c:v>
                </c:pt>
                <c:pt idx="120">
                  <c:v>45667</c:v>
                </c:pt>
                <c:pt idx="121">
                  <c:v>45670</c:v>
                </c:pt>
                <c:pt idx="122">
                  <c:v>45671</c:v>
                </c:pt>
                <c:pt idx="123">
                  <c:v>45672</c:v>
                </c:pt>
                <c:pt idx="124">
                  <c:v>45673</c:v>
                </c:pt>
                <c:pt idx="125">
                  <c:v>45674</c:v>
                </c:pt>
                <c:pt idx="126">
                  <c:v>45678</c:v>
                </c:pt>
                <c:pt idx="127">
                  <c:v>45679</c:v>
                </c:pt>
                <c:pt idx="128">
                  <c:v>45680</c:v>
                </c:pt>
                <c:pt idx="129">
                  <c:v>45681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45691</c:v>
                </c:pt>
                <c:pt idx="136">
                  <c:v>45692</c:v>
                </c:pt>
                <c:pt idx="137">
                  <c:v>45693</c:v>
                </c:pt>
                <c:pt idx="138">
                  <c:v>45694</c:v>
                </c:pt>
                <c:pt idx="139">
                  <c:v>45695</c:v>
                </c:pt>
                <c:pt idx="140">
                  <c:v>45698</c:v>
                </c:pt>
                <c:pt idx="141">
                  <c:v>45699</c:v>
                </c:pt>
                <c:pt idx="142">
                  <c:v>45700</c:v>
                </c:pt>
                <c:pt idx="143">
                  <c:v>45701</c:v>
                </c:pt>
                <c:pt idx="144">
                  <c:v>45702</c:v>
                </c:pt>
                <c:pt idx="145">
                  <c:v>45706</c:v>
                </c:pt>
                <c:pt idx="146">
                  <c:v>45707</c:v>
                </c:pt>
                <c:pt idx="147">
                  <c:v>45708</c:v>
                </c:pt>
                <c:pt idx="148">
                  <c:v>45709</c:v>
                </c:pt>
                <c:pt idx="149">
                  <c:v>45712</c:v>
                </c:pt>
                <c:pt idx="150">
                  <c:v>45713</c:v>
                </c:pt>
                <c:pt idx="151">
                  <c:v>45714</c:v>
                </c:pt>
                <c:pt idx="152">
                  <c:v>45715</c:v>
                </c:pt>
                <c:pt idx="153">
                  <c:v>45716</c:v>
                </c:pt>
                <c:pt idx="154">
                  <c:v>45719</c:v>
                </c:pt>
                <c:pt idx="155">
                  <c:v>45720</c:v>
                </c:pt>
                <c:pt idx="156">
                  <c:v>45721</c:v>
                </c:pt>
                <c:pt idx="157">
                  <c:v>45722</c:v>
                </c:pt>
                <c:pt idx="158">
                  <c:v>45723</c:v>
                </c:pt>
                <c:pt idx="159">
                  <c:v>45726</c:v>
                </c:pt>
                <c:pt idx="160">
                  <c:v>45727</c:v>
                </c:pt>
                <c:pt idx="161">
                  <c:v>45728</c:v>
                </c:pt>
                <c:pt idx="162">
                  <c:v>45729</c:v>
                </c:pt>
                <c:pt idx="163">
                  <c:v>45730</c:v>
                </c:pt>
                <c:pt idx="164">
                  <c:v>45733</c:v>
                </c:pt>
                <c:pt idx="165">
                  <c:v>45734</c:v>
                </c:pt>
                <c:pt idx="166">
                  <c:v>45735</c:v>
                </c:pt>
                <c:pt idx="167">
                  <c:v>45736</c:v>
                </c:pt>
                <c:pt idx="168">
                  <c:v>45737</c:v>
                </c:pt>
                <c:pt idx="169">
                  <c:v>45740</c:v>
                </c:pt>
                <c:pt idx="170">
                  <c:v>45741</c:v>
                </c:pt>
                <c:pt idx="171">
                  <c:v>45742</c:v>
                </c:pt>
                <c:pt idx="172">
                  <c:v>45743</c:v>
                </c:pt>
                <c:pt idx="173">
                  <c:v>45744</c:v>
                </c:pt>
                <c:pt idx="174">
                  <c:v>45747</c:v>
                </c:pt>
              </c:numCache>
            </c:numRef>
          </c:cat>
          <c:val>
            <c:numRef>
              <c:f>MACD!$H$5:$H$192</c:f>
              <c:numCache>
                <c:formatCode>General</c:formatCode>
                <c:ptCount val="188"/>
                <c:pt idx="12" formatCode="0.00">
                  <c:v>0</c:v>
                </c:pt>
                <c:pt idx="13" formatCode="0.00">
                  <c:v>6.2580304311076418E-2</c:v>
                </c:pt>
                <c:pt idx="14" formatCode="0.00">
                  <c:v>0.11235555700052657</c:v>
                </c:pt>
                <c:pt idx="15" formatCode="0.00">
                  <c:v>0.17035396226914301</c:v>
                </c:pt>
                <c:pt idx="16" formatCode="0.00">
                  <c:v>0.33833239612002047</c:v>
                </c:pt>
                <c:pt idx="17" formatCode="0.00">
                  <c:v>0.50283059775483596</c:v>
                </c:pt>
                <c:pt idx="18" formatCode="0.00">
                  <c:v>1.0637755682942824</c:v>
                </c:pt>
                <c:pt idx="19" formatCode="0.00">
                  <c:v>1.322000114144287</c:v>
                </c:pt>
                <c:pt idx="20" formatCode="0.00">
                  <c:v>1.500108938220869</c:v>
                </c:pt>
                <c:pt idx="21" formatCode="0.00">
                  <c:v>1.3025812227660936</c:v>
                </c:pt>
                <c:pt idx="22" formatCode="0.00">
                  <c:v>1.1710074134727677</c:v>
                </c:pt>
                <c:pt idx="23" formatCode="0.00">
                  <c:v>1.0870548810148444</c:v>
                </c:pt>
                <c:pt idx="24" formatCode="0.00">
                  <c:v>0.87563569213584813</c:v>
                </c:pt>
                <c:pt idx="25" formatCode="0.00">
                  <c:v>0.66953545067511566</c:v>
                </c:pt>
                <c:pt idx="26" formatCode="0.00">
                  <c:v>0.34333221528202307</c:v>
                </c:pt>
                <c:pt idx="27" formatCode="0.00">
                  <c:v>0.12131539150858917</c:v>
                </c:pt>
                <c:pt idx="28" formatCode="0.00">
                  <c:v>-5.4669900069534982E-2</c:v>
                </c:pt>
                <c:pt idx="29" formatCode="0.00">
                  <c:v>-0.16245917350504513</c:v>
                </c:pt>
                <c:pt idx="30" formatCode="0.00">
                  <c:v>-0.11554641286250833</c:v>
                </c:pt>
                <c:pt idx="31" formatCode="0.00">
                  <c:v>-0.14298211423810114</c:v>
                </c:pt>
                <c:pt idx="32" formatCode="0.00">
                  <c:v>-0.12910003512163781</c:v>
                </c:pt>
                <c:pt idx="33" formatCode="0.00">
                  <c:v>-0.1184721968011555</c:v>
                </c:pt>
                <c:pt idx="34" formatCode="0.00">
                  <c:v>-0.12995463609541247</c:v>
                </c:pt>
                <c:pt idx="35" formatCode="0.00">
                  <c:v>-0.17098984029950648</c:v>
                </c:pt>
                <c:pt idx="36" formatCode="0.00">
                  <c:v>-0.24204717741120696</c:v>
                </c:pt>
                <c:pt idx="37" formatCode="0.00">
                  <c:v>-0.34551413416645982</c:v>
                </c:pt>
                <c:pt idx="38" formatCode="0.00">
                  <c:v>-0.37948226758824921</c:v>
                </c:pt>
                <c:pt idx="39" formatCode="0.00">
                  <c:v>-0.39021866140207462</c:v>
                </c:pt>
                <c:pt idx="40" formatCode="0.00">
                  <c:v>-0.40089606009040701</c:v>
                </c:pt>
                <c:pt idx="41" formatCode="0.00">
                  <c:v>-0.34241630803359469</c:v>
                </c:pt>
                <c:pt idx="42" formatCode="0.00">
                  <c:v>-0.260744308761647</c:v>
                </c:pt>
                <c:pt idx="43" formatCode="0.00">
                  <c:v>-0.19566454582093984</c:v>
                </c:pt>
                <c:pt idx="44" formatCode="0.00">
                  <c:v>-0.12225209910337798</c:v>
                </c:pt>
                <c:pt idx="45" formatCode="0.00">
                  <c:v>-0.11930061224168798</c:v>
                </c:pt>
                <c:pt idx="46" formatCode="0.00">
                  <c:v>-0.13486843602602261</c:v>
                </c:pt>
                <c:pt idx="47" formatCode="0.00">
                  <c:v>-0.22090892543905438</c:v>
                </c:pt>
                <c:pt idx="48" formatCode="0.00">
                  <c:v>-0.28867053819329236</c:v>
                </c:pt>
                <c:pt idx="49" formatCode="0.00">
                  <c:v>-0.27822388037725299</c:v>
                </c:pt>
                <c:pt idx="50" formatCode="0.00">
                  <c:v>-0.31248326208842525</c:v>
                </c:pt>
                <c:pt idx="51" formatCode="0.00">
                  <c:v>-0.35055737161393186</c:v>
                </c:pt>
                <c:pt idx="52" formatCode="0.00">
                  <c:v>-0.30909367659981579</c:v>
                </c:pt>
                <c:pt idx="53" formatCode="0.00">
                  <c:v>-0.22116086491407771</c:v>
                </c:pt>
                <c:pt idx="54" formatCode="0.00">
                  <c:v>-0.19499964689025706</c:v>
                </c:pt>
                <c:pt idx="55" formatCode="0.00">
                  <c:v>-0.16061938983437829</c:v>
                </c:pt>
                <c:pt idx="56" formatCode="0.00">
                  <c:v>-0.18442691805173417</c:v>
                </c:pt>
                <c:pt idx="57" formatCode="0.00">
                  <c:v>-0.17219943973482243</c:v>
                </c:pt>
                <c:pt idx="58" formatCode="0.00">
                  <c:v>-0.1242327152974132</c:v>
                </c:pt>
                <c:pt idx="59" formatCode="0.00">
                  <c:v>-3.5036838184507091E-2</c:v>
                </c:pt>
                <c:pt idx="60" formatCode="0.00">
                  <c:v>-4.7125180671938383E-2</c:v>
                </c:pt>
                <c:pt idx="61" formatCode="0.00">
                  <c:v>-4.7926921067549144E-2</c:v>
                </c:pt>
                <c:pt idx="62" formatCode="0.00">
                  <c:v>-1.9362226587869014E-3</c:v>
                </c:pt>
                <c:pt idx="63" formatCode="0.00">
                  <c:v>7.3529281061562757E-2</c:v>
                </c:pt>
                <c:pt idx="64" formatCode="0.00">
                  <c:v>0.18440523627834482</c:v>
                </c:pt>
                <c:pt idx="65" formatCode="0.00">
                  <c:v>0.29209787971223056</c:v>
                </c:pt>
                <c:pt idx="66" formatCode="0.00">
                  <c:v>0.36468068971251477</c:v>
                </c:pt>
                <c:pt idx="67" formatCode="0.00">
                  <c:v>0.36722523301432952</c:v>
                </c:pt>
                <c:pt idx="68" formatCode="0.00">
                  <c:v>0.30703183199468542</c:v>
                </c:pt>
                <c:pt idx="69" formatCode="0.00">
                  <c:v>0.18189138072560285</c:v>
                </c:pt>
                <c:pt idx="70" formatCode="0.00">
                  <c:v>0.10387548827102977</c:v>
                </c:pt>
                <c:pt idx="71" formatCode="0.00">
                  <c:v>1.3300607126257358E-2</c:v>
                </c:pt>
                <c:pt idx="72" formatCode="0.00">
                  <c:v>-6.7664701894526447E-2</c:v>
                </c:pt>
                <c:pt idx="73" formatCode="0.00">
                  <c:v>-9.5450525688031806E-2</c:v>
                </c:pt>
                <c:pt idx="74" formatCode="0.00">
                  <c:v>-0.112481060796775</c:v>
                </c:pt>
                <c:pt idx="75" formatCode="0.00">
                  <c:v>-8.8436068255129285E-2</c:v>
                </c:pt>
                <c:pt idx="76" formatCode="0.00">
                  <c:v>-9.0758776354728399E-2</c:v>
                </c:pt>
                <c:pt idx="77" formatCode="0.00">
                  <c:v>-9.4601567904347927E-2</c:v>
                </c:pt>
                <c:pt idx="78" formatCode="0.00">
                  <c:v>-0.17173219347154112</c:v>
                </c:pt>
                <c:pt idx="79" formatCode="0.00">
                  <c:v>-0.17932075128560965</c:v>
                </c:pt>
                <c:pt idx="80" formatCode="0.00">
                  <c:v>-0.16421318097860171</c:v>
                </c:pt>
                <c:pt idx="81" formatCode="0.00">
                  <c:v>-0.16337757808536435</c:v>
                </c:pt>
                <c:pt idx="82" formatCode="0.00">
                  <c:v>-0.22604199189239382</c:v>
                </c:pt>
                <c:pt idx="83" formatCode="0.00">
                  <c:v>-0.21494043665810481</c:v>
                </c:pt>
                <c:pt idx="84" formatCode="0.00">
                  <c:v>-0.21257906113291447</c:v>
                </c:pt>
                <c:pt idx="85" formatCode="0.00">
                  <c:v>-0.19618983830504311</c:v>
                </c:pt>
                <c:pt idx="86" formatCode="0.00">
                  <c:v>1.6841881893772781E-2</c:v>
                </c:pt>
                <c:pt idx="87" formatCode="0.00">
                  <c:v>5.0910901991259472E-2</c:v>
                </c:pt>
                <c:pt idx="88" formatCode="0.00">
                  <c:v>0.13555715082470177</c:v>
                </c:pt>
                <c:pt idx="89" formatCode="0.00">
                  <c:v>0.20695284017870619</c:v>
                </c:pt>
                <c:pt idx="90" formatCode="0.00">
                  <c:v>0.19116230149357827</c:v>
                </c:pt>
                <c:pt idx="91" formatCode="0.00">
                  <c:v>0.12749895911045528</c:v>
                </c:pt>
                <c:pt idx="92" formatCode="0.00">
                  <c:v>3.6876612507968143E-2</c:v>
                </c:pt>
                <c:pt idx="93" formatCode="0.00">
                  <c:v>0.33288380709983645</c:v>
                </c:pt>
                <c:pt idx="94" formatCode="0.00">
                  <c:v>0.44140855051388983</c:v>
                </c:pt>
                <c:pt idx="95" formatCode="0.00">
                  <c:v>0.43785317604090768</c:v>
                </c:pt>
                <c:pt idx="96" formatCode="0.00">
                  <c:v>0.40790894234947705</c:v>
                </c:pt>
                <c:pt idx="97" formatCode="0.00">
                  <c:v>0.21081683890870795</c:v>
                </c:pt>
                <c:pt idx="98" formatCode="0.00">
                  <c:v>0.1013296069418137</c:v>
                </c:pt>
                <c:pt idx="99" formatCode="0.00">
                  <c:v>0.10650497641904311</c:v>
                </c:pt>
                <c:pt idx="100" formatCode="0.00">
                  <c:v>6.9439153697394174E-2</c:v>
                </c:pt>
                <c:pt idx="101" formatCode="0.00">
                  <c:v>5.2354520523799852E-2</c:v>
                </c:pt>
                <c:pt idx="102" formatCode="0.00">
                  <c:v>6.7077110525548544E-2</c:v>
                </c:pt>
                <c:pt idx="103" formatCode="0.00">
                  <c:v>5.4224292419385423E-2</c:v>
                </c:pt>
                <c:pt idx="104" formatCode="0.00">
                  <c:v>2.7828803759030851E-2</c:v>
                </c:pt>
                <c:pt idx="105" formatCode="0.00">
                  <c:v>3.0641367595599878E-2</c:v>
                </c:pt>
                <c:pt idx="106" formatCode="0.00">
                  <c:v>1.452945075026868E-2</c:v>
                </c:pt>
                <c:pt idx="107" formatCode="0.00">
                  <c:v>3.6507134928684959E-2</c:v>
                </c:pt>
                <c:pt idx="108" formatCode="0.00">
                  <c:v>-4.4597468276372343E-2</c:v>
                </c:pt>
                <c:pt idx="109" formatCode="0.00">
                  <c:v>-0.12660834085684236</c:v>
                </c:pt>
                <c:pt idx="110" formatCode="0.00">
                  <c:v>-0.15418357963225882</c:v>
                </c:pt>
                <c:pt idx="111" formatCode="0.00">
                  <c:v>-0.14137542611626275</c:v>
                </c:pt>
                <c:pt idx="112" formatCode="0.00">
                  <c:v>-0.18082431926604881</c:v>
                </c:pt>
                <c:pt idx="113" formatCode="0.00">
                  <c:v>-0.245441392407586</c:v>
                </c:pt>
                <c:pt idx="114" formatCode="0.00">
                  <c:v>-0.37804619300910725</c:v>
                </c:pt>
                <c:pt idx="115" formatCode="0.00">
                  <c:v>-0.47525194733062959</c:v>
                </c:pt>
                <c:pt idx="116" formatCode="0.00">
                  <c:v>-0.55238767994565841</c:v>
                </c:pt>
                <c:pt idx="117" formatCode="0.00">
                  <c:v>-0.57398890429999905</c:v>
                </c:pt>
                <c:pt idx="118" formatCode="0.00">
                  <c:v>-0.45048971421299822</c:v>
                </c:pt>
                <c:pt idx="119" formatCode="0.00">
                  <c:v>-0.40677941913777926</c:v>
                </c:pt>
                <c:pt idx="120" formatCode="0.00">
                  <c:v>-0.39721272177385059</c:v>
                </c:pt>
                <c:pt idx="121" formatCode="0.00">
                  <c:v>-0.30844901173346917</c:v>
                </c:pt>
                <c:pt idx="122" formatCode="0.00">
                  <c:v>-0.2237740488911899</c:v>
                </c:pt>
                <c:pt idx="123" formatCode="0.00">
                  <c:v>-0.15005784519639995</c:v>
                </c:pt>
                <c:pt idx="124" formatCode="0.00">
                  <c:v>-8.2903632624896473E-2</c:v>
                </c:pt>
                <c:pt idx="125" formatCode="0.00">
                  <c:v>-5.8931621342109997E-2</c:v>
                </c:pt>
                <c:pt idx="126" formatCode="0.00">
                  <c:v>-0.14611067556943341</c:v>
                </c:pt>
                <c:pt idx="127" formatCode="0.00">
                  <c:v>-0.16276053114713843</c:v>
                </c:pt>
                <c:pt idx="128" formatCode="0.00">
                  <c:v>-0.15119104350414656</c:v>
                </c:pt>
                <c:pt idx="129" formatCode="0.00">
                  <c:v>-0.15091406363687107</c:v>
                </c:pt>
                <c:pt idx="130" formatCode="0.00">
                  <c:v>-0.13632573587588223</c:v>
                </c:pt>
                <c:pt idx="131" formatCode="0.00">
                  <c:v>-9.0885180495186527E-2</c:v>
                </c:pt>
                <c:pt idx="132" formatCode="0.00">
                  <c:v>-7.8697924254875012E-2</c:v>
                </c:pt>
                <c:pt idx="133" formatCode="0.00">
                  <c:v>-0.12929418079604577</c:v>
                </c:pt>
                <c:pt idx="134" formatCode="0.00">
                  <c:v>-0.1837478913170808</c:v>
                </c:pt>
                <c:pt idx="135" formatCode="0.00">
                  <c:v>-0.18310101291768735</c:v>
                </c:pt>
                <c:pt idx="136" formatCode="0.00">
                  <c:v>-0.16093644844912539</c:v>
                </c:pt>
                <c:pt idx="137" formatCode="0.00">
                  <c:v>-0.10693481244848971</c:v>
                </c:pt>
                <c:pt idx="138" formatCode="0.00">
                  <c:v>-7.1303337460389582E-2</c:v>
                </c:pt>
                <c:pt idx="139" formatCode="0.00">
                  <c:v>4.7155680332161831E-3</c:v>
                </c:pt>
                <c:pt idx="140" formatCode="0.00">
                  <c:v>5.7380383486079822E-2</c:v>
                </c:pt>
                <c:pt idx="141" formatCode="0.00">
                  <c:v>0.22015107722930574</c:v>
                </c:pt>
                <c:pt idx="142" formatCode="0.00">
                  <c:v>0.34589667580791761</c:v>
                </c:pt>
                <c:pt idx="143" formatCode="0.00">
                  <c:v>0.46658256700559642</c:v>
                </c:pt>
                <c:pt idx="144" formatCode="0.00">
                  <c:v>0.39993221297407427</c:v>
                </c:pt>
                <c:pt idx="145" formatCode="0.00">
                  <c:v>0.35437714895218353</c:v>
                </c:pt>
                <c:pt idx="146" formatCode="0.00">
                  <c:v>0.31086104578771634</c:v>
                </c:pt>
                <c:pt idx="147" formatCode="0.00">
                  <c:v>0.25232664874927091</c:v>
                </c:pt>
                <c:pt idx="148" formatCode="0.00">
                  <c:v>0.26281546234965536</c:v>
                </c:pt>
                <c:pt idx="149" formatCode="0.00">
                  <c:v>0.19863151184866162</c:v>
                </c:pt>
                <c:pt idx="150" formatCode="0.00">
                  <c:v>0.18117710943153165</c:v>
                </c:pt>
                <c:pt idx="151" formatCode="0.00">
                  <c:v>9.7190599926999521E-3</c:v>
                </c:pt>
                <c:pt idx="152" formatCode="0.00">
                  <c:v>-0.13953314751763435</c:v>
                </c:pt>
                <c:pt idx="153" formatCode="0.00">
                  <c:v>-0.31458833975595624</c:v>
                </c:pt>
                <c:pt idx="154" formatCode="0.00">
                  <c:v>-0.38551809162724371</c:v>
                </c:pt>
                <c:pt idx="155" formatCode="0.00">
                  <c:v>-0.39935063897293321</c:v>
                </c:pt>
                <c:pt idx="156" formatCode="0.00">
                  <c:v>-0.40064932769192857</c:v>
                </c:pt>
                <c:pt idx="157" formatCode="0.00">
                  <c:v>-0.51372618099082834</c:v>
                </c:pt>
                <c:pt idx="158" formatCode="0.00">
                  <c:v>-0.52383893503641066</c:v>
                </c:pt>
                <c:pt idx="159" formatCode="0.00">
                  <c:v>-0.46641537096746938</c:v>
                </c:pt>
                <c:pt idx="160" formatCode="0.00">
                  <c:v>-0.35201594164752359</c:v>
                </c:pt>
                <c:pt idx="161" formatCode="0.00">
                  <c:v>-0.25623943651832048</c:v>
                </c:pt>
                <c:pt idx="162" formatCode="0.00">
                  <c:v>-4.8298656366676684E-2</c:v>
                </c:pt>
                <c:pt idx="163" formatCode="0.00">
                  <c:v>0.10938761972581601</c:v>
                </c:pt>
                <c:pt idx="164" formatCode="0.00">
                  <c:v>0.15303136456789207</c:v>
                </c:pt>
                <c:pt idx="165" formatCode="0.00">
                  <c:v>0.26614853712552911</c:v>
                </c:pt>
                <c:pt idx="166" formatCode="0.00">
                  <c:v>0.37798331450556322</c:v>
                </c:pt>
                <c:pt idx="167" formatCode="0.00">
                  <c:v>0.44591417879594236</c:v>
                </c:pt>
                <c:pt idx="168" formatCode="0.00">
                  <c:v>0.43835353275667094</c:v>
                </c:pt>
                <c:pt idx="169" formatCode="0.00">
                  <c:v>0.43456582343647976</c:v>
                </c:pt>
                <c:pt idx="170" formatCode="0.00">
                  <c:v>0.43107465904774411</c:v>
                </c:pt>
                <c:pt idx="171" formatCode="0.00">
                  <c:v>0.4620695846374524</c:v>
                </c:pt>
                <c:pt idx="172" formatCode="0.00">
                  <c:v>0.58283937489011184</c:v>
                </c:pt>
                <c:pt idx="173" formatCode="0.00">
                  <c:v>0.5211990072661068</c:v>
                </c:pt>
                <c:pt idx="174" formatCode="0.00">
                  <c:v>0.34088909213669027</c:v>
                </c:pt>
                <c:pt idx="175" formatCode="0.00">
                  <c:v>0.23335892262972935</c:v>
                </c:pt>
                <c:pt idx="176" formatCode="0.00">
                  <c:v>6.5507989640613107E-2</c:v>
                </c:pt>
                <c:pt idx="177" formatCode="0.00">
                  <c:v>1.2088631606523736E-2</c:v>
                </c:pt>
                <c:pt idx="178" formatCode="0.00">
                  <c:v>-3.5119353855924462E-2</c:v>
                </c:pt>
                <c:pt idx="179" formatCode="0.00">
                  <c:v>-5.8648637377187951E-2</c:v>
                </c:pt>
                <c:pt idx="180" formatCode="0.00">
                  <c:v>-5.5758627013101636E-2</c:v>
                </c:pt>
                <c:pt idx="181" formatCode="0.00">
                  <c:v>-2.16558663194375E-2</c:v>
                </c:pt>
                <c:pt idx="182" formatCode="0.00">
                  <c:v>-2.2749319254806721E-3</c:v>
                </c:pt>
                <c:pt idx="183" formatCode="0.00">
                  <c:v>-0.11566206315330585</c:v>
                </c:pt>
                <c:pt idx="184" formatCode="0.00">
                  <c:v>-0.18608087977051802</c:v>
                </c:pt>
                <c:pt idx="185" formatCode="0.00">
                  <c:v>-0.2465122315902788</c:v>
                </c:pt>
                <c:pt idx="186" formatCode="0.00">
                  <c:v>-0.20569461214452522</c:v>
                </c:pt>
                <c:pt idx="187" formatCode="0.00">
                  <c:v>-0.11265965603117156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BC-4E59-B109-81B6F61E1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46574687"/>
        <c:axId val="1346571327"/>
      </c:barChart>
      <c:lineChart>
        <c:grouping val="standard"/>
        <c:varyColors val="0"/>
        <c:ser>
          <c:idx val="0"/>
          <c:order val="0"/>
          <c:tx>
            <c:strRef>
              <c:f>MACD!$F$4</c:f>
              <c:strCache>
                <c:ptCount val="1"/>
                <c:pt idx="0">
                  <c:v>MACD Line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MACD!$A$18:$A$192</c:f>
              <c:numCache>
                <c:formatCode>m/d/yyyy</c:formatCode>
                <c:ptCount val="175"/>
                <c:pt idx="0">
                  <c:v>45492</c:v>
                </c:pt>
                <c:pt idx="1">
                  <c:v>45495</c:v>
                </c:pt>
                <c:pt idx="2">
                  <c:v>45496</c:v>
                </c:pt>
                <c:pt idx="3">
                  <c:v>45497</c:v>
                </c:pt>
                <c:pt idx="4">
                  <c:v>45498</c:v>
                </c:pt>
                <c:pt idx="5">
                  <c:v>45499</c:v>
                </c:pt>
                <c:pt idx="6">
                  <c:v>45502</c:v>
                </c:pt>
                <c:pt idx="7">
                  <c:v>45503</c:v>
                </c:pt>
                <c:pt idx="8">
                  <c:v>45504</c:v>
                </c:pt>
                <c:pt idx="9">
                  <c:v>45505</c:v>
                </c:pt>
                <c:pt idx="10">
                  <c:v>45506</c:v>
                </c:pt>
                <c:pt idx="11">
                  <c:v>45509</c:v>
                </c:pt>
                <c:pt idx="12">
                  <c:v>45510</c:v>
                </c:pt>
                <c:pt idx="13">
                  <c:v>45511</c:v>
                </c:pt>
                <c:pt idx="14">
                  <c:v>45512</c:v>
                </c:pt>
                <c:pt idx="15">
                  <c:v>45513</c:v>
                </c:pt>
                <c:pt idx="16">
                  <c:v>45516</c:v>
                </c:pt>
                <c:pt idx="17">
                  <c:v>45517</c:v>
                </c:pt>
                <c:pt idx="18">
                  <c:v>45518</c:v>
                </c:pt>
                <c:pt idx="19">
                  <c:v>45519</c:v>
                </c:pt>
                <c:pt idx="20">
                  <c:v>45520</c:v>
                </c:pt>
                <c:pt idx="21">
                  <c:v>45523</c:v>
                </c:pt>
                <c:pt idx="22">
                  <c:v>45524</c:v>
                </c:pt>
                <c:pt idx="23">
                  <c:v>45525</c:v>
                </c:pt>
                <c:pt idx="24">
                  <c:v>45526</c:v>
                </c:pt>
                <c:pt idx="25">
                  <c:v>45527</c:v>
                </c:pt>
                <c:pt idx="26">
                  <c:v>45530</c:v>
                </c:pt>
                <c:pt idx="27">
                  <c:v>45531</c:v>
                </c:pt>
                <c:pt idx="28">
                  <c:v>45532</c:v>
                </c:pt>
                <c:pt idx="29">
                  <c:v>45533</c:v>
                </c:pt>
                <c:pt idx="30">
                  <c:v>45534</c:v>
                </c:pt>
                <c:pt idx="31">
                  <c:v>45538</c:v>
                </c:pt>
                <c:pt idx="32">
                  <c:v>45539</c:v>
                </c:pt>
                <c:pt idx="33">
                  <c:v>45540</c:v>
                </c:pt>
                <c:pt idx="34">
                  <c:v>45541</c:v>
                </c:pt>
                <c:pt idx="35">
                  <c:v>45544</c:v>
                </c:pt>
                <c:pt idx="36">
                  <c:v>45545</c:v>
                </c:pt>
                <c:pt idx="37">
                  <c:v>45546</c:v>
                </c:pt>
                <c:pt idx="38">
                  <c:v>45547</c:v>
                </c:pt>
                <c:pt idx="39">
                  <c:v>45548</c:v>
                </c:pt>
                <c:pt idx="40">
                  <c:v>45551</c:v>
                </c:pt>
                <c:pt idx="41">
                  <c:v>45552</c:v>
                </c:pt>
                <c:pt idx="42">
                  <c:v>45553</c:v>
                </c:pt>
                <c:pt idx="43">
                  <c:v>45554</c:v>
                </c:pt>
                <c:pt idx="44">
                  <c:v>45555</c:v>
                </c:pt>
                <c:pt idx="45">
                  <c:v>45558</c:v>
                </c:pt>
                <c:pt idx="46">
                  <c:v>45559</c:v>
                </c:pt>
                <c:pt idx="47">
                  <c:v>45560</c:v>
                </c:pt>
                <c:pt idx="48">
                  <c:v>45561</c:v>
                </c:pt>
                <c:pt idx="49">
                  <c:v>45562</c:v>
                </c:pt>
                <c:pt idx="50">
                  <c:v>45565</c:v>
                </c:pt>
                <c:pt idx="51">
                  <c:v>45566</c:v>
                </c:pt>
                <c:pt idx="52">
                  <c:v>45567</c:v>
                </c:pt>
                <c:pt idx="53">
                  <c:v>45568</c:v>
                </c:pt>
                <c:pt idx="54">
                  <c:v>45569</c:v>
                </c:pt>
                <c:pt idx="55">
                  <c:v>45572</c:v>
                </c:pt>
                <c:pt idx="56">
                  <c:v>45573</c:v>
                </c:pt>
                <c:pt idx="57">
                  <c:v>45574</c:v>
                </c:pt>
                <c:pt idx="58">
                  <c:v>45575</c:v>
                </c:pt>
                <c:pt idx="59">
                  <c:v>45576</c:v>
                </c:pt>
                <c:pt idx="60">
                  <c:v>45579</c:v>
                </c:pt>
                <c:pt idx="61">
                  <c:v>45580</c:v>
                </c:pt>
                <c:pt idx="62">
                  <c:v>45581</c:v>
                </c:pt>
                <c:pt idx="63">
                  <c:v>45582</c:v>
                </c:pt>
                <c:pt idx="64">
                  <c:v>45583</c:v>
                </c:pt>
                <c:pt idx="65">
                  <c:v>45586</c:v>
                </c:pt>
                <c:pt idx="66">
                  <c:v>45587</c:v>
                </c:pt>
                <c:pt idx="67">
                  <c:v>45588</c:v>
                </c:pt>
                <c:pt idx="68">
                  <c:v>45589</c:v>
                </c:pt>
                <c:pt idx="69">
                  <c:v>45590</c:v>
                </c:pt>
                <c:pt idx="70">
                  <c:v>45593</c:v>
                </c:pt>
                <c:pt idx="71">
                  <c:v>45594</c:v>
                </c:pt>
                <c:pt idx="72">
                  <c:v>45595</c:v>
                </c:pt>
                <c:pt idx="73">
                  <c:v>45596</c:v>
                </c:pt>
                <c:pt idx="74">
                  <c:v>45597</c:v>
                </c:pt>
                <c:pt idx="75">
                  <c:v>45600</c:v>
                </c:pt>
                <c:pt idx="76">
                  <c:v>45601</c:v>
                </c:pt>
                <c:pt idx="77">
                  <c:v>45602</c:v>
                </c:pt>
                <c:pt idx="78">
                  <c:v>45603</c:v>
                </c:pt>
                <c:pt idx="79">
                  <c:v>45604</c:v>
                </c:pt>
                <c:pt idx="80">
                  <c:v>45607</c:v>
                </c:pt>
                <c:pt idx="81">
                  <c:v>45608</c:v>
                </c:pt>
                <c:pt idx="82">
                  <c:v>45609</c:v>
                </c:pt>
                <c:pt idx="83">
                  <c:v>45610</c:v>
                </c:pt>
                <c:pt idx="84">
                  <c:v>45611</c:v>
                </c:pt>
                <c:pt idx="85">
                  <c:v>45614</c:v>
                </c:pt>
                <c:pt idx="86">
                  <c:v>45615</c:v>
                </c:pt>
                <c:pt idx="87">
                  <c:v>45616</c:v>
                </c:pt>
                <c:pt idx="88">
                  <c:v>45617</c:v>
                </c:pt>
                <c:pt idx="89">
                  <c:v>45618</c:v>
                </c:pt>
                <c:pt idx="90">
                  <c:v>45621</c:v>
                </c:pt>
                <c:pt idx="91">
                  <c:v>45622</c:v>
                </c:pt>
                <c:pt idx="92">
                  <c:v>45623</c:v>
                </c:pt>
                <c:pt idx="93">
                  <c:v>45625</c:v>
                </c:pt>
                <c:pt idx="94">
                  <c:v>45628</c:v>
                </c:pt>
                <c:pt idx="95">
                  <c:v>45629</c:v>
                </c:pt>
                <c:pt idx="96">
                  <c:v>45630</c:v>
                </c:pt>
                <c:pt idx="97">
                  <c:v>45631</c:v>
                </c:pt>
                <c:pt idx="98">
                  <c:v>45632</c:v>
                </c:pt>
                <c:pt idx="99">
                  <c:v>45635</c:v>
                </c:pt>
                <c:pt idx="100">
                  <c:v>45636</c:v>
                </c:pt>
                <c:pt idx="101">
                  <c:v>45637</c:v>
                </c:pt>
                <c:pt idx="102">
                  <c:v>45638</c:v>
                </c:pt>
                <c:pt idx="103">
                  <c:v>45639</c:v>
                </c:pt>
                <c:pt idx="104">
                  <c:v>45642</c:v>
                </c:pt>
                <c:pt idx="105">
                  <c:v>45643</c:v>
                </c:pt>
                <c:pt idx="106">
                  <c:v>45644</c:v>
                </c:pt>
                <c:pt idx="107">
                  <c:v>45645</c:v>
                </c:pt>
                <c:pt idx="108">
                  <c:v>45646</c:v>
                </c:pt>
                <c:pt idx="109">
                  <c:v>45649</c:v>
                </c:pt>
                <c:pt idx="110">
                  <c:v>45650</c:v>
                </c:pt>
                <c:pt idx="111">
                  <c:v>45652</c:v>
                </c:pt>
                <c:pt idx="112">
                  <c:v>45653</c:v>
                </c:pt>
                <c:pt idx="113">
                  <c:v>45656</c:v>
                </c:pt>
                <c:pt idx="114">
                  <c:v>45657</c:v>
                </c:pt>
                <c:pt idx="115">
                  <c:v>45659</c:v>
                </c:pt>
                <c:pt idx="116">
                  <c:v>45660</c:v>
                </c:pt>
                <c:pt idx="117">
                  <c:v>45663</c:v>
                </c:pt>
                <c:pt idx="118">
                  <c:v>45664</c:v>
                </c:pt>
                <c:pt idx="119">
                  <c:v>45665</c:v>
                </c:pt>
                <c:pt idx="120">
                  <c:v>45667</c:v>
                </c:pt>
                <c:pt idx="121">
                  <c:v>45670</c:v>
                </c:pt>
                <c:pt idx="122">
                  <c:v>45671</c:v>
                </c:pt>
                <c:pt idx="123">
                  <c:v>45672</c:v>
                </c:pt>
                <c:pt idx="124">
                  <c:v>45673</c:v>
                </c:pt>
                <c:pt idx="125">
                  <c:v>45674</c:v>
                </c:pt>
                <c:pt idx="126">
                  <c:v>45678</c:v>
                </c:pt>
                <c:pt idx="127">
                  <c:v>45679</c:v>
                </c:pt>
                <c:pt idx="128">
                  <c:v>45680</c:v>
                </c:pt>
                <c:pt idx="129">
                  <c:v>45681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45691</c:v>
                </c:pt>
                <c:pt idx="136">
                  <c:v>45692</c:v>
                </c:pt>
                <c:pt idx="137">
                  <c:v>45693</c:v>
                </c:pt>
                <c:pt idx="138">
                  <c:v>45694</c:v>
                </c:pt>
                <c:pt idx="139">
                  <c:v>45695</c:v>
                </c:pt>
                <c:pt idx="140">
                  <c:v>45698</c:v>
                </c:pt>
                <c:pt idx="141">
                  <c:v>45699</c:v>
                </c:pt>
                <c:pt idx="142">
                  <c:v>45700</c:v>
                </c:pt>
                <c:pt idx="143">
                  <c:v>45701</c:v>
                </c:pt>
                <c:pt idx="144">
                  <c:v>45702</c:v>
                </c:pt>
                <c:pt idx="145">
                  <c:v>45706</c:v>
                </c:pt>
                <c:pt idx="146">
                  <c:v>45707</c:v>
                </c:pt>
                <c:pt idx="147">
                  <c:v>45708</c:v>
                </c:pt>
                <c:pt idx="148">
                  <c:v>45709</c:v>
                </c:pt>
                <c:pt idx="149">
                  <c:v>45712</c:v>
                </c:pt>
                <c:pt idx="150">
                  <c:v>45713</c:v>
                </c:pt>
                <c:pt idx="151">
                  <c:v>45714</c:v>
                </c:pt>
                <c:pt idx="152">
                  <c:v>45715</c:v>
                </c:pt>
                <c:pt idx="153">
                  <c:v>45716</c:v>
                </c:pt>
                <c:pt idx="154">
                  <c:v>45719</c:v>
                </c:pt>
                <c:pt idx="155">
                  <c:v>45720</c:v>
                </c:pt>
                <c:pt idx="156">
                  <c:v>45721</c:v>
                </c:pt>
                <c:pt idx="157">
                  <c:v>45722</c:v>
                </c:pt>
                <c:pt idx="158">
                  <c:v>45723</c:v>
                </c:pt>
                <c:pt idx="159">
                  <c:v>45726</c:v>
                </c:pt>
                <c:pt idx="160">
                  <c:v>45727</c:v>
                </c:pt>
                <c:pt idx="161">
                  <c:v>45728</c:v>
                </c:pt>
                <c:pt idx="162">
                  <c:v>45729</c:v>
                </c:pt>
                <c:pt idx="163">
                  <c:v>45730</c:v>
                </c:pt>
                <c:pt idx="164">
                  <c:v>45733</c:v>
                </c:pt>
                <c:pt idx="165">
                  <c:v>45734</c:v>
                </c:pt>
                <c:pt idx="166">
                  <c:v>45735</c:v>
                </c:pt>
                <c:pt idx="167">
                  <c:v>45736</c:v>
                </c:pt>
                <c:pt idx="168">
                  <c:v>45737</c:v>
                </c:pt>
                <c:pt idx="169">
                  <c:v>45740</c:v>
                </c:pt>
                <c:pt idx="170">
                  <c:v>45741</c:v>
                </c:pt>
                <c:pt idx="171">
                  <c:v>45742</c:v>
                </c:pt>
                <c:pt idx="172">
                  <c:v>45743</c:v>
                </c:pt>
                <c:pt idx="173">
                  <c:v>45744</c:v>
                </c:pt>
                <c:pt idx="174">
                  <c:v>45747</c:v>
                </c:pt>
              </c:numCache>
            </c:numRef>
          </c:cat>
          <c:val>
            <c:numRef>
              <c:f>MACD!$F$5:$F$192</c:f>
              <c:numCache>
                <c:formatCode>General</c:formatCode>
                <c:ptCount val="188"/>
                <c:pt idx="12" formatCode="0.00">
                  <c:v>0.12519230769230916</c:v>
                </c:pt>
                <c:pt idx="13" formatCode="0.00">
                  <c:v>0.25035291631446199</c:v>
                </c:pt>
                <c:pt idx="14" formatCode="0.00">
                  <c:v>0.35630594750417544</c:v>
                </c:pt>
                <c:pt idx="15" formatCode="0.00">
                  <c:v>0.47108900686250621</c:v>
                </c:pt>
                <c:pt idx="16" formatCode="0.00">
                  <c:v>0.72365053974338878</c:v>
                </c:pt>
                <c:pt idx="17" formatCode="0.00">
                  <c:v>0.98871486092917138</c:v>
                </c:pt>
                <c:pt idx="18" formatCode="0.00">
                  <c:v>1.726955759517665</c:v>
                </c:pt>
                <c:pt idx="19" formatCode="0.00">
                  <c:v>2.1740374645311391</c:v>
                </c:pt>
                <c:pt idx="20" formatCode="0.00">
                  <c:v>2.5396599058853297</c:v>
                </c:pt>
                <c:pt idx="21" formatCode="0.00">
                  <c:v>2.6677774961220777</c:v>
                </c:pt>
                <c:pt idx="22" formatCode="0.00">
                  <c:v>2.8289555401969437</c:v>
                </c:pt>
                <c:pt idx="23" formatCode="0.00">
                  <c:v>3.0167667279927315</c:v>
                </c:pt>
                <c:pt idx="24" formatCode="0.00">
                  <c:v>3.0242564621476973</c:v>
                </c:pt>
                <c:pt idx="25" formatCode="0.00">
                  <c:v>2.9855400833557439</c:v>
                </c:pt>
                <c:pt idx="26" formatCode="0.00">
                  <c:v>2.7451699017831572</c:v>
                </c:pt>
                <c:pt idx="27" formatCode="0.00">
                  <c:v>2.5534819258868708</c:v>
                </c:pt>
                <c:pt idx="28" formatCode="0.00">
                  <c:v>2.3638291592913632</c:v>
                </c:pt>
                <c:pt idx="29" formatCode="0.00">
                  <c:v>2.2154250924795917</c:v>
                </c:pt>
                <c:pt idx="30" formatCode="0.00">
                  <c:v>2.2334512499065013</c:v>
                </c:pt>
                <c:pt idx="31" formatCode="0.00">
                  <c:v>2.1702700199713831</c:v>
                </c:pt>
                <c:pt idx="32" formatCode="0.00">
                  <c:v>2.1518770903074369</c:v>
                </c:pt>
                <c:pt idx="33" formatCode="0.00">
                  <c:v>2.1328868794276303</c:v>
                </c:pt>
                <c:pt idx="34" formatCode="0.00">
                  <c:v>2.0889157811095203</c:v>
                </c:pt>
                <c:pt idx="35" formatCode="0.00">
                  <c:v>2.0051331168305495</c:v>
                </c:pt>
                <c:pt idx="36" formatCode="0.00">
                  <c:v>1.8735639853660473</c:v>
                </c:pt>
                <c:pt idx="37" formatCode="0.00">
                  <c:v>1.6837184950691793</c:v>
                </c:pt>
                <c:pt idx="38" formatCode="0.00">
                  <c:v>1.5548797947503274</c:v>
                </c:pt>
                <c:pt idx="39" formatCode="0.00">
                  <c:v>1.4465887355859834</c:v>
                </c:pt>
                <c:pt idx="40" formatCode="0.00">
                  <c:v>1.3356873218750493</c:v>
                </c:pt>
                <c:pt idx="41" formatCode="0.00">
                  <c:v>1.3085629969234631</c:v>
                </c:pt>
                <c:pt idx="42" formatCode="0.00">
                  <c:v>1.325048919004999</c:v>
                </c:pt>
                <c:pt idx="43" formatCode="0.00">
                  <c:v>1.3412125454904711</c:v>
                </c:pt>
                <c:pt idx="44" formatCode="0.00">
                  <c:v>1.3840619674321886</c:v>
                </c:pt>
                <c:pt idx="45" formatCode="0.00">
                  <c:v>1.3571883012334567</c:v>
                </c:pt>
                <c:pt idx="46" formatCode="0.00">
                  <c:v>1.3079033684426165</c:v>
                </c:pt>
                <c:pt idx="47" formatCode="0.00">
                  <c:v>1.1666356476698212</c:v>
                </c:pt>
                <c:pt idx="48" formatCode="0.00">
                  <c:v>1.0267064003672601</c:v>
                </c:pt>
                <c:pt idx="49" formatCode="0.00">
                  <c:v>0.96759708808898637</c:v>
                </c:pt>
                <c:pt idx="50" formatCode="0.00">
                  <c:v>0.85521689085570785</c:v>
                </c:pt>
                <c:pt idx="51" formatCode="0.00">
                  <c:v>0.72950343842671828</c:v>
                </c:pt>
                <c:pt idx="52" formatCode="0.00">
                  <c:v>0.69369371429088034</c:v>
                </c:pt>
                <c:pt idx="53" formatCode="0.00">
                  <c:v>0.72633630974809904</c:v>
                </c:pt>
                <c:pt idx="54" formatCode="0.00">
                  <c:v>0.70374761604935543</c:v>
                </c:pt>
                <c:pt idx="55" formatCode="0.00">
                  <c:v>0.69797302564663966</c:v>
                </c:pt>
                <c:pt idx="56" formatCode="0.00">
                  <c:v>0.62805876791635029</c:v>
                </c:pt>
                <c:pt idx="57" formatCode="0.00">
                  <c:v>0.59723638629955644</c:v>
                </c:pt>
                <c:pt idx="58" formatCode="0.00">
                  <c:v>0.61414493191261244</c:v>
                </c:pt>
                <c:pt idx="59" formatCode="0.00">
                  <c:v>0.6945815994793918</c:v>
                </c:pt>
                <c:pt idx="60" formatCode="0.00">
                  <c:v>0.67071196182397586</c:v>
                </c:pt>
                <c:pt idx="61" formatCode="0.00">
                  <c:v>0.65792849116147778</c:v>
                </c:pt>
                <c:pt idx="62" formatCode="0.00">
                  <c:v>0.70343513390554335</c:v>
                </c:pt>
                <c:pt idx="63" formatCode="0.00">
                  <c:v>0.79728295789128367</c:v>
                </c:pt>
                <c:pt idx="64" formatCode="0.00">
                  <c:v>0.95426022217765194</c:v>
                </c:pt>
                <c:pt idx="65" formatCode="0.00">
                  <c:v>1.1349773355395953</c:v>
                </c:pt>
                <c:pt idx="66" formatCode="0.00">
                  <c:v>1.2987303179680083</c:v>
                </c:pt>
                <c:pt idx="67" formatCode="0.00">
                  <c:v>1.3930811695234055</c:v>
                </c:pt>
                <c:pt idx="68" formatCode="0.00">
                  <c:v>1.4096457265024327</c:v>
                </c:pt>
                <c:pt idx="69" formatCode="0.00">
                  <c:v>1.3299781204147507</c:v>
                </c:pt>
                <c:pt idx="70" formatCode="0.00">
                  <c:v>1.277931100027935</c:v>
                </c:pt>
                <c:pt idx="71" formatCode="0.00">
                  <c:v>1.190681370664727</c:v>
                </c:pt>
                <c:pt idx="72" formatCode="0.00">
                  <c:v>1.0927998861703117</c:v>
                </c:pt>
                <c:pt idx="73" formatCode="0.00">
                  <c:v>1.0411514309547982</c:v>
                </c:pt>
                <c:pt idx="74" formatCode="0.00">
                  <c:v>0.9960006306468614</c:v>
                </c:pt>
                <c:pt idx="75" formatCode="0.00">
                  <c:v>0.99793660612472479</c:v>
                </c:pt>
                <c:pt idx="76" formatCode="0.00">
                  <c:v>0.97292420393644363</c:v>
                </c:pt>
                <c:pt idx="77" formatCode="0.00">
                  <c:v>0.94543102041073723</c:v>
                </c:pt>
                <c:pt idx="78" formatCode="0.00">
                  <c:v>0.82536734647565879</c:v>
                </c:pt>
                <c:pt idx="79" formatCode="0.00">
                  <c:v>0.77294860084018779</c:v>
                </c:pt>
                <c:pt idx="80" formatCode="0.00">
                  <c:v>0.74700287590254533</c:v>
                </c:pt>
                <c:pt idx="81" formatCode="0.00">
                  <c:v>0.70699408427444155</c:v>
                </c:pt>
                <c:pt idx="82" formatCode="0.00">
                  <c:v>0.58781917249431359</c:v>
                </c:pt>
                <c:pt idx="83" formatCode="0.00">
                  <c:v>0.54518561856407644</c:v>
                </c:pt>
                <c:pt idx="84" formatCode="0.00">
                  <c:v>0.49440222880603812</c:v>
                </c:pt>
                <c:pt idx="85" formatCode="0.00">
                  <c:v>0.46174399205764871</c:v>
                </c:pt>
                <c:pt idx="86" formatCode="0.00">
                  <c:v>0.67898618272990774</c:v>
                </c:pt>
                <c:pt idx="87" formatCode="0.00">
                  <c:v>0.7257829283252093</c:v>
                </c:pt>
                <c:pt idx="88" formatCode="0.00">
                  <c:v>0.84431846486482698</c:v>
                </c:pt>
                <c:pt idx="89" formatCode="0.00">
                  <c:v>0.967452364263508</c:v>
                </c:pt>
                <c:pt idx="90" formatCode="0.00">
                  <c:v>0.99945240095177468</c:v>
                </c:pt>
                <c:pt idx="91" formatCode="0.00">
                  <c:v>0.96766379834626548</c:v>
                </c:pt>
                <c:pt idx="92" formatCode="0.00">
                  <c:v>0.88626060487077041</c:v>
                </c:pt>
                <c:pt idx="93" formatCode="0.00">
                  <c:v>1.2654887512375979</c:v>
                </c:pt>
                <c:pt idx="94" formatCode="0.00">
                  <c:v>1.4843656322801237</c:v>
                </c:pt>
                <c:pt idx="95" formatCode="0.00">
                  <c:v>1.5902735518173685</c:v>
                </c:pt>
                <c:pt idx="96" formatCode="0.00">
                  <c:v>1.6623065537133073</c:v>
                </c:pt>
                <c:pt idx="97" formatCode="0.00">
                  <c:v>1.5179186599997152</c:v>
                </c:pt>
                <c:pt idx="98" formatCode="0.00">
                  <c:v>1.4337638297682744</c:v>
                </c:pt>
                <c:pt idx="99" formatCode="0.00">
                  <c:v>1.4655654433502647</c:v>
                </c:pt>
                <c:pt idx="100" formatCode="0.00">
                  <c:v>1.4458594090529644</c:v>
                </c:pt>
                <c:pt idx="101" formatCode="0.00">
                  <c:v>1.4418634060103201</c:v>
                </c:pt>
                <c:pt idx="102" formatCode="0.00">
                  <c:v>1.4733552736434561</c:v>
                </c:pt>
                <c:pt idx="103" formatCode="0.00">
                  <c:v>1.4740585286421393</c:v>
                </c:pt>
                <c:pt idx="104" formatCode="0.00">
                  <c:v>1.4546202409215425</c:v>
                </c:pt>
                <c:pt idx="105" formatCode="0.00">
                  <c:v>1.4650931466570114</c:v>
                </c:pt>
                <c:pt idx="106" formatCode="0.00">
                  <c:v>1.4526135924992474</c:v>
                </c:pt>
                <c:pt idx="107" formatCode="0.00">
                  <c:v>1.483718060409835</c:v>
                </c:pt>
                <c:pt idx="108" formatCode="0.00">
                  <c:v>1.3914640901356847</c:v>
                </c:pt>
                <c:pt idx="109" formatCode="0.00">
                  <c:v>1.2778011323410041</c:v>
                </c:pt>
                <c:pt idx="110" formatCode="0.00">
                  <c:v>1.2116799986575231</c:v>
                </c:pt>
                <c:pt idx="111" formatCode="0.00">
                  <c:v>1.1891442956444536</c:v>
                </c:pt>
                <c:pt idx="112" formatCode="0.00">
                  <c:v>1.1044893226781554</c:v>
                </c:pt>
                <c:pt idx="113" formatCode="0.00">
                  <c:v>0.97851190143472166</c:v>
                </c:pt>
                <c:pt idx="114" formatCode="0.00">
                  <c:v>0.75139555258092372</c:v>
                </c:pt>
                <c:pt idx="115" formatCode="0.00">
                  <c:v>0.53537681142674387</c:v>
                </c:pt>
                <c:pt idx="116" formatCode="0.00">
                  <c:v>0.32014415882530045</c:v>
                </c:pt>
                <c:pt idx="117" formatCode="0.00">
                  <c:v>0.15504570839595999</c:v>
                </c:pt>
                <c:pt idx="118" formatCode="0.00">
                  <c:v>0.16592246992971127</c:v>
                </c:pt>
                <c:pt idx="119" formatCode="0.00">
                  <c:v>0.10793791022048538</c:v>
                </c:pt>
                <c:pt idx="120" formatCode="0.00">
                  <c:v>1.8201427140951409E-2</c:v>
                </c:pt>
                <c:pt idx="121" formatCode="0.00">
                  <c:v>2.9852884247965505E-2</c:v>
                </c:pt>
                <c:pt idx="122" formatCode="0.00">
                  <c:v>5.8584334867447296E-2</c:v>
                </c:pt>
                <c:pt idx="123" formatCode="0.00">
                  <c:v>9.4786077263137258E-2</c:v>
                </c:pt>
                <c:pt idx="124" formatCode="0.00">
                  <c:v>0.1412143816784166</c:v>
                </c:pt>
                <c:pt idx="125" formatCode="0.00">
                  <c:v>0.15045348762567556</c:v>
                </c:pt>
                <c:pt idx="126" formatCode="0.00">
                  <c:v>2.6746764505993781E-2</c:v>
                </c:pt>
                <c:pt idx="127" formatCode="0.00">
                  <c:v>-3.0593223858495833E-2</c:v>
                </c:pt>
                <c:pt idx="128" formatCode="0.00">
                  <c:v>-5.6821497091540607E-2</c:v>
                </c:pt>
                <c:pt idx="129" formatCode="0.00">
                  <c:v>-9.4273033133482897E-2</c:v>
                </c:pt>
                <c:pt idx="130" formatCode="0.00">
                  <c:v>-0.11376613934146462</c:v>
                </c:pt>
                <c:pt idx="131" formatCode="0.00">
                  <c:v>-9.1046879084565546E-2</c:v>
                </c:pt>
                <c:pt idx="132" formatCode="0.00">
                  <c:v>-9.8534103907972792E-2</c:v>
                </c:pt>
                <c:pt idx="133" formatCode="0.00">
                  <c:v>-0.181453905648155</c:v>
                </c:pt>
                <c:pt idx="134" formatCode="0.00">
                  <c:v>-0.28184458899846021</c:v>
                </c:pt>
                <c:pt idx="135" formatCode="0.00">
                  <c:v>-0.32697296382848862</c:v>
                </c:pt>
                <c:pt idx="136" formatCode="0.00">
                  <c:v>-0.34504251147220799</c:v>
                </c:pt>
                <c:pt idx="137" formatCode="0.00">
                  <c:v>-0.31777457858369473</c:v>
                </c:pt>
                <c:pt idx="138" formatCode="0.00">
                  <c:v>-0.29996893796069202</c:v>
                </c:pt>
                <c:pt idx="139" formatCode="0.00">
                  <c:v>-0.22277114045878221</c:v>
                </c:pt>
                <c:pt idx="140" formatCode="0.00">
                  <c:v>-0.1557612291343986</c:v>
                </c:pt>
                <c:pt idx="141" formatCode="0.00">
                  <c:v>6.2047233916153743E-2</c:v>
                </c:pt>
                <c:pt idx="142" formatCode="0.00">
                  <c:v>0.27426700144674498</c:v>
                </c:pt>
                <c:pt idx="143" formatCode="0.00">
                  <c:v>0.51159853439582292</c:v>
                </c:pt>
                <c:pt idx="144" formatCode="0.00">
                  <c:v>0.54493123360781937</c:v>
                </c:pt>
                <c:pt idx="145" formatCode="0.00">
                  <c:v>0.58797045682397453</c:v>
                </c:pt>
                <c:pt idx="146" formatCode="0.00">
                  <c:v>0.62216961510643642</c:v>
                </c:pt>
                <c:pt idx="147" formatCode="0.00">
                  <c:v>0.62671688025530869</c:v>
                </c:pt>
                <c:pt idx="148" formatCode="0.00">
                  <c:v>0.70290955944310696</c:v>
                </c:pt>
                <c:pt idx="149" formatCode="0.00">
                  <c:v>0.68838348690427864</c:v>
                </c:pt>
                <c:pt idx="150" formatCode="0.00">
                  <c:v>0.71622336184503155</c:v>
                </c:pt>
                <c:pt idx="151" formatCode="0.00">
                  <c:v>0.54719507740437479</c:v>
                </c:pt>
                <c:pt idx="152" formatCode="0.00">
                  <c:v>0.36305958301463193</c:v>
                </c:pt>
                <c:pt idx="153" formatCode="0.00">
                  <c:v>0.10935730583732095</c:v>
                </c:pt>
                <c:pt idx="154" formatCode="0.00">
                  <c:v>-5.7951968940777476E-2</c:v>
                </c:pt>
                <c:pt idx="155" formatCode="0.00">
                  <c:v>-0.17162217602970031</c:v>
                </c:pt>
                <c:pt idx="156" formatCode="0.00">
                  <c:v>-0.2730831966716778</c:v>
                </c:pt>
                <c:pt idx="157" formatCode="0.00">
                  <c:v>-0.51459159521828468</c:v>
                </c:pt>
                <c:pt idx="158" formatCode="0.00">
                  <c:v>-0.65566408302296963</c:v>
                </c:pt>
                <c:pt idx="159" formatCode="0.00">
                  <c:v>-0.71484436169589571</c:v>
                </c:pt>
                <c:pt idx="160" formatCode="0.00">
                  <c:v>-0.68844891778783079</c:v>
                </c:pt>
                <c:pt idx="161" formatCode="0.00">
                  <c:v>-0.65673227178820781</c:v>
                </c:pt>
                <c:pt idx="162" formatCode="0.00">
                  <c:v>-0.4608661557282332</c:v>
                </c:pt>
                <c:pt idx="163" formatCode="0.00">
                  <c:v>-0.27583297470428647</c:v>
                </c:pt>
                <c:pt idx="164" formatCode="0.00">
                  <c:v>-0.19393138872023741</c:v>
                </c:pt>
                <c:pt idx="165" formatCode="0.00">
                  <c:v>-1.4277081881218123E-2</c:v>
                </c:pt>
                <c:pt idx="166" formatCode="0.00">
                  <c:v>0.19205352412520682</c:v>
                </c:pt>
                <c:pt idx="167" formatCode="0.00">
                  <c:v>0.37146293311457157</c:v>
                </c:pt>
                <c:pt idx="168" formatCode="0.00">
                  <c:v>0.47349067026446789</c:v>
                </c:pt>
                <c:pt idx="169" formatCode="0.00">
                  <c:v>0.57834441680339665</c:v>
                </c:pt>
                <c:pt idx="170" formatCode="0.00">
                  <c:v>0.68262191717659704</c:v>
                </c:pt>
                <c:pt idx="171" formatCode="0.00">
                  <c:v>0.8291342389256684</c:v>
                </c:pt>
                <c:pt idx="172" formatCode="0.00">
                  <c:v>1.0956138729008558</c:v>
                </c:pt>
                <c:pt idx="173" formatCode="0.00">
                  <c:v>1.1642732570933774</c:v>
                </c:pt>
                <c:pt idx="174" formatCode="0.00">
                  <c:v>1.0691856149981334</c:v>
                </c:pt>
                <c:pt idx="175" formatCode="0.00">
                  <c:v>1.0199951761486048</c:v>
                </c:pt>
                <c:pt idx="176" formatCode="0.00">
                  <c:v>0.86852124056964186</c:v>
                </c:pt>
                <c:pt idx="177" formatCode="0.00">
                  <c:v>0.81812404043718345</c:v>
                </c:pt>
                <c:pt idx="178" formatCode="0.00">
                  <c:v>0.76213621651075414</c:v>
                </c:pt>
                <c:pt idx="179" formatCode="0.00">
                  <c:v>0.72394477364519361</c:v>
                </c:pt>
                <c:pt idx="180" formatCode="0.00">
                  <c:v>0.71289512725600446</c:v>
                </c:pt>
                <c:pt idx="181" formatCode="0.00">
                  <c:v>0.74158392136980922</c:v>
                </c:pt>
                <c:pt idx="182" formatCode="0.00">
                  <c:v>0.76039612278239588</c:v>
                </c:pt>
                <c:pt idx="183" formatCode="0.00">
                  <c:v>0.61809347576624418</c:v>
                </c:pt>
                <c:pt idx="184" formatCode="0.00">
                  <c:v>0.50115443920640246</c:v>
                </c:pt>
                <c:pt idx="185" formatCode="0.00">
                  <c:v>0.37909502948907203</c:v>
                </c:pt>
                <c:pt idx="186" formatCode="0.00">
                  <c:v>0.36848899589869433</c:v>
                </c:pt>
                <c:pt idx="187" formatCode="0.00">
                  <c:v>0.43335903800425513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C-4E59-B109-81B6F61E1AFB}"/>
            </c:ext>
          </c:extLst>
        </c:ser>
        <c:ser>
          <c:idx val="1"/>
          <c:order val="1"/>
          <c:tx>
            <c:strRef>
              <c:f>MACD!$G$4</c:f>
              <c:strCache>
                <c:ptCount val="1"/>
                <c:pt idx="0">
                  <c:v>Signal Line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MACD!$A$18:$A$192</c:f>
              <c:numCache>
                <c:formatCode>m/d/yyyy</c:formatCode>
                <c:ptCount val="175"/>
                <c:pt idx="0">
                  <c:v>45492</c:v>
                </c:pt>
                <c:pt idx="1">
                  <c:v>45495</c:v>
                </c:pt>
                <c:pt idx="2">
                  <c:v>45496</c:v>
                </c:pt>
                <c:pt idx="3">
                  <c:v>45497</c:v>
                </c:pt>
                <c:pt idx="4">
                  <c:v>45498</c:v>
                </c:pt>
                <c:pt idx="5">
                  <c:v>45499</c:v>
                </c:pt>
                <c:pt idx="6">
                  <c:v>45502</c:v>
                </c:pt>
                <c:pt idx="7">
                  <c:v>45503</c:v>
                </c:pt>
                <c:pt idx="8">
                  <c:v>45504</c:v>
                </c:pt>
                <c:pt idx="9">
                  <c:v>45505</c:v>
                </c:pt>
                <c:pt idx="10">
                  <c:v>45506</c:v>
                </c:pt>
                <c:pt idx="11">
                  <c:v>45509</c:v>
                </c:pt>
                <c:pt idx="12">
                  <c:v>45510</c:v>
                </c:pt>
                <c:pt idx="13">
                  <c:v>45511</c:v>
                </c:pt>
                <c:pt idx="14">
                  <c:v>45512</c:v>
                </c:pt>
                <c:pt idx="15">
                  <c:v>45513</c:v>
                </c:pt>
                <c:pt idx="16">
                  <c:v>45516</c:v>
                </c:pt>
                <c:pt idx="17">
                  <c:v>45517</c:v>
                </c:pt>
                <c:pt idx="18">
                  <c:v>45518</c:v>
                </c:pt>
                <c:pt idx="19">
                  <c:v>45519</c:v>
                </c:pt>
                <c:pt idx="20">
                  <c:v>45520</c:v>
                </c:pt>
                <c:pt idx="21">
                  <c:v>45523</c:v>
                </c:pt>
                <c:pt idx="22">
                  <c:v>45524</c:v>
                </c:pt>
                <c:pt idx="23">
                  <c:v>45525</c:v>
                </c:pt>
                <c:pt idx="24">
                  <c:v>45526</c:v>
                </c:pt>
                <c:pt idx="25">
                  <c:v>45527</c:v>
                </c:pt>
                <c:pt idx="26">
                  <c:v>45530</c:v>
                </c:pt>
                <c:pt idx="27">
                  <c:v>45531</c:v>
                </c:pt>
                <c:pt idx="28">
                  <c:v>45532</c:v>
                </c:pt>
                <c:pt idx="29">
                  <c:v>45533</c:v>
                </c:pt>
                <c:pt idx="30">
                  <c:v>45534</c:v>
                </c:pt>
                <c:pt idx="31">
                  <c:v>45538</c:v>
                </c:pt>
                <c:pt idx="32">
                  <c:v>45539</c:v>
                </c:pt>
                <c:pt idx="33">
                  <c:v>45540</c:v>
                </c:pt>
                <c:pt idx="34">
                  <c:v>45541</c:v>
                </c:pt>
                <c:pt idx="35">
                  <c:v>45544</c:v>
                </c:pt>
                <c:pt idx="36">
                  <c:v>45545</c:v>
                </c:pt>
                <c:pt idx="37">
                  <c:v>45546</c:v>
                </c:pt>
                <c:pt idx="38">
                  <c:v>45547</c:v>
                </c:pt>
                <c:pt idx="39">
                  <c:v>45548</c:v>
                </c:pt>
                <c:pt idx="40">
                  <c:v>45551</c:v>
                </c:pt>
                <c:pt idx="41">
                  <c:v>45552</c:v>
                </c:pt>
                <c:pt idx="42">
                  <c:v>45553</c:v>
                </c:pt>
                <c:pt idx="43">
                  <c:v>45554</c:v>
                </c:pt>
                <c:pt idx="44">
                  <c:v>45555</c:v>
                </c:pt>
                <c:pt idx="45">
                  <c:v>45558</c:v>
                </c:pt>
                <c:pt idx="46">
                  <c:v>45559</c:v>
                </c:pt>
                <c:pt idx="47">
                  <c:v>45560</c:v>
                </c:pt>
                <c:pt idx="48">
                  <c:v>45561</c:v>
                </c:pt>
                <c:pt idx="49">
                  <c:v>45562</c:v>
                </c:pt>
                <c:pt idx="50">
                  <c:v>45565</c:v>
                </c:pt>
                <c:pt idx="51">
                  <c:v>45566</c:v>
                </c:pt>
                <c:pt idx="52">
                  <c:v>45567</c:v>
                </c:pt>
                <c:pt idx="53">
                  <c:v>45568</c:v>
                </c:pt>
                <c:pt idx="54">
                  <c:v>45569</c:v>
                </c:pt>
                <c:pt idx="55">
                  <c:v>45572</c:v>
                </c:pt>
                <c:pt idx="56">
                  <c:v>45573</c:v>
                </c:pt>
                <c:pt idx="57">
                  <c:v>45574</c:v>
                </c:pt>
                <c:pt idx="58">
                  <c:v>45575</c:v>
                </c:pt>
                <c:pt idx="59">
                  <c:v>45576</c:v>
                </c:pt>
                <c:pt idx="60">
                  <c:v>45579</c:v>
                </c:pt>
                <c:pt idx="61">
                  <c:v>45580</c:v>
                </c:pt>
                <c:pt idx="62">
                  <c:v>45581</c:v>
                </c:pt>
                <c:pt idx="63">
                  <c:v>45582</c:v>
                </c:pt>
                <c:pt idx="64">
                  <c:v>45583</c:v>
                </c:pt>
                <c:pt idx="65">
                  <c:v>45586</c:v>
                </c:pt>
                <c:pt idx="66">
                  <c:v>45587</c:v>
                </c:pt>
                <c:pt idx="67">
                  <c:v>45588</c:v>
                </c:pt>
                <c:pt idx="68">
                  <c:v>45589</c:v>
                </c:pt>
                <c:pt idx="69">
                  <c:v>45590</c:v>
                </c:pt>
                <c:pt idx="70">
                  <c:v>45593</c:v>
                </c:pt>
                <c:pt idx="71">
                  <c:v>45594</c:v>
                </c:pt>
                <c:pt idx="72">
                  <c:v>45595</c:v>
                </c:pt>
                <c:pt idx="73">
                  <c:v>45596</c:v>
                </c:pt>
                <c:pt idx="74">
                  <c:v>45597</c:v>
                </c:pt>
                <c:pt idx="75">
                  <c:v>45600</c:v>
                </c:pt>
                <c:pt idx="76">
                  <c:v>45601</c:v>
                </c:pt>
                <c:pt idx="77">
                  <c:v>45602</c:v>
                </c:pt>
                <c:pt idx="78">
                  <c:v>45603</c:v>
                </c:pt>
                <c:pt idx="79">
                  <c:v>45604</c:v>
                </c:pt>
                <c:pt idx="80">
                  <c:v>45607</c:v>
                </c:pt>
                <c:pt idx="81">
                  <c:v>45608</c:v>
                </c:pt>
                <c:pt idx="82">
                  <c:v>45609</c:v>
                </c:pt>
                <c:pt idx="83">
                  <c:v>45610</c:v>
                </c:pt>
                <c:pt idx="84">
                  <c:v>45611</c:v>
                </c:pt>
                <c:pt idx="85">
                  <c:v>45614</c:v>
                </c:pt>
                <c:pt idx="86">
                  <c:v>45615</c:v>
                </c:pt>
                <c:pt idx="87">
                  <c:v>45616</c:v>
                </c:pt>
                <c:pt idx="88">
                  <c:v>45617</c:v>
                </c:pt>
                <c:pt idx="89">
                  <c:v>45618</c:v>
                </c:pt>
                <c:pt idx="90">
                  <c:v>45621</c:v>
                </c:pt>
                <c:pt idx="91">
                  <c:v>45622</c:v>
                </c:pt>
                <c:pt idx="92">
                  <c:v>45623</c:v>
                </c:pt>
                <c:pt idx="93">
                  <c:v>45625</c:v>
                </c:pt>
                <c:pt idx="94">
                  <c:v>45628</c:v>
                </c:pt>
                <c:pt idx="95">
                  <c:v>45629</c:v>
                </c:pt>
                <c:pt idx="96">
                  <c:v>45630</c:v>
                </c:pt>
                <c:pt idx="97">
                  <c:v>45631</c:v>
                </c:pt>
                <c:pt idx="98">
                  <c:v>45632</c:v>
                </c:pt>
                <c:pt idx="99">
                  <c:v>45635</c:v>
                </c:pt>
                <c:pt idx="100">
                  <c:v>45636</c:v>
                </c:pt>
                <c:pt idx="101">
                  <c:v>45637</c:v>
                </c:pt>
                <c:pt idx="102">
                  <c:v>45638</c:v>
                </c:pt>
                <c:pt idx="103">
                  <c:v>45639</c:v>
                </c:pt>
                <c:pt idx="104">
                  <c:v>45642</c:v>
                </c:pt>
                <c:pt idx="105">
                  <c:v>45643</c:v>
                </c:pt>
                <c:pt idx="106">
                  <c:v>45644</c:v>
                </c:pt>
                <c:pt idx="107">
                  <c:v>45645</c:v>
                </c:pt>
                <c:pt idx="108">
                  <c:v>45646</c:v>
                </c:pt>
                <c:pt idx="109">
                  <c:v>45649</c:v>
                </c:pt>
                <c:pt idx="110">
                  <c:v>45650</c:v>
                </c:pt>
                <c:pt idx="111">
                  <c:v>45652</c:v>
                </c:pt>
                <c:pt idx="112">
                  <c:v>45653</c:v>
                </c:pt>
                <c:pt idx="113">
                  <c:v>45656</c:v>
                </c:pt>
                <c:pt idx="114">
                  <c:v>45657</c:v>
                </c:pt>
                <c:pt idx="115">
                  <c:v>45659</c:v>
                </c:pt>
                <c:pt idx="116">
                  <c:v>45660</c:v>
                </c:pt>
                <c:pt idx="117">
                  <c:v>45663</c:v>
                </c:pt>
                <c:pt idx="118">
                  <c:v>45664</c:v>
                </c:pt>
                <c:pt idx="119">
                  <c:v>45665</c:v>
                </c:pt>
                <c:pt idx="120">
                  <c:v>45667</c:v>
                </c:pt>
                <c:pt idx="121">
                  <c:v>45670</c:v>
                </c:pt>
                <c:pt idx="122">
                  <c:v>45671</c:v>
                </c:pt>
                <c:pt idx="123">
                  <c:v>45672</c:v>
                </c:pt>
                <c:pt idx="124">
                  <c:v>45673</c:v>
                </c:pt>
                <c:pt idx="125">
                  <c:v>45674</c:v>
                </c:pt>
                <c:pt idx="126">
                  <c:v>45678</c:v>
                </c:pt>
                <c:pt idx="127">
                  <c:v>45679</c:v>
                </c:pt>
                <c:pt idx="128">
                  <c:v>45680</c:v>
                </c:pt>
                <c:pt idx="129">
                  <c:v>45681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45691</c:v>
                </c:pt>
                <c:pt idx="136">
                  <c:v>45692</c:v>
                </c:pt>
                <c:pt idx="137">
                  <c:v>45693</c:v>
                </c:pt>
                <c:pt idx="138">
                  <c:v>45694</c:v>
                </c:pt>
                <c:pt idx="139">
                  <c:v>45695</c:v>
                </c:pt>
                <c:pt idx="140">
                  <c:v>45698</c:v>
                </c:pt>
                <c:pt idx="141">
                  <c:v>45699</c:v>
                </c:pt>
                <c:pt idx="142">
                  <c:v>45700</c:v>
                </c:pt>
                <c:pt idx="143">
                  <c:v>45701</c:v>
                </c:pt>
                <c:pt idx="144">
                  <c:v>45702</c:v>
                </c:pt>
                <c:pt idx="145">
                  <c:v>45706</c:v>
                </c:pt>
                <c:pt idx="146">
                  <c:v>45707</c:v>
                </c:pt>
                <c:pt idx="147">
                  <c:v>45708</c:v>
                </c:pt>
                <c:pt idx="148">
                  <c:v>45709</c:v>
                </c:pt>
                <c:pt idx="149">
                  <c:v>45712</c:v>
                </c:pt>
                <c:pt idx="150">
                  <c:v>45713</c:v>
                </c:pt>
                <c:pt idx="151">
                  <c:v>45714</c:v>
                </c:pt>
                <c:pt idx="152">
                  <c:v>45715</c:v>
                </c:pt>
                <c:pt idx="153">
                  <c:v>45716</c:v>
                </c:pt>
                <c:pt idx="154">
                  <c:v>45719</c:v>
                </c:pt>
                <c:pt idx="155">
                  <c:v>45720</c:v>
                </c:pt>
                <c:pt idx="156">
                  <c:v>45721</c:v>
                </c:pt>
                <c:pt idx="157">
                  <c:v>45722</c:v>
                </c:pt>
                <c:pt idx="158">
                  <c:v>45723</c:v>
                </c:pt>
                <c:pt idx="159">
                  <c:v>45726</c:v>
                </c:pt>
                <c:pt idx="160">
                  <c:v>45727</c:v>
                </c:pt>
                <c:pt idx="161">
                  <c:v>45728</c:v>
                </c:pt>
                <c:pt idx="162">
                  <c:v>45729</c:v>
                </c:pt>
                <c:pt idx="163">
                  <c:v>45730</c:v>
                </c:pt>
                <c:pt idx="164">
                  <c:v>45733</c:v>
                </c:pt>
                <c:pt idx="165">
                  <c:v>45734</c:v>
                </c:pt>
                <c:pt idx="166">
                  <c:v>45735</c:v>
                </c:pt>
                <c:pt idx="167">
                  <c:v>45736</c:v>
                </c:pt>
                <c:pt idx="168">
                  <c:v>45737</c:v>
                </c:pt>
                <c:pt idx="169">
                  <c:v>45740</c:v>
                </c:pt>
                <c:pt idx="170">
                  <c:v>45741</c:v>
                </c:pt>
                <c:pt idx="171">
                  <c:v>45742</c:v>
                </c:pt>
                <c:pt idx="172">
                  <c:v>45743</c:v>
                </c:pt>
                <c:pt idx="173">
                  <c:v>45744</c:v>
                </c:pt>
                <c:pt idx="174">
                  <c:v>45747</c:v>
                </c:pt>
              </c:numCache>
            </c:numRef>
          </c:cat>
          <c:val>
            <c:numRef>
              <c:f>MACD!$G$5:$G$192</c:f>
              <c:numCache>
                <c:formatCode>General</c:formatCode>
                <c:ptCount val="188"/>
                <c:pt idx="12" formatCode="0.00">
                  <c:v>0.12519230769230916</c:v>
                </c:pt>
                <c:pt idx="13" formatCode="0.00">
                  <c:v>0.18777261200338558</c:v>
                </c:pt>
                <c:pt idx="14" formatCode="0.00">
                  <c:v>0.24395039050364886</c:v>
                </c:pt>
                <c:pt idx="15" formatCode="0.00">
                  <c:v>0.3007350445933632</c:v>
                </c:pt>
                <c:pt idx="16" formatCode="0.00">
                  <c:v>0.3853181436233683</c:v>
                </c:pt>
                <c:pt idx="17" formatCode="0.00">
                  <c:v>0.48588426317433547</c:v>
                </c:pt>
                <c:pt idx="18" formatCode="0.00">
                  <c:v>0.66318019122338256</c:v>
                </c:pt>
                <c:pt idx="19" formatCode="0.00">
                  <c:v>0.85203735038685213</c:v>
                </c:pt>
                <c:pt idx="20" formatCode="0.00">
                  <c:v>1.0395509676644608</c:v>
                </c:pt>
                <c:pt idx="21" formatCode="0.00">
                  <c:v>1.3651962733559841</c:v>
                </c:pt>
                <c:pt idx="22" formatCode="0.00">
                  <c:v>1.657948126724176</c:v>
                </c:pt>
                <c:pt idx="23" formatCode="0.00">
                  <c:v>1.9297118469778871</c:v>
                </c:pt>
                <c:pt idx="24" formatCode="0.00">
                  <c:v>2.1486207700118491</c:v>
                </c:pt>
                <c:pt idx="25" formatCode="0.00">
                  <c:v>2.3160046326806283</c:v>
                </c:pt>
                <c:pt idx="26" formatCode="0.00">
                  <c:v>2.4018376865011342</c:v>
                </c:pt>
                <c:pt idx="27" formatCode="0.00">
                  <c:v>2.4321665343782817</c:v>
                </c:pt>
                <c:pt idx="28" formatCode="0.00">
                  <c:v>2.4184990593608982</c:v>
                </c:pt>
                <c:pt idx="29" formatCode="0.00">
                  <c:v>2.3778842659846369</c:v>
                </c:pt>
                <c:pt idx="30" formatCode="0.00">
                  <c:v>2.3489976627690097</c:v>
                </c:pt>
                <c:pt idx="31" formatCode="0.00">
                  <c:v>2.3132521342094843</c:v>
                </c:pt>
                <c:pt idx="32" formatCode="0.00">
                  <c:v>2.2809771254290747</c:v>
                </c:pt>
                <c:pt idx="33" formatCode="0.00">
                  <c:v>2.2513590762287858</c:v>
                </c:pt>
                <c:pt idx="34" formatCode="0.00">
                  <c:v>2.2188704172049327</c:v>
                </c:pt>
                <c:pt idx="35" formatCode="0.00">
                  <c:v>2.176122957130056</c:v>
                </c:pt>
                <c:pt idx="36" formatCode="0.00">
                  <c:v>2.1156111627772543</c:v>
                </c:pt>
                <c:pt idx="37" formatCode="0.00">
                  <c:v>2.0292326292356391</c:v>
                </c:pt>
                <c:pt idx="38" formatCode="0.00">
                  <c:v>1.9343620623385767</c:v>
                </c:pt>
                <c:pt idx="39" formatCode="0.00">
                  <c:v>1.8368073969880581</c:v>
                </c:pt>
                <c:pt idx="40" formatCode="0.00">
                  <c:v>1.7365833819654564</c:v>
                </c:pt>
                <c:pt idx="41" formatCode="0.00">
                  <c:v>1.6509793049570578</c:v>
                </c:pt>
                <c:pt idx="42" formatCode="0.00">
                  <c:v>1.585793227766646</c:v>
                </c:pt>
                <c:pt idx="43" formatCode="0.00">
                  <c:v>1.5368770913114109</c:v>
                </c:pt>
                <c:pt idx="44" formatCode="0.00">
                  <c:v>1.5063140665355665</c:v>
                </c:pt>
                <c:pt idx="45" formatCode="0.00">
                  <c:v>1.4764889134751447</c:v>
                </c:pt>
                <c:pt idx="46" formatCode="0.00">
                  <c:v>1.4427718044686391</c:v>
                </c:pt>
                <c:pt idx="47" formatCode="0.00">
                  <c:v>1.3875445731088756</c:v>
                </c:pt>
                <c:pt idx="48" formatCode="0.00">
                  <c:v>1.3153769385605525</c:v>
                </c:pt>
                <c:pt idx="49" formatCode="0.00">
                  <c:v>1.2458209684662394</c:v>
                </c:pt>
                <c:pt idx="50" formatCode="0.00">
                  <c:v>1.1677001529441331</c:v>
                </c:pt>
                <c:pt idx="51" formatCode="0.00">
                  <c:v>1.0800608100406501</c:v>
                </c:pt>
                <c:pt idx="52" formatCode="0.00">
                  <c:v>1.0027873908906961</c:v>
                </c:pt>
                <c:pt idx="53" formatCode="0.00">
                  <c:v>0.94749717466217676</c:v>
                </c:pt>
                <c:pt idx="54" formatCode="0.00">
                  <c:v>0.89874726293961249</c:v>
                </c:pt>
                <c:pt idx="55" formatCode="0.00">
                  <c:v>0.85859241548101795</c:v>
                </c:pt>
                <c:pt idx="56" formatCode="0.00">
                  <c:v>0.81248568596808446</c:v>
                </c:pt>
                <c:pt idx="57" formatCode="0.00">
                  <c:v>0.76943582603437888</c:v>
                </c:pt>
                <c:pt idx="58" formatCode="0.00">
                  <c:v>0.73837764721002563</c:v>
                </c:pt>
                <c:pt idx="59" formatCode="0.00">
                  <c:v>0.72961843766389889</c:v>
                </c:pt>
                <c:pt idx="60" formatCode="0.00">
                  <c:v>0.71783714249591424</c:v>
                </c:pt>
                <c:pt idx="61" formatCode="0.00">
                  <c:v>0.70585541222902692</c:v>
                </c:pt>
                <c:pt idx="62" formatCode="0.00">
                  <c:v>0.70537135656433025</c:v>
                </c:pt>
                <c:pt idx="63" formatCode="0.00">
                  <c:v>0.72375367682972092</c:v>
                </c:pt>
                <c:pt idx="64" formatCode="0.00">
                  <c:v>0.76985498589930712</c:v>
                </c:pt>
                <c:pt idx="65" formatCode="0.00">
                  <c:v>0.84287945582736479</c:v>
                </c:pt>
                <c:pt idx="66" formatCode="0.00">
                  <c:v>0.93404962825549354</c:v>
                </c:pt>
                <c:pt idx="67" formatCode="0.00">
                  <c:v>1.025855936509076</c:v>
                </c:pt>
                <c:pt idx="68" formatCode="0.00">
                  <c:v>1.1026138945077473</c:v>
                </c:pt>
                <c:pt idx="69" formatCode="0.00">
                  <c:v>1.1480867396891479</c:v>
                </c:pt>
                <c:pt idx="70" formatCode="0.00">
                  <c:v>1.1740556117569052</c:v>
                </c:pt>
                <c:pt idx="71" formatCode="0.00">
                  <c:v>1.1773807635384697</c:v>
                </c:pt>
                <c:pt idx="72" formatCode="0.00">
                  <c:v>1.1604645880648381</c:v>
                </c:pt>
                <c:pt idx="73" formatCode="0.00">
                  <c:v>1.13660195664283</c:v>
                </c:pt>
                <c:pt idx="74" formatCode="0.00">
                  <c:v>1.1084816914436364</c:v>
                </c:pt>
                <c:pt idx="75" formatCode="0.00">
                  <c:v>1.0863726743798541</c:v>
                </c:pt>
                <c:pt idx="76" formatCode="0.00">
                  <c:v>1.063682980291172</c:v>
                </c:pt>
                <c:pt idx="77" formatCode="0.00">
                  <c:v>1.0400325883150852</c:v>
                </c:pt>
                <c:pt idx="78" formatCode="0.00">
                  <c:v>0.99709953994719991</c:v>
                </c:pt>
                <c:pt idx="79" formatCode="0.00">
                  <c:v>0.95226935212579744</c:v>
                </c:pt>
                <c:pt idx="80" formatCode="0.00">
                  <c:v>0.91121605688114704</c:v>
                </c:pt>
                <c:pt idx="81" formatCode="0.00">
                  <c:v>0.8703716623598059</c:v>
                </c:pt>
                <c:pt idx="82" formatCode="0.00">
                  <c:v>0.81386116438670741</c:v>
                </c:pt>
                <c:pt idx="83" formatCode="0.00">
                  <c:v>0.76012605522218124</c:v>
                </c:pt>
                <c:pt idx="84" formatCode="0.00">
                  <c:v>0.7069812899389526</c:v>
                </c:pt>
                <c:pt idx="85" formatCode="0.00">
                  <c:v>0.65793383036269182</c:v>
                </c:pt>
                <c:pt idx="86" formatCode="0.00">
                  <c:v>0.66214430083613496</c:v>
                </c:pt>
                <c:pt idx="87" formatCode="0.00">
                  <c:v>0.67487202633394983</c:v>
                </c:pt>
                <c:pt idx="88" formatCode="0.00">
                  <c:v>0.70876131404012521</c:v>
                </c:pt>
                <c:pt idx="89" formatCode="0.00">
                  <c:v>0.76049952408480181</c:v>
                </c:pt>
                <c:pt idx="90" formatCode="0.00">
                  <c:v>0.80829009945819641</c:v>
                </c:pt>
                <c:pt idx="91" formatCode="0.00">
                  <c:v>0.8401648392358102</c:v>
                </c:pt>
                <c:pt idx="92" formatCode="0.00">
                  <c:v>0.84938399236280226</c:v>
                </c:pt>
                <c:pt idx="93" formatCode="0.00">
                  <c:v>0.9326049441377614</c:v>
                </c:pt>
                <c:pt idx="94" formatCode="0.00">
                  <c:v>1.0429570817662339</c:v>
                </c:pt>
                <c:pt idx="95" formatCode="0.00">
                  <c:v>1.1524203757764608</c:v>
                </c:pt>
                <c:pt idx="96" formatCode="0.00">
                  <c:v>1.2543976113638302</c:v>
                </c:pt>
                <c:pt idx="97" formatCode="0.00">
                  <c:v>1.3071018210910073</c:v>
                </c:pt>
                <c:pt idx="98" formatCode="0.00">
                  <c:v>1.3324342228264607</c:v>
                </c:pt>
                <c:pt idx="99" formatCode="0.00">
                  <c:v>1.3590604669312216</c:v>
                </c:pt>
                <c:pt idx="100" formatCode="0.00">
                  <c:v>1.3764202553555702</c:v>
                </c:pt>
                <c:pt idx="101" formatCode="0.00">
                  <c:v>1.3895088854865203</c:v>
                </c:pt>
                <c:pt idx="102" formatCode="0.00">
                  <c:v>1.4062781631179075</c:v>
                </c:pt>
                <c:pt idx="103" formatCode="0.00">
                  <c:v>1.4198342362227538</c:v>
                </c:pt>
                <c:pt idx="104" formatCode="0.00">
                  <c:v>1.4267914371625117</c:v>
                </c:pt>
                <c:pt idx="105" formatCode="0.00">
                  <c:v>1.4344517790614115</c:v>
                </c:pt>
                <c:pt idx="106" formatCode="0.00">
                  <c:v>1.4380841417489787</c:v>
                </c:pt>
                <c:pt idx="107" formatCode="0.00">
                  <c:v>1.44721092548115</c:v>
                </c:pt>
                <c:pt idx="108" formatCode="0.00">
                  <c:v>1.4360615584120571</c:v>
                </c:pt>
                <c:pt idx="109" formatCode="0.00">
                  <c:v>1.4044094731978465</c:v>
                </c:pt>
                <c:pt idx="110" formatCode="0.00">
                  <c:v>1.3658635782897819</c:v>
                </c:pt>
                <c:pt idx="111" formatCode="0.00">
                  <c:v>1.3305197217607163</c:v>
                </c:pt>
                <c:pt idx="112" formatCode="0.00">
                  <c:v>1.2853136419442042</c:v>
                </c:pt>
                <c:pt idx="113" formatCode="0.00">
                  <c:v>1.2239532938423077</c:v>
                </c:pt>
                <c:pt idx="114" formatCode="0.00">
                  <c:v>1.129441745590031</c:v>
                </c:pt>
                <c:pt idx="115" formatCode="0.00">
                  <c:v>1.0106287587573735</c:v>
                </c:pt>
                <c:pt idx="116" formatCode="0.00">
                  <c:v>0.87253183877095886</c:v>
                </c:pt>
                <c:pt idx="117" formatCode="0.00">
                  <c:v>0.72903461269595904</c:v>
                </c:pt>
                <c:pt idx="118" formatCode="0.00">
                  <c:v>0.61641218414270949</c:v>
                </c:pt>
                <c:pt idx="119" formatCode="0.00">
                  <c:v>0.51471732935826464</c:v>
                </c:pt>
                <c:pt idx="120" formatCode="0.00">
                  <c:v>0.415414148914802</c:v>
                </c:pt>
                <c:pt idx="121" formatCode="0.00">
                  <c:v>0.33830189598143467</c:v>
                </c:pt>
                <c:pt idx="122" formatCode="0.00">
                  <c:v>0.2823583837586372</c:v>
                </c:pt>
                <c:pt idx="123" formatCode="0.00">
                  <c:v>0.24484392245953721</c:v>
                </c:pt>
                <c:pt idx="124" formatCode="0.00">
                  <c:v>0.22411801430331307</c:v>
                </c:pt>
                <c:pt idx="125" formatCode="0.00">
                  <c:v>0.20938510896778556</c:v>
                </c:pt>
                <c:pt idx="126" formatCode="0.00">
                  <c:v>0.17285744007542719</c:v>
                </c:pt>
                <c:pt idx="127" formatCode="0.00">
                  <c:v>0.13216730728864259</c:v>
                </c:pt>
                <c:pt idx="128" formatCode="0.00">
                  <c:v>9.4369546412605948E-2</c:v>
                </c:pt>
                <c:pt idx="129" formatCode="0.00">
                  <c:v>5.6641030503388173E-2</c:v>
                </c:pt>
                <c:pt idx="130" formatCode="0.00">
                  <c:v>2.2559596534417616E-2</c:v>
                </c:pt>
                <c:pt idx="131" formatCode="0.00">
                  <c:v>-1.6169858937901613E-4</c:v>
                </c:pt>
                <c:pt idx="132" formatCode="0.00">
                  <c:v>-1.9836179653097773E-2</c:v>
                </c:pt>
                <c:pt idx="133" formatCode="0.00">
                  <c:v>-5.2159724852109221E-2</c:v>
                </c:pt>
                <c:pt idx="134" formatCode="0.00">
                  <c:v>-9.8096697681379422E-2</c:v>
                </c:pt>
                <c:pt idx="135" formatCode="0.00">
                  <c:v>-0.14387195091080127</c:v>
                </c:pt>
                <c:pt idx="136" formatCode="0.00">
                  <c:v>-0.18410606302308261</c:v>
                </c:pt>
                <c:pt idx="137" formatCode="0.00">
                  <c:v>-0.21083976613520503</c:v>
                </c:pt>
                <c:pt idx="138" formatCode="0.00">
                  <c:v>-0.22866560050030244</c:v>
                </c:pt>
                <c:pt idx="139" formatCode="0.00">
                  <c:v>-0.2274867084919984</c:v>
                </c:pt>
                <c:pt idx="140" formatCode="0.00">
                  <c:v>-0.21314161262047843</c:v>
                </c:pt>
                <c:pt idx="141" formatCode="0.00">
                  <c:v>-0.158103843313152</c:v>
                </c:pt>
                <c:pt idx="142" formatCode="0.00">
                  <c:v>-7.1629674361172596E-2</c:v>
                </c:pt>
                <c:pt idx="143" formatCode="0.00">
                  <c:v>4.5015967390226522E-2</c:v>
                </c:pt>
                <c:pt idx="144" formatCode="0.00">
                  <c:v>0.14499902063374509</c:v>
                </c:pt>
                <c:pt idx="145" formatCode="0.00">
                  <c:v>0.233593307871791</c:v>
                </c:pt>
                <c:pt idx="146" formatCode="0.00">
                  <c:v>0.31130856931872009</c:v>
                </c:pt>
                <c:pt idx="147" formatCode="0.00">
                  <c:v>0.37439023150603779</c:v>
                </c:pt>
                <c:pt idx="148" formatCode="0.00">
                  <c:v>0.4400940970934516</c:v>
                </c:pt>
                <c:pt idx="149" formatCode="0.00">
                  <c:v>0.48975197505561702</c:v>
                </c:pt>
                <c:pt idx="150" formatCode="0.00">
                  <c:v>0.5350462524134999</c:v>
                </c:pt>
                <c:pt idx="151" formatCode="0.00">
                  <c:v>0.53747601741167483</c:v>
                </c:pt>
                <c:pt idx="152" formatCode="0.00">
                  <c:v>0.50259273053226627</c:v>
                </c:pt>
                <c:pt idx="153" formatCode="0.00">
                  <c:v>0.42394564559327719</c:v>
                </c:pt>
                <c:pt idx="154" formatCode="0.00">
                  <c:v>0.32756612268646623</c:v>
                </c:pt>
                <c:pt idx="155" formatCode="0.00">
                  <c:v>0.2277284629432329</c:v>
                </c:pt>
                <c:pt idx="156" formatCode="0.00">
                  <c:v>0.12756613102025077</c:v>
                </c:pt>
                <c:pt idx="157" formatCode="0.00">
                  <c:v>-8.6541422745631258E-4</c:v>
                </c:pt>
                <c:pt idx="158" formatCode="0.00">
                  <c:v>-0.13182514798655898</c:v>
                </c:pt>
                <c:pt idx="159" formatCode="0.00">
                  <c:v>-0.24842899072842634</c:v>
                </c:pt>
                <c:pt idx="160" formatCode="0.00">
                  <c:v>-0.3364329761403072</c:v>
                </c:pt>
                <c:pt idx="161" formatCode="0.00">
                  <c:v>-0.40049283526988733</c:v>
                </c:pt>
                <c:pt idx="162" formatCode="0.00">
                  <c:v>-0.41256749936155651</c:v>
                </c:pt>
                <c:pt idx="163" formatCode="0.00">
                  <c:v>-0.38522059443010248</c:v>
                </c:pt>
                <c:pt idx="164" formatCode="0.00">
                  <c:v>-0.34696275328812948</c:v>
                </c:pt>
                <c:pt idx="165" formatCode="0.00">
                  <c:v>-0.28042561900674723</c:v>
                </c:pt>
                <c:pt idx="166" formatCode="0.00">
                  <c:v>-0.1859297903803564</c:v>
                </c:pt>
                <c:pt idx="167" formatCode="0.00">
                  <c:v>-7.4451245681370792E-2</c:v>
                </c:pt>
                <c:pt idx="168" formatCode="0.00">
                  <c:v>3.5137137507796956E-2</c:v>
                </c:pt>
                <c:pt idx="169" formatCode="0.00">
                  <c:v>0.1437785933669169</c:v>
                </c:pt>
                <c:pt idx="170" formatCode="0.00">
                  <c:v>0.25154725812885292</c:v>
                </c:pt>
                <c:pt idx="171" formatCode="0.00">
                  <c:v>0.367064654288216</c:v>
                </c:pt>
                <c:pt idx="172" formatCode="0.00">
                  <c:v>0.51277449801074393</c:v>
                </c:pt>
                <c:pt idx="173" formatCode="0.00">
                  <c:v>0.64307424982727057</c:v>
                </c:pt>
                <c:pt idx="174" formatCode="0.00">
                  <c:v>0.72829652286144309</c:v>
                </c:pt>
                <c:pt idx="175" formatCode="0.00">
                  <c:v>0.78663625351887545</c:v>
                </c:pt>
                <c:pt idx="176" formatCode="0.00">
                  <c:v>0.80301325092902875</c:v>
                </c:pt>
                <c:pt idx="177" formatCode="0.00">
                  <c:v>0.80603540883065972</c:v>
                </c:pt>
                <c:pt idx="178" formatCode="0.00">
                  <c:v>0.7972555703666786</c:v>
                </c:pt>
                <c:pt idx="179" formatCode="0.00">
                  <c:v>0.78259341102238156</c:v>
                </c:pt>
                <c:pt idx="180" formatCode="0.00">
                  <c:v>0.76865375426910609</c:v>
                </c:pt>
                <c:pt idx="181" formatCode="0.00">
                  <c:v>0.76323978768924672</c:v>
                </c:pt>
                <c:pt idx="182" formatCode="0.00">
                  <c:v>0.76267105470787655</c:v>
                </c:pt>
                <c:pt idx="183" formatCode="0.00">
                  <c:v>0.73375553891955003</c:v>
                </c:pt>
                <c:pt idx="184" formatCode="0.00">
                  <c:v>0.68723531897692047</c:v>
                </c:pt>
                <c:pt idx="185" formatCode="0.00">
                  <c:v>0.62560726107935083</c:v>
                </c:pt>
                <c:pt idx="186" formatCode="0.00">
                  <c:v>0.57418360804321955</c:v>
                </c:pt>
                <c:pt idx="187" formatCode="0.00">
                  <c:v>0.54601869403542669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BC-4E59-B109-81B6F61E1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6574687"/>
        <c:axId val="1346571327"/>
      </c:lineChart>
      <c:dateAx>
        <c:axId val="134657468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571327"/>
        <c:crosses val="autoZero"/>
        <c:auto val="1"/>
        <c:lblOffset val="100"/>
        <c:baseTimeUnit val="days"/>
      </c:dateAx>
      <c:valAx>
        <c:axId val="134657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574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/>
              <a:t>RSI</a:t>
            </a:r>
            <a:r>
              <a:rPr lang="en-GB" sz="1600" baseline="0"/>
              <a:t> of BMY UN</a:t>
            </a:r>
            <a:endParaRPr lang="en-GB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6.6532766346262331E-2"/>
          <c:y val="9.3308157617360943E-2"/>
          <c:w val="0.89387958535472201"/>
          <c:h val="0.73480934287934574"/>
        </c:manualLayout>
      </c:layout>
      <c:lineChart>
        <c:grouping val="standard"/>
        <c:varyColors val="0"/>
        <c:ser>
          <c:idx val="0"/>
          <c:order val="0"/>
          <c:tx>
            <c:strRef>
              <c:f>RSI!$I$1</c:f>
              <c:strCache>
                <c:ptCount val="1"/>
                <c:pt idx="0">
                  <c:v>14-Day RSI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RSI!$A$16:$A$189</c:f>
              <c:numCache>
                <c:formatCode>m/d/yyyy</c:formatCode>
                <c:ptCount val="174"/>
                <c:pt idx="0">
                  <c:v>45495</c:v>
                </c:pt>
                <c:pt idx="1">
                  <c:v>45496</c:v>
                </c:pt>
                <c:pt idx="2">
                  <c:v>45497</c:v>
                </c:pt>
                <c:pt idx="3">
                  <c:v>45498</c:v>
                </c:pt>
                <c:pt idx="4">
                  <c:v>45499</c:v>
                </c:pt>
                <c:pt idx="5">
                  <c:v>45502</c:v>
                </c:pt>
                <c:pt idx="6">
                  <c:v>45503</c:v>
                </c:pt>
                <c:pt idx="7">
                  <c:v>45504</c:v>
                </c:pt>
                <c:pt idx="8">
                  <c:v>45505</c:v>
                </c:pt>
                <c:pt idx="9">
                  <c:v>45506</c:v>
                </c:pt>
                <c:pt idx="10">
                  <c:v>45509</c:v>
                </c:pt>
                <c:pt idx="11">
                  <c:v>45510</c:v>
                </c:pt>
                <c:pt idx="12">
                  <c:v>45511</c:v>
                </c:pt>
                <c:pt idx="13">
                  <c:v>45512</c:v>
                </c:pt>
                <c:pt idx="14">
                  <c:v>45513</c:v>
                </c:pt>
                <c:pt idx="15">
                  <c:v>45516</c:v>
                </c:pt>
                <c:pt idx="16">
                  <c:v>45517</c:v>
                </c:pt>
                <c:pt idx="17">
                  <c:v>45518</c:v>
                </c:pt>
                <c:pt idx="18">
                  <c:v>45519</c:v>
                </c:pt>
                <c:pt idx="19">
                  <c:v>45520</c:v>
                </c:pt>
                <c:pt idx="20">
                  <c:v>45523</c:v>
                </c:pt>
                <c:pt idx="21">
                  <c:v>45524</c:v>
                </c:pt>
                <c:pt idx="22">
                  <c:v>45525</c:v>
                </c:pt>
                <c:pt idx="23">
                  <c:v>45526</c:v>
                </c:pt>
                <c:pt idx="24">
                  <c:v>45527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45538</c:v>
                </c:pt>
                <c:pt idx="31">
                  <c:v>45539</c:v>
                </c:pt>
                <c:pt idx="32">
                  <c:v>45540</c:v>
                </c:pt>
                <c:pt idx="33">
                  <c:v>45541</c:v>
                </c:pt>
                <c:pt idx="34">
                  <c:v>45544</c:v>
                </c:pt>
                <c:pt idx="35">
                  <c:v>45545</c:v>
                </c:pt>
                <c:pt idx="36">
                  <c:v>45546</c:v>
                </c:pt>
                <c:pt idx="37">
                  <c:v>45547</c:v>
                </c:pt>
                <c:pt idx="38">
                  <c:v>45548</c:v>
                </c:pt>
                <c:pt idx="39">
                  <c:v>45551</c:v>
                </c:pt>
                <c:pt idx="40">
                  <c:v>45552</c:v>
                </c:pt>
                <c:pt idx="41">
                  <c:v>45553</c:v>
                </c:pt>
                <c:pt idx="42">
                  <c:v>45554</c:v>
                </c:pt>
                <c:pt idx="43">
                  <c:v>45555</c:v>
                </c:pt>
                <c:pt idx="44">
                  <c:v>45558</c:v>
                </c:pt>
                <c:pt idx="45">
                  <c:v>45559</c:v>
                </c:pt>
                <c:pt idx="46">
                  <c:v>45560</c:v>
                </c:pt>
                <c:pt idx="47">
                  <c:v>45561</c:v>
                </c:pt>
                <c:pt idx="48">
                  <c:v>45562</c:v>
                </c:pt>
                <c:pt idx="49">
                  <c:v>45565</c:v>
                </c:pt>
                <c:pt idx="50">
                  <c:v>45566</c:v>
                </c:pt>
                <c:pt idx="51">
                  <c:v>45567</c:v>
                </c:pt>
                <c:pt idx="52">
                  <c:v>45568</c:v>
                </c:pt>
                <c:pt idx="53">
                  <c:v>45569</c:v>
                </c:pt>
                <c:pt idx="54">
                  <c:v>45572</c:v>
                </c:pt>
                <c:pt idx="55">
                  <c:v>45573</c:v>
                </c:pt>
                <c:pt idx="56">
                  <c:v>45574</c:v>
                </c:pt>
                <c:pt idx="57">
                  <c:v>45575</c:v>
                </c:pt>
                <c:pt idx="58">
                  <c:v>45576</c:v>
                </c:pt>
                <c:pt idx="59">
                  <c:v>45579</c:v>
                </c:pt>
                <c:pt idx="60">
                  <c:v>45580</c:v>
                </c:pt>
                <c:pt idx="61">
                  <c:v>45581</c:v>
                </c:pt>
                <c:pt idx="62">
                  <c:v>45582</c:v>
                </c:pt>
                <c:pt idx="63">
                  <c:v>45583</c:v>
                </c:pt>
                <c:pt idx="64">
                  <c:v>45586</c:v>
                </c:pt>
                <c:pt idx="65">
                  <c:v>45587</c:v>
                </c:pt>
                <c:pt idx="66">
                  <c:v>45588</c:v>
                </c:pt>
                <c:pt idx="67">
                  <c:v>45589</c:v>
                </c:pt>
                <c:pt idx="68">
                  <c:v>45590</c:v>
                </c:pt>
                <c:pt idx="69">
                  <c:v>45593</c:v>
                </c:pt>
                <c:pt idx="70">
                  <c:v>45594</c:v>
                </c:pt>
                <c:pt idx="71">
                  <c:v>45595</c:v>
                </c:pt>
                <c:pt idx="72">
                  <c:v>45596</c:v>
                </c:pt>
                <c:pt idx="73">
                  <c:v>45597</c:v>
                </c:pt>
                <c:pt idx="74">
                  <c:v>45600</c:v>
                </c:pt>
                <c:pt idx="75">
                  <c:v>45601</c:v>
                </c:pt>
                <c:pt idx="76">
                  <c:v>45602</c:v>
                </c:pt>
                <c:pt idx="77">
                  <c:v>45603</c:v>
                </c:pt>
                <c:pt idx="78">
                  <c:v>45604</c:v>
                </c:pt>
                <c:pt idx="79">
                  <c:v>45607</c:v>
                </c:pt>
                <c:pt idx="80">
                  <c:v>45608</c:v>
                </c:pt>
                <c:pt idx="81">
                  <c:v>45609</c:v>
                </c:pt>
                <c:pt idx="82">
                  <c:v>45610</c:v>
                </c:pt>
                <c:pt idx="83">
                  <c:v>45611</c:v>
                </c:pt>
                <c:pt idx="84">
                  <c:v>45614</c:v>
                </c:pt>
                <c:pt idx="85">
                  <c:v>45615</c:v>
                </c:pt>
                <c:pt idx="86">
                  <c:v>45616</c:v>
                </c:pt>
                <c:pt idx="87">
                  <c:v>45617</c:v>
                </c:pt>
                <c:pt idx="88">
                  <c:v>45618</c:v>
                </c:pt>
                <c:pt idx="89">
                  <c:v>45621</c:v>
                </c:pt>
                <c:pt idx="90">
                  <c:v>45622</c:v>
                </c:pt>
                <c:pt idx="91">
                  <c:v>45623</c:v>
                </c:pt>
                <c:pt idx="92">
                  <c:v>45625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45635</c:v>
                </c:pt>
                <c:pt idx="99">
                  <c:v>45636</c:v>
                </c:pt>
                <c:pt idx="100">
                  <c:v>45637</c:v>
                </c:pt>
                <c:pt idx="101">
                  <c:v>45638</c:v>
                </c:pt>
                <c:pt idx="102">
                  <c:v>45639</c:v>
                </c:pt>
                <c:pt idx="103">
                  <c:v>45642</c:v>
                </c:pt>
                <c:pt idx="104">
                  <c:v>45643</c:v>
                </c:pt>
                <c:pt idx="105">
                  <c:v>45644</c:v>
                </c:pt>
                <c:pt idx="106">
                  <c:v>45645</c:v>
                </c:pt>
                <c:pt idx="107">
                  <c:v>45646</c:v>
                </c:pt>
                <c:pt idx="108">
                  <c:v>45649</c:v>
                </c:pt>
                <c:pt idx="109">
                  <c:v>45650</c:v>
                </c:pt>
                <c:pt idx="110">
                  <c:v>45652</c:v>
                </c:pt>
                <c:pt idx="111">
                  <c:v>45653</c:v>
                </c:pt>
                <c:pt idx="112">
                  <c:v>45656</c:v>
                </c:pt>
                <c:pt idx="113">
                  <c:v>45657</c:v>
                </c:pt>
                <c:pt idx="114">
                  <c:v>45659</c:v>
                </c:pt>
                <c:pt idx="115">
                  <c:v>45660</c:v>
                </c:pt>
                <c:pt idx="116">
                  <c:v>45663</c:v>
                </c:pt>
                <c:pt idx="117">
                  <c:v>45664</c:v>
                </c:pt>
                <c:pt idx="118">
                  <c:v>45665</c:v>
                </c:pt>
                <c:pt idx="119">
                  <c:v>45667</c:v>
                </c:pt>
                <c:pt idx="120">
                  <c:v>45670</c:v>
                </c:pt>
                <c:pt idx="121">
                  <c:v>45671</c:v>
                </c:pt>
                <c:pt idx="122">
                  <c:v>45672</c:v>
                </c:pt>
                <c:pt idx="123">
                  <c:v>45673</c:v>
                </c:pt>
                <c:pt idx="124">
                  <c:v>45674</c:v>
                </c:pt>
                <c:pt idx="125">
                  <c:v>45678</c:v>
                </c:pt>
                <c:pt idx="126">
                  <c:v>45679</c:v>
                </c:pt>
                <c:pt idx="127">
                  <c:v>45680</c:v>
                </c:pt>
                <c:pt idx="128">
                  <c:v>45681</c:v>
                </c:pt>
                <c:pt idx="129">
                  <c:v>45684</c:v>
                </c:pt>
                <c:pt idx="130">
                  <c:v>45685</c:v>
                </c:pt>
                <c:pt idx="131">
                  <c:v>45686</c:v>
                </c:pt>
                <c:pt idx="132">
                  <c:v>45687</c:v>
                </c:pt>
                <c:pt idx="133">
                  <c:v>45688</c:v>
                </c:pt>
                <c:pt idx="134">
                  <c:v>45691</c:v>
                </c:pt>
                <c:pt idx="135">
                  <c:v>45692</c:v>
                </c:pt>
                <c:pt idx="136">
                  <c:v>45693</c:v>
                </c:pt>
                <c:pt idx="137">
                  <c:v>45694</c:v>
                </c:pt>
                <c:pt idx="138">
                  <c:v>45695</c:v>
                </c:pt>
                <c:pt idx="139">
                  <c:v>45698</c:v>
                </c:pt>
                <c:pt idx="140">
                  <c:v>45699</c:v>
                </c:pt>
                <c:pt idx="141">
                  <c:v>45700</c:v>
                </c:pt>
                <c:pt idx="142">
                  <c:v>45701</c:v>
                </c:pt>
                <c:pt idx="143">
                  <c:v>45702</c:v>
                </c:pt>
                <c:pt idx="144">
                  <c:v>45706</c:v>
                </c:pt>
                <c:pt idx="145">
                  <c:v>45707</c:v>
                </c:pt>
                <c:pt idx="146">
                  <c:v>45708</c:v>
                </c:pt>
                <c:pt idx="147">
                  <c:v>45709</c:v>
                </c:pt>
                <c:pt idx="148">
                  <c:v>45712</c:v>
                </c:pt>
                <c:pt idx="149">
                  <c:v>45713</c:v>
                </c:pt>
                <c:pt idx="150">
                  <c:v>45714</c:v>
                </c:pt>
                <c:pt idx="151">
                  <c:v>45715</c:v>
                </c:pt>
                <c:pt idx="152">
                  <c:v>45716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45726</c:v>
                </c:pt>
                <c:pt idx="159">
                  <c:v>45727</c:v>
                </c:pt>
                <c:pt idx="160">
                  <c:v>45728</c:v>
                </c:pt>
                <c:pt idx="161">
                  <c:v>45729</c:v>
                </c:pt>
                <c:pt idx="162">
                  <c:v>45730</c:v>
                </c:pt>
                <c:pt idx="163">
                  <c:v>45733</c:v>
                </c:pt>
                <c:pt idx="164">
                  <c:v>45734</c:v>
                </c:pt>
                <c:pt idx="165">
                  <c:v>45735</c:v>
                </c:pt>
                <c:pt idx="166">
                  <c:v>45736</c:v>
                </c:pt>
                <c:pt idx="167">
                  <c:v>45737</c:v>
                </c:pt>
                <c:pt idx="168">
                  <c:v>45740</c:v>
                </c:pt>
                <c:pt idx="169">
                  <c:v>45741</c:v>
                </c:pt>
                <c:pt idx="170">
                  <c:v>45742</c:v>
                </c:pt>
                <c:pt idx="171">
                  <c:v>45743</c:v>
                </c:pt>
                <c:pt idx="172">
                  <c:v>45744</c:v>
                </c:pt>
                <c:pt idx="173">
                  <c:v>45747</c:v>
                </c:pt>
              </c:numCache>
            </c:numRef>
          </c:cat>
          <c:val>
            <c:numRef>
              <c:f>RSI!$I$16:$I$189</c:f>
              <c:numCache>
                <c:formatCode>General</c:formatCode>
                <c:ptCount val="174"/>
                <c:pt idx="0">
                  <c:v>58.446362515413099</c:v>
                </c:pt>
                <c:pt idx="1">
                  <c:v>60.089277580395375</c:v>
                </c:pt>
                <c:pt idx="2">
                  <c:v>67.571984125628461</c:v>
                </c:pt>
                <c:pt idx="3">
                  <c:v>69.786958986126052</c:v>
                </c:pt>
                <c:pt idx="4">
                  <c:v>81.403292836159977</c:v>
                </c:pt>
                <c:pt idx="5">
                  <c:v>72.843950550273945</c:v>
                </c:pt>
                <c:pt idx="6">
                  <c:v>72.98959532254095</c:v>
                </c:pt>
                <c:pt idx="7">
                  <c:v>64.998528759054793</c:v>
                </c:pt>
                <c:pt idx="8">
                  <c:v>66.610233291025651</c:v>
                </c:pt>
                <c:pt idx="9">
                  <c:v>68.163106204868583</c:v>
                </c:pt>
                <c:pt idx="10">
                  <c:v>62.051052998137891</c:v>
                </c:pt>
                <c:pt idx="11">
                  <c:v>60.661073006939766</c:v>
                </c:pt>
                <c:pt idx="12">
                  <c:v>56.703908894485167</c:v>
                </c:pt>
                <c:pt idx="13">
                  <c:v>57.979475530466644</c:v>
                </c:pt>
                <c:pt idx="14">
                  <c:v>57.304169425409306</c:v>
                </c:pt>
                <c:pt idx="15">
                  <c:v>58.660337656502669</c:v>
                </c:pt>
                <c:pt idx="16">
                  <c:v>65.585173020604714</c:v>
                </c:pt>
                <c:pt idx="17">
                  <c:v>61.95294955564237</c:v>
                </c:pt>
                <c:pt idx="18">
                  <c:v>64.249213757148482</c:v>
                </c:pt>
                <c:pt idx="19">
                  <c:v>65.060262856730873</c:v>
                </c:pt>
                <c:pt idx="20">
                  <c:v>64.68100530645296</c:v>
                </c:pt>
                <c:pt idx="21">
                  <c:v>62.585561652529456</c:v>
                </c:pt>
                <c:pt idx="22">
                  <c:v>59.105737247652613</c:v>
                </c:pt>
                <c:pt idx="23">
                  <c:v>54.179420762025224</c:v>
                </c:pt>
                <c:pt idx="24">
                  <c:v>56.51196233304249</c:v>
                </c:pt>
                <c:pt idx="25">
                  <c:v>57.135409212152808</c:v>
                </c:pt>
                <c:pt idx="26">
                  <c:v>56.332600601172402</c:v>
                </c:pt>
                <c:pt idx="27">
                  <c:v>60.960102823356294</c:v>
                </c:pt>
                <c:pt idx="28">
                  <c:v>63.856266388402283</c:v>
                </c:pt>
                <c:pt idx="29">
                  <c:v>64.835283153834013</c:v>
                </c:pt>
                <c:pt idx="30">
                  <c:v>67.206017949597424</c:v>
                </c:pt>
                <c:pt idx="31">
                  <c:v>62.731373807805163</c:v>
                </c:pt>
                <c:pt idx="32">
                  <c:v>61.472029369075734</c:v>
                </c:pt>
                <c:pt idx="33">
                  <c:v>53.517524811738049</c:v>
                </c:pt>
                <c:pt idx="34">
                  <c:v>52.195051523329226</c:v>
                </c:pt>
                <c:pt idx="35">
                  <c:v>56.690034186812923</c:v>
                </c:pt>
                <c:pt idx="36">
                  <c:v>52.029418327495904</c:v>
                </c:pt>
                <c:pt idx="37">
                  <c:v>49.793219406994702</c:v>
                </c:pt>
                <c:pt idx="38">
                  <c:v>55.080180462553969</c:v>
                </c:pt>
                <c:pt idx="39">
                  <c:v>59.516427252303536</c:v>
                </c:pt>
                <c:pt idx="40">
                  <c:v>56.050545245928092</c:v>
                </c:pt>
                <c:pt idx="41">
                  <c:v>57.386759706245378</c:v>
                </c:pt>
                <c:pt idx="42">
                  <c:v>52.441647254559733</c:v>
                </c:pt>
                <c:pt idx="43">
                  <c:v>54.717836818909554</c:v>
                </c:pt>
                <c:pt idx="44">
                  <c:v>58.044734359884671</c:v>
                </c:pt>
                <c:pt idx="45">
                  <c:v>62.627999560157427</c:v>
                </c:pt>
                <c:pt idx="46">
                  <c:v>55.657710637217562</c:v>
                </c:pt>
                <c:pt idx="47">
                  <c:v>56.5519442648107</c:v>
                </c:pt>
                <c:pt idx="48">
                  <c:v>60.534928879475856</c:v>
                </c:pt>
                <c:pt idx="49">
                  <c:v>64.24367296831312</c:v>
                </c:pt>
                <c:pt idx="50">
                  <c:v>68.674426463529159</c:v>
                </c:pt>
                <c:pt idx="51">
                  <c:v>71.494606736281227</c:v>
                </c:pt>
                <c:pt idx="52">
                  <c:v>72.841764025435666</c:v>
                </c:pt>
                <c:pt idx="53">
                  <c:v>70.874227271298082</c:v>
                </c:pt>
                <c:pt idx="54">
                  <c:v>66.672153546396601</c:v>
                </c:pt>
                <c:pt idx="55">
                  <c:v>59.641778566426964</c:v>
                </c:pt>
                <c:pt idx="56">
                  <c:v>61.113730788443306</c:v>
                </c:pt>
                <c:pt idx="57">
                  <c:v>58.253642263755026</c:v>
                </c:pt>
                <c:pt idx="58">
                  <c:v>56.821751193780806</c:v>
                </c:pt>
                <c:pt idx="59">
                  <c:v>59.350439477978242</c:v>
                </c:pt>
                <c:pt idx="60">
                  <c:v>59.835506667580489</c:v>
                </c:pt>
                <c:pt idx="61">
                  <c:v>63.053542376963783</c:v>
                </c:pt>
                <c:pt idx="62">
                  <c:v>61.40329632802748</c:v>
                </c:pt>
                <c:pt idx="63">
                  <c:v>61.630969110371829</c:v>
                </c:pt>
                <c:pt idx="64">
                  <c:v>52.46554680785983</c:v>
                </c:pt>
                <c:pt idx="65">
                  <c:v>56.517291258984081</c:v>
                </c:pt>
                <c:pt idx="66">
                  <c:v>58.311115078924814</c:v>
                </c:pt>
                <c:pt idx="67">
                  <c:v>57.126727065580397</c:v>
                </c:pt>
                <c:pt idx="68">
                  <c:v>49.407217637182846</c:v>
                </c:pt>
                <c:pt idx="69">
                  <c:v>54.205450590082542</c:v>
                </c:pt>
                <c:pt idx="70">
                  <c:v>53.149908611958267</c:v>
                </c:pt>
                <c:pt idx="71">
                  <c:v>54.24647206663132</c:v>
                </c:pt>
                <c:pt idx="72">
                  <c:v>69.291825985825042</c:v>
                </c:pt>
                <c:pt idx="73">
                  <c:v>59.47241005865159</c:v>
                </c:pt>
                <c:pt idx="74">
                  <c:v>63.780114054435323</c:v>
                </c:pt>
                <c:pt idx="75">
                  <c:v>65.5261803312588</c:v>
                </c:pt>
                <c:pt idx="76">
                  <c:v>61.264214189485955</c:v>
                </c:pt>
                <c:pt idx="77">
                  <c:v>57.81874373486967</c:v>
                </c:pt>
                <c:pt idx="78">
                  <c:v>54.516892953627298</c:v>
                </c:pt>
                <c:pt idx="79">
                  <c:v>71.799364485207477</c:v>
                </c:pt>
                <c:pt idx="80">
                  <c:v>67.886749832902723</c:v>
                </c:pt>
                <c:pt idx="81">
                  <c:v>64.979083360382305</c:v>
                </c:pt>
                <c:pt idx="82">
                  <c:v>65.215805501665614</c:v>
                </c:pt>
                <c:pt idx="83">
                  <c:v>55.061772311971865</c:v>
                </c:pt>
                <c:pt idx="84">
                  <c:v>56.900168529409285</c:v>
                </c:pt>
                <c:pt idx="85">
                  <c:v>61.123042975217921</c:v>
                </c:pt>
                <c:pt idx="86">
                  <c:v>59.58424803258076</c:v>
                </c:pt>
                <c:pt idx="87">
                  <c:v>60.651073453135673</c:v>
                </c:pt>
                <c:pt idx="88">
                  <c:v>62.595379206327969</c:v>
                </c:pt>
                <c:pt idx="89">
                  <c:v>62.1304536540679</c:v>
                </c:pt>
                <c:pt idx="90">
                  <c:v>61.910360447052533</c:v>
                </c:pt>
                <c:pt idx="91">
                  <c:v>63.743070241375904</c:v>
                </c:pt>
                <c:pt idx="92">
                  <c:v>63.432985207188231</c:v>
                </c:pt>
                <c:pt idx="93">
                  <c:v>65.998052682486815</c:v>
                </c:pt>
                <c:pt idx="94">
                  <c:v>58.345927993460997</c:v>
                </c:pt>
                <c:pt idx="95">
                  <c:v>56.538665971689284</c:v>
                </c:pt>
                <c:pt idx="96">
                  <c:v>58.568559089578308</c:v>
                </c:pt>
                <c:pt idx="97">
                  <c:v>60.832063749864318</c:v>
                </c:pt>
                <c:pt idx="98">
                  <c:v>56.693493769904613</c:v>
                </c:pt>
                <c:pt idx="99">
                  <c:v>53.257440144433303</c:v>
                </c:pt>
                <c:pt idx="100">
                  <c:v>45.80808241638271</c:v>
                </c:pt>
                <c:pt idx="101">
                  <c:v>44.134727498599517</c:v>
                </c:pt>
                <c:pt idx="102">
                  <c:v>41.906885916082643</c:v>
                </c:pt>
                <c:pt idx="103">
                  <c:v>42.469819015415332</c:v>
                </c:pt>
                <c:pt idx="104">
                  <c:v>52.312226662394238</c:v>
                </c:pt>
                <c:pt idx="105">
                  <c:v>48.265601042177401</c:v>
                </c:pt>
                <c:pt idx="106">
                  <c:v>45.726105476409039</c:v>
                </c:pt>
                <c:pt idx="107">
                  <c:v>51.019795226672819</c:v>
                </c:pt>
                <c:pt idx="108">
                  <c:v>52.237500022143678</c:v>
                </c:pt>
                <c:pt idx="109">
                  <c:v>53.140802999598129</c:v>
                </c:pt>
                <c:pt idx="110">
                  <c:v>54.379679855897585</c:v>
                </c:pt>
                <c:pt idx="111">
                  <c:v>52.390785886529848</c:v>
                </c:pt>
                <c:pt idx="112">
                  <c:v>43.680836176761936</c:v>
                </c:pt>
                <c:pt idx="113">
                  <c:v>46.629991714378825</c:v>
                </c:pt>
                <c:pt idx="114">
                  <c:v>47.979448394700292</c:v>
                </c:pt>
                <c:pt idx="115">
                  <c:v>46.761497944426914</c:v>
                </c:pt>
                <c:pt idx="116">
                  <c:v>47.479389464386124</c:v>
                </c:pt>
                <c:pt idx="117">
                  <c:v>50.486219715214432</c:v>
                </c:pt>
                <c:pt idx="118">
                  <c:v>48.347782536082413</c:v>
                </c:pt>
                <c:pt idx="119">
                  <c:v>42.579798326098484</c:v>
                </c:pt>
                <c:pt idx="120">
                  <c:v>40.108418451629888</c:v>
                </c:pt>
                <c:pt idx="121">
                  <c:v>42.989535530411821</c:v>
                </c:pt>
                <c:pt idx="122">
                  <c:v>44.280901142691526</c:v>
                </c:pt>
                <c:pt idx="123">
                  <c:v>47.801270185367905</c:v>
                </c:pt>
                <c:pt idx="124">
                  <c:v>47.186474271148647</c:v>
                </c:pt>
                <c:pt idx="125">
                  <c:v>52.651601390658797</c:v>
                </c:pt>
                <c:pt idx="126">
                  <c:v>53.000773256878787</c:v>
                </c:pt>
                <c:pt idx="127">
                  <c:v>64.545303406320983</c:v>
                </c:pt>
                <c:pt idx="128">
                  <c:v>66.814834950786576</c:v>
                </c:pt>
                <c:pt idx="129">
                  <c:v>70.395854872835969</c:v>
                </c:pt>
                <c:pt idx="130">
                  <c:v>57.235987975752465</c:v>
                </c:pt>
                <c:pt idx="131">
                  <c:v>58.551157318061954</c:v>
                </c:pt>
                <c:pt idx="132">
                  <c:v>58.972857413425842</c:v>
                </c:pt>
                <c:pt idx="133">
                  <c:v>57.639617954061713</c:v>
                </c:pt>
                <c:pt idx="134">
                  <c:v>62.451153220491179</c:v>
                </c:pt>
                <c:pt idx="135">
                  <c:v>56.695012096580591</c:v>
                </c:pt>
                <c:pt idx="136">
                  <c:v>59.549163947718746</c:v>
                </c:pt>
                <c:pt idx="137">
                  <c:v>46.687249956818732</c:v>
                </c:pt>
                <c:pt idx="138">
                  <c:v>44.132143436014296</c:v>
                </c:pt>
                <c:pt idx="139">
                  <c:v>38.832036380718861</c:v>
                </c:pt>
                <c:pt idx="140">
                  <c:v>41.194379968106546</c:v>
                </c:pt>
                <c:pt idx="141">
                  <c:v>42.420981270449637</c:v>
                </c:pt>
                <c:pt idx="142">
                  <c:v>41.619634042462202</c:v>
                </c:pt>
                <c:pt idx="143">
                  <c:v>33.728792151074799</c:v>
                </c:pt>
                <c:pt idx="144">
                  <c:v>37.021171505358438</c:v>
                </c:pt>
                <c:pt idx="145">
                  <c:v>40.333887680153232</c:v>
                </c:pt>
                <c:pt idx="146">
                  <c:v>44.928252918014984</c:v>
                </c:pt>
                <c:pt idx="147">
                  <c:v>45.152853805035235</c:v>
                </c:pt>
                <c:pt idx="148">
                  <c:v>55.230202686483416</c:v>
                </c:pt>
                <c:pt idx="149">
                  <c:v>56.612192141864313</c:v>
                </c:pt>
                <c:pt idx="150">
                  <c:v>52.24397099749703</c:v>
                </c:pt>
                <c:pt idx="151">
                  <c:v>58.188115063161433</c:v>
                </c:pt>
                <c:pt idx="152">
                  <c:v>61.192059571713237</c:v>
                </c:pt>
                <c:pt idx="153">
                  <c:v>62.08639026146998</c:v>
                </c:pt>
                <c:pt idx="154">
                  <c:v>59.544637381336834</c:v>
                </c:pt>
                <c:pt idx="155">
                  <c:v>61.061734354759281</c:v>
                </c:pt>
                <c:pt idx="156">
                  <c:v>62.496600749959967</c:v>
                </c:pt>
                <c:pt idx="157">
                  <c:v>65.915707922025234</c:v>
                </c:pt>
                <c:pt idx="158">
                  <c:v>72.014799610765351</c:v>
                </c:pt>
                <c:pt idx="159">
                  <c:v>62.478216380176576</c:v>
                </c:pt>
                <c:pt idx="160">
                  <c:v>54.256928209843963</c:v>
                </c:pt>
                <c:pt idx="161">
                  <c:v>55.981495527961101</c:v>
                </c:pt>
                <c:pt idx="162">
                  <c:v>50.446969266577753</c:v>
                </c:pt>
                <c:pt idx="163">
                  <c:v>54.209006268268212</c:v>
                </c:pt>
                <c:pt idx="164">
                  <c:v>53.805010626833955</c:v>
                </c:pt>
                <c:pt idx="165">
                  <c:v>54.534802453358928</c:v>
                </c:pt>
                <c:pt idx="166">
                  <c:v>55.950391746881358</c:v>
                </c:pt>
                <c:pt idx="167">
                  <c:v>58.294778409115615</c:v>
                </c:pt>
                <c:pt idx="168">
                  <c:v>58.544885719703672</c:v>
                </c:pt>
                <c:pt idx="169">
                  <c:v>48.778932826528568</c:v>
                </c:pt>
                <c:pt idx="170">
                  <c:v>48.877683013412202</c:v>
                </c:pt>
                <c:pt idx="171">
                  <c:v>47.35376976936579</c:v>
                </c:pt>
                <c:pt idx="172">
                  <c:v>53.049283104966122</c:v>
                </c:pt>
                <c:pt idx="173">
                  <c:v>57.352538979335385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5D-41A7-8065-B7379AC4812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RSI!$A$16:$A$189</c:f>
              <c:numCache>
                <c:formatCode>m/d/yyyy</c:formatCode>
                <c:ptCount val="174"/>
                <c:pt idx="0">
                  <c:v>45495</c:v>
                </c:pt>
                <c:pt idx="1">
                  <c:v>45496</c:v>
                </c:pt>
                <c:pt idx="2">
                  <c:v>45497</c:v>
                </c:pt>
                <c:pt idx="3">
                  <c:v>45498</c:v>
                </c:pt>
                <c:pt idx="4">
                  <c:v>45499</c:v>
                </c:pt>
                <c:pt idx="5">
                  <c:v>45502</c:v>
                </c:pt>
                <c:pt idx="6">
                  <c:v>45503</c:v>
                </c:pt>
                <c:pt idx="7">
                  <c:v>45504</c:v>
                </c:pt>
                <c:pt idx="8">
                  <c:v>45505</c:v>
                </c:pt>
                <c:pt idx="9">
                  <c:v>45506</c:v>
                </c:pt>
                <c:pt idx="10">
                  <c:v>45509</c:v>
                </c:pt>
                <c:pt idx="11">
                  <c:v>45510</c:v>
                </c:pt>
                <c:pt idx="12">
                  <c:v>45511</c:v>
                </c:pt>
                <c:pt idx="13">
                  <c:v>45512</c:v>
                </c:pt>
                <c:pt idx="14">
                  <c:v>45513</c:v>
                </c:pt>
                <c:pt idx="15">
                  <c:v>45516</c:v>
                </c:pt>
                <c:pt idx="16">
                  <c:v>45517</c:v>
                </c:pt>
                <c:pt idx="17">
                  <c:v>45518</c:v>
                </c:pt>
                <c:pt idx="18">
                  <c:v>45519</c:v>
                </c:pt>
                <c:pt idx="19">
                  <c:v>45520</c:v>
                </c:pt>
                <c:pt idx="20">
                  <c:v>45523</c:v>
                </c:pt>
                <c:pt idx="21">
                  <c:v>45524</c:v>
                </c:pt>
                <c:pt idx="22">
                  <c:v>45525</c:v>
                </c:pt>
                <c:pt idx="23">
                  <c:v>45526</c:v>
                </c:pt>
                <c:pt idx="24">
                  <c:v>45527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45538</c:v>
                </c:pt>
                <c:pt idx="31">
                  <c:v>45539</c:v>
                </c:pt>
                <c:pt idx="32">
                  <c:v>45540</c:v>
                </c:pt>
                <c:pt idx="33">
                  <c:v>45541</c:v>
                </c:pt>
                <c:pt idx="34">
                  <c:v>45544</c:v>
                </c:pt>
                <c:pt idx="35">
                  <c:v>45545</c:v>
                </c:pt>
                <c:pt idx="36">
                  <c:v>45546</c:v>
                </c:pt>
                <c:pt idx="37">
                  <c:v>45547</c:v>
                </c:pt>
                <c:pt idx="38">
                  <c:v>45548</c:v>
                </c:pt>
                <c:pt idx="39">
                  <c:v>45551</c:v>
                </c:pt>
                <c:pt idx="40">
                  <c:v>45552</c:v>
                </c:pt>
                <c:pt idx="41">
                  <c:v>45553</c:v>
                </c:pt>
                <c:pt idx="42">
                  <c:v>45554</c:v>
                </c:pt>
                <c:pt idx="43">
                  <c:v>45555</c:v>
                </c:pt>
                <c:pt idx="44">
                  <c:v>45558</c:v>
                </c:pt>
                <c:pt idx="45">
                  <c:v>45559</c:v>
                </c:pt>
                <c:pt idx="46">
                  <c:v>45560</c:v>
                </c:pt>
                <c:pt idx="47">
                  <c:v>45561</c:v>
                </c:pt>
                <c:pt idx="48">
                  <c:v>45562</c:v>
                </c:pt>
                <c:pt idx="49">
                  <c:v>45565</c:v>
                </c:pt>
                <c:pt idx="50">
                  <c:v>45566</c:v>
                </c:pt>
                <c:pt idx="51">
                  <c:v>45567</c:v>
                </c:pt>
                <c:pt idx="52">
                  <c:v>45568</c:v>
                </c:pt>
                <c:pt idx="53">
                  <c:v>45569</c:v>
                </c:pt>
                <c:pt idx="54">
                  <c:v>45572</c:v>
                </c:pt>
                <c:pt idx="55">
                  <c:v>45573</c:v>
                </c:pt>
                <c:pt idx="56">
                  <c:v>45574</c:v>
                </c:pt>
                <c:pt idx="57">
                  <c:v>45575</c:v>
                </c:pt>
                <c:pt idx="58">
                  <c:v>45576</c:v>
                </c:pt>
                <c:pt idx="59">
                  <c:v>45579</c:v>
                </c:pt>
                <c:pt idx="60">
                  <c:v>45580</c:v>
                </c:pt>
                <c:pt idx="61">
                  <c:v>45581</c:v>
                </c:pt>
                <c:pt idx="62">
                  <c:v>45582</c:v>
                </c:pt>
                <c:pt idx="63">
                  <c:v>45583</c:v>
                </c:pt>
                <c:pt idx="64">
                  <c:v>45586</c:v>
                </c:pt>
                <c:pt idx="65">
                  <c:v>45587</c:v>
                </c:pt>
                <c:pt idx="66">
                  <c:v>45588</c:v>
                </c:pt>
                <c:pt idx="67">
                  <c:v>45589</c:v>
                </c:pt>
                <c:pt idx="68">
                  <c:v>45590</c:v>
                </c:pt>
                <c:pt idx="69">
                  <c:v>45593</c:v>
                </c:pt>
                <c:pt idx="70">
                  <c:v>45594</c:v>
                </c:pt>
                <c:pt idx="71">
                  <c:v>45595</c:v>
                </c:pt>
                <c:pt idx="72">
                  <c:v>45596</c:v>
                </c:pt>
                <c:pt idx="73">
                  <c:v>45597</c:v>
                </c:pt>
                <c:pt idx="74">
                  <c:v>45600</c:v>
                </c:pt>
                <c:pt idx="75">
                  <c:v>45601</c:v>
                </c:pt>
                <c:pt idx="76">
                  <c:v>45602</c:v>
                </c:pt>
                <c:pt idx="77">
                  <c:v>45603</c:v>
                </c:pt>
                <c:pt idx="78">
                  <c:v>45604</c:v>
                </c:pt>
                <c:pt idx="79">
                  <c:v>45607</c:v>
                </c:pt>
                <c:pt idx="80">
                  <c:v>45608</c:v>
                </c:pt>
                <c:pt idx="81">
                  <c:v>45609</c:v>
                </c:pt>
                <c:pt idx="82">
                  <c:v>45610</c:v>
                </c:pt>
                <c:pt idx="83">
                  <c:v>45611</c:v>
                </c:pt>
                <c:pt idx="84">
                  <c:v>45614</c:v>
                </c:pt>
                <c:pt idx="85">
                  <c:v>45615</c:v>
                </c:pt>
                <c:pt idx="86">
                  <c:v>45616</c:v>
                </c:pt>
                <c:pt idx="87">
                  <c:v>45617</c:v>
                </c:pt>
                <c:pt idx="88">
                  <c:v>45618</c:v>
                </c:pt>
                <c:pt idx="89">
                  <c:v>45621</c:v>
                </c:pt>
                <c:pt idx="90">
                  <c:v>45622</c:v>
                </c:pt>
                <c:pt idx="91">
                  <c:v>45623</c:v>
                </c:pt>
                <c:pt idx="92">
                  <c:v>45625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45635</c:v>
                </c:pt>
                <c:pt idx="99">
                  <c:v>45636</c:v>
                </c:pt>
                <c:pt idx="100">
                  <c:v>45637</c:v>
                </c:pt>
                <c:pt idx="101">
                  <c:v>45638</c:v>
                </c:pt>
                <c:pt idx="102">
                  <c:v>45639</c:v>
                </c:pt>
                <c:pt idx="103">
                  <c:v>45642</c:v>
                </c:pt>
                <c:pt idx="104">
                  <c:v>45643</c:v>
                </c:pt>
                <c:pt idx="105">
                  <c:v>45644</c:v>
                </c:pt>
                <c:pt idx="106">
                  <c:v>45645</c:v>
                </c:pt>
                <c:pt idx="107">
                  <c:v>45646</c:v>
                </c:pt>
                <c:pt idx="108">
                  <c:v>45649</c:v>
                </c:pt>
                <c:pt idx="109">
                  <c:v>45650</c:v>
                </c:pt>
                <c:pt idx="110">
                  <c:v>45652</c:v>
                </c:pt>
                <c:pt idx="111">
                  <c:v>45653</c:v>
                </c:pt>
                <c:pt idx="112">
                  <c:v>45656</c:v>
                </c:pt>
                <c:pt idx="113">
                  <c:v>45657</c:v>
                </c:pt>
                <c:pt idx="114">
                  <c:v>45659</c:v>
                </c:pt>
                <c:pt idx="115">
                  <c:v>45660</c:v>
                </c:pt>
                <c:pt idx="116">
                  <c:v>45663</c:v>
                </c:pt>
                <c:pt idx="117">
                  <c:v>45664</c:v>
                </c:pt>
                <c:pt idx="118">
                  <c:v>45665</c:v>
                </c:pt>
                <c:pt idx="119">
                  <c:v>45667</c:v>
                </c:pt>
                <c:pt idx="120">
                  <c:v>45670</c:v>
                </c:pt>
                <c:pt idx="121">
                  <c:v>45671</c:v>
                </c:pt>
                <c:pt idx="122">
                  <c:v>45672</c:v>
                </c:pt>
                <c:pt idx="123">
                  <c:v>45673</c:v>
                </c:pt>
                <c:pt idx="124">
                  <c:v>45674</c:v>
                </c:pt>
                <c:pt idx="125">
                  <c:v>45678</c:v>
                </c:pt>
                <c:pt idx="126">
                  <c:v>45679</c:v>
                </c:pt>
                <c:pt idx="127">
                  <c:v>45680</c:v>
                </c:pt>
                <c:pt idx="128">
                  <c:v>45681</c:v>
                </c:pt>
                <c:pt idx="129">
                  <c:v>45684</c:v>
                </c:pt>
                <c:pt idx="130">
                  <c:v>45685</c:v>
                </c:pt>
                <c:pt idx="131">
                  <c:v>45686</c:v>
                </c:pt>
                <c:pt idx="132">
                  <c:v>45687</c:v>
                </c:pt>
                <c:pt idx="133">
                  <c:v>45688</c:v>
                </c:pt>
                <c:pt idx="134">
                  <c:v>45691</c:v>
                </c:pt>
                <c:pt idx="135">
                  <c:v>45692</c:v>
                </c:pt>
                <c:pt idx="136">
                  <c:v>45693</c:v>
                </c:pt>
                <c:pt idx="137">
                  <c:v>45694</c:v>
                </c:pt>
                <c:pt idx="138">
                  <c:v>45695</c:v>
                </c:pt>
                <c:pt idx="139">
                  <c:v>45698</c:v>
                </c:pt>
                <c:pt idx="140">
                  <c:v>45699</c:v>
                </c:pt>
                <c:pt idx="141">
                  <c:v>45700</c:v>
                </c:pt>
                <c:pt idx="142">
                  <c:v>45701</c:v>
                </c:pt>
                <c:pt idx="143">
                  <c:v>45702</c:v>
                </c:pt>
                <c:pt idx="144">
                  <c:v>45706</c:v>
                </c:pt>
                <c:pt idx="145">
                  <c:v>45707</c:v>
                </c:pt>
                <c:pt idx="146">
                  <c:v>45708</c:v>
                </c:pt>
                <c:pt idx="147">
                  <c:v>45709</c:v>
                </c:pt>
                <c:pt idx="148">
                  <c:v>45712</c:v>
                </c:pt>
                <c:pt idx="149">
                  <c:v>45713</c:v>
                </c:pt>
                <c:pt idx="150">
                  <c:v>45714</c:v>
                </c:pt>
                <c:pt idx="151">
                  <c:v>45715</c:v>
                </c:pt>
                <c:pt idx="152">
                  <c:v>45716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45726</c:v>
                </c:pt>
                <c:pt idx="159">
                  <c:v>45727</c:v>
                </c:pt>
                <c:pt idx="160">
                  <c:v>45728</c:v>
                </c:pt>
                <c:pt idx="161">
                  <c:v>45729</c:v>
                </c:pt>
                <c:pt idx="162">
                  <c:v>45730</c:v>
                </c:pt>
                <c:pt idx="163">
                  <c:v>45733</c:v>
                </c:pt>
                <c:pt idx="164">
                  <c:v>45734</c:v>
                </c:pt>
                <c:pt idx="165">
                  <c:v>45735</c:v>
                </c:pt>
                <c:pt idx="166">
                  <c:v>45736</c:v>
                </c:pt>
                <c:pt idx="167">
                  <c:v>45737</c:v>
                </c:pt>
                <c:pt idx="168">
                  <c:v>45740</c:v>
                </c:pt>
                <c:pt idx="169">
                  <c:v>45741</c:v>
                </c:pt>
                <c:pt idx="170">
                  <c:v>45742</c:v>
                </c:pt>
                <c:pt idx="171">
                  <c:v>45743</c:v>
                </c:pt>
                <c:pt idx="172">
                  <c:v>45744</c:v>
                </c:pt>
                <c:pt idx="173">
                  <c:v>45747</c:v>
                </c:pt>
              </c:numCache>
            </c:numRef>
          </c:cat>
          <c:val>
            <c:numRef>
              <c:f>RSI!$J$16:$J$189</c:f>
              <c:numCache>
                <c:formatCode>General</c:formatCode>
                <c:ptCount val="174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30</c:v>
                </c:pt>
                <c:pt idx="84">
                  <c:v>30</c:v>
                </c:pt>
                <c:pt idx="85">
                  <c:v>30</c:v>
                </c:pt>
                <c:pt idx="86">
                  <c:v>30</c:v>
                </c:pt>
                <c:pt idx="87">
                  <c:v>30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30</c:v>
                </c:pt>
                <c:pt idx="92">
                  <c:v>30</c:v>
                </c:pt>
                <c:pt idx="93">
                  <c:v>30</c:v>
                </c:pt>
                <c:pt idx="94">
                  <c:v>30</c:v>
                </c:pt>
                <c:pt idx="95">
                  <c:v>30</c:v>
                </c:pt>
                <c:pt idx="96">
                  <c:v>30</c:v>
                </c:pt>
                <c:pt idx="97">
                  <c:v>30</c:v>
                </c:pt>
                <c:pt idx="98">
                  <c:v>30</c:v>
                </c:pt>
                <c:pt idx="99">
                  <c:v>30</c:v>
                </c:pt>
                <c:pt idx="100">
                  <c:v>30</c:v>
                </c:pt>
                <c:pt idx="101">
                  <c:v>30</c:v>
                </c:pt>
                <c:pt idx="102">
                  <c:v>30</c:v>
                </c:pt>
                <c:pt idx="103">
                  <c:v>30</c:v>
                </c:pt>
                <c:pt idx="104">
                  <c:v>30</c:v>
                </c:pt>
                <c:pt idx="105">
                  <c:v>30</c:v>
                </c:pt>
                <c:pt idx="106">
                  <c:v>30</c:v>
                </c:pt>
                <c:pt idx="107">
                  <c:v>30</c:v>
                </c:pt>
                <c:pt idx="108">
                  <c:v>30</c:v>
                </c:pt>
                <c:pt idx="109">
                  <c:v>30</c:v>
                </c:pt>
                <c:pt idx="110">
                  <c:v>30</c:v>
                </c:pt>
                <c:pt idx="111">
                  <c:v>30</c:v>
                </c:pt>
                <c:pt idx="112">
                  <c:v>30</c:v>
                </c:pt>
                <c:pt idx="113">
                  <c:v>30</c:v>
                </c:pt>
                <c:pt idx="114">
                  <c:v>30</c:v>
                </c:pt>
                <c:pt idx="115">
                  <c:v>30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30</c:v>
                </c:pt>
                <c:pt idx="121">
                  <c:v>30</c:v>
                </c:pt>
                <c:pt idx="122">
                  <c:v>30</c:v>
                </c:pt>
                <c:pt idx="123">
                  <c:v>30</c:v>
                </c:pt>
                <c:pt idx="124">
                  <c:v>30</c:v>
                </c:pt>
                <c:pt idx="125">
                  <c:v>30</c:v>
                </c:pt>
                <c:pt idx="126">
                  <c:v>30</c:v>
                </c:pt>
                <c:pt idx="127">
                  <c:v>30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30</c:v>
                </c:pt>
                <c:pt idx="161">
                  <c:v>30</c:v>
                </c:pt>
                <c:pt idx="162">
                  <c:v>30</c:v>
                </c:pt>
                <c:pt idx="163">
                  <c:v>30</c:v>
                </c:pt>
                <c:pt idx="164">
                  <c:v>30</c:v>
                </c:pt>
                <c:pt idx="165">
                  <c:v>30</c:v>
                </c:pt>
                <c:pt idx="166">
                  <c:v>30</c:v>
                </c:pt>
                <c:pt idx="167">
                  <c:v>30</c:v>
                </c:pt>
                <c:pt idx="168">
                  <c:v>30</c:v>
                </c:pt>
                <c:pt idx="169">
                  <c:v>30</c:v>
                </c:pt>
                <c:pt idx="170">
                  <c:v>30</c:v>
                </c:pt>
                <c:pt idx="171">
                  <c:v>30</c:v>
                </c:pt>
                <c:pt idx="172">
                  <c:v>30</c:v>
                </c:pt>
                <c:pt idx="17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5D-41A7-8065-B7379AC4812A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RSI!$A$16:$A$189</c:f>
              <c:numCache>
                <c:formatCode>m/d/yyyy</c:formatCode>
                <c:ptCount val="174"/>
                <c:pt idx="0">
                  <c:v>45495</c:v>
                </c:pt>
                <c:pt idx="1">
                  <c:v>45496</c:v>
                </c:pt>
                <c:pt idx="2">
                  <c:v>45497</c:v>
                </c:pt>
                <c:pt idx="3">
                  <c:v>45498</c:v>
                </c:pt>
                <c:pt idx="4">
                  <c:v>45499</c:v>
                </c:pt>
                <c:pt idx="5">
                  <c:v>45502</c:v>
                </c:pt>
                <c:pt idx="6">
                  <c:v>45503</c:v>
                </c:pt>
                <c:pt idx="7">
                  <c:v>45504</c:v>
                </c:pt>
                <c:pt idx="8">
                  <c:v>45505</c:v>
                </c:pt>
                <c:pt idx="9">
                  <c:v>45506</c:v>
                </c:pt>
                <c:pt idx="10">
                  <c:v>45509</c:v>
                </c:pt>
                <c:pt idx="11">
                  <c:v>45510</c:v>
                </c:pt>
                <c:pt idx="12">
                  <c:v>45511</c:v>
                </c:pt>
                <c:pt idx="13">
                  <c:v>45512</c:v>
                </c:pt>
                <c:pt idx="14">
                  <c:v>45513</c:v>
                </c:pt>
                <c:pt idx="15">
                  <c:v>45516</c:v>
                </c:pt>
                <c:pt idx="16">
                  <c:v>45517</c:v>
                </c:pt>
                <c:pt idx="17">
                  <c:v>45518</c:v>
                </c:pt>
                <c:pt idx="18">
                  <c:v>45519</c:v>
                </c:pt>
                <c:pt idx="19">
                  <c:v>45520</c:v>
                </c:pt>
                <c:pt idx="20">
                  <c:v>45523</c:v>
                </c:pt>
                <c:pt idx="21">
                  <c:v>45524</c:v>
                </c:pt>
                <c:pt idx="22">
                  <c:v>45525</c:v>
                </c:pt>
                <c:pt idx="23">
                  <c:v>45526</c:v>
                </c:pt>
                <c:pt idx="24">
                  <c:v>45527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45538</c:v>
                </c:pt>
                <c:pt idx="31">
                  <c:v>45539</c:v>
                </c:pt>
                <c:pt idx="32">
                  <c:v>45540</c:v>
                </c:pt>
                <c:pt idx="33">
                  <c:v>45541</c:v>
                </c:pt>
                <c:pt idx="34">
                  <c:v>45544</c:v>
                </c:pt>
                <c:pt idx="35">
                  <c:v>45545</c:v>
                </c:pt>
                <c:pt idx="36">
                  <c:v>45546</c:v>
                </c:pt>
                <c:pt idx="37">
                  <c:v>45547</c:v>
                </c:pt>
                <c:pt idx="38">
                  <c:v>45548</c:v>
                </c:pt>
                <c:pt idx="39">
                  <c:v>45551</c:v>
                </c:pt>
                <c:pt idx="40">
                  <c:v>45552</c:v>
                </c:pt>
                <c:pt idx="41">
                  <c:v>45553</c:v>
                </c:pt>
                <c:pt idx="42">
                  <c:v>45554</c:v>
                </c:pt>
                <c:pt idx="43">
                  <c:v>45555</c:v>
                </c:pt>
                <c:pt idx="44">
                  <c:v>45558</c:v>
                </c:pt>
                <c:pt idx="45">
                  <c:v>45559</c:v>
                </c:pt>
                <c:pt idx="46">
                  <c:v>45560</c:v>
                </c:pt>
                <c:pt idx="47">
                  <c:v>45561</c:v>
                </c:pt>
                <c:pt idx="48">
                  <c:v>45562</c:v>
                </c:pt>
                <c:pt idx="49">
                  <c:v>45565</c:v>
                </c:pt>
                <c:pt idx="50">
                  <c:v>45566</c:v>
                </c:pt>
                <c:pt idx="51">
                  <c:v>45567</c:v>
                </c:pt>
                <c:pt idx="52">
                  <c:v>45568</c:v>
                </c:pt>
                <c:pt idx="53">
                  <c:v>45569</c:v>
                </c:pt>
                <c:pt idx="54">
                  <c:v>45572</c:v>
                </c:pt>
                <c:pt idx="55">
                  <c:v>45573</c:v>
                </c:pt>
                <c:pt idx="56">
                  <c:v>45574</c:v>
                </c:pt>
                <c:pt idx="57">
                  <c:v>45575</c:v>
                </c:pt>
                <c:pt idx="58">
                  <c:v>45576</c:v>
                </c:pt>
                <c:pt idx="59">
                  <c:v>45579</c:v>
                </c:pt>
                <c:pt idx="60">
                  <c:v>45580</c:v>
                </c:pt>
                <c:pt idx="61">
                  <c:v>45581</c:v>
                </c:pt>
                <c:pt idx="62">
                  <c:v>45582</c:v>
                </c:pt>
                <c:pt idx="63">
                  <c:v>45583</c:v>
                </c:pt>
                <c:pt idx="64">
                  <c:v>45586</c:v>
                </c:pt>
                <c:pt idx="65">
                  <c:v>45587</c:v>
                </c:pt>
                <c:pt idx="66">
                  <c:v>45588</c:v>
                </c:pt>
                <c:pt idx="67">
                  <c:v>45589</c:v>
                </c:pt>
                <c:pt idx="68">
                  <c:v>45590</c:v>
                </c:pt>
                <c:pt idx="69">
                  <c:v>45593</c:v>
                </c:pt>
                <c:pt idx="70">
                  <c:v>45594</c:v>
                </c:pt>
                <c:pt idx="71">
                  <c:v>45595</c:v>
                </c:pt>
                <c:pt idx="72">
                  <c:v>45596</c:v>
                </c:pt>
                <c:pt idx="73">
                  <c:v>45597</c:v>
                </c:pt>
                <c:pt idx="74">
                  <c:v>45600</c:v>
                </c:pt>
                <c:pt idx="75">
                  <c:v>45601</c:v>
                </c:pt>
                <c:pt idx="76">
                  <c:v>45602</c:v>
                </c:pt>
                <c:pt idx="77">
                  <c:v>45603</c:v>
                </c:pt>
                <c:pt idx="78">
                  <c:v>45604</c:v>
                </c:pt>
                <c:pt idx="79">
                  <c:v>45607</c:v>
                </c:pt>
                <c:pt idx="80">
                  <c:v>45608</c:v>
                </c:pt>
                <c:pt idx="81">
                  <c:v>45609</c:v>
                </c:pt>
                <c:pt idx="82">
                  <c:v>45610</c:v>
                </c:pt>
                <c:pt idx="83">
                  <c:v>45611</c:v>
                </c:pt>
                <c:pt idx="84">
                  <c:v>45614</c:v>
                </c:pt>
                <c:pt idx="85">
                  <c:v>45615</c:v>
                </c:pt>
                <c:pt idx="86">
                  <c:v>45616</c:v>
                </c:pt>
                <c:pt idx="87">
                  <c:v>45617</c:v>
                </c:pt>
                <c:pt idx="88">
                  <c:v>45618</c:v>
                </c:pt>
                <c:pt idx="89">
                  <c:v>45621</c:v>
                </c:pt>
                <c:pt idx="90">
                  <c:v>45622</c:v>
                </c:pt>
                <c:pt idx="91">
                  <c:v>45623</c:v>
                </c:pt>
                <c:pt idx="92">
                  <c:v>45625</c:v>
                </c:pt>
                <c:pt idx="93">
                  <c:v>45628</c:v>
                </c:pt>
                <c:pt idx="94">
                  <c:v>45629</c:v>
                </c:pt>
                <c:pt idx="95">
                  <c:v>45630</c:v>
                </c:pt>
                <c:pt idx="96">
                  <c:v>45631</c:v>
                </c:pt>
                <c:pt idx="97">
                  <c:v>45632</c:v>
                </c:pt>
                <c:pt idx="98">
                  <c:v>45635</c:v>
                </c:pt>
                <c:pt idx="99">
                  <c:v>45636</c:v>
                </c:pt>
                <c:pt idx="100">
                  <c:v>45637</c:v>
                </c:pt>
                <c:pt idx="101">
                  <c:v>45638</c:v>
                </c:pt>
                <c:pt idx="102">
                  <c:v>45639</c:v>
                </c:pt>
                <c:pt idx="103">
                  <c:v>45642</c:v>
                </c:pt>
                <c:pt idx="104">
                  <c:v>45643</c:v>
                </c:pt>
                <c:pt idx="105">
                  <c:v>45644</c:v>
                </c:pt>
                <c:pt idx="106">
                  <c:v>45645</c:v>
                </c:pt>
                <c:pt idx="107">
                  <c:v>45646</c:v>
                </c:pt>
                <c:pt idx="108">
                  <c:v>45649</c:v>
                </c:pt>
                <c:pt idx="109">
                  <c:v>45650</c:v>
                </c:pt>
                <c:pt idx="110">
                  <c:v>45652</c:v>
                </c:pt>
                <c:pt idx="111">
                  <c:v>45653</c:v>
                </c:pt>
                <c:pt idx="112">
                  <c:v>45656</c:v>
                </c:pt>
                <c:pt idx="113">
                  <c:v>45657</c:v>
                </c:pt>
                <c:pt idx="114">
                  <c:v>45659</c:v>
                </c:pt>
                <c:pt idx="115">
                  <c:v>45660</c:v>
                </c:pt>
                <c:pt idx="116">
                  <c:v>45663</c:v>
                </c:pt>
                <c:pt idx="117">
                  <c:v>45664</c:v>
                </c:pt>
                <c:pt idx="118">
                  <c:v>45665</c:v>
                </c:pt>
                <c:pt idx="119">
                  <c:v>45667</c:v>
                </c:pt>
                <c:pt idx="120">
                  <c:v>45670</c:v>
                </c:pt>
                <c:pt idx="121">
                  <c:v>45671</c:v>
                </c:pt>
                <c:pt idx="122">
                  <c:v>45672</c:v>
                </c:pt>
                <c:pt idx="123">
                  <c:v>45673</c:v>
                </c:pt>
                <c:pt idx="124">
                  <c:v>45674</c:v>
                </c:pt>
                <c:pt idx="125">
                  <c:v>45678</c:v>
                </c:pt>
                <c:pt idx="126">
                  <c:v>45679</c:v>
                </c:pt>
                <c:pt idx="127">
                  <c:v>45680</c:v>
                </c:pt>
                <c:pt idx="128">
                  <c:v>45681</c:v>
                </c:pt>
                <c:pt idx="129">
                  <c:v>45684</c:v>
                </c:pt>
                <c:pt idx="130">
                  <c:v>45685</c:v>
                </c:pt>
                <c:pt idx="131">
                  <c:v>45686</c:v>
                </c:pt>
                <c:pt idx="132">
                  <c:v>45687</c:v>
                </c:pt>
                <c:pt idx="133">
                  <c:v>45688</c:v>
                </c:pt>
                <c:pt idx="134">
                  <c:v>45691</c:v>
                </c:pt>
                <c:pt idx="135">
                  <c:v>45692</c:v>
                </c:pt>
                <c:pt idx="136">
                  <c:v>45693</c:v>
                </c:pt>
                <c:pt idx="137">
                  <c:v>45694</c:v>
                </c:pt>
                <c:pt idx="138">
                  <c:v>45695</c:v>
                </c:pt>
                <c:pt idx="139">
                  <c:v>45698</c:v>
                </c:pt>
                <c:pt idx="140">
                  <c:v>45699</c:v>
                </c:pt>
                <c:pt idx="141">
                  <c:v>45700</c:v>
                </c:pt>
                <c:pt idx="142">
                  <c:v>45701</c:v>
                </c:pt>
                <c:pt idx="143">
                  <c:v>45702</c:v>
                </c:pt>
                <c:pt idx="144">
                  <c:v>45706</c:v>
                </c:pt>
                <c:pt idx="145">
                  <c:v>45707</c:v>
                </c:pt>
                <c:pt idx="146">
                  <c:v>45708</c:v>
                </c:pt>
                <c:pt idx="147">
                  <c:v>45709</c:v>
                </c:pt>
                <c:pt idx="148">
                  <c:v>45712</c:v>
                </c:pt>
                <c:pt idx="149">
                  <c:v>45713</c:v>
                </c:pt>
                <c:pt idx="150">
                  <c:v>45714</c:v>
                </c:pt>
                <c:pt idx="151">
                  <c:v>45715</c:v>
                </c:pt>
                <c:pt idx="152">
                  <c:v>45716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45726</c:v>
                </c:pt>
                <c:pt idx="159">
                  <c:v>45727</c:v>
                </c:pt>
                <c:pt idx="160">
                  <c:v>45728</c:v>
                </c:pt>
                <c:pt idx="161">
                  <c:v>45729</c:v>
                </c:pt>
                <c:pt idx="162">
                  <c:v>45730</c:v>
                </c:pt>
                <c:pt idx="163">
                  <c:v>45733</c:v>
                </c:pt>
                <c:pt idx="164">
                  <c:v>45734</c:v>
                </c:pt>
                <c:pt idx="165">
                  <c:v>45735</c:v>
                </c:pt>
                <c:pt idx="166">
                  <c:v>45736</c:v>
                </c:pt>
                <c:pt idx="167">
                  <c:v>45737</c:v>
                </c:pt>
                <c:pt idx="168">
                  <c:v>45740</c:v>
                </c:pt>
                <c:pt idx="169">
                  <c:v>45741</c:v>
                </c:pt>
                <c:pt idx="170">
                  <c:v>45742</c:v>
                </c:pt>
                <c:pt idx="171">
                  <c:v>45743</c:v>
                </c:pt>
                <c:pt idx="172">
                  <c:v>45744</c:v>
                </c:pt>
                <c:pt idx="173">
                  <c:v>45747</c:v>
                </c:pt>
              </c:numCache>
            </c:numRef>
          </c:cat>
          <c:val>
            <c:numRef>
              <c:f>RSI!$K$16:$K$189</c:f>
              <c:numCache>
                <c:formatCode>General</c:formatCode>
                <c:ptCount val="174"/>
                <c:pt idx="0">
                  <c:v>70</c:v>
                </c:pt>
                <c:pt idx="1">
                  <c:v>70</c:v>
                </c:pt>
                <c:pt idx="2">
                  <c:v>70</c:v>
                </c:pt>
                <c:pt idx="3">
                  <c:v>70</c:v>
                </c:pt>
                <c:pt idx="4">
                  <c:v>70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  <c:pt idx="8">
                  <c:v>70</c:v>
                </c:pt>
                <c:pt idx="9">
                  <c:v>70</c:v>
                </c:pt>
                <c:pt idx="10">
                  <c:v>70</c:v>
                </c:pt>
                <c:pt idx="11">
                  <c:v>70</c:v>
                </c:pt>
                <c:pt idx="12">
                  <c:v>70</c:v>
                </c:pt>
                <c:pt idx="13">
                  <c:v>70</c:v>
                </c:pt>
                <c:pt idx="14">
                  <c:v>70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70</c:v>
                </c:pt>
                <c:pt idx="19">
                  <c:v>70</c:v>
                </c:pt>
                <c:pt idx="20">
                  <c:v>70</c:v>
                </c:pt>
                <c:pt idx="21">
                  <c:v>70</c:v>
                </c:pt>
                <c:pt idx="22">
                  <c:v>70</c:v>
                </c:pt>
                <c:pt idx="23">
                  <c:v>70</c:v>
                </c:pt>
                <c:pt idx="24">
                  <c:v>70</c:v>
                </c:pt>
                <c:pt idx="25">
                  <c:v>70</c:v>
                </c:pt>
                <c:pt idx="26">
                  <c:v>70</c:v>
                </c:pt>
                <c:pt idx="27">
                  <c:v>70</c:v>
                </c:pt>
                <c:pt idx="28">
                  <c:v>70</c:v>
                </c:pt>
                <c:pt idx="29">
                  <c:v>70</c:v>
                </c:pt>
                <c:pt idx="30">
                  <c:v>70</c:v>
                </c:pt>
                <c:pt idx="31">
                  <c:v>70</c:v>
                </c:pt>
                <c:pt idx="32">
                  <c:v>70</c:v>
                </c:pt>
                <c:pt idx="33">
                  <c:v>70</c:v>
                </c:pt>
                <c:pt idx="34">
                  <c:v>70</c:v>
                </c:pt>
                <c:pt idx="35">
                  <c:v>70</c:v>
                </c:pt>
                <c:pt idx="36">
                  <c:v>70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70</c:v>
                </c:pt>
                <c:pt idx="41">
                  <c:v>70</c:v>
                </c:pt>
                <c:pt idx="42">
                  <c:v>70</c:v>
                </c:pt>
                <c:pt idx="43">
                  <c:v>70</c:v>
                </c:pt>
                <c:pt idx="44">
                  <c:v>70</c:v>
                </c:pt>
                <c:pt idx="45">
                  <c:v>70</c:v>
                </c:pt>
                <c:pt idx="46">
                  <c:v>70</c:v>
                </c:pt>
                <c:pt idx="47">
                  <c:v>70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70</c:v>
                </c:pt>
                <c:pt idx="52">
                  <c:v>70</c:v>
                </c:pt>
                <c:pt idx="53">
                  <c:v>70</c:v>
                </c:pt>
                <c:pt idx="54">
                  <c:v>70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70</c:v>
                </c:pt>
                <c:pt idx="59">
                  <c:v>70</c:v>
                </c:pt>
                <c:pt idx="60">
                  <c:v>70</c:v>
                </c:pt>
                <c:pt idx="61">
                  <c:v>70</c:v>
                </c:pt>
                <c:pt idx="62">
                  <c:v>70</c:v>
                </c:pt>
                <c:pt idx="63">
                  <c:v>70</c:v>
                </c:pt>
                <c:pt idx="64">
                  <c:v>70</c:v>
                </c:pt>
                <c:pt idx="65">
                  <c:v>70</c:v>
                </c:pt>
                <c:pt idx="66">
                  <c:v>70</c:v>
                </c:pt>
                <c:pt idx="67">
                  <c:v>70</c:v>
                </c:pt>
                <c:pt idx="68">
                  <c:v>70</c:v>
                </c:pt>
                <c:pt idx="69">
                  <c:v>70</c:v>
                </c:pt>
                <c:pt idx="70">
                  <c:v>70</c:v>
                </c:pt>
                <c:pt idx="71">
                  <c:v>70</c:v>
                </c:pt>
                <c:pt idx="72">
                  <c:v>70</c:v>
                </c:pt>
                <c:pt idx="73">
                  <c:v>70</c:v>
                </c:pt>
                <c:pt idx="74">
                  <c:v>70</c:v>
                </c:pt>
                <c:pt idx="75">
                  <c:v>70</c:v>
                </c:pt>
                <c:pt idx="76">
                  <c:v>70</c:v>
                </c:pt>
                <c:pt idx="77">
                  <c:v>70</c:v>
                </c:pt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70</c:v>
                </c:pt>
                <c:pt idx="127">
                  <c:v>70</c:v>
                </c:pt>
                <c:pt idx="128">
                  <c:v>70</c:v>
                </c:pt>
                <c:pt idx="129">
                  <c:v>70</c:v>
                </c:pt>
                <c:pt idx="130">
                  <c:v>70</c:v>
                </c:pt>
                <c:pt idx="131">
                  <c:v>70</c:v>
                </c:pt>
                <c:pt idx="132">
                  <c:v>70</c:v>
                </c:pt>
                <c:pt idx="133">
                  <c:v>70</c:v>
                </c:pt>
                <c:pt idx="134">
                  <c:v>70</c:v>
                </c:pt>
                <c:pt idx="135">
                  <c:v>70</c:v>
                </c:pt>
                <c:pt idx="136">
                  <c:v>70</c:v>
                </c:pt>
                <c:pt idx="137">
                  <c:v>70</c:v>
                </c:pt>
                <c:pt idx="138">
                  <c:v>70</c:v>
                </c:pt>
                <c:pt idx="139">
                  <c:v>70</c:v>
                </c:pt>
                <c:pt idx="140">
                  <c:v>70</c:v>
                </c:pt>
                <c:pt idx="141">
                  <c:v>70</c:v>
                </c:pt>
                <c:pt idx="142">
                  <c:v>70</c:v>
                </c:pt>
                <c:pt idx="143">
                  <c:v>70</c:v>
                </c:pt>
                <c:pt idx="144">
                  <c:v>70</c:v>
                </c:pt>
                <c:pt idx="145">
                  <c:v>70</c:v>
                </c:pt>
                <c:pt idx="146">
                  <c:v>70</c:v>
                </c:pt>
                <c:pt idx="147">
                  <c:v>70</c:v>
                </c:pt>
                <c:pt idx="148">
                  <c:v>70</c:v>
                </c:pt>
                <c:pt idx="149">
                  <c:v>70</c:v>
                </c:pt>
                <c:pt idx="150">
                  <c:v>70</c:v>
                </c:pt>
                <c:pt idx="151">
                  <c:v>70</c:v>
                </c:pt>
                <c:pt idx="152">
                  <c:v>70</c:v>
                </c:pt>
                <c:pt idx="153">
                  <c:v>70</c:v>
                </c:pt>
                <c:pt idx="154">
                  <c:v>70</c:v>
                </c:pt>
                <c:pt idx="155">
                  <c:v>70</c:v>
                </c:pt>
                <c:pt idx="156">
                  <c:v>70</c:v>
                </c:pt>
                <c:pt idx="157">
                  <c:v>70</c:v>
                </c:pt>
                <c:pt idx="158">
                  <c:v>70</c:v>
                </c:pt>
                <c:pt idx="159">
                  <c:v>70</c:v>
                </c:pt>
                <c:pt idx="160">
                  <c:v>70</c:v>
                </c:pt>
                <c:pt idx="161">
                  <c:v>70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5D-41A7-8065-B7379AC48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006016"/>
        <c:axId val="1485007936"/>
      </c:lineChart>
      <c:dateAx>
        <c:axId val="1485006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007936"/>
        <c:crosses val="autoZero"/>
        <c:auto val="1"/>
        <c:lblOffset val="100"/>
        <c:baseTimeUnit val="days"/>
      </c:dateAx>
      <c:valAx>
        <c:axId val="148500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00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4282583997611708"/>
          <c:y val="0.91662241041501302"/>
          <c:w val="0.15899061258468011"/>
          <c:h val="4.24531189118766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/>
              <a:t>Bollinger</a:t>
            </a:r>
            <a:r>
              <a:rPr lang="en-GB" sz="1600" baseline="0"/>
              <a:t> Bands of BMY UN </a:t>
            </a:r>
            <a:endParaRPr lang="en-GB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6.7275670617435931E-2"/>
          <c:y val="7.9063275874299496E-2"/>
          <c:w val="0.88859941601675363"/>
          <c:h val="0.75102982904164006"/>
        </c:manualLayout>
      </c:layout>
      <c:lineChart>
        <c:grouping val="standard"/>
        <c:varyColors val="0"/>
        <c:ser>
          <c:idx val="0"/>
          <c:order val="0"/>
          <c:tx>
            <c:strRef>
              <c:f>BB!$B$1</c:f>
              <c:strCache>
                <c:ptCount val="1"/>
                <c:pt idx="0">
                  <c:v>BMY UN </c:v>
                </c:pt>
              </c:strCache>
            </c:strRef>
          </c:tx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BB!$A$21:$A$189</c:f>
              <c:numCache>
                <c:formatCode>m/d/yyyy</c:formatCode>
                <c:ptCount val="169"/>
                <c:pt idx="0">
                  <c:v>45502</c:v>
                </c:pt>
                <c:pt idx="1">
                  <c:v>45503</c:v>
                </c:pt>
                <c:pt idx="2">
                  <c:v>45504</c:v>
                </c:pt>
                <c:pt idx="3">
                  <c:v>45505</c:v>
                </c:pt>
                <c:pt idx="4">
                  <c:v>45506</c:v>
                </c:pt>
                <c:pt idx="5">
                  <c:v>45509</c:v>
                </c:pt>
                <c:pt idx="6">
                  <c:v>45510</c:v>
                </c:pt>
                <c:pt idx="7">
                  <c:v>45511</c:v>
                </c:pt>
                <c:pt idx="8">
                  <c:v>45512</c:v>
                </c:pt>
                <c:pt idx="9">
                  <c:v>45513</c:v>
                </c:pt>
                <c:pt idx="10">
                  <c:v>45516</c:v>
                </c:pt>
                <c:pt idx="11">
                  <c:v>45517</c:v>
                </c:pt>
                <c:pt idx="12">
                  <c:v>45518</c:v>
                </c:pt>
                <c:pt idx="13">
                  <c:v>45519</c:v>
                </c:pt>
                <c:pt idx="14">
                  <c:v>45520</c:v>
                </c:pt>
                <c:pt idx="15">
                  <c:v>45523</c:v>
                </c:pt>
                <c:pt idx="16">
                  <c:v>45524</c:v>
                </c:pt>
                <c:pt idx="17">
                  <c:v>45525</c:v>
                </c:pt>
                <c:pt idx="18">
                  <c:v>45526</c:v>
                </c:pt>
                <c:pt idx="19">
                  <c:v>45527</c:v>
                </c:pt>
                <c:pt idx="20">
                  <c:v>45530</c:v>
                </c:pt>
                <c:pt idx="21">
                  <c:v>45531</c:v>
                </c:pt>
                <c:pt idx="22">
                  <c:v>45532</c:v>
                </c:pt>
                <c:pt idx="23">
                  <c:v>45533</c:v>
                </c:pt>
                <c:pt idx="24">
                  <c:v>45534</c:v>
                </c:pt>
                <c:pt idx="25">
                  <c:v>45538</c:v>
                </c:pt>
                <c:pt idx="26">
                  <c:v>45539</c:v>
                </c:pt>
                <c:pt idx="27">
                  <c:v>45540</c:v>
                </c:pt>
                <c:pt idx="28">
                  <c:v>45541</c:v>
                </c:pt>
                <c:pt idx="29">
                  <c:v>45544</c:v>
                </c:pt>
                <c:pt idx="30">
                  <c:v>45545</c:v>
                </c:pt>
                <c:pt idx="31">
                  <c:v>45546</c:v>
                </c:pt>
                <c:pt idx="32">
                  <c:v>45547</c:v>
                </c:pt>
                <c:pt idx="33">
                  <c:v>45548</c:v>
                </c:pt>
                <c:pt idx="34">
                  <c:v>45551</c:v>
                </c:pt>
                <c:pt idx="35">
                  <c:v>45552</c:v>
                </c:pt>
                <c:pt idx="36">
                  <c:v>45553</c:v>
                </c:pt>
                <c:pt idx="37">
                  <c:v>45554</c:v>
                </c:pt>
                <c:pt idx="38">
                  <c:v>45555</c:v>
                </c:pt>
                <c:pt idx="39">
                  <c:v>45558</c:v>
                </c:pt>
                <c:pt idx="40">
                  <c:v>45559</c:v>
                </c:pt>
                <c:pt idx="41">
                  <c:v>45560</c:v>
                </c:pt>
                <c:pt idx="42">
                  <c:v>45561</c:v>
                </c:pt>
                <c:pt idx="43">
                  <c:v>45562</c:v>
                </c:pt>
                <c:pt idx="44">
                  <c:v>45565</c:v>
                </c:pt>
                <c:pt idx="45">
                  <c:v>45566</c:v>
                </c:pt>
                <c:pt idx="46">
                  <c:v>45567</c:v>
                </c:pt>
                <c:pt idx="47">
                  <c:v>45568</c:v>
                </c:pt>
                <c:pt idx="48">
                  <c:v>45569</c:v>
                </c:pt>
                <c:pt idx="49">
                  <c:v>45572</c:v>
                </c:pt>
                <c:pt idx="50">
                  <c:v>45573</c:v>
                </c:pt>
                <c:pt idx="51">
                  <c:v>45574</c:v>
                </c:pt>
                <c:pt idx="52">
                  <c:v>45575</c:v>
                </c:pt>
                <c:pt idx="53">
                  <c:v>45576</c:v>
                </c:pt>
                <c:pt idx="54">
                  <c:v>45579</c:v>
                </c:pt>
                <c:pt idx="55">
                  <c:v>45580</c:v>
                </c:pt>
                <c:pt idx="56">
                  <c:v>45581</c:v>
                </c:pt>
                <c:pt idx="57">
                  <c:v>45582</c:v>
                </c:pt>
                <c:pt idx="58">
                  <c:v>45583</c:v>
                </c:pt>
                <c:pt idx="59">
                  <c:v>45586</c:v>
                </c:pt>
                <c:pt idx="60">
                  <c:v>45587</c:v>
                </c:pt>
                <c:pt idx="61">
                  <c:v>45588</c:v>
                </c:pt>
                <c:pt idx="62">
                  <c:v>45589</c:v>
                </c:pt>
                <c:pt idx="63">
                  <c:v>45590</c:v>
                </c:pt>
                <c:pt idx="64">
                  <c:v>45593</c:v>
                </c:pt>
                <c:pt idx="65">
                  <c:v>45594</c:v>
                </c:pt>
                <c:pt idx="66">
                  <c:v>45595</c:v>
                </c:pt>
                <c:pt idx="67">
                  <c:v>45596</c:v>
                </c:pt>
                <c:pt idx="68">
                  <c:v>45597</c:v>
                </c:pt>
                <c:pt idx="69">
                  <c:v>45600</c:v>
                </c:pt>
                <c:pt idx="70">
                  <c:v>45601</c:v>
                </c:pt>
                <c:pt idx="71">
                  <c:v>45602</c:v>
                </c:pt>
                <c:pt idx="72">
                  <c:v>45603</c:v>
                </c:pt>
                <c:pt idx="73">
                  <c:v>45604</c:v>
                </c:pt>
                <c:pt idx="74">
                  <c:v>45607</c:v>
                </c:pt>
                <c:pt idx="75">
                  <c:v>45608</c:v>
                </c:pt>
                <c:pt idx="76">
                  <c:v>45609</c:v>
                </c:pt>
                <c:pt idx="77">
                  <c:v>45610</c:v>
                </c:pt>
                <c:pt idx="78">
                  <c:v>45611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45621</c:v>
                </c:pt>
                <c:pt idx="85">
                  <c:v>45622</c:v>
                </c:pt>
                <c:pt idx="86">
                  <c:v>45623</c:v>
                </c:pt>
                <c:pt idx="87">
                  <c:v>45625</c:v>
                </c:pt>
                <c:pt idx="88">
                  <c:v>45628</c:v>
                </c:pt>
                <c:pt idx="89">
                  <c:v>45629</c:v>
                </c:pt>
                <c:pt idx="90">
                  <c:v>45630</c:v>
                </c:pt>
                <c:pt idx="91">
                  <c:v>45631</c:v>
                </c:pt>
                <c:pt idx="92">
                  <c:v>45632</c:v>
                </c:pt>
                <c:pt idx="93">
                  <c:v>45635</c:v>
                </c:pt>
                <c:pt idx="94">
                  <c:v>45636</c:v>
                </c:pt>
                <c:pt idx="95">
                  <c:v>45637</c:v>
                </c:pt>
                <c:pt idx="96">
                  <c:v>45638</c:v>
                </c:pt>
                <c:pt idx="97">
                  <c:v>45639</c:v>
                </c:pt>
                <c:pt idx="98">
                  <c:v>45642</c:v>
                </c:pt>
                <c:pt idx="99">
                  <c:v>45643</c:v>
                </c:pt>
                <c:pt idx="100">
                  <c:v>45644</c:v>
                </c:pt>
                <c:pt idx="101">
                  <c:v>45645</c:v>
                </c:pt>
                <c:pt idx="102">
                  <c:v>45646</c:v>
                </c:pt>
                <c:pt idx="103">
                  <c:v>45649</c:v>
                </c:pt>
                <c:pt idx="104">
                  <c:v>45650</c:v>
                </c:pt>
                <c:pt idx="105">
                  <c:v>45652</c:v>
                </c:pt>
                <c:pt idx="106">
                  <c:v>45653</c:v>
                </c:pt>
                <c:pt idx="107">
                  <c:v>45656</c:v>
                </c:pt>
                <c:pt idx="108">
                  <c:v>45657</c:v>
                </c:pt>
                <c:pt idx="109">
                  <c:v>45659</c:v>
                </c:pt>
                <c:pt idx="110">
                  <c:v>45660</c:v>
                </c:pt>
                <c:pt idx="111">
                  <c:v>45663</c:v>
                </c:pt>
                <c:pt idx="112">
                  <c:v>45664</c:v>
                </c:pt>
                <c:pt idx="113">
                  <c:v>45665</c:v>
                </c:pt>
                <c:pt idx="114">
                  <c:v>45667</c:v>
                </c:pt>
                <c:pt idx="115">
                  <c:v>45670</c:v>
                </c:pt>
                <c:pt idx="116">
                  <c:v>45671</c:v>
                </c:pt>
                <c:pt idx="117">
                  <c:v>45672</c:v>
                </c:pt>
                <c:pt idx="118">
                  <c:v>45673</c:v>
                </c:pt>
                <c:pt idx="119">
                  <c:v>45674</c:v>
                </c:pt>
                <c:pt idx="120">
                  <c:v>45678</c:v>
                </c:pt>
                <c:pt idx="121">
                  <c:v>45679</c:v>
                </c:pt>
                <c:pt idx="122">
                  <c:v>45680</c:v>
                </c:pt>
                <c:pt idx="123">
                  <c:v>45681</c:v>
                </c:pt>
                <c:pt idx="124">
                  <c:v>45684</c:v>
                </c:pt>
                <c:pt idx="125">
                  <c:v>45685</c:v>
                </c:pt>
                <c:pt idx="126">
                  <c:v>45686</c:v>
                </c:pt>
                <c:pt idx="127">
                  <c:v>45687</c:v>
                </c:pt>
                <c:pt idx="128">
                  <c:v>45688</c:v>
                </c:pt>
                <c:pt idx="129">
                  <c:v>45691</c:v>
                </c:pt>
                <c:pt idx="130">
                  <c:v>45692</c:v>
                </c:pt>
                <c:pt idx="131">
                  <c:v>45693</c:v>
                </c:pt>
                <c:pt idx="132">
                  <c:v>45694</c:v>
                </c:pt>
                <c:pt idx="133">
                  <c:v>45695</c:v>
                </c:pt>
                <c:pt idx="134">
                  <c:v>45698</c:v>
                </c:pt>
                <c:pt idx="135">
                  <c:v>45699</c:v>
                </c:pt>
                <c:pt idx="136">
                  <c:v>45700</c:v>
                </c:pt>
                <c:pt idx="137">
                  <c:v>45701</c:v>
                </c:pt>
                <c:pt idx="138">
                  <c:v>45702</c:v>
                </c:pt>
                <c:pt idx="139">
                  <c:v>45706</c:v>
                </c:pt>
                <c:pt idx="140">
                  <c:v>45707</c:v>
                </c:pt>
                <c:pt idx="141">
                  <c:v>45708</c:v>
                </c:pt>
                <c:pt idx="142">
                  <c:v>45709</c:v>
                </c:pt>
                <c:pt idx="143">
                  <c:v>45712</c:v>
                </c:pt>
                <c:pt idx="144">
                  <c:v>45713</c:v>
                </c:pt>
                <c:pt idx="145">
                  <c:v>45714</c:v>
                </c:pt>
                <c:pt idx="146">
                  <c:v>45715</c:v>
                </c:pt>
                <c:pt idx="147">
                  <c:v>45716</c:v>
                </c:pt>
                <c:pt idx="148">
                  <c:v>45719</c:v>
                </c:pt>
                <c:pt idx="149">
                  <c:v>45720</c:v>
                </c:pt>
                <c:pt idx="150">
                  <c:v>45721</c:v>
                </c:pt>
                <c:pt idx="151">
                  <c:v>45722</c:v>
                </c:pt>
                <c:pt idx="152">
                  <c:v>45723</c:v>
                </c:pt>
                <c:pt idx="153">
                  <c:v>45726</c:v>
                </c:pt>
                <c:pt idx="154">
                  <c:v>45727</c:v>
                </c:pt>
                <c:pt idx="155">
                  <c:v>45728</c:v>
                </c:pt>
                <c:pt idx="156">
                  <c:v>45729</c:v>
                </c:pt>
                <c:pt idx="157">
                  <c:v>45730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45740</c:v>
                </c:pt>
                <c:pt idx="164">
                  <c:v>45741</c:v>
                </c:pt>
                <c:pt idx="165">
                  <c:v>45742</c:v>
                </c:pt>
                <c:pt idx="166">
                  <c:v>45743</c:v>
                </c:pt>
                <c:pt idx="167">
                  <c:v>45744</c:v>
                </c:pt>
                <c:pt idx="168">
                  <c:v>45747</c:v>
                </c:pt>
              </c:numCache>
            </c:numRef>
          </c:cat>
          <c:val>
            <c:numRef>
              <c:f>BB!$B$21:$B$189</c:f>
              <c:numCache>
                <c:formatCode>General</c:formatCode>
                <c:ptCount val="169"/>
                <c:pt idx="0">
                  <c:v>48.98</c:v>
                </c:pt>
                <c:pt idx="1">
                  <c:v>49.05</c:v>
                </c:pt>
                <c:pt idx="2">
                  <c:v>47.56</c:v>
                </c:pt>
                <c:pt idx="3">
                  <c:v>48.17</c:v>
                </c:pt>
                <c:pt idx="4">
                  <c:v>48.77</c:v>
                </c:pt>
                <c:pt idx="5">
                  <c:v>47.59</c:v>
                </c:pt>
                <c:pt idx="6">
                  <c:v>47.31</c:v>
                </c:pt>
                <c:pt idx="7">
                  <c:v>46.5</c:v>
                </c:pt>
                <c:pt idx="8">
                  <c:v>46.85</c:v>
                </c:pt>
                <c:pt idx="9">
                  <c:v>46.72</c:v>
                </c:pt>
                <c:pt idx="10">
                  <c:v>47.06</c:v>
                </c:pt>
                <c:pt idx="11">
                  <c:v>49.06</c:v>
                </c:pt>
                <c:pt idx="12">
                  <c:v>48.41</c:v>
                </c:pt>
                <c:pt idx="13">
                  <c:v>49.11</c:v>
                </c:pt>
                <c:pt idx="14">
                  <c:v>49.36</c:v>
                </c:pt>
                <c:pt idx="15">
                  <c:v>49.3</c:v>
                </c:pt>
                <c:pt idx="16">
                  <c:v>48.98</c:v>
                </c:pt>
                <c:pt idx="17">
                  <c:v>48.44</c:v>
                </c:pt>
                <c:pt idx="18">
                  <c:v>47.62</c:v>
                </c:pt>
                <c:pt idx="19">
                  <c:v>48.11</c:v>
                </c:pt>
                <c:pt idx="20">
                  <c:v>48.24</c:v>
                </c:pt>
                <c:pt idx="21">
                  <c:v>48.12</c:v>
                </c:pt>
                <c:pt idx="22">
                  <c:v>49.06</c:v>
                </c:pt>
                <c:pt idx="23">
                  <c:v>49.72</c:v>
                </c:pt>
                <c:pt idx="24">
                  <c:v>49.95</c:v>
                </c:pt>
                <c:pt idx="25">
                  <c:v>50.52</c:v>
                </c:pt>
                <c:pt idx="26">
                  <c:v>49.96</c:v>
                </c:pt>
                <c:pt idx="27">
                  <c:v>49.8</c:v>
                </c:pt>
                <c:pt idx="28">
                  <c:v>48.7</c:v>
                </c:pt>
                <c:pt idx="29">
                  <c:v>48.5</c:v>
                </c:pt>
                <c:pt idx="30">
                  <c:v>49.28</c:v>
                </c:pt>
                <c:pt idx="31">
                  <c:v>48.59</c:v>
                </c:pt>
                <c:pt idx="32">
                  <c:v>48.24</c:v>
                </c:pt>
                <c:pt idx="33">
                  <c:v>49.13</c:v>
                </c:pt>
                <c:pt idx="34">
                  <c:v>49.99</c:v>
                </c:pt>
                <c:pt idx="35">
                  <c:v>49.49</c:v>
                </c:pt>
                <c:pt idx="36">
                  <c:v>49.74</c:v>
                </c:pt>
                <c:pt idx="37">
                  <c:v>49.02</c:v>
                </c:pt>
                <c:pt idx="38">
                  <c:v>49.41</c:v>
                </c:pt>
                <c:pt idx="39">
                  <c:v>50.01</c:v>
                </c:pt>
                <c:pt idx="40">
                  <c:v>50.94</c:v>
                </c:pt>
                <c:pt idx="41">
                  <c:v>49.95</c:v>
                </c:pt>
                <c:pt idx="42">
                  <c:v>50.12</c:v>
                </c:pt>
                <c:pt idx="43">
                  <c:v>50.91</c:v>
                </c:pt>
                <c:pt idx="44">
                  <c:v>51.74</c:v>
                </c:pt>
                <c:pt idx="45">
                  <c:v>52.9</c:v>
                </c:pt>
                <c:pt idx="46">
                  <c:v>53.76</c:v>
                </c:pt>
                <c:pt idx="47">
                  <c:v>54.2</c:v>
                </c:pt>
                <c:pt idx="48">
                  <c:v>53.96</c:v>
                </c:pt>
                <c:pt idx="49">
                  <c:v>53.44</c:v>
                </c:pt>
                <c:pt idx="50">
                  <c:v>52.48</c:v>
                </c:pt>
                <c:pt idx="51">
                  <c:v>52.8</c:v>
                </c:pt>
                <c:pt idx="52">
                  <c:v>52.4</c:v>
                </c:pt>
                <c:pt idx="53">
                  <c:v>52.2</c:v>
                </c:pt>
                <c:pt idx="54">
                  <c:v>52.67</c:v>
                </c:pt>
                <c:pt idx="55">
                  <c:v>52.76</c:v>
                </c:pt>
                <c:pt idx="56">
                  <c:v>53.37</c:v>
                </c:pt>
                <c:pt idx="57">
                  <c:v>53.18</c:v>
                </c:pt>
                <c:pt idx="58">
                  <c:v>53.22</c:v>
                </c:pt>
                <c:pt idx="59">
                  <c:v>52.12</c:v>
                </c:pt>
                <c:pt idx="60">
                  <c:v>52.76</c:v>
                </c:pt>
                <c:pt idx="61">
                  <c:v>53.06</c:v>
                </c:pt>
                <c:pt idx="62">
                  <c:v>52.92</c:v>
                </c:pt>
                <c:pt idx="63">
                  <c:v>51.92</c:v>
                </c:pt>
                <c:pt idx="64">
                  <c:v>52.64</c:v>
                </c:pt>
                <c:pt idx="65">
                  <c:v>52.5</c:v>
                </c:pt>
                <c:pt idx="66">
                  <c:v>52.66</c:v>
                </c:pt>
                <c:pt idx="67">
                  <c:v>55.77</c:v>
                </c:pt>
                <c:pt idx="68">
                  <c:v>54.32</c:v>
                </c:pt>
                <c:pt idx="69">
                  <c:v>55.45</c:v>
                </c:pt>
                <c:pt idx="70">
                  <c:v>55.95</c:v>
                </c:pt>
                <c:pt idx="71">
                  <c:v>55.28</c:v>
                </c:pt>
                <c:pt idx="72">
                  <c:v>54.71</c:v>
                </c:pt>
                <c:pt idx="73">
                  <c:v>54.14</c:v>
                </c:pt>
                <c:pt idx="74">
                  <c:v>59.82</c:v>
                </c:pt>
                <c:pt idx="75">
                  <c:v>59.02</c:v>
                </c:pt>
                <c:pt idx="76">
                  <c:v>58.41</c:v>
                </c:pt>
                <c:pt idx="77">
                  <c:v>58.5</c:v>
                </c:pt>
                <c:pt idx="78">
                  <c:v>56.22</c:v>
                </c:pt>
                <c:pt idx="79">
                  <c:v>56.8</c:v>
                </c:pt>
                <c:pt idx="80">
                  <c:v>58.23</c:v>
                </c:pt>
                <c:pt idx="81">
                  <c:v>57.88</c:v>
                </c:pt>
                <c:pt idx="82">
                  <c:v>58.23</c:v>
                </c:pt>
                <c:pt idx="83">
                  <c:v>58.87</c:v>
                </c:pt>
                <c:pt idx="84">
                  <c:v>58.78</c:v>
                </c:pt>
                <c:pt idx="85">
                  <c:v>58.74</c:v>
                </c:pt>
                <c:pt idx="86">
                  <c:v>59.27</c:v>
                </c:pt>
                <c:pt idx="87">
                  <c:v>59.22</c:v>
                </c:pt>
                <c:pt idx="88">
                  <c:v>59.94</c:v>
                </c:pt>
                <c:pt idx="89">
                  <c:v>58.69</c:v>
                </c:pt>
                <c:pt idx="90">
                  <c:v>58.37</c:v>
                </c:pt>
                <c:pt idx="91">
                  <c:v>58.84</c:v>
                </c:pt>
                <c:pt idx="92">
                  <c:v>59.38</c:v>
                </c:pt>
                <c:pt idx="93">
                  <c:v>58.71</c:v>
                </c:pt>
                <c:pt idx="94">
                  <c:v>58.12</c:v>
                </c:pt>
                <c:pt idx="95">
                  <c:v>56.65</c:v>
                </c:pt>
                <c:pt idx="96">
                  <c:v>56.28</c:v>
                </c:pt>
                <c:pt idx="97">
                  <c:v>55.78</c:v>
                </c:pt>
                <c:pt idx="98">
                  <c:v>55.87</c:v>
                </c:pt>
                <c:pt idx="99">
                  <c:v>57.65</c:v>
                </c:pt>
                <c:pt idx="100">
                  <c:v>56.84</c:v>
                </c:pt>
                <c:pt idx="101">
                  <c:v>56.3</c:v>
                </c:pt>
                <c:pt idx="102">
                  <c:v>57.33</c:v>
                </c:pt>
                <c:pt idx="103">
                  <c:v>57.58</c:v>
                </c:pt>
                <c:pt idx="104">
                  <c:v>57.76</c:v>
                </c:pt>
                <c:pt idx="105">
                  <c:v>58</c:v>
                </c:pt>
                <c:pt idx="106">
                  <c:v>57.68</c:v>
                </c:pt>
                <c:pt idx="107">
                  <c:v>56.06</c:v>
                </c:pt>
                <c:pt idx="108">
                  <c:v>56.56</c:v>
                </c:pt>
                <c:pt idx="109">
                  <c:v>56.79</c:v>
                </c:pt>
                <c:pt idx="110">
                  <c:v>56.57</c:v>
                </c:pt>
                <c:pt idx="111">
                  <c:v>56.68</c:v>
                </c:pt>
                <c:pt idx="112">
                  <c:v>57.14</c:v>
                </c:pt>
                <c:pt idx="113">
                  <c:v>56.81</c:v>
                </c:pt>
                <c:pt idx="114">
                  <c:v>55.83</c:v>
                </c:pt>
                <c:pt idx="115">
                  <c:v>55.36</c:v>
                </c:pt>
                <c:pt idx="116">
                  <c:v>55.74</c:v>
                </c:pt>
                <c:pt idx="117">
                  <c:v>55.91</c:v>
                </c:pt>
                <c:pt idx="118">
                  <c:v>56.38</c:v>
                </c:pt>
                <c:pt idx="119">
                  <c:v>56.29</c:v>
                </c:pt>
                <c:pt idx="120">
                  <c:v>57.04</c:v>
                </c:pt>
                <c:pt idx="121">
                  <c:v>57.09</c:v>
                </c:pt>
                <c:pt idx="122">
                  <c:v>59.14</c:v>
                </c:pt>
                <c:pt idx="123">
                  <c:v>59.67</c:v>
                </c:pt>
                <c:pt idx="124">
                  <c:v>60.6</c:v>
                </c:pt>
                <c:pt idx="125">
                  <c:v>58.76</c:v>
                </c:pt>
                <c:pt idx="126">
                  <c:v>59.05</c:v>
                </c:pt>
                <c:pt idx="127">
                  <c:v>59.14</c:v>
                </c:pt>
                <c:pt idx="128">
                  <c:v>58.95</c:v>
                </c:pt>
                <c:pt idx="129">
                  <c:v>59.95</c:v>
                </c:pt>
                <c:pt idx="130">
                  <c:v>59.12</c:v>
                </c:pt>
                <c:pt idx="131">
                  <c:v>59.71</c:v>
                </c:pt>
                <c:pt idx="132">
                  <c:v>57.42</c:v>
                </c:pt>
                <c:pt idx="133">
                  <c:v>56.85</c:v>
                </c:pt>
                <c:pt idx="134">
                  <c:v>55.53</c:v>
                </c:pt>
                <c:pt idx="135">
                  <c:v>55.94</c:v>
                </c:pt>
                <c:pt idx="136">
                  <c:v>56.15</c:v>
                </c:pt>
                <c:pt idx="137">
                  <c:v>55.97</c:v>
                </c:pt>
                <c:pt idx="138">
                  <c:v>53.9</c:v>
                </c:pt>
                <c:pt idx="139">
                  <c:v>54.43</c:v>
                </c:pt>
                <c:pt idx="140">
                  <c:v>54.98</c:v>
                </c:pt>
                <c:pt idx="141">
                  <c:v>55.79</c:v>
                </c:pt>
                <c:pt idx="142">
                  <c:v>55.83</c:v>
                </c:pt>
                <c:pt idx="143">
                  <c:v>57.88</c:v>
                </c:pt>
                <c:pt idx="144">
                  <c:v>58.21</c:v>
                </c:pt>
                <c:pt idx="145">
                  <c:v>57.38</c:v>
                </c:pt>
                <c:pt idx="146">
                  <c:v>58.8</c:v>
                </c:pt>
                <c:pt idx="147">
                  <c:v>59.62</c:v>
                </c:pt>
                <c:pt idx="148">
                  <c:v>59.87</c:v>
                </c:pt>
                <c:pt idx="149">
                  <c:v>59.44</c:v>
                </c:pt>
                <c:pt idx="150">
                  <c:v>59.82</c:v>
                </c:pt>
                <c:pt idx="151">
                  <c:v>60.18</c:v>
                </c:pt>
                <c:pt idx="152">
                  <c:v>61.09</c:v>
                </c:pt>
                <c:pt idx="153">
                  <c:v>63.11</c:v>
                </c:pt>
                <c:pt idx="154">
                  <c:v>61.51</c:v>
                </c:pt>
                <c:pt idx="155">
                  <c:v>59.81</c:v>
                </c:pt>
                <c:pt idx="156">
                  <c:v>60.28</c:v>
                </c:pt>
                <c:pt idx="157">
                  <c:v>59.01</c:v>
                </c:pt>
                <c:pt idx="158">
                  <c:v>59.99</c:v>
                </c:pt>
                <c:pt idx="159">
                  <c:v>59.9</c:v>
                </c:pt>
                <c:pt idx="160">
                  <c:v>60.08</c:v>
                </c:pt>
                <c:pt idx="161">
                  <c:v>60.42</c:v>
                </c:pt>
                <c:pt idx="162">
                  <c:v>60.99</c:v>
                </c:pt>
                <c:pt idx="163">
                  <c:v>61.05</c:v>
                </c:pt>
                <c:pt idx="164">
                  <c:v>59.19</c:v>
                </c:pt>
                <c:pt idx="165">
                  <c:v>59.21</c:v>
                </c:pt>
                <c:pt idx="166">
                  <c:v>58.9</c:v>
                </c:pt>
                <c:pt idx="167">
                  <c:v>60.02</c:v>
                </c:pt>
                <c:pt idx="168">
                  <c:v>60.99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6-493F-9E80-C7410E30E2AE}"/>
            </c:ext>
          </c:extLst>
        </c:ser>
        <c:ser>
          <c:idx val="1"/>
          <c:order val="1"/>
          <c:tx>
            <c:strRef>
              <c:f>BB!$C$1</c:f>
              <c:strCache>
                <c:ptCount val="1"/>
                <c:pt idx="0">
                  <c:v>20 Day MA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BB!$A$21:$A$189</c:f>
              <c:numCache>
                <c:formatCode>m/d/yyyy</c:formatCode>
                <c:ptCount val="169"/>
                <c:pt idx="0">
                  <c:v>45502</c:v>
                </c:pt>
                <c:pt idx="1">
                  <c:v>45503</c:v>
                </c:pt>
                <c:pt idx="2">
                  <c:v>45504</c:v>
                </c:pt>
                <c:pt idx="3">
                  <c:v>45505</c:v>
                </c:pt>
                <c:pt idx="4">
                  <c:v>45506</c:v>
                </c:pt>
                <c:pt idx="5">
                  <c:v>45509</c:v>
                </c:pt>
                <c:pt idx="6">
                  <c:v>45510</c:v>
                </c:pt>
                <c:pt idx="7">
                  <c:v>45511</c:v>
                </c:pt>
                <c:pt idx="8">
                  <c:v>45512</c:v>
                </c:pt>
                <c:pt idx="9">
                  <c:v>45513</c:v>
                </c:pt>
                <c:pt idx="10">
                  <c:v>45516</c:v>
                </c:pt>
                <c:pt idx="11">
                  <c:v>45517</c:v>
                </c:pt>
                <c:pt idx="12">
                  <c:v>45518</c:v>
                </c:pt>
                <c:pt idx="13">
                  <c:v>45519</c:v>
                </c:pt>
                <c:pt idx="14">
                  <c:v>45520</c:v>
                </c:pt>
                <c:pt idx="15">
                  <c:v>45523</c:v>
                </c:pt>
                <c:pt idx="16">
                  <c:v>45524</c:v>
                </c:pt>
                <c:pt idx="17">
                  <c:v>45525</c:v>
                </c:pt>
                <c:pt idx="18">
                  <c:v>45526</c:v>
                </c:pt>
                <c:pt idx="19">
                  <c:v>45527</c:v>
                </c:pt>
                <c:pt idx="20">
                  <c:v>45530</c:v>
                </c:pt>
                <c:pt idx="21">
                  <c:v>45531</c:v>
                </c:pt>
                <c:pt idx="22">
                  <c:v>45532</c:v>
                </c:pt>
                <c:pt idx="23">
                  <c:v>45533</c:v>
                </c:pt>
                <c:pt idx="24">
                  <c:v>45534</c:v>
                </c:pt>
                <c:pt idx="25">
                  <c:v>45538</c:v>
                </c:pt>
                <c:pt idx="26">
                  <c:v>45539</c:v>
                </c:pt>
                <c:pt idx="27">
                  <c:v>45540</c:v>
                </c:pt>
                <c:pt idx="28">
                  <c:v>45541</c:v>
                </c:pt>
                <c:pt idx="29">
                  <c:v>45544</c:v>
                </c:pt>
                <c:pt idx="30">
                  <c:v>45545</c:v>
                </c:pt>
                <c:pt idx="31">
                  <c:v>45546</c:v>
                </c:pt>
                <c:pt idx="32">
                  <c:v>45547</c:v>
                </c:pt>
                <c:pt idx="33">
                  <c:v>45548</c:v>
                </c:pt>
                <c:pt idx="34">
                  <c:v>45551</c:v>
                </c:pt>
                <c:pt idx="35">
                  <c:v>45552</c:v>
                </c:pt>
                <c:pt idx="36">
                  <c:v>45553</c:v>
                </c:pt>
                <c:pt idx="37">
                  <c:v>45554</c:v>
                </c:pt>
                <c:pt idx="38">
                  <c:v>45555</c:v>
                </c:pt>
                <c:pt idx="39">
                  <c:v>45558</c:v>
                </c:pt>
                <c:pt idx="40">
                  <c:v>45559</c:v>
                </c:pt>
                <c:pt idx="41">
                  <c:v>45560</c:v>
                </c:pt>
                <c:pt idx="42">
                  <c:v>45561</c:v>
                </c:pt>
                <c:pt idx="43">
                  <c:v>45562</c:v>
                </c:pt>
                <c:pt idx="44">
                  <c:v>45565</c:v>
                </c:pt>
                <c:pt idx="45">
                  <c:v>45566</c:v>
                </c:pt>
                <c:pt idx="46">
                  <c:v>45567</c:v>
                </c:pt>
                <c:pt idx="47">
                  <c:v>45568</c:v>
                </c:pt>
                <c:pt idx="48">
                  <c:v>45569</c:v>
                </c:pt>
                <c:pt idx="49">
                  <c:v>45572</c:v>
                </c:pt>
                <c:pt idx="50">
                  <c:v>45573</c:v>
                </c:pt>
                <c:pt idx="51">
                  <c:v>45574</c:v>
                </c:pt>
                <c:pt idx="52">
                  <c:v>45575</c:v>
                </c:pt>
                <c:pt idx="53">
                  <c:v>45576</c:v>
                </c:pt>
                <c:pt idx="54">
                  <c:v>45579</c:v>
                </c:pt>
                <c:pt idx="55">
                  <c:v>45580</c:v>
                </c:pt>
                <c:pt idx="56">
                  <c:v>45581</c:v>
                </c:pt>
                <c:pt idx="57">
                  <c:v>45582</c:v>
                </c:pt>
                <c:pt idx="58">
                  <c:v>45583</c:v>
                </c:pt>
                <c:pt idx="59">
                  <c:v>45586</c:v>
                </c:pt>
                <c:pt idx="60">
                  <c:v>45587</c:v>
                </c:pt>
                <c:pt idx="61">
                  <c:v>45588</c:v>
                </c:pt>
                <c:pt idx="62">
                  <c:v>45589</c:v>
                </c:pt>
                <c:pt idx="63">
                  <c:v>45590</c:v>
                </c:pt>
                <c:pt idx="64">
                  <c:v>45593</c:v>
                </c:pt>
                <c:pt idx="65">
                  <c:v>45594</c:v>
                </c:pt>
                <c:pt idx="66">
                  <c:v>45595</c:v>
                </c:pt>
                <c:pt idx="67">
                  <c:v>45596</c:v>
                </c:pt>
                <c:pt idx="68">
                  <c:v>45597</c:v>
                </c:pt>
                <c:pt idx="69">
                  <c:v>45600</c:v>
                </c:pt>
                <c:pt idx="70">
                  <c:v>45601</c:v>
                </c:pt>
                <c:pt idx="71">
                  <c:v>45602</c:v>
                </c:pt>
                <c:pt idx="72">
                  <c:v>45603</c:v>
                </c:pt>
                <c:pt idx="73">
                  <c:v>45604</c:v>
                </c:pt>
                <c:pt idx="74">
                  <c:v>45607</c:v>
                </c:pt>
                <c:pt idx="75">
                  <c:v>45608</c:v>
                </c:pt>
                <c:pt idx="76">
                  <c:v>45609</c:v>
                </c:pt>
                <c:pt idx="77">
                  <c:v>45610</c:v>
                </c:pt>
                <c:pt idx="78">
                  <c:v>45611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45621</c:v>
                </c:pt>
                <c:pt idx="85">
                  <c:v>45622</c:v>
                </c:pt>
                <c:pt idx="86">
                  <c:v>45623</c:v>
                </c:pt>
                <c:pt idx="87">
                  <c:v>45625</c:v>
                </c:pt>
                <c:pt idx="88">
                  <c:v>45628</c:v>
                </c:pt>
                <c:pt idx="89">
                  <c:v>45629</c:v>
                </c:pt>
                <c:pt idx="90">
                  <c:v>45630</c:v>
                </c:pt>
                <c:pt idx="91">
                  <c:v>45631</c:v>
                </c:pt>
                <c:pt idx="92">
                  <c:v>45632</c:v>
                </c:pt>
                <c:pt idx="93">
                  <c:v>45635</c:v>
                </c:pt>
                <c:pt idx="94">
                  <c:v>45636</c:v>
                </c:pt>
                <c:pt idx="95">
                  <c:v>45637</c:v>
                </c:pt>
                <c:pt idx="96">
                  <c:v>45638</c:v>
                </c:pt>
                <c:pt idx="97">
                  <c:v>45639</c:v>
                </c:pt>
                <c:pt idx="98">
                  <c:v>45642</c:v>
                </c:pt>
                <c:pt idx="99">
                  <c:v>45643</c:v>
                </c:pt>
                <c:pt idx="100">
                  <c:v>45644</c:v>
                </c:pt>
                <c:pt idx="101">
                  <c:v>45645</c:v>
                </c:pt>
                <c:pt idx="102">
                  <c:v>45646</c:v>
                </c:pt>
                <c:pt idx="103">
                  <c:v>45649</c:v>
                </c:pt>
                <c:pt idx="104">
                  <c:v>45650</c:v>
                </c:pt>
                <c:pt idx="105">
                  <c:v>45652</c:v>
                </c:pt>
                <c:pt idx="106">
                  <c:v>45653</c:v>
                </c:pt>
                <c:pt idx="107">
                  <c:v>45656</c:v>
                </c:pt>
                <c:pt idx="108">
                  <c:v>45657</c:v>
                </c:pt>
                <c:pt idx="109">
                  <c:v>45659</c:v>
                </c:pt>
                <c:pt idx="110">
                  <c:v>45660</c:v>
                </c:pt>
                <c:pt idx="111">
                  <c:v>45663</c:v>
                </c:pt>
                <c:pt idx="112">
                  <c:v>45664</c:v>
                </c:pt>
                <c:pt idx="113">
                  <c:v>45665</c:v>
                </c:pt>
                <c:pt idx="114">
                  <c:v>45667</c:v>
                </c:pt>
                <c:pt idx="115">
                  <c:v>45670</c:v>
                </c:pt>
                <c:pt idx="116">
                  <c:v>45671</c:v>
                </c:pt>
                <c:pt idx="117">
                  <c:v>45672</c:v>
                </c:pt>
                <c:pt idx="118">
                  <c:v>45673</c:v>
                </c:pt>
                <c:pt idx="119">
                  <c:v>45674</c:v>
                </c:pt>
                <c:pt idx="120">
                  <c:v>45678</c:v>
                </c:pt>
                <c:pt idx="121">
                  <c:v>45679</c:v>
                </c:pt>
                <c:pt idx="122">
                  <c:v>45680</c:v>
                </c:pt>
                <c:pt idx="123">
                  <c:v>45681</c:v>
                </c:pt>
                <c:pt idx="124">
                  <c:v>45684</c:v>
                </c:pt>
                <c:pt idx="125">
                  <c:v>45685</c:v>
                </c:pt>
                <c:pt idx="126">
                  <c:v>45686</c:v>
                </c:pt>
                <c:pt idx="127">
                  <c:v>45687</c:v>
                </c:pt>
                <c:pt idx="128">
                  <c:v>45688</c:v>
                </c:pt>
                <c:pt idx="129">
                  <c:v>45691</c:v>
                </c:pt>
                <c:pt idx="130">
                  <c:v>45692</c:v>
                </c:pt>
                <c:pt idx="131">
                  <c:v>45693</c:v>
                </c:pt>
                <c:pt idx="132">
                  <c:v>45694</c:v>
                </c:pt>
                <c:pt idx="133">
                  <c:v>45695</c:v>
                </c:pt>
                <c:pt idx="134">
                  <c:v>45698</c:v>
                </c:pt>
                <c:pt idx="135">
                  <c:v>45699</c:v>
                </c:pt>
                <c:pt idx="136">
                  <c:v>45700</c:v>
                </c:pt>
                <c:pt idx="137">
                  <c:v>45701</c:v>
                </c:pt>
                <c:pt idx="138">
                  <c:v>45702</c:v>
                </c:pt>
                <c:pt idx="139">
                  <c:v>45706</c:v>
                </c:pt>
                <c:pt idx="140">
                  <c:v>45707</c:v>
                </c:pt>
                <c:pt idx="141">
                  <c:v>45708</c:v>
                </c:pt>
                <c:pt idx="142">
                  <c:v>45709</c:v>
                </c:pt>
                <c:pt idx="143">
                  <c:v>45712</c:v>
                </c:pt>
                <c:pt idx="144">
                  <c:v>45713</c:v>
                </c:pt>
                <c:pt idx="145">
                  <c:v>45714</c:v>
                </c:pt>
                <c:pt idx="146">
                  <c:v>45715</c:v>
                </c:pt>
                <c:pt idx="147">
                  <c:v>45716</c:v>
                </c:pt>
                <c:pt idx="148">
                  <c:v>45719</c:v>
                </c:pt>
                <c:pt idx="149">
                  <c:v>45720</c:v>
                </c:pt>
                <c:pt idx="150">
                  <c:v>45721</c:v>
                </c:pt>
                <c:pt idx="151">
                  <c:v>45722</c:v>
                </c:pt>
                <c:pt idx="152">
                  <c:v>45723</c:v>
                </c:pt>
                <c:pt idx="153">
                  <c:v>45726</c:v>
                </c:pt>
                <c:pt idx="154">
                  <c:v>45727</c:v>
                </c:pt>
                <c:pt idx="155">
                  <c:v>45728</c:v>
                </c:pt>
                <c:pt idx="156">
                  <c:v>45729</c:v>
                </c:pt>
                <c:pt idx="157">
                  <c:v>45730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45740</c:v>
                </c:pt>
                <c:pt idx="164">
                  <c:v>45741</c:v>
                </c:pt>
                <c:pt idx="165">
                  <c:v>45742</c:v>
                </c:pt>
                <c:pt idx="166">
                  <c:v>45743</c:v>
                </c:pt>
                <c:pt idx="167">
                  <c:v>45744</c:v>
                </c:pt>
                <c:pt idx="168">
                  <c:v>45747</c:v>
                </c:pt>
              </c:numCache>
            </c:numRef>
          </c:cat>
          <c:val>
            <c:numRef>
              <c:f>BB!$C$21:$C$189</c:f>
              <c:numCache>
                <c:formatCode>General</c:formatCode>
                <c:ptCount val="169"/>
                <c:pt idx="0">
                  <c:v>42.459499999999998</c:v>
                </c:pt>
                <c:pt idx="1">
                  <c:v>42.846999999999994</c:v>
                </c:pt>
                <c:pt idx="2">
                  <c:v>43.202500000000001</c:v>
                </c:pt>
                <c:pt idx="3">
                  <c:v>43.607999999999997</c:v>
                </c:pt>
                <c:pt idx="4">
                  <c:v>44.063499999999991</c:v>
                </c:pt>
                <c:pt idx="5">
                  <c:v>44.443499999999993</c:v>
                </c:pt>
                <c:pt idx="6">
                  <c:v>44.765999999999998</c:v>
                </c:pt>
                <c:pt idx="7">
                  <c:v>45.035000000000004</c:v>
                </c:pt>
                <c:pt idx="8">
                  <c:v>45.339999999999989</c:v>
                </c:pt>
                <c:pt idx="9">
                  <c:v>45.653000000000006</c:v>
                </c:pt>
                <c:pt idx="10">
                  <c:v>45.9985</c:v>
                </c:pt>
                <c:pt idx="11">
                  <c:v>46.391500000000008</c:v>
                </c:pt>
                <c:pt idx="12">
                  <c:v>46.654499999999999</c:v>
                </c:pt>
                <c:pt idx="13">
                  <c:v>46.990500000000011</c:v>
                </c:pt>
                <c:pt idx="14">
                  <c:v>47.326500000000003</c:v>
                </c:pt>
                <c:pt idx="15">
                  <c:v>47.658000000000001</c:v>
                </c:pt>
                <c:pt idx="16">
                  <c:v>47.957999999999998</c:v>
                </c:pt>
                <c:pt idx="17">
                  <c:v>48.146999999999991</c:v>
                </c:pt>
                <c:pt idx="18">
                  <c:v>48.264499999999991</c:v>
                </c:pt>
                <c:pt idx="19">
                  <c:v>48.147499999999994</c:v>
                </c:pt>
                <c:pt idx="20">
                  <c:v>48.110500000000002</c:v>
                </c:pt>
                <c:pt idx="21">
                  <c:v>48.064000000000007</c:v>
                </c:pt>
                <c:pt idx="22">
                  <c:v>48.138999999999996</c:v>
                </c:pt>
                <c:pt idx="23">
                  <c:v>48.216500000000011</c:v>
                </c:pt>
                <c:pt idx="24">
                  <c:v>48.275500000000008</c:v>
                </c:pt>
                <c:pt idx="25">
                  <c:v>48.422000000000004</c:v>
                </c:pt>
                <c:pt idx="26">
                  <c:v>48.554500000000004</c:v>
                </c:pt>
                <c:pt idx="27">
                  <c:v>48.719500000000004</c:v>
                </c:pt>
                <c:pt idx="28">
                  <c:v>48.812000000000012</c:v>
                </c:pt>
                <c:pt idx="29">
                  <c:v>48.90100000000001</c:v>
                </c:pt>
                <c:pt idx="30">
                  <c:v>49.012</c:v>
                </c:pt>
                <c:pt idx="31">
                  <c:v>48.988500000000002</c:v>
                </c:pt>
                <c:pt idx="32">
                  <c:v>48.980000000000004</c:v>
                </c:pt>
                <c:pt idx="33">
                  <c:v>48.981000000000009</c:v>
                </c:pt>
                <c:pt idx="34">
                  <c:v>49.012500000000003</c:v>
                </c:pt>
                <c:pt idx="35">
                  <c:v>49.021999999999998</c:v>
                </c:pt>
                <c:pt idx="36">
                  <c:v>49.06</c:v>
                </c:pt>
                <c:pt idx="37">
                  <c:v>49.088999999999999</c:v>
                </c:pt>
                <c:pt idx="38">
                  <c:v>49.1785</c:v>
                </c:pt>
                <c:pt idx="39">
                  <c:v>49.273499999999999</c:v>
                </c:pt>
                <c:pt idx="40">
                  <c:v>49.408500000000004</c:v>
                </c:pt>
                <c:pt idx="41">
                  <c:v>49.5</c:v>
                </c:pt>
                <c:pt idx="42">
                  <c:v>49.553000000000004</c:v>
                </c:pt>
                <c:pt idx="43">
                  <c:v>49.612499999999997</c:v>
                </c:pt>
                <c:pt idx="44">
                  <c:v>49.701999999999998</c:v>
                </c:pt>
                <c:pt idx="45">
                  <c:v>49.820999999999998</c:v>
                </c:pt>
                <c:pt idx="46">
                  <c:v>50.010999999999996</c:v>
                </c:pt>
                <c:pt idx="47">
                  <c:v>50.231000000000002</c:v>
                </c:pt>
                <c:pt idx="48">
                  <c:v>50.494</c:v>
                </c:pt>
                <c:pt idx="49">
                  <c:v>50.741</c:v>
                </c:pt>
                <c:pt idx="50">
                  <c:v>50.900999999999996</c:v>
                </c:pt>
                <c:pt idx="51">
                  <c:v>51.111499999999999</c:v>
                </c:pt>
                <c:pt idx="52">
                  <c:v>51.319500000000005</c:v>
                </c:pt>
                <c:pt idx="53">
                  <c:v>51.472999999999999</c:v>
                </c:pt>
                <c:pt idx="54">
                  <c:v>51.607000000000006</c:v>
                </c:pt>
                <c:pt idx="55">
                  <c:v>51.770500000000006</c:v>
                </c:pt>
                <c:pt idx="56">
                  <c:v>51.951999999999998</c:v>
                </c:pt>
                <c:pt idx="57">
                  <c:v>52.160000000000004</c:v>
                </c:pt>
                <c:pt idx="58">
                  <c:v>52.35049999999999</c:v>
                </c:pt>
                <c:pt idx="59">
                  <c:v>52.455999999999996</c:v>
                </c:pt>
                <c:pt idx="60">
                  <c:v>52.54699999999999</c:v>
                </c:pt>
                <c:pt idx="61">
                  <c:v>52.702500000000001</c:v>
                </c:pt>
                <c:pt idx="62">
                  <c:v>52.842500000000008</c:v>
                </c:pt>
                <c:pt idx="63">
                  <c:v>52.892999999999994</c:v>
                </c:pt>
                <c:pt idx="64">
                  <c:v>52.938000000000002</c:v>
                </c:pt>
                <c:pt idx="65">
                  <c:v>52.918000000000006</c:v>
                </c:pt>
                <c:pt idx="66">
                  <c:v>52.862999999999985</c:v>
                </c:pt>
                <c:pt idx="67">
                  <c:v>52.941499999999998</c:v>
                </c:pt>
                <c:pt idx="68">
                  <c:v>52.959499999999991</c:v>
                </c:pt>
                <c:pt idx="69">
                  <c:v>53.059999999999988</c:v>
                </c:pt>
                <c:pt idx="70">
                  <c:v>53.233499999999992</c:v>
                </c:pt>
                <c:pt idx="71">
                  <c:v>53.357500000000002</c:v>
                </c:pt>
                <c:pt idx="72">
                  <c:v>53.472999999999999</c:v>
                </c:pt>
                <c:pt idx="73">
                  <c:v>53.570000000000007</c:v>
                </c:pt>
                <c:pt idx="74">
                  <c:v>53.927500000000009</c:v>
                </c:pt>
                <c:pt idx="75">
                  <c:v>54.240500000000011</c:v>
                </c:pt>
                <c:pt idx="76">
                  <c:v>54.492500000000021</c:v>
                </c:pt>
                <c:pt idx="77">
                  <c:v>54.758500000000005</c:v>
                </c:pt>
                <c:pt idx="78">
                  <c:v>54.908500000000018</c:v>
                </c:pt>
                <c:pt idx="79">
                  <c:v>55.142499999999998</c:v>
                </c:pt>
                <c:pt idx="80">
                  <c:v>55.416000000000011</c:v>
                </c:pt>
                <c:pt idx="81">
                  <c:v>55.657000000000004</c:v>
                </c:pt>
                <c:pt idx="82">
                  <c:v>55.922499999999999</c:v>
                </c:pt>
                <c:pt idx="83">
                  <c:v>56.269999999999996</c:v>
                </c:pt>
                <c:pt idx="84">
                  <c:v>56.576999999999984</c:v>
                </c:pt>
                <c:pt idx="85">
                  <c:v>56.888999999999996</c:v>
                </c:pt>
                <c:pt idx="86">
                  <c:v>57.219499999999996</c:v>
                </c:pt>
                <c:pt idx="87">
                  <c:v>57.391999999999996</c:v>
                </c:pt>
                <c:pt idx="88">
                  <c:v>57.673000000000002</c:v>
                </c:pt>
                <c:pt idx="89">
                  <c:v>57.835000000000001</c:v>
                </c:pt>
                <c:pt idx="90">
                  <c:v>57.955999999999996</c:v>
                </c:pt>
                <c:pt idx="91">
                  <c:v>58.133999999999993</c:v>
                </c:pt>
                <c:pt idx="92">
                  <c:v>58.367500000000007</c:v>
                </c:pt>
                <c:pt idx="93">
                  <c:v>58.596000000000018</c:v>
                </c:pt>
                <c:pt idx="94">
                  <c:v>58.511000000000003</c:v>
                </c:pt>
                <c:pt idx="95">
                  <c:v>58.392500000000005</c:v>
                </c:pt>
                <c:pt idx="96">
                  <c:v>58.286000000000016</c:v>
                </c:pt>
                <c:pt idx="97">
                  <c:v>58.150000000000013</c:v>
                </c:pt>
                <c:pt idx="98">
                  <c:v>58.132500000000007</c:v>
                </c:pt>
                <c:pt idx="99">
                  <c:v>58.175000000000011</c:v>
                </c:pt>
                <c:pt idx="100">
                  <c:v>58.105499999999992</c:v>
                </c:pt>
                <c:pt idx="101">
                  <c:v>58.026499999999999</c:v>
                </c:pt>
                <c:pt idx="102">
                  <c:v>57.981499999999997</c:v>
                </c:pt>
                <c:pt idx="103">
                  <c:v>57.916999999999994</c:v>
                </c:pt>
                <c:pt idx="104">
                  <c:v>57.866</c:v>
                </c:pt>
                <c:pt idx="105">
                  <c:v>57.828999999999994</c:v>
                </c:pt>
                <c:pt idx="106">
                  <c:v>57.749499999999998</c:v>
                </c:pt>
                <c:pt idx="107">
                  <c:v>57.591500000000011</c:v>
                </c:pt>
                <c:pt idx="108">
                  <c:v>57.422499999999992</c:v>
                </c:pt>
                <c:pt idx="109">
                  <c:v>57.327500000000001</c:v>
                </c:pt>
                <c:pt idx="110">
                  <c:v>57.23749999999999</c:v>
                </c:pt>
                <c:pt idx="111">
                  <c:v>57.129499999999993</c:v>
                </c:pt>
                <c:pt idx="112">
                  <c:v>57.017499999999998</c:v>
                </c:pt>
                <c:pt idx="113">
                  <c:v>56.922499999999992</c:v>
                </c:pt>
                <c:pt idx="114">
                  <c:v>56.807999999999993</c:v>
                </c:pt>
                <c:pt idx="115">
                  <c:v>56.743499999999983</c:v>
                </c:pt>
                <c:pt idx="116">
                  <c:v>56.716499999999996</c:v>
                </c:pt>
                <c:pt idx="117">
                  <c:v>56.722999999999999</c:v>
                </c:pt>
                <c:pt idx="118">
                  <c:v>56.748500000000014</c:v>
                </c:pt>
                <c:pt idx="119">
                  <c:v>56.680499999999995</c:v>
                </c:pt>
                <c:pt idx="120">
                  <c:v>56.6905</c:v>
                </c:pt>
                <c:pt idx="121">
                  <c:v>56.73</c:v>
                </c:pt>
                <c:pt idx="122">
                  <c:v>56.820500000000003</c:v>
                </c:pt>
                <c:pt idx="123">
                  <c:v>56.924999999999997</c:v>
                </c:pt>
                <c:pt idx="124">
                  <c:v>57.066999999999993</c:v>
                </c:pt>
                <c:pt idx="125">
                  <c:v>57.104999999999997</c:v>
                </c:pt>
                <c:pt idx="126">
                  <c:v>57.17349999999999</c:v>
                </c:pt>
                <c:pt idx="127">
                  <c:v>57.327500000000001</c:v>
                </c:pt>
                <c:pt idx="128">
                  <c:v>57.447000000000003</c:v>
                </c:pt>
                <c:pt idx="129">
                  <c:v>57.604999999999997</c:v>
                </c:pt>
                <c:pt idx="130">
                  <c:v>57.732499999999995</c:v>
                </c:pt>
                <c:pt idx="131">
                  <c:v>57.883999999999993</c:v>
                </c:pt>
                <c:pt idx="132">
                  <c:v>57.898000000000003</c:v>
                </c:pt>
                <c:pt idx="133">
                  <c:v>57.9</c:v>
                </c:pt>
                <c:pt idx="134">
                  <c:v>57.885000000000005</c:v>
                </c:pt>
                <c:pt idx="135">
                  <c:v>57.914000000000001</c:v>
                </c:pt>
                <c:pt idx="136">
                  <c:v>57.934500000000014</c:v>
                </c:pt>
                <c:pt idx="137">
                  <c:v>57.937500000000014</c:v>
                </c:pt>
                <c:pt idx="138">
                  <c:v>57.813500000000019</c:v>
                </c:pt>
                <c:pt idx="139">
                  <c:v>57.720500000000001</c:v>
                </c:pt>
                <c:pt idx="140">
                  <c:v>57.617500000000007</c:v>
                </c:pt>
                <c:pt idx="141">
                  <c:v>57.552499999999995</c:v>
                </c:pt>
                <c:pt idx="142">
                  <c:v>57.386999999999979</c:v>
                </c:pt>
                <c:pt idx="143">
                  <c:v>57.297499999999999</c:v>
                </c:pt>
                <c:pt idx="144">
                  <c:v>57.177999999999997</c:v>
                </c:pt>
                <c:pt idx="145">
                  <c:v>57.109000000000016</c:v>
                </c:pt>
                <c:pt idx="146">
                  <c:v>57.096500000000006</c:v>
                </c:pt>
                <c:pt idx="147">
                  <c:v>57.120500000000007</c:v>
                </c:pt>
                <c:pt idx="148">
                  <c:v>57.166499999999985</c:v>
                </c:pt>
                <c:pt idx="149">
                  <c:v>57.140999999999998</c:v>
                </c:pt>
                <c:pt idx="150">
                  <c:v>57.175999999999988</c:v>
                </c:pt>
                <c:pt idx="151">
                  <c:v>57.1995</c:v>
                </c:pt>
                <c:pt idx="152">
                  <c:v>57.382999999999996</c:v>
                </c:pt>
                <c:pt idx="153">
                  <c:v>57.695999999999991</c:v>
                </c:pt>
                <c:pt idx="154">
                  <c:v>57.99499999999999</c:v>
                </c:pt>
                <c:pt idx="155">
                  <c:v>58.188499999999998</c:v>
                </c:pt>
                <c:pt idx="156">
                  <c:v>58.394999999999996</c:v>
                </c:pt>
                <c:pt idx="157">
                  <c:v>58.54699999999999</c:v>
                </c:pt>
                <c:pt idx="158">
                  <c:v>58.851500000000001</c:v>
                </c:pt>
                <c:pt idx="159">
                  <c:v>59.125</c:v>
                </c:pt>
                <c:pt idx="160">
                  <c:v>59.38000000000001</c:v>
                </c:pt>
                <c:pt idx="161">
                  <c:v>59.611499999999999</c:v>
                </c:pt>
                <c:pt idx="162">
                  <c:v>59.869500000000002</c:v>
                </c:pt>
                <c:pt idx="163">
                  <c:v>60.027999999999999</c:v>
                </c:pt>
                <c:pt idx="164">
                  <c:v>60.076999999999998</c:v>
                </c:pt>
                <c:pt idx="165">
                  <c:v>60.168500000000009</c:v>
                </c:pt>
                <c:pt idx="166">
                  <c:v>60.173500000000011</c:v>
                </c:pt>
                <c:pt idx="167">
                  <c:v>60.193500000000007</c:v>
                </c:pt>
                <c:pt idx="168">
                  <c:v>60.249499999999998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06-493F-9E80-C7410E30E2AE}"/>
            </c:ext>
          </c:extLst>
        </c:ser>
        <c:ser>
          <c:idx val="2"/>
          <c:order val="2"/>
          <c:tx>
            <c:strRef>
              <c:f>BB!$E$1</c:f>
              <c:strCache>
                <c:ptCount val="1"/>
                <c:pt idx="0">
                  <c:v>Upper Band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BB!$A$21:$A$189</c:f>
              <c:numCache>
                <c:formatCode>m/d/yyyy</c:formatCode>
                <c:ptCount val="169"/>
                <c:pt idx="0">
                  <c:v>45502</c:v>
                </c:pt>
                <c:pt idx="1">
                  <c:v>45503</c:v>
                </c:pt>
                <c:pt idx="2">
                  <c:v>45504</c:v>
                </c:pt>
                <c:pt idx="3">
                  <c:v>45505</c:v>
                </c:pt>
                <c:pt idx="4">
                  <c:v>45506</c:v>
                </c:pt>
                <c:pt idx="5">
                  <c:v>45509</c:v>
                </c:pt>
                <c:pt idx="6">
                  <c:v>45510</c:v>
                </c:pt>
                <c:pt idx="7">
                  <c:v>45511</c:v>
                </c:pt>
                <c:pt idx="8">
                  <c:v>45512</c:v>
                </c:pt>
                <c:pt idx="9">
                  <c:v>45513</c:v>
                </c:pt>
                <c:pt idx="10">
                  <c:v>45516</c:v>
                </c:pt>
                <c:pt idx="11">
                  <c:v>45517</c:v>
                </c:pt>
                <c:pt idx="12">
                  <c:v>45518</c:v>
                </c:pt>
                <c:pt idx="13">
                  <c:v>45519</c:v>
                </c:pt>
                <c:pt idx="14">
                  <c:v>45520</c:v>
                </c:pt>
                <c:pt idx="15">
                  <c:v>45523</c:v>
                </c:pt>
                <c:pt idx="16">
                  <c:v>45524</c:v>
                </c:pt>
                <c:pt idx="17">
                  <c:v>45525</c:v>
                </c:pt>
                <c:pt idx="18">
                  <c:v>45526</c:v>
                </c:pt>
                <c:pt idx="19">
                  <c:v>45527</c:v>
                </c:pt>
                <c:pt idx="20">
                  <c:v>45530</c:v>
                </c:pt>
                <c:pt idx="21">
                  <c:v>45531</c:v>
                </c:pt>
                <c:pt idx="22">
                  <c:v>45532</c:v>
                </c:pt>
                <c:pt idx="23">
                  <c:v>45533</c:v>
                </c:pt>
                <c:pt idx="24">
                  <c:v>45534</c:v>
                </c:pt>
                <c:pt idx="25">
                  <c:v>45538</c:v>
                </c:pt>
                <c:pt idx="26">
                  <c:v>45539</c:v>
                </c:pt>
                <c:pt idx="27">
                  <c:v>45540</c:v>
                </c:pt>
                <c:pt idx="28">
                  <c:v>45541</c:v>
                </c:pt>
                <c:pt idx="29">
                  <c:v>45544</c:v>
                </c:pt>
                <c:pt idx="30">
                  <c:v>45545</c:v>
                </c:pt>
                <c:pt idx="31">
                  <c:v>45546</c:v>
                </c:pt>
                <c:pt idx="32">
                  <c:v>45547</c:v>
                </c:pt>
                <c:pt idx="33">
                  <c:v>45548</c:v>
                </c:pt>
                <c:pt idx="34">
                  <c:v>45551</c:v>
                </c:pt>
                <c:pt idx="35">
                  <c:v>45552</c:v>
                </c:pt>
                <c:pt idx="36">
                  <c:v>45553</c:v>
                </c:pt>
                <c:pt idx="37">
                  <c:v>45554</c:v>
                </c:pt>
                <c:pt idx="38">
                  <c:v>45555</c:v>
                </c:pt>
                <c:pt idx="39">
                  <c:v>45558</c:v>
                </c:pt>
                <c:pt idx="40">
                  <c:v>45559</c:v>
                </c:pt>
                <c:pt idx="41">
                  <c:v>45560</c:v>
                </c:pt>
                <c:pt idx="42">
                  <c:v>45561</c:v>
                </c:pt>
                <c:pt idx="43">
                  <c:v>45562</c:v>
                </c:pt>
                <c:pt idx="44">
                  <c:v>45565</c:v>
                </c:pt>
                <c:pt idx="45">
                  <c:v>45566</c:v>
                </c:pt>
                <c:pt idx="46">
                  <c:v>45567</c:v>
                </c:pt>
                <c:pt idx="47">
                  <c:v>45568</c:v>
                </c:pt>
                <c:pt idx="48">
                  <c:v>45569</c:v>
                </c:pt>
                <c:pt idx="49">
                  <c:v>45572</c:v>
                </c:pt>
                <c:pt idx="50">
                  <c:v>45573</c:v>
                </c:pt>
                <c:pt idx="51">
                  <c:v>45574</c:v>
                </c:pt>
                <c:pt idx="52">
                  <c:v>45575</c:v>
                </c:pt>
                <c:pt idx="53">
                  <c:v>45576</c:v>
                </c:pt>
                <c:pt idx="54">
                  <c:v>45579</c:v>
                </c:pt>
                <c:pt idx="55">
                  <c:v>45580</c:v>
                </c:pt>
                <c:pt idx="56">
                  <c:v>45581</c:v>
                </c:pt>
                <c:pt idx="57">
                  <c:v>45582</c:v>
                </c:pt>
                <c:pt idx="58">
                  <c:v>45583</c:v>
                </c:pt>
                <c:pt idx="59">
                  <c:v>45586</c:v>
                </c:pt>
                <c:pt idx="60">
                  <c:v>45587</c:v>
                </c:pt>
                <c:pt idx="61">
                  <c:v>45588</c:v>
                </c:pt>
                <c:pt idx="62">
                  <c:v>45589</c:v>
                </c:pt>
                <c:pt idx="63">
                  <c:v>45590</c:v>
                </c:pt>
                <c:pt idx="64">
                  <c:v>45593</c:v>
                </c:pt>
                <c:pt idx="65">
                  <c:v>45594</c:v>
                </c:pt>
                <c:pt idx="66">
                  <c:v>45595</c:v>
                </c:pt>
                <c:pt idx="67">
                  <c:v>45596</c:v>
                </c:pt>
                <c:pt idx="68">
                  <c:v>45597</c:v>
                </c:pt>
                <c:pt idx="69">
                  <c:v>45600</c:v>
                </c:pt>
                <c:pt idx="70">
                  <c:v>45601</c:v>
                </c:pt>
                <c:pt idx="71">
                  <c:v>45602</c:v>
                </c:pt>
                <c:pt idx="72">
                  <c:v>45603</c:v>
                </c:pt>
                <c:pt idx="73">
                  <c:v>45604</c:v>
                </c:pt>
                <c:pt idx="74">
                  <c:v>45607</c:v>
                </c:pt>
                <c:pt idx="75">
                  <c:v>45608</c:v>
                </c:pt>
                <c:pt idx="76">
                  <c:v>45609</c:v>
                </c:pt>
                <c:pt idx="77">
                  <c:v>45610</c:v>
                </c:pt>
                <c:pt idx="78">
                  <c:v>45611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45621</c:v>
                </c:pt>
                <c:pt idx="85">
                  <c:v>45622</c:v>
                </c:pt>
                <c:pt idx="86">
                  <c:v>45623</c:v>
                </c:pt>
                <c:pt idx="87">
                  <c:v>45625</c:v>
                </c:pt>
                <c:pt idx="88">
                  <c:v>45628</c:v>
                </c:pt>
                <c:pt idx="89">
                  <c:v>45629</c:v>
                </c:pt>
                <c:pt idx="90">
                  <c:v>45630</c:v>
                </c:pt>
                <c:pt idx="91">
                  <c:v>45631</c:v>
                </c:pt>
                <c:pt idx="92">
                  <c:v>45632</c:v>
                </c:pt>
                <c:pt idx="93">
                  <c:v>45635</c:v>
                </c:pt>
                <c:pt idx="94">
                  <c:v>45636</c:v>
                </c:pt>
                <c:pt idx="95">
                  <c:v>45637</c:v>
                </c:pt>
                <c:pt idx="96">
                  <c:v>45638</c:v>
                </c:pt>
                <c:pt idx="97">
                  <c:v>45639</c:v>
                </c:pt>
                <c:pt idx="98">
                  <c:v>45642</c:v>
                </c:pt>
                <c:pt idx="99">
                  <c:v>45643</c:v>
                </c:pt>
                <c:pt idx="100">
                  <c:v>45644</c:v>
                </c:pt>
                <c:pt idx="101">
                  <c:v>45645</c:v>
                </c:pt>
                <c:pt idx="102">
                  <c:v>45646</c:v>
                </c:pt>
                <c:pt idx="103">
                  <c:v>45649</c:v>
                </c:pt>
                <c:pt idx="104">
                  <c:v>45650</c:v>
                </c:pt>
                <c:pt idx="105">
                  <c:v>45652</c:v>
                </c:pt>
                <c:pt idx="106">
                  <c:v>45653</c:v>
                </c:pt>
                <c:pt idx="107">
                  <c:v>45656</c:v>
                </c:pt>
                <c:pt idx="108">
                  <c:v>45657</c:v>
                </c:pt>
                <c:pt idx="109">
                  <c:v>45659</c:v>
                </c:pt>
                <c:pt idx="110">
                  <c:v>45660</c:v>
                </c:pt>
                <c:pt idx="111">
                  <c:v>45663</c:v>
                </c:pt>
                <c:pt idx="112">
                  <c:v>45664</c:v>
                </c:pt>
                <c:pt idx="113">
                  <c:v>45665</c:v>
                </c:pt>
                <c:pt idx="114">
                  <c:v>45667</c:v>
                </c:pt>
                <c:pt idx="115">
                  <c:v>45670</c:v>
                </c:pt>
                <c:pt idx="116">
                  <c:v>45671</c:v>
                </c:pt>
                <c:pt idx="117">
                  <c:v>45672</c:v>
                </c:pt>
                <c:pt idx="118">
                  <c:v>45673</c:v>
                </c:pt>
                <c:pt idx="119">
                  <c:v>45674</c:v>
                </c:pt>
                <c:pt idx="120">
                  <c:v>45678</c:v>
                </c:pt>
                <c:pt idx="121">
                  <c:v>45679</c:v>
                </c:pt>
                <c:pt idx="122">
                  <c:v>45680</c:v>
                </c:pt>
                <c:pt idx="123">
                  <c:v>45681</c:v>
                </c:pt>
                <c:pt idx="124">
                  <c:v>45684</c:v>
                </c:pt>
                <c:pt idx="125">
                  <c:v>45685</c:v>
                </c:pt>
                <c:pt idx="126">
                  <c:v>45686</c:v>
                </c:pt>
                <c:pt idx="127">
                  <c:v>45687</c:v>
                </c:pt>
                <c:pt idx="128">
                  <c:v>45688</c:v>
                </c:pt>
                <c:pt idx="129">
                  <c:v>45691</c:v>
                </c:pt>
                <c:pt idx="130">
                  <c:v>45692</c:v>
                </c:pt>
                <c:pt idx="131">
                  <c:v>45693</c:v>
                </c:pt>
                <c:pt idx="132">
                  <c:v>45694</c:v>
                </c:pt>
                <c:pt idx="133">
                  <c:v>45695</c:v>
                </c:pt>
                <c:pt idx="134">
                  <c:v>45698</c:v>
                </c:pt>
                <c:pt idx="135">
                  <c:v>45699</c:v>
                </c:pt>
                <c:pt idx="136">
                  <c:v>45700</c:v>
                </c:pt>
                <c:pt idx="137">
                  <c:v>45701</c:v>
                </c:pt>
                <c:pt idx="138">
                  <c:v>45702</c:v>
                </c:pt>
                <c:pt idx="139">
                  <c:v>45706</c:v>
                </c:pt>
                <c:pt idx="140">
                  <c:v>45707</c:v>
                </c:pt>
                <c:pt idx="141">
                  <c:v>45708</c:v>
                </c:pt>
                <c:pt idx="142">
                  <c:v>45709</c:v>
                </c:pt>
                <c:pt idx="143">
                  <c:v>45712</c:v>
                </c:pt>
                <c:pt idx="144">
                  <c:v>45713</c:v>
                </c:pt>
                <c:pt idx="145">
                  <c:v>45714</c:v>
                </c:pt>
                <c:pt idx="146">
                  <c:v>45715</c:v>
                </c:pt>
                <c:pt idx="147">
                  <c:v>45716</c:v>
                </c:pt>
                <c:pt idx="148">
                  <c:v>45719</c:v>
                </c:pt>
                <c:pt idx="149">
                  <c:v>45720</c:v>
                </c:pt>
                <c:pt idx="150">
                  <c:v>45721</c:v>
                </c:pt>
                <c:pt idx="151">
                  <c:v>45722</c:v>
                </c:pt>
                <c:pt idx="152">
                  <c:v>45723</c:v>
                </c:pt>
                <c:pt idx="153">
                  <c:v>45726</c:v>
                </c:pt>
                <c:pt idx="154">
                  <c:v>45727</c:v>
                </c:pt>
                <c:pt idx="155">
                  <c:v>45728</c:v>
                </c:pt>
                <c:pt idx="156">
                  <c:v>45729</c:v>
                </c:pt>
                <c:pt idx="157">
                  <c:v>45730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45740</c:v>
                </c:pt>
                <c:pt idx="164">
                  <c:v>45741</c:v>
                </c:pt>
                <c:pt idx="165">
                  <c:v>45742</c:v>
                </c:pt>
                <c:pt idx="166">
                  <c:v>45743</c:v>
                </c:pt>
                <c:pt idx="167">
                  <c:v>45744</c:v>
                </c:pt>
                <c:pt idx="168">
                  <c:v>45747</c:v>
                </c:pt>
              </c:numCache>
            </c:numRef>
          </c:cat>
          <c:val>
            <c:numRef>
              <c:f>BB!$E$21:$E$189</c:f>
              <c:numCache>
                <c:formatCode>General</c:formatCode>
                <c:ptCount val="169"/>
                <c:pt idx="0">
                  <c:v>48.321141498132718</c:v>
                </c:pt>
                <c:pt idx="1">
                  <c:v>49.372925947609588</c:v>
                </c:pt>
                <c:pt idx="2">
                  <c:v>49.94951922489129</c:v>
                </c:pt>
                <c:pt idx="3">
                  <c:v>50.532296202123128</c:v>
                </c:pt>
                <c:pt idx="4">
                  <c:v>51.092056114354605</c:v>
                </c:pt>
                <c:pt idx="5">
                  <c:v>51.365739598037003</c:v>
                </c:pt>
                <c:pt idx="6">
                  <c:v>51.585521205604117</c:v>
                </c:pt>
                <c:pt idx="7">
                  <c:v>51.670932489108068</c:v>
                </c:pt>
                <c:pt idx="8">
                  <c:v>51.701754144060708</c:v>
                </c:pt>
                <c:pt idx="9">
                  <c:v>51.606720110812638</c:v>
                </c:pt>
                <c:pt idx="10">
                  <c:v>51.382324799683232</c:v>
                </c:pt>
                <c:pt idx="11">
                  <c:v>51.437387434337005</c:v>
                </c:pt>
                <c:pt idx="12">
                  <c:v>51.534605585570439</c:v>
                </c:pt>
                <c:pt idx="13">
                  <c:v>51.549098468827907</c:v>
                </c:pt>
                <c:pt idx="14">
                  <c:v>51.510143715332617</c:v>
                </c:pt>
                <c:pt idx="15">
                  <c:v>51.304267594187387</c:v>
                </c:pt>
                <c:pt idx="16">
                  <c:v>50.903702311039446</c:v>
                </c:pt>
                <c:pt idx="17">
                  <c:v>50.654152715101745</c:v>
                </c:pt>
                <c:pt idx="18">
                  <c:v>50.396071942808497</c:v>
                </c:pt>
                <c:pt idx="19">
                  <c:v>50.014429649394813</c:v>
                </c:pt>
                <c:pt idx="20">
                  <c:v>49.936850689792422</c:v>
                </c:pt>
                <c:pt idx="21">
                  <c:v>49.836187467807129</c:v>
                </c:pt>
                <c:pt idx="22">
                  <c:v>49.947958991126924</c:v>
                </c:pt>
                <c:pt idx="23">
                  <c:v>50.158937697978075</c:v>
                </c:pt>
                <c:pt idx="24">
                  <c:v>50.355535171767414</c:v>
                </c:pt>
                <c:pt idx="25">
                  <c:v>50.701876266263966</c:v>
                </c:pt>
                <c:pt idx="26">
                  <c:v>50.870008128842755</c:v>
                </c:pt>
                <c:pt idx="27">
                  <c:v>50.883963954545408</c:v>
                </c:pt>
                <c:pt idx="28">
                  <c:v>50.790171404419546</c:v>
                </c:pt>
                <c:pt idx="29">
                  <c:v>50.626961516921732</c:v>
                </c:pt>
                <c:pt idx="30">
                  <c:v>50.509922772234589</c:v>
                </c:pt>
                <c:pt idx="31">
                  <c:v>50.497954763883484</c:v>
                </c:pt>
                <c:pt idx="32">
                  <c:v>50.505005608272697</c:v>
                </c:pt>
                <c:pt idx="33">
                  <c:v>50.50639071785077</c:v>
                </c:pt>
                <c:pt idx="34">
                  <c:v>50.595766111223057</c:v>
                </c:pt>
                <c:pt idx="35">
                  <c:v>50.614781083183551</c:v>
                </c:pt>
                <c:pt idx="36">
                  <c:v>50.684509642614465</c:v>
                </c:pt>
                <c:pt idx="37">
                  <c:v>50.687405784721633</c:v>
                </c:pt>
                <c:pt idx="38">
                  <c:v>50.623684745064942</c:v>
                </c:pt>
                <c:pt idx="39">
                  <c:v>50.671984518101084</c:v>
                </c:pt>
                <c:pt idx="40">
                  <c:v>50.904772913468314</c:v>
                </c:pt>
                <c:pt idx="41">
                  <c:v>50.88412046935381</c:v>
                </c:pt>
                <c:pt idx="42">
                  <c:v>50.94732081183485</c:v>
                </c:pt>
                <c:pt idx="43">
                  <c:v>51.132706010970047</c:v>
                </c:pt>
                <c:pt idx="44">
                  <c:v>51.492590611178919</c:v>
                </c:pt>
                <c:pt idx="45">
                  <c:v>52.092302895279545</c:v>
                </c:pt>
                <c:pt idx="46">
                  <c:v>52.886624600344284</c:v>
                </c:pt>
                <c:pt idx="47">
                  <c:v>53.658872748359741</c:v>
                </c:pt>
                <c:pt idx="48">
                  <c:v>54.221340804606442</c:v>
                </c:pt>
                <c:pt idx="49">
                  <c:v>54.565430607774729</c:v>
                </c:pt>
                <c:pt idx="50">
                  <c:v>54.735809540319607</c:v>
                </c:pt>
                <c:pt idx="51">
                  <c:v>54.873684555757322</c:v>
                </c:pt>
                <c:pt idx="52">
                  <c:v>54.867103935645936</c:v>
                </c:pt>
                <c:pt idx="53">
                  <c:v>54.884782062515903</c:v>
                </c:pt>
                <c:pt idx="54">
                  <c:v>54.983875541244103</c:v>
                </c:pt>
                <c:pt idx="55">
                  <c:v>55.030422343279142</c:v>
                </c:pt>
                <c:pt idx="56">
                  <c:v>55.139320934082747</c:v>
                </c:pt>
                <c:pt idx="57">
                  <c:v>55.072817409855602</c:v>
                </c:pt>
                <c:pt idx="58">
                  <c:v>54.991739541539054</c:v>
                </c:pt>
                <c:pt idx="59">
                  <c:v>54.86166349311479</c:v>
                </c:pt>
                <c:pt idx="60">
                  <c:v>54.846556936730011</c:v>
                </c:pt>
                <c:pt idx="61">
                  <c:v>54.657411493487217</c:v>
                </c:pt>
                <c:pt idx="62">
                  <c:v>54.373854749370985</c:v>
                </c:pt>
                <c:pt idx="63">
                  <c:v>54.207247433244383</c:v>
                </c:pt>
                <c:pt idx="64">
                  <c:v>54.143122400422463</c:v>
                </c:pt>
                <c:pt idx="65">
                  <c:v>54.138950449445026</c:v>
                </c:pt>
                <c:pt idx="66">
                  <c:v>54.021767039845173</c:v>
                </c:pt>
                <c:pt idx="67">
                  <c:v>54.590605339586475</c:v>
                </c:pt>
                <c:pt idx="68">
                  <c:v>54.662395058113489</c:v>
                </c:pt>
                <c:pt idx="69">
                  <c:v>55.088429519551873</c:v>
                </c:pt>
                <c:pt idx="70">
                  <c:v>55.615787931689546</c:v>
                </c:pt>
                <c:pt idx="71">
                  <c:v>55.89771859813596</c:v>
                </c:pt>
                <c:pt idx="72">
                  <c:v>56.039833806360221</c:v>
                </c:pt>
                <c:pt idx="73">
                  <c:v>56.080282013932646</c:v>
                </c:pt>
                <c:pt idx="74">
                  <c:v>57.644560949898889</c:v>
                </c:pt>
                <c:pt idx="75">
                  <c:v>58.550578641363401</c:v>
                </c:pt>
                <c:pt idx="76">
                  <c:v>59.16259692224456</c:v>
                </c:pt>
                <c:pt idx="77">
                  <c:v>59.711305797036459</c:v>
                </c:pt>
                <c:pt idx="78">
                  <c:v>59.846811132574118</c:v>
                </c:pt>
                <c:pt idx="79">
                  <c:v>59.966666685607606</c:v>
                </c:pt>
                <c:pt idx="80">
                  <c:v>60.291396448117411</c:v>
                </c:pt>
                <c:pt idx="81">
                  <c:v>60.518535819709221</c:v>
                </c:pt>
                <c:pt idx="82">
                  <c:v>60.734401363997613</c:v>
                </c:pt>
                <c:pt idx="83">
                  <c:v>60.863725698109718</c:v>
                </c:pt>
                <c:pt idx="84">
                  <c:v>60.9653630805023</c:v>
                </c:pt>
                <c:pt idx="85">
                  <c:v>60.930468727292613</c:v>
                </c:pt>
                <c:pt idx="86">
                  <c:v>60.866679010803018</c:v>
                </c:pt>
                <c:pt idx="87">
                  <c:v>61.076674376815113</c:v>
                </c:pt>
                <c:pt idx="88">
                  <c:v>61.226080798109543</c:v>
                </c:pt>
                <c:pt idx="89">
                  <c:v>61.254248917217744</c:v>
                </c:pt>
                <c:pt idx="90">
                  <c:v>61.263843310742061</c:v>
                </c:pt>
                <c:pt idx="91">
                  <c:v>61.210583203901088</c:v>
                </c:pt>
                <c:pt idx="92">
                  <c:v>61.031046310348003</c:v>
                </c:pt>
                <c:pt idx="93">
                  <c:v>60.367117993632405</c:v>
                </c:pt>
                <c:pt idx="94">
                  <c:v>60.195853890276233</c:v>
                </c:pt>
                <c:pt idx="95">
                  <c:v>60.251043572404569</c:v>
                </c:pt>
                <c:pt idx="96">
                  <c:v>60.370674908393219</c:v>
                </c:pt>
                <c:pt idx="97">
                  <c:v>60.512300395355084</c:v>
                </c:pt>
                <c:pt idx="98">
                  <c:v>60.559305350770096</c:v>
                </c:pt>
                <c:pt idx="99">
                  <c:v>60.532326764299825</c:v>
                </c:pt>
                <c:pt idx="100">
                  <c:v>60.53680006375189</c:v>
                </c:pt>
                <c:pt idx="101">
                  <c:v>60.587850589455741</c:v>
                </c:pt>
                <c:pt idx="102">
                  <c:v>60.559367539776154</c:v>
                </c:pt>
                <c:pt idx="103">
                  <c:v>60.465651655907074</c:v>
                </c:pt>
                <c:pt idx="104">
                  <c:v>60.382559054281103</c:v>
                </c:pt>
                <c:pt idx="105">
                  <c:v>60.313002712092761</c:v>
                </c:pt>
                <c:pt idx="106">
                  <c:v>60.13930708316316</c:v>
                </c:pt>
                <c:pt idx="107">
                  <c:v>59.989782499491767</c:v>
                </c:pt>
                <c:pt idx="108">
                  <c:v>59.589145478978715</c:v>
                </c:pt>
                <c:pt idx="109">
                  <c:v>59.425678407947942</c:v>
                </c:pt>
                <c:pt idx="110">
                  <c:v>59.301536668380919</c:v>
                </c:pt>
                <c:pt idx="111">
                  <c:v>59.062356898343396</c:v>
                </c:pt>
                <c:pt idx="112">
                  <c:v>58.635177021957233</c:v>
                </c:pt>
                <c:pt idx="113">
                  <c:v>58.331357319734117</c:v>
                </c:pt>
                <c:pt idx="114">
                  <c:v>58.178786942637416</c:v>
                </c:pt>
                <c:pt idx="115">
                  <c:v>58.2593152227345</c:v>
                </c:pt>
                <c:pt idx="116">
                  <c:v>58.285385289825733</c:v>
                </c:pt>
                <c:pt idx="117">
                  <c:v>58.276550771619647</c:v>
                </c:pt>
                <c:pt idx="118">
                  <c:v>58.259251294450628</c:v>
                </c:pt>
                <c:pt idx="119">
                  <c:v>58.142027319369411</c:v>
                </c:pt>
                <c:pt idx="120">
                  <c:v>58.159340932235523</c:v>
                </c:pt>
                <c:pt idx="121">
                  <c:v>58.197113169674232</c:v>
                </c:pt>
                <c:pt idx="122">
                  <c:v>58.627404593642488</c:v>
                </c:pt>
                <c:pt idx="123">
                  <c:v>59.117460766017558</c:v>
                </c:pt>
                <c:pt idx="124">
                  <c:v>59.790690221198545</c:v>
                </c:pt>
                <c:pt idx="125">
                  <c:v>59.903672617698007</c:v>
                </c:pt>
                <c:pt idx="126">
                  <c:v>60.095764983121633</c:v>
                </c:pt>
                <c:pt idx="127">
                  <c:v>60.32631292303612</c:v>
                </c:pt>
                <c:pt idx="128">
                  <c:v>60.50689404701329</c:v>
                </c:pt>
                <c:pt idx="129">
                  <c:v>60.843196379077966</c:v>
                </c:pt>
                <c:pt idx="130">
                  <c:v>60.999785208178025</c:v>
                </c:pt>
                <c:pt idx="131">
                  <c:v>61.225940186557246</c:v>
                </c:pt>
                <c:pt idx="132">
                  <c:v>61.229145527639979</c:v>
                </c:pt>
                <c:pt idx="133">
                  <c:v>61.22844202530095</c:v>
                </c:pt>
                <c:pt idx="134">
                  <c:v>61.255163200796076</c:v>
                </c:pt>
                <c:pt idx="135">
                  <c:v>61.201650897077222</c:v>
                </c:pt>
                <c:pt idx="136">
                  <c:v>61.16976928839334</c:v>
                </c:pt>
                <c:pt idx="137">
                  <c:v>61.164966824812183</c:v>
                </c:pt>
                <c:pt idx="138">
                  <c:v>61.456710122954775</c:v>
                </c:pt>
                <c:pt idx="139">
                  <c:v>61.613832897740906</c:v>
                </c:pt>
                <c:pt idx="140">
                  <c:v>61.691442226291137</c:v>
                </c:pt>
                <c:pt idx="141">
                  <c:v>61.702649648538369</c:v>
                </c:pt>
                <c:pt idx="142">
                  <c:v>61.534588265613223</c:v>
                </c:pt>
                <c:pt idx="143">
                  <c:v>61.312801653477742</c:v>
                </c:pt>
                <c:pt idx="144">
                  <c:v>60.911859862619941</c:v>
                </c:pt>
                <c:pt idx="145">
                  <c:v>60.770060530847097</c:v>
                </c:pt>
                <c:pt idx="146">
                  <c:v>60.731269376597737</c:v>
                </c:pt>
                <c:pt idx="147">
                  <c:v>60.817881577050962</c:v>
                </c:pt>
                <c:pt idx="148">
                  <c:v>60.980762845246964</c:v>
                </c:pt>
                <c:pt idx="149">
                  <c:v>60.883045036157576</c:v>
                </c:pt>
                <c:pt idx="150">
                  <c:v>61.007994945607024</c:v>
                </c:pt>
                <c:pt idx="151">
                  <c:v>61.102041547032627</c:v>
                </c:pt>
                <c:pt idx="152">
                  <c:v>61.656680036295597</c:v>
                </c:pt>
                <c:pt idx="153">
                  <c:v>62.665606147689957</c:v>
                </c:pt>
                <c:pt idx="154">
                  <c:v>63.13263615519412</c:v>
                </c:pt>
                <c:pt idx="155">
                  <c:v>63.29164773861244</c:v>
                </c:pt>
                <c:pt idx="156">
                  <c:v>63.485054285720231</c:v>
                </c:pt>
                <c:pt idx="157">
                  <c:v>63.5121759920046</c:v>
                </c:pt>
                <c:pt idx="158">
                  <c:v>63.340899326835327</c:v>
                </c:pt>
                <c:pt idx="159">
                  <c:v>63.119430332877336</c:v>
                </c:pt>
                <c:pt idx="160">
                  <c:v>62.880947240240481</c:v>
                </c:pt>
                <c:pt idx="161">
                  <c:v>62.701063246258535</c:v>
                </c:pt>
                <c:pt idx="162">
                  <c:v>62.44917337793801</c:v>
                </c:pt>
                <c:pt idx="163">
                  <c:v>62.47933347169937</c:v>
                </c:pt>
                <c:pt idx="164">
                  <c:v>62.411727302908709</c:v>
                </c:pt>
                <c:pt idx="165">
                  <c:v>62.179127291484726</c:v>
                </c:pt>
                <c:pt idx="166">
                  <c:v>62.170247618661811</c:v>
                </c:pt>
                <c:pt idx="167">
                  <c:v>62.174858120078255</c:v>
                </c:pt>
                <c:pt idx="168">
                  <c:v>62.255517001554651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06-493F-9E80-C7410E30E2AE}"/>
            </c:ext>
          </c:extLst>
        </c:ser>
        <c:ser>
          <c:idx val="3"/>
          <c:order val="3"/>
          <c:tx>
            <c:strRef>
              <c:f>BB!$F$1</c:f>
              <c:strCache>
                <c:ptCount val="1"/>
                <c:pt idx="0">
                  <c:v>Lower Band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BB!$A$21:$A$189</c:f>
              <c:numCache>
                <c:formatCode>m/d/yyyy</c:formatCode>
                <c:ptCount val="169"/>
                <c:pt idx="0">
                  <c:v>45502</c:v>
                </c:pt>
                <c:pt idx="1">
                  <c:v>45503</c:v>
                </c:pt>
                <c:pt idx="2">
                  <c:v>45504</c:v>
                </c:pt>
                <c:pt idx="3">
                  <c:v>45505</c:v>
                </c:pt>
                <c:pt idx="4">
                  <c:v>45506</c:v>
                </c:pt>
                <c:pt idx="5">
                  <c:v>45509</c:v>
                </c:pt>
                <c:pt idx="6">
                  <c:v>45510</c:v>
                </c:pt>
                <c:pt idx="7">
                  <c:v>45511</c:v>
                </c:pt>
                <c:pt idx="8">
                  <c:v>45512</c:v>
                </c:pt>
                <c:pt idx="9">
                  <c:v>45513</c:v>
                </c:pt>
                <c:pt idx="10">
                  <c:v>45516</c:v>
                </c:pt>
                <c:pt idx="11">
                  <c:v>45517</c:v>
                </c:pt>
                <c:pt idx="12">
                  <c:v>45518</c:v>
                </c:pt>
                <c:pt idx="13">
                  <c:v>45519</c:v>
                </c:pt>
                <c:pt idx="14">
                  <c:v>45520</c:v>
                </c:pt>
                <c:pt idx="15">
                  <c:v>45523</c:v>
                </c:pt>
                <c:pt idx="16">
                  <c:v>45524</c:v>
                </c:pt>
                <c:pt idx="17">
                  <c:v>45525</c:v>
                </c:pt>
                <c:pt idx="18">
                  <c:v>45526</c:v>
                </c:pt>
                <c:pt idx="19">
                  <c:v>45527</c:v>
                </c:pt>
                <c:pt idx="20">
                  <c:v>45530</c:v>
                </c:pt>
                <c:pt idx="21">
                  <c:v>45531</c:v>
                </c:pt>
                <c:pt idx="22">
                  <c:v>45532</c:v>
                </c:pt>
                <c:pt idx="23">
                  <c:v>45533</c:v>
                </c:pt>
                <c:pt idx="24">
                  <c:v>45534</c:v>
                </c:pt>
                <c:pt idx="25">
                  <c:v>45538</c:v>
                </c:pt>
                <c:pt idx="26">
                  <c:v>45539</c:v>
                </c:pt>
                <c:pt idx="27">
                  <c:v>45540</c:v>
                </c:pt>
                <c:pt idx="28">
                  <c:v>45541</c:v>
                </c:pt>
                <c:pt idx="29">
                  <c:v>45544</c:v>
                </c:pt>
                <c:pt idx="30">
                  <c:v>45545</c:v>
                </c:pt>
                <c:pt idx="31">
                  <c:v>45546</c:v>
                </c:pt>
                <c:pt idx="32">
                  <c:v>45547</c:v>
                </c:pt>
                <c:pt idx="33">
                  <c:v>45548</c:v>
                </c:pt>
                <c:pt idx="34">
                  <c:v>45551</c:v>
                </c:pt>
                <c:pt idx="35">
                  <c:v>45552</c:v>
                </c:pt>
                <c:pt idx="36">
                  <c:v>45553</c:v>
                </c:pt>
                <c:pt idx="37">
                  <c:v>45554</c:v>
                </c:pt>
                <c:pt idx="38">
                  <c:v>45555</c:v>
                </c:pt>
                <c:pt idx="39">
                  <c:v>45558</c:v>
                </c:pt>
                <c:pt idx="40">
                  <c:v>45559</c:v>
                </c:pt>
                <c:pt idx="41">
                  <c:v>45560</c:v>
                </c:pt>
                <c:pt idx="42">
                  <c:v>45561</c:v>
                </c:pt>
                <c:pt idx="43">
                  <c:v>45562</c:v>
                </c:pt>
                <c:pt idx="44">
                  <c:v>45565</c:v>
                </c:pt>
                <c:pt idx="45">
                  <c:v>45566</c:v>
                </c:pt>
                <c:pt idx="46">
                  <c:v>45567</c:v>
                </c:pt>
                <c:pt idx="47">
                  <c:v>45568</c:v>
                </c:pt>
                <c:pt idx="48">
                  <c:v>45569</c:v>
                </c:pt>
                <c:pt idx="49">
                  <c:v>45572</c:v>
                </c:pt>
                <c:pt idx="50">
                  <c:v>45573</c:v>
                </c:pt>
                <c:pt idx="51">
                  <c:v>45574</c:v>
                </c:pt>
                <c:pt idx="52">
                  <c:v>45575</c:v>
                </c:pt>
                <c:pt idx="53">
                  <c:v>45576</c:v>
                </c:pt>
                <c:pt idx="54">
                  <c:v>45579</c:v>
                </c:pt>
                <c:pt idx="55">
                  <c:v>45580</c:v>
                </c:pt>
                <c:pt idx="56">
                  <c:v>45581</c:v>
                </c:pt>
                <c:pt idx="57">
                  <c:v>45582</c:v>
                </c:pt>
                <c:pt idx="58">
                  <c:v>45583</c:v>
                </c:pt>
                <c:pt idx="59">
                  <c:v>45586</c:v>
                </c:pt>
                <c:pt idx="60">
                  <c:v>45587</c:v>
                </c:pt>
                <c:pt idx="61">
                  <c:v>45588</c:v>
                </c:pt>
                <c:pt idx="62">
                  <c:v>45589</c:v>
                </c:pt>
                <c:pt idx="63">
                  <c:v>45590</c:v>
                </c:pt>
                <c:pt idx="64">
                  <c:v>45593</c:v>
                </c:pt>
                <c:pt idx="65">
                  <c:v>45594</c:v>
                </c:pt>
                <c:pt idx="66">
                  <c:v>45595</c:v>
                </c:pt>
                <c:pt idx="67">
                  <c:v>45596</c:v>
                </c:pt>
                <c:pt idx="68">
                  <c:v>45597</c:v>
                </c:pt>
                <c:pt idx="69">
                  <c:v>45600</c:v>
                </c:pt>
                <c:pt idx="70">
                  <c:v>45601</c:v>
                </c:pt>
                <c:pt idx="71">
                  <c:v>45602</c:v>
                </c:pt>
                <c:pt idx="72">
                  <c:v>45603</c:v>
                </c:pt>
                <c:pt idx="73">
                  <c:v>45604</c:v>
                </c:pt>
                <c:pt idx="74">
                  <c:v>45607</c:v>
                </c:pt>
                <c:pt idx="75">
                  <c:v>45608</c:v>
                </c:pt>
                <c:pt idx="76">
                  <c:v>45609</c:v>
                </c:pt>
                <c:pt idx="77">
                  <c:v>45610</c:v>
                </c:pt>
                <c:pt idx="78">
                  <c:v>45611</c:v>
                </c:pt>
                <c:pt idx="79">
                  <c:v>45614</c:v>
                </c:pt>
                <c:pt idx="80">
                  <c:v>45615</c:v>
                </c:pt>
                <c:pt idx="81">
                  <c:v>45616</c:v>
                </c:pt>
                <c:pt idx="82">
                  <c:v>45617</c:v>
                </c:pt>
                <c:pt idx="83">
                  <c:v>45618</c:v>
                </c:pt>
                <c:pt idx="84">
                  <c:v>45621</c:v>
                </c:pt>
                <c:pt idx="85">
                  <c:v>45622</c:v>
                </c:pt>
                <c:pt idx="86">
                  <c:v>45623</c:v>
                </c:pt>
                <c:pt idx="87">
                  <c:v>45625</c:v>
                </c:pt>
                <c:pt idx="88">
                  <c:v>45628</c:v>
                </c:pt>
                <c:pt idx="89">
                  <c:v>45629</c:v>
                </c:pt>
                <c:pt idx="90">
                  <c:v>45630</c:v>
                </c:pt>
                <c:pt idx="91">
                  <c:v>45631</c:v>
                </c:pt>
                <c:pt idx="92">
                  <c:v>45632</c:v>
                </c:pt>
                <c:pt idx="93">
                  <c:v>45635</c:v>
                </c:pt>
                <c:pt idx="94">
                  <c:v>45636</c:v>
                </c:pt>
                <c:pt idx="95">
                  <c:v>45637</c:v>
                </c:pt>
                <c:pt idx="96">
                  <c:v>45638</c:v>
                </c:pt>
                <c:pt idx="97">
                  <c:v>45639</c:v>
                </c:pt>
                <c:pt idx="98">
                  <c:v>45642</c:v>
                </c:pt>
                <c:pt idx="99">
                  <c:v>45643</c:v>
                </c:pt>
                <c:pt idx="100">
                  <c:v>45644</c:v>
                </c:pt>
                <c:pt idx="101">
                  <c:v>45645</c:v>
                </c:pt>
                <c:pt idx="102">
                  <c:v>45646</c:v>
                </c:pt>
                <c:pt idx="103">
                  <c:v>45649</c:v>
                </c:pt>
                <c:pt idx="104">
                  <c:v>45650</c:v>
                </c:pt>
                <c:pt idx="105">
                  <c:v>45652</c:v>
                </c:pt>
                <c:pt idx="106">
                  <c:v>45653</c:v>
                </c:pt>
                <c:pt idx="107">
                  <c:v>45656</c:v>
                </c:pt>
                <c:pt idx="108">
                  <c:v>45657</c:v>
                </c:pt>
                <c:pt idx="109">
                  <c:v>45659</c:v>
                </c:pt>
                <c:pt idx="110">
                  <c:v>45660</c:v>
                </c:pt>
                <c:pt idx="111">
                  <c:v>45663</c:v>
                </c:pt>
                <c:pt idx="112">
                  <c:v>45664</c:v>
                </c:pt>
                <c:pt idx="113">
                  <c:v>45665</c:v>
                </c:pt>
                <c:pt idx="114">
                  <c:v>45667</c:v>
                </c:pt>
                <c:pt idx="115">
                  <c:v>45670</c:v>
                </c:pt>
                <c:pt idx="116">
                  <c:v>45671</c:v>
                </c:pt>
                <c:pt idx="117">
                  <c:v>45672</c:v>
                </c:pt>
                <c:pt idx="118">
                  <c:v>45673</c:v>
                </c:pt>
                <c:pt idx="119">
                  <c:v>45674</c:v>
                </c:pt>
                <c:pt idx="120">
                  <c:v>45678</c:v>
                </c:pt>
                <c:pt idx="121">
                  <c:v>45679</c:v>
                </c:pt>
                <c:pt idx="122">
                  <c:v>45680</c:v>
                </c:pt>
                <c:pt idx="123">
                  <c:v>45681</c:v>
                </c:pt>
                <c:pt idx="124">
                  <c:v>45684</c:v>
                </c:pt>
                <c:pt idx="125">
                  <c:v>45685</c:v>
                </c:pt>
                <c:pt idx="126">
                  <c:v>45686</c:v>
                </c:pt>
                <c:pt idx="127">
                  <c:v>45687</c:v>
                </c:pt>
                <c:pt idx="128">
                  <c:v>45688</c:v>
                </c:pt>
                <c:pt idx="129">
                  <c:v>45691</c:v>
                </c:pt>
                <c:pt idx="130">
                  <c:v>45692</c:v>
                </c:pt>
                <c:pt idx="131">
                  <c:v>45693</c:v>
                </c:pt>
                <c:pt idx="132">
                  <c:v>45694</c:v>
                </c:pt>
                <c:pt idx="133">
                  <c:v>45695</c:v>
                </c:pt>
                <c:pt idx="134">
                  <c:v>45698</c:v>
                </c:pt>
                <c:pt idx="135">
                  <c:v>45699</c:v>
                </c:pt>
                <c:pt idx="136">
                  <c:v>45700</c:v>
                </c:pt>
                <c:pt idx="137">
                  <c:v>45701</c:v>
                </c:pt>
                <c:pt idx="138">
                  <c:v>45702</c:v>
                </c:pt>
                <c:pt idx="139">
                  <c:v>45706</c:v>
                </c:pt>
                <c:pt idx="140">
                  <c:v>45707</c:v>
                </c:pt>
                <c:pt idx="141">
                  <c:v>45708</c:v>
                </c:pt>
                <c:pt idx="142">
                  <c:v>45709</c:v>
                </c:pt>
                <c:pt idx="143">
                  <c:v>45712</c:v>
                </c:pt>
                <c:pt idx="144">
                  <c:v>45713</c:v>
                </c:pt>
                <c:pt idx="145">
                  <c:v>45714</c:v>
                </c:pt>
                <c:pt idx="146">
                  <c:v>45715</c:v>
                </c:pt>
                <c:pt idx="147">
                  <c:v>45716</c:v>
                </c:pt>
                <c:pt idx="148">
                  <c:v>45719</c:v>
                </c:pt>
                <c:pt idx="149">
                  <c:v>45720</c:v>
                </c:pt>
                <c:pt idx="150">
                  <c:v>45721</c:v>
                </c:pt>
                <c:pt idx="151">
                  <c:v>45722</c:v>
                </c:pt>
                <c:pt idx="152">
                  <c:v>45723</c:v>
                </c:pt>
                <c:pt idx="153">
                  <c:v>45726</c:v>
                </c:pt>
                <c:pt idx="154">
                  <c:v>45727</c:v>
                </c:pt>
                <c:pt idx="155">
                  <c:v>45728</c:v>
                </c:pt>
                <c:pt idx="156">
                  <c:v>45729</c:v>
                </c:pt>
                <c:pt idx="157">
                  <c:v>45730</c:v>
                </c:pt>
                <c:pt idx="158">
                  <c:v>45733</c:v>
                </c:pt>
                <c:pt idx="159">
                  <c:v>45734</c:v>
                </c:pt>
                <c:pt idx="160">
                  <c:v>45735</c:v>
                </c:pt>
                <c:pt idx="161">
                  <c:v>45736</c:v>
                </c:pt>
                <c:pt idx="162">
                  <c:v>45737</c:v>
                </c:pt>
                <c:pt idx="163">
                  <c:v>45740</c:v>
                </c:pt>
                <c:pt idx="164">
                  <c:v>45741</c:v>
                </c:pt>
                <c:pt idx="165">
                  <c:v>45742</c:v>
                </c:pt>
                <c:pt idx="166">
                  <c:v>45743</c:v>
                </c:pt>
                <c:pt idx="167">
                  <c:v>45744</c:v>
                </c:pt>
                <c:pt idx="168">
                  <c:v>45747</c:v>
                </c:pt>
              </c:numCache>
            </c:numRef>
          </c:cat>
          <c:val>
            <c:numRef>
              <c:f>BB!$F$21:$F$189</c:f>
              <c:numCache>
                <c:formatCode>General</c:formatCode>
                <c:ptCount val="169"/>
                <c:pt idx="0">
                  <c:v>36.597858501867279</c:v>
                </c:pt>
                <c:pt idx="1">
                  <c:v>36.321074052390401</c:v>
                </c:pt>
                <c:pt idx="2">
                  <c:v>36.455480775108711</c:v>
                </c:pt>
                <c:pt idx="3">
                  <c:v>36.683703797876866</c:v>
                </c:pt>
                <c:pt idx="4">
                  <c:v>37.034943885645376</c:v>
                </c:pt>
                <c:pt idx="5">
                  <c:v>37.521260401962984</c:v>
                </c:pt>
                <c:pt idx="6">
                  <c:v>37.94647879439588</c:v>
                </c:pt>
                <c:pt idx="7">
                  <c:v>38.399067510891939</c:v>
                </c:pt>
                <c:pt idx="8">
                  <c:v>38.978245855939271</c:v>
                </c:pt>
                <c:pt idx="9">
                  <c:v>39.699279889187373</c:v>
                </c:pt>
                <c:pt idx="10">
                  <c:v>40.614675200316768</c:v>
                </c:pt>
                <c:pt idx="11">
                  <c:v>41.345612565663011</c:v>
                </c:pt>
                <c:pt idx="12">
                  <c:v>41.774394414429558</c:v>
                </c:pt>
                <c:pt idx="13">
                  <c:v>42.431901531172116</c:v>
                </c:pt>
                <c:pt idx="14">
                  <c:v>43.142856284667388</c:v>
                </c:pt>
                <c:pt idx="15">
                  <c:v>44.011732405812616</c:v>
                </c:pt>
                <c:pt idx="16">
                  <c:v>45.012297688960551</c:v>
                </c:pt>
                <c:pt idx="17">
                  <c:v>45.639847284898238</c:v>
                </c:pt>
                <c:pt idx="18">
                  <c:v>46.132928057191485</c:v>
                </c:pt>
                <c:pt idx="19">
                  <c:v>46.280570350605174</c:v>
                </c:pt>
                <c:pt idx="20">
                  <c:v>46.284149310207582</c:v>
                </c:pt>
                <c:pt idx="21">
                  <c:v>46.291812532192885</c:v>
                </c:pt>
                <c:pt idx="22">
                  <c:v>46.330041008873067</c:v>
                </c:pt>
                <c:pt idx="23">
                  <c:v>46.274062302021946</c:v>
                </c:pt>
                <c:pt idx="24">
                  <c:v>46.195464828232602</c:v>
                </c:pt>
                <c:pt idx="25">
                  <c:v>46.142123733736042</c:v>
                </c:pt>
                <c:pt idx="26">
                  <c:v>46.238991871157253</c:v>
                </c:pt>
                <c:pt idx="27">
                  <c:v>46.5550360454546</c:v>
                </c:pt>
                <c:pt idx="28">
                  <c:v>46.833828595580478</c:v>
                </c:pt>
                <c:pt idx="29">
                  <c:v>47.175038483078289</c:v>
                </c:pt>
                <c:pt idx="30">
                  <c:v>47.514077227765412</c:v>
                </c:pt>
                <c:pt idx="31">
                  <c:v>47.479045236116519</c:v>
                </c:pt>
                <c:pt idx="32">
                  <c:v>47.454994391727311</c:v>
                </c:pt>
                <c:pt idx="33">
                  <c:v>47.455609282149247</c:v>
                </c:pt>
                <c:pt idx="34">
                  <c:v>47.429233888776949</c:v>
                </c:pt>
                <c:pt idx="35">
                  <c:v>47.429218916816446</c:v>
                </c:pt>
                <c:pt idx="36">
                  <c:v>47.43549035738554</c:v>
                </c:pt>
                <c:pt idx="37">
                  <c:v>47.490594215278364</c:v>
                </c:pt>
                <c:pt idx="38">
                  <c:v>47.733315254935057</c:v>
                </c:pt>
                <c:pt idx="39">
                  <c:v>47.875015481898913</c:v>
                </c:pt>
                <c:pt idx="40">
                  <c:v>47.912227086531693</c:v>
                </c:pt>
                <c:pt idx="41">
                  <c:v>48.11587953064619</c:v>
                </c:pt>
                <c:pt idx="42">
                  <c:v>48.158679188165159</c:v>
                </c:pt>
                <c:pt idx="43">
                  <c:v>48.092293989029947</c:v>
                </c:pt>
                <c:pt idx="44">
                  <c:v>47.911409388821077</c:v>
                </c:pt>
                <c:pt idx="45">
                  <c:v>47.549697104720451</c:v>
                </c:pt>
                <c:pt idx="46">
                  <c:v>47.135375399655707</c:v>
                </c:pt>
                <c:pt idx="47">
                  <c:v>46.803127251640262</c:v>
                </c:pt>
                <c:pt idx="48">
                  <c:v>46.766659195393558</c:v>
                </c:pt>
                <c:pt idx="49">
                  <c:v>46.91656939222527</c:v>
                </c:pt>
                <c:pt idx="50">
                  <c:v>47.066190459680385</c:v>
                </c:pt>
                <c:pt idx="51">
                  <c:v>47.349315444242677</c:v>
                </c:pt>
                <c:pt idx="52">
                  <c:v>47.771896064354074</c:v>
                </c:pt>
                <c:pt idx="53">
                  <c:v>48.061217937484095</c:v>
                </c:pt>
                <c:pt idx="54">
                  <c:v>48.23012445875591</c:v>
                </c:pt>
                <c:pt idx="55">
                  <c:v>48.510577656720869</c:v>
                </c:pt>
                <c:pt idx="56">
                  <c:v>48.76467906591725</c:v>
                </c:pt>
                <c:pt idx="57">
                  <c:v>49.247182590144405</c:v>
                </c:pt>
                <c:pt idx="58">
                  <c:v>49.709260458460925</c:v>
                </c:pt>
                <c:pt idx="59">
                  <c:v>50.050336506885202</c:v>
                </c:pt>
                <c:pt idx="60">
                  <c:v>50.247443063269969</c:v>
                </c:pt>
                <c:pt idx="61">
                  <c:v>50.747588506512784</c:v>
                </c:pt>
                <c:pt idx="62">
                  <c:v>51.311145250629032</c:v>
                </c:pt>
                <c:pt idx="63">
                  <c:v>51.578752566755604</c:v>
                </c:pt>
                <c:pt idx="64">
                  <c:v>51.732877599577542</c:v>
                </c:pt>
                <c:pt idx="65">
                  <c:v>51.697049550554986</c:v>
                </c:pt>
                <c:pt idx="66">
                  <c:v>51.704232960154798</c:v>
                </c:pt>
                <c:pt idx="67">
                  <c:v>51.292394660413521</c:v>
                </c:pt>
                <c:pt idx="68">
                  <c:v>51.256604941886494</c:v>
                </c:pt>
                <c:pt idx="69">
                  <c:v>51.031570480448103</c:v>
                </c:pt>
                <c:pt idx="70">
                  <c:v>50.851212068310438</c:v>
                </c:pt>
                <c:pt idx="71">
                  <c:v>50.817281401864044</c:v>
                </c:pt>
                <c:pt idx="72">
                  <c:v>50.906166193639777</c:v>
                </c:pt>
                <c:pt idx="73">
                  <c:v>51.059717986067369</c:v>
                </c:pt>
                <c:pt idx="74">
                  <c:v>50.21043905010113</c:v>
                </c:pt>
                <c:pt idx="75">
                  <c:v>49.930421358636622</c:v>
                </c:pt>
                <c:pt idx="76">
                  <c:v>49.822403077755482</c:v>
                </c:pt>
                <c:pt idx="77">
                  <c:v>49.805694202963551</c:v>
                </c:pt>
                <c:pt idx="78">
                  <c:v>49.970188867425918</c:v>
                </c:pt>
                <c:pt idx="79">
                  <c:v>50.31833331439239</c:v>
                </c:pt>
                <c:pt idx="80">
                  <c:v>50.540603551882612</c:v>
                </c:pt>
                <c:pt idx="81">
                  <c:v>50.795464180290786</c:v>
                </c:pt>
                <c:pt idx="82">
                  <c:v>51.110598636002386</c:v>
                </c:pt>
                <c:pt idx="83">
                  <c:v>51.676274301890274</c:v>
                </c:pt>
                <c:pt idx="84">
                  <c:v>52.188636919497668</c:v>
                </c:pt>
                <c:pt idx="85">
                  <c:v>52.847531272707378</c:v>
                </c:pt>
                <c:pt idx="86">
                  <c:v>53.572320989196974</c:v>
                </c:pt>
                <c:pt idx="87">
                  <c:v>53.707325623184879</c:v>
                </c:pt>
                <c:pt idx="88">
                  <c:v>54.119919201890461</c:v>
                </c:pt>
                <c:pt idx="89">
                  <c:v>54.415751082782258</c:v>
                </c:pt>
                <c:pt idx="90">
                  <c:v>54.648156689257931</c:v>
                </c:pt>
                <c:pt idx="91">
                  <c:v>55.057416796098899</c:v>
                </c:pt>
                <c:pt idx="92">
                  <c:v>55.70395368965201</c:v>
                </c:pt>
                <c:pt idx="93">
                  <c:v>56.824882006367631</c:v>
                </c:pt>
                <c:pt idx="94">
                  <c:v>56.826146109723773</c:v>
                </c:pt>
                <c:pt idx="95">
                  <c:v>56.533956427595442</c:v>
                </c:pt>
                <c:pt idx="96">
                  <c:v>56.201325091606812</c:v>
                </c:pt>
                <c:pt idx="97">
                  <c:v>55.787699604644942</c:v>
                </c:pt>
                <c:pt idx="98">
                  <c:v>55.705694649229919</c:v>
                </c:pt>
                <c:pt idx="99">
                  <c:v>55.817673235700198</c:v>
                </c:pt>
                <c:pt idx="100">
                  <c:v>55.674199936248094</c:v>
                </c:pt>
                <c:pt idx="101">
                  <c:v>55.465149410544257</c:v>
                </c:pt>
                <c:pt idx="102">
                  <c:v>55.403632460223839</c:v>
                </c:pt>
                <c:pt idx="103">
                  <c:v>55.368348344092915</c:v>
                </c:pt>
                <c:pt idx="104">
                  <c:v>55.349440945718897</c:v>
                </c:pt>
                <c:pt idx="105">
                  <c:v>55.344997287907226</c:v>
                </c:pt>
                <c:pt idx="106">
                  <c:v>55.359692916836835</c:v>
                </c:pt>
                <c:pt idx="107">
                  <c:v>55.193217500508254</c:v>
                </c:pt>
                <c:pt idx="108">
                  <c:v>55.25585452102127</c:v>
                </c:pt>
                <c:pt idx="109">
                  <c:v>55.229321592052059</c:v>
                </c:pt>
                <c:pt idx="110">
                  <c:v>55.173463331619061</c:v>
                </c:pt>
                <c:pt idx="111">
                  <c:v>55.196643101656591</c:v>
                </c:pt>
                <c:pt idx="112">
                  <c:v>55.399822978042764</c:v>
                </c:pt>
                <c:pt idx="113">
                  <c:v>55.513642680265868</c:v>
                </c:pt>
                <c:pt idx="114">
                  <c:v>55.43721305736257</c:v>
                </c:pt>
                <c:pt idx="115">
                  <c:v>55.227684777265466</c:v>
                </c:pt>
                <c:pt idx="116">
                  <c:v>55.14761471017426</c:v>
                </c:pt>
                <c:pt idx="117">
                  <c:v>55.169449228380351</c:v>
                </c:pt>
                <c:pt idx="118">
                  <c:v>55.2377487055494</c:v>
                </c:pt>
                <c:pt idx="119">
                  <c:v>55.218972680630579</c:v>
                </c:pt>
                <c:pt idx="120">
                  <c:v>55.221659067764477</c:v>
                </c:pt>
                <c:pt idx="121">
                  <c:v>55.262886830325762</c:v>
                </c:pt>
                <c:pt idx="122">
                  <c:v>55.013595406357517</c:v>
                </c:pt>
                <c:pt idx="123">
                  <c:v>54.732539233982436</c:v>
                </c:pt>
                <c:pt idx="124">
                  <c:v>54.343309778801441</c:v>
                </c:pt>
                <c:pt idx="125">
                  <c:v>54.306327382301987</c:v>
                </c:pt>
                <c:pt idx="126">
                  <c:v>54.251235016878347</c:v>
                </c:pt>
                <c:pt idx="127">
                  <c:v>54.328687076963881</c:v>
                </c:pt>
                <c:pt idx="128">
                  <c:v>54.387105952986715</c:v>
                </c:pt>
                <c:pt idx="129">
                  <c:v>54.366803620922028</c:v>
                </c:pt>
                <c:pt idx="130">
                  <c:v>54.465214791821964</c:v>
                </c:pt>
                <c:pt idx="131">
                  <c:v>54.542059813442741</c:v>
                </c:pt>
                <c:pt idx="132">
                  <c:v>54.566854472360028</c:v>
                </c:pt>
                <c:pt idx="133">
                  <c:v>54.571557974699047</c:v>
                </c:pt>
                <c:pt idx="134">
                  <c:v>54.514836799203934</c:v>
                </c:pt>
                <c:pt idx="135">
                  <c:v>54.626349102922781</c:v>
                </c:pt>
                <c:pt idx="136">
                  <c:v>54.699230711606688</c:v>
                </c:pt>
                <c:pt idx="137">
                  <c:v>54.710033175187846</c:v>
                </c:pt>
                <c:pt idx="138">
                  <c:v>54.170289877045263</c:v>
                </c:pt>
                <c:pt idx="139">
                  <c:v>53.827167102259097</c:v>
                </c:pt>
                <c:pt idx="140">
                  <c:v>53.543557773708876</c:v>
                </c:pt>
                <c:pt idx="141">
                  <c:v>53.402350351461621</c:v>
                </c:pt>
                <c:pt idx="142">
                  <c:v>53.239411734386735</c:v>
                </c:pt>
                <c:pt idx="143">
                  <c:v>53.282198346522257</c:v>
                </c:pt>
                <c:pt idx="144">
                  <c:v>53.444140137380053</c:v>
                </c:pt>
                <c:pt idx="145">
                  <c:v>53.447939469152935</c:v>
                </c:pt>
                <c:pt idx="146">
                  <c:v>53.461730623402275</c:v>
                </c:pt>
                <c:pt idx="147">
                  <c:v>53.423118422949052</c:v>
                </c:pt>
                <c:pt idx="148">
                  <c:v>53.352237154753006</c:v>
                </c:pt>
                <c:pt idx="149">
                  <c:v>53.398954963842421</c:v>
                </c:pt>
                <c:pt idx="150">
                  <c:v>53.344005054392952</c:v>
                </c:pt>
                <c:pt idx="151">
                  <c:v>53.296958452967374</c:v>
                </c:pt>
                <c:pt idx="152">
                  <c:v>53.109319963704394</c:v>
                </c:pt>
                <c:pt idx="153">
                  <c:v>52.726393852310025</c:v>
                </c:pt>
                <c:pt idx="154">
                  <c:v>52.85736384480586</c:v>
                </c:pt>
                <c:pt idx="155">
                  <c:v>53.085352261387555</c:v>
                </c:pt>
                <c:pt idx="156">
                  <c:v>53.304945714279761</c:v>
                </c:pt>
                <c:pt idx="157">
                  <c:v>53.58182400799538</c:v>
                </c:pt>
                <c:pt idx="158">
                  <c:v>54.362100673164676</c:v>
                </c:pt>
                <c:pt idx="159">
                  <c:v>55.130569667122664</c:v>
                </c:pt>
                <c:pt idx="160">
                  <c:v>55.879052759759539</c:v>
                </c:pt>
                <c:pt idx="161">
                  <c:v>56.521936753741464</c:v>
                </c:pt>
                <c:pt idx="162">
                  <c:v>57.289826622061994</c:v>
                </c:pt>
                <c:pt idx="163">
                  <c:v>57.576666528300628</c:v>
                </c:pt>
                <c:pt idx="164">
                  <c:v>57.742272697091288</c:v>
                </c:pt>
                <c:pt idx="165">
                  <c:v>58.157872708515292</c:v>
                </c:pt>
                <c:pt idx="166">
                  <c:v>58.176752381338211</c:v>
                </c:pt>
                <c:pt idx="167">
                  <c:v>58.212141879921759</c:v>
                </c:pt>
                <c:pt idx="168">
                  <c:v>58.243482998445344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06-493F-9E80-C7410E30E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4412223"/>
        <c:axId val="1314411743"/>
      </c:lineChart>
      <c:dateAx>
        <c:axId val="13144122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411743"/>
        <c:crosses val="autoZero"/>
        <c:auto val="1"/>
        <c:lblOffset val="100"/>
        <c:baseTimeUnit val="days"/>
      </c:dateAx>
      <c:valAx>
        <c:axId val="131441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41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1780708536313801"/>
          <c:y val="0.90156469461587574"/>
          <c:w val="0.39874836427143462"/>
          <c:h val="5.96857487408668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KD</a:t>
            </a:r>
            <a:r>
              <a:rPr lang="en-GB" baseline="0"/>
              <a:t> Oscillator for BMY UN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7.3133432626649675E-2"/>
          <c:y val="8.8944844124700245E-2"/>
          <c:w val="0.88090607603945992"/>
          <c:h val="0.75200645782586539"/>
        </c:manualLayout>
      </c:layout>
      <c:lineChart>
        <c:grouping val="standard"/>
        <c:varyColors val="0"/>
        <c:ser>
          <c:idx val="0"/>
          <c:order val="0"/>
          <c:tx>
            <c:strRef>
              <c:f>KD!$C$1</c:f>
              <c:strCache>
                <c:ptCount val="1"/>
                <c:pt idx="0">
                  <c:v>%K 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KD!$A$12:$A$189</c:f>
              <c:numCache>
                <c:formatCode>m/d/yyyy</c:formatCode>
                <c:ptCount val="178"/>
                <c:pt idx="0">
                  <c:v>45489</c:v>
                </c:pt>
                <c:pt idx="1">
                  <c:v>45490</c:v>
                </c:pt>
                <c:pt idx="2">
                  <c:v>45491</c:v>
                </c:pt>
                <c:pt idx="3">
                  <c:v>45492</c:v>
                </c:pt>
                <c:pt idx="4">
                  <c:v>45495</c:v>
                </c:pt>
                <c:pt idx="5">
                  <c:v>45496</c:v>
                </c:pt>
                <c:pt idx="6">
                  <c:v>45497</c:v>
                </c:pt>
                <c:pt idx="7">
                  <c:v>45498</c:v>
                </c:pt>
                <c:pt idx="8">
                  <c:v>45499</c:v>
                </c:pt>
                <c:pt idx="9">
                  <c:v>45502</c:v>
                </c:pt>
                <c:pt idx="10">
                  <c:v>45503</c:v>
                </c:pt>
                <c:pt idx="11">
                  <c:v>45504</c:v>
                </c:pt>
                <c:pt idx="12">
                  <c:v>45505</c:v>
                </c:pt>
                <c:pt idx="13">
                  <c:v>45506</c:v>
                </c:pt>
                <c:pt idx="14">
                  <c:v>45509</c:v>
                </c:pt>
                <c:pt idx="15">
                  <c:v>45510</c:v>
                </c:pt>
                <c:pt idx="16">
                  <c:v>45511</c:v>
                </c:pt>
                <c:pt idx="17">
                  <c:v>45512</c:v>
                </c:pt>
                <c:pt idx="18">
                  <c:v>45513</c:v>
                </c:pt>
                <c:pt idx="19">
                  <c:v>45516</c:v>
                </c:pt>
                <c:pt idx="20">
                  <c:v>45517</c:v>
                </c:pt>
                <c:pt idx="21">
                  <c:v>45518</c:v>
                </c:pt>
                <c:pt idx="22">
                  <c:v>45519</c:v>
                </c:pt>
                <c:pt idx="23">
                  <c:v>45520</c:v>
                </c:pt>
                <c:pt idx="24">
                  <c:v>45523</c:v>
                </c:pt>
                <c:pt idx="25">
                  <c:v>45524</c:v>
                </c:pt>
                <c:pt idx="26">
                  <c:v>45525</c:v>
                </c:pt>
                <c:pt idx="27">
                  <c:v>45526</c:v>
                </c:pt>
                <c:pt idx="28">
                  <c:v>45527</c:v>
                </c:pt>
                <c:pt idx="29">
                  <c:v>45530</c:v>
                </c:pt>
                <c:pt idx="30">
                  <c:v>45531</c:v>
                </c:pt>
                <c:pt idx="31">
                  <c:v>45532</c:v>
                </c:pt>
                <c:pt idx="32">
                  <c:v>45533</c:v>
                </c:pt>
                <c:pt idx="33">
                  <c:v>45534</c:v>
                </c:pt>
                <c:pt idx="34">
                  <c:v>45538</c:v>
                </c:pt>
                <c:pt idx="35">
                  <c:v>45539</c:v>
                </c:pt>
                <c:pt idx="36">
                  <c:v>45540</c:v>
                </c:pt>
                <c:pt idx="37">
                  <c:v>45541</c:v>
                </c:pt>
                <c:pt idx="38">
                  <c:v>45544</c:v>
                </c:pt>
                <c:pt idx="39">
                  <c:v>45545</c:v>
                </c:pt>
                <c:pt idx="40">
                  <c:v>45546</c:v>
                </c:pt>
                <c:pt idx="41">
                  <c:v>45547</c:v>
                </c:pt>
                <c:pt idx="42">
                  <c:v>45548</c:v>
                </c:pt>
                <c:pt idx="43">
                  <c:v>45551</c:v>
                </c:pt>
                <c:pt idx="44">
                  <c:v>45552</c:v>
                </c:pt>
                <c:pt idx="45">
                  <c:v>45553</c:v>
                </c:pt>
                <c:pt idx="46">
                  <c:v>45554</c:v>
                </c:pt>
                <c:pt idx="47">
                  <c:v>45555</c:v>
                </c:pt>
                <c:pt idx="48">
                  <c:v>45558</c:v>
                </c:pt>
                <c:pt idx="49">
                  <c:v>45559</c:v>
                </c:pt>
                <c:pt idx="50">
                  <c:v>45560</c:v>
                </c:pt>
                <c:pt idx="51">
                  <c:v>45561</c:v>
                </c:pt>
                <c:pt idx="52">
                  <c:v>45562</c:v>
                </c:pt>
                <c:pt idx="53">
                  <c:v>45565</c:v>
                </c:pt>
                <c:pt idx="54">
                  <c:v>45566</c:v>
                </c:pt>
                <c:pt idx="55">
                  <c:v>45567</c:v>
                </c:pt>
                <c:pt idx="56">
                  <c:v>45568</c:v>
                </c:pt>
                <c:pt idx="57">
                  <c:v>45569</c:v>
                </c:pt>
                <c:pt idx="58">
                  <c:v>45572</c:v>
                </c:pt>
                <c:pt idx="59">
                  <c:v>45573</c:v>
                </c:pt>
                <c:pt idx="60">
                  <c:v>45574</c:v>
                </c:pt>
                <c:pt idx="61">
                  <c:v>45575</c:v>
                </c:pt>
                <c:pt idx="62">
                  <c:v>45576</c:v>
                </c:pt>
                <c:pt idx="63">
                  <c:v>45579</c:v>
                </c:pt>
                <c:pt idx="64">
                  <c:v>45580</c:v>
                </c:pt>
                <c:pt idx="65">
                  <c:v>45581</c:v>
                </c:pt>
                <c:pt idx="66">
                  <c:v>45582</c:v>
                </c:pt>
                <c:pt idx="67">
                  <c:v>45583</c:v>
                </c:pt>
                <c:pt idx="68">
                  <c:v>45586</c:v>
                </c:pt>
                <c:pt idx="69">
                  <c:v>45587</c:v>
                </c:pt>
                <c:pt idx="70">
                  <c:v>45588</c:v>
                </c:pt>
                <c:pt idx="71">
                  <c:v>45589</c:v>
                </c:pt>
                <c:pt idx="72">
                  <c:v>45590</c:v>
                </c:pt>
                <c:pt idx="73">
                  <c:v>45593</c:v>
                </c:pt>
                <c:pt idx="74">
                  <c:v>45594</c:v>
                </c:pt>
                <c:pt idx="75">
                  <c:v>45595</c:v>
                </c:pt>
                <c:pt idx="76">
                  <c:v>45596</c:v>
                </c:pt>
                <c:pt idx="77">
                  <c:v>45597</c:v>
                </c:pt>
                <c:pt idx="78">
                  <c:v>45600</c:v>
                </c:pt>
                <c:pt idx="79">
                  <c:v>45601</c:v>
                </c:pt>
                <c:pt idx="80">
                  <c:v>45602</c:v>
                </c:pt>
                <c:pt idx="81">
                  <c:v>45603</c:v>
                </c:pt>
                <c:pt idx="82">
                  <c:v>45604</c:v>
                </c:pt>
                <c:pt idx="83">
                  <c:v>45607</c:v>
                </c:pt>
                <c:pt idx="84">
                  <c:v>45608</c:v>
                </c:pt>
                <c:pt idx="85">
                  <c:v>45609</c:v>
                </c:pt>
                <c:pt idx="86">
                  <c:v>45610</c:v>
                </c:pt>
                <c:pt idx="87">
                  <c:v>45611</c:v>
                </c:pt>
                <c:pt idx="88">
                  <c:v>45614</c:v>
                </c:pt>
                <c:pt idx="89">
                  <c:v>45615</c:v>
                </c:pt>
                <c:pt idx="90">
                  <c:v>45616</c:v>
                </c:pt>
                <c:pt idx="91">
                  <c:v>45617</c:v>
                </c:pt>
                <c:pt idx="92">
                  <c:v>45618</c:v>
                </c:pt>
                <c:pt idx="93">
                  <c:v>45621</c:v>
                </c:pt>
                <c:pt idx="94">
                  <c:v>45622</c:v>
                </c:pt>
                <c:pt idx="95">
                  <c:v>45623</c:v>
                </c:pt>
                <c:pt idx="96">
                  <c:v>45625</c:v>
                </c:pt>
                <c:pt idx="97">
                  <c:v>45628</c:v>
                </c:pt>
                <c:pt idx="98">
                  <c:v>45629</c:v>
                </c:pt>
                <c:pt idx="99">
                  <c:v>45630</c:v>
                </c:pt>
                <c:pt idx="100">
                  <c:v>45631</c:v>
                </c:pt>
                <c:pt idx="101">
                  <c:v>45632</c:v>
                </c:pt>
                <c:pt idx="102">
                  <c:v>45635</c:v>
                </c:pt>
                <c:pt idx="103">
                  <c:v>45636</c:v>
                </c:pt>
                <c:pt idx="104">
                  <c:v>45637</c:v>
                </c:pt>
                <c:pt idx="105">
                  <c:v>45638</c:v>
                </c:pt>
                <c:pt idx="106">
                  <c:v>45639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45649</c:v>
                </c:pt>
                <c:pt idx="113">
                  <c:v>45650</c:v>
                </c:pt>
                <c:pt idx="114">
                  <c:v>45652</c:v>
                </c:pt>
                <c:pt idx="115">
                  <c:v>45653</c:v>
                </c:pt>
                <c:pt idx="116">
                  <c:v>45656</c:v>
                </c:pt>
                <c:pt idx="117">
                  <c:v>45657</c:v>
                </c:pt>
                <c:pt idx="118">
                  <c:v>45659</c:v>
                </c:pt>
                <c:pt idx="119">
                  <c:v>45660</c:v>
                </c:pt>
                <c:pt idx="120">
                  <c:v>45663</c:v>
                </c:pt>
                <c:pt idx="121">
                  <c:v>45664</c:v>
                </c:pt>
                <c:pt idx="122">
                  <c:v>45665</c:v>
                </c:pt>
                <c:pt idx="123">
                  <c:v>45667</c:v>
                </c:pt>
                <c:pt idx="124">
                  <c:v>45670</c:v>
                </c:pt>
                <c:pt idx="125">
                  <c:v>45671</c:v>
                </c:pt>
                <c:pt idx="126">
                  <c:v>45672</c:v>
                </c:pt>
                <c:pt idx="127">
                  <c:v>45673</c:v>
                </c:pt>
                <c:pt idx="128">
                  <c:v>45674</c:v>
                </c:pt>
                <c:pt idx="129">
                  <c:v>45678</c:v>
                </c:pt>
                <c:pt idx="130">
                  <c:v>45679</c:v>
                </c:pt>
                <c:pt idx="131">
                  <c:v>45680</c:v>
                </c:pt>
                <c:pt idx="132">
                  <c:v>45681</c:v>
                </c:pt>
                <c:pt idx="133">
                  <c:v>45684</c:v>
                </c:pt>
                <c:pt idx="134">
                  <c:v>45685</c:v>
                </c:pt>
                <c:pt idx="135">
                  <c:v>45686</c:v>
                </c:pt>
                <c:pt idx="136">
                  <c:v>45687</c:v>
                </c:pt>
                <c:pt idx="137">
                  <c:v>45688</c:v>
                </c:pt>
                <c:pt idx="138">
                  <c:v>45691</c:v>
                </c:pt>
                <c:pt idx="139">
                  <c:v>45692</c:v>
                </c:pt>
                <c:pt idx="140">
                  <c:v>45693</c:v>
                </c:pt>
                <c:pt idx="141">
                  <c:v>45694</c:v>
                </c:pt>
                <c:pt idx="142">
                  <c:v>45695</c:v>
                </c:pt>
                <c:pt idx="143">
                  <c:v>45698</c:v>
                </c:pt>
                <c:pt idx="144">
                  <c:v>45699</c:v>
                </c:pt>
                <c:pt idx="145">
                  <c:v>45700</c:v>
                </c:pt>
                <c:pt idx="146">
                  <c:v>45701</c:v>
                </c:pt>
                <c:pt idx="147">
                  <c:v>45702</c:v>
                </c:pt>
                <c:pt idx="148">
                  <c:v>45706</c:v>
                </c:pt>
                <c:pt idx="149">
                  <c:v>45707</c:v>
                </c:pt>
                <c:pt idx="150">
                  <c:v>45708</c:v>
                </c:pt>
                <c:pt idx="151">
                  <c:v>45709</c:v>
                </c:pt>
                <c:pt idx="152">
                  <c:v>45712</c:v>
                </c:pt>
                <c:pt idx="153">
                  <c:v>45713</c:v>
                </c:pt>
                <c:pt idx="154">
                  <c:v>45714</c:v>
                </c:pt>
                <c:pt idx="155">
                  <c:v>45715</c:v>
                </c:pt>
                <c:pt idx="156">
                  <c:v>45716</c:v>
                </c:pt>
                <c:pt idx="157">
                  <c:v>45719</c:v>
                </c:pt>
                <c:pt idx="158">
                  <c:v>45720</c:v>
                </c:pt>
                <c:pt idx="159">
                  <c:v>45721</c:v>
                </c:pt>
                <c:pt idx="160">
                  <c:v>45722</c:v>
                </c:pt>
                <c:pt idx="161">
                  <c:v>45723</c:v>
                </c:pt>
                <c:pt idx="162">
                  <c:v>45726</c:v>
                </c:pt>
                <c:pt idx="163">
                  <c:v>45727</c:v>
                </c:pt>
                <c:pt idx="164">
                  <c:v>45728</c:v>
                </c:pt>
                <c:pt idx="165">
                  <c:v>45729</c:v>
                </c:pt>
                <c:pt idx="166">
                  <c:v>45730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45740</c:v>
                </c:pt>
                <c:pt idx="173">
                  <c:v>45741</c:v>
                </c:pt>
                <c:pt idx="174">
                  <c:v>45742</c:v>
                </c:pt>
                <c:pt idx="175">
                  <c:v>45743</c:v>
                </c:pt>
                <c:pt idx="176">
                  <c:v>45744</c:v>
                </c:pt>
                <c:pt idx="177">
                  <c:v>45747</c:v>
                </c:pt>
              </c:numCache>
            </c:numRef>
          </c:cat>
          <c:val>
            <c:numRef>
              <c:f>KD!$C$15:$C$189</c:f>
              <c:numCache>
                <c:formatCode>General</c:formatCode>
                <c:ptCount val="175"/>
                <c:pt idx="0">
                  <c:v>85.386819484240746</c:v>
                </c:pt>
                <c:pt idx="1">
                  <c:v>86.246418338108981</c:v>
                </c:pt>
                <c:pt idx="2">
                  <c:v>95.128939828080178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85.728155339805781</c:v>
                </c:pt>
                <c:pt idx="7">
                  <c:v>86.407766990291208</c:v>
                </c:pt>
                <c:pt idx="8">
                  <c:v>71.941747572815544</c:v>
                </c:pt>
                <c:pt idx="9">
                  <c:v>77.864077669902912</c:v>
                </c:pt>
                <c:pt idx="10">
                  <c:v>81.837837837837839</c:v>
                </c:pt>
                <c:pt idx="11">
                  <c:v>64.516129032258078</c:v>
                </c:pt>
                <c:pt idx="12">
                  <c:v>61.04218362282878</c:v>
                </c:pt>
                <c:pt idx="13">
                  <c:v>49.423815620998695</c:v>
                </c:pt>
                <c:pt idx="14">
                  <c:v>53.727506426735204</c:v>
                </c:pt>
                <c:pt idx="15">
                  <c:v>50.066934404283792</c:v>
                </c:pt>
                <c:pt idx="16">
                  <c:v>41.450777202072594</c:v>
                </c:pt>
                <c:pt idx="17">
                  <c:v>73.166023166023152</c:v>
                </c:pt>
                <c:pt idx="18">
                  <c:v>48.354430379746717</c:v>
                </c:pt>
                <c:pt idx="19">
                  <c:v>100</c:v>
                </c:pt>
                <c:pt idx="20">
                  <c:v>100</c:v>
                </c:pt>
                <c:pt idx="21">
                  <c:v>97.902097902097822</c:v>
                </c:pt>
                <c:pt idx="22">
                  <c:v>86.713286713286621</c:v>
                </c:pt>
                <c:pt idx="23">
                  <c:v>67.832167832167769</c:v>
                </c:pt>
                <c:pt idx="24">
                  <c:v>39.160839160839075</c:v>
                </c:pt>
                <c:pt idx="25">
                  <c:v>56.293706293706279</c:v>
                </c:pt>
                <c:pt idx="26">
                  <c:v>60.839160839160925</c:v>
                </c:pt>
                <c:pt idx="27">
                  <c:v>53.03030303030296</c:v>
                </c:pt>
                <c:pt idx="28">
                  <c:v>88.63636363636374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80.689655172413751</c:v>
                </c:pt>
                <c:pt idx="33">
                  <c:v>75.172413793103289</c:v>
                </c:pt>
                <c:pt idx="34">
                  <c:v>37.241379310344939</c:v>
                </c:pt>
                <c:pt idx="35">
                  <c:v>30.344827586206925</c:v>
                </c:pt>
                <c:pt idx="36">
                  <c:v>57.24137931034484</c:v>
                </c:pt>
                <c:pt idx="37">
                  <c:v>33.448275862069103</c:v>
                </c:pt>
                <c:pt idx="38">
                  <c:v>5.3941908713693927</c:v>
                </c:pt>
                <c:pt idx="39">
                  <c:v>42.083333333333442</c:v>
                </c:pt>
                <c:pt idx="40">
                  <c:v>77.916666666666671</c:v>
                </c:pt>
                <c:pt idx="41">
                  <c:v>54.824561403508746</c:v>
                </c:pt>
                <c:pt idx="42">
                  <c:v>65.789473684210492</c:v>
                </c:pt>
                <c:pt idx="43">
                  <c:v>34.210526315789508</c:v>
                </c:pt>
                <c:pt idx="44">
                  <c:v>51.315789473683949</c:v>
                </c:pt>
                <c:pt idx="45">
                  <c:v>100</c:v>
                </c:pt>
                <c:pt idx="46">
                  <c:v>100</c:v>
                </c:pt>
                <c:pt idx="47">
                  <c:v>63.333333333333464</c:v>
                </c:pt>
                <c:pt idx="48">
                  <c:v>69.629629629629576</c:v>
                </c:pt>
                <c:pt idx="49">
                  <c:v>98.888888888888843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95.36679536679533</c:v>
                </c:pt>
                <c:pt idx="55">
                  <c:v>85.328185328185228</c:v>
                </c:pt>
                <c:pt idx="56">
                  <c:v>66.795366795366675</c:v>
                </c:pt>
                <c:pt idx="57">
                  <c:v>70.772442588726435</c:v>
                </c:pt>
                <c:pt idx="58">
                  <c:v>57.647058823529306</c:v>
                </c:pt>
                <c:pt idx="59">
                  <c:v>52.941176470588239</c:v>
                </c:pt>
                <c:pt idx="60">
                  <c:v>63.999999999999972</c:v>
                </c:pt>
                <c:pt idx="61">
                  <c:v>64.705882352941103</c:v>
                </c:pt>
                <c:pt idx="62">
                  <c:v>74.772036474164011</c:v>
                </c:pt>
                <c:pt idx="63">
                  <c:v>58.536585365853547</c:v>
                </c:pt>
                <c:pt idx="64">
                  <c:v>50.999999999999801</c:v>
                </c:pt>
                <c:pt idx="65">
                  <c:v>0</c:v>
                </c:pt>
                <c:pt idx="66">
                  <c:v>30.769230769230717</c:v>
                </c:pt>
                <c:pt idx="67">
                  <c:v>51.086956521739303</c:v>
                </c:pt>
                <c:pt idx="68">
                  <c:v>60.606060606060922</c:v>
                </c:pt>
                <c:pt idx="69">
                  <c:v>0</c:v>
                </c:pt>
                <c:pt idx="70">
                  <c:v>49.655172413793167</c:v>
                </c:pt>
                <c:pt idx="71">
                  <c:v>40</c:v>
                </c:pt>
                <c:pt idx="72">
                  <c:v>51.034482758620491</c:v>
                </c:pt>
                <c:pt idx="73">
                  <c:v>100</c:v>
                </c:pt>
                <c:pt idx="74">
                  <c:v>62.33766233766228</c:v>
                </c:pt>
                <c:pt idx="75">
                  <c:v>91.688311688311686</c:v>
                </c:pt>
                <c:pt idx="76">
                  <c:v>100</c:v>
                </c:pt>
                <c:pt idx="77">
                  <c:v>83.374689826302699</c:v>
                </c:pt>
                <c:pt idx="78">
                  <c:v>69.230769230769184</c:v>
                </c:pt>
                <c:pt idx="79">
                  <c:v>55.086848635235683</c:v>
                </c:pt>
                <c:pt idx="80">
                  <c:v>100</c:v>
                </c:pt>
                <c:pt idx="81">
                  <c:v>89.873417721519019</c:v>
                </c:pt>
                <c:pt idx="82">
                  <c:v>82.151898734177166</c:v>
                </c:pt>
                <c:pt idx="83">
                  <c:v>81.967213114754102</c:v>
                </c:pt>
                <c:pt idx="84">
                  <c:v>50.81967213114752</c:v>
                </c:pt>
                <c:pt idx="85">
                  <c:v>57.821229050279314</c:v>
                </c:pt>
                <c:pt idx="86">
                  <c:v>72.007042253521064</c:v>
                </c:pt>
                <c:pt idx="87">
                  <c:v>65.845070422535244</c:v>
                </c:pt>
                <c:pt idx="88">
                  <c:v>72.007042253521064</c:v>
                </c:pt>
                <c:pt idx="89">
                  <c:v>83.274647887323894</c:v>
                </c:pt>
                <c:pt idx="90">
                  <c:v>81.690140845070431</c:v>
                </c:pt>
                <c:pt idx="91">
                  <c:v>80.985915492957773</c:v>
                </c:pt>
                <c:pt idx="92">
                  <c:v>90.316901408450761</c:v>
                </c:pt>
                <c:pt idx="93">
                  <c:v>83.3333333333333</c:v>
                </c:pt>
                <c:pt idx="94">
                  <c:v>100</c:v>
                </c:pt>
                <c:pt idx="95">
                  <c:v>66.397849462365571</c:v>
                </c:pt>
                <c:pt idx="96">
                  <c:v>57.795698924731163</c:v>
                </c:pt>
                <c:pt idx="97">
                  <c:v>70.430107526881869</c:v>
                </c:pt>
                <c:pt idx="98">
                  <c:v>82.165605095541565</c:v>
                </c:pt>
                <c:pt idx="99">
                  <c:v>40.291262135922338</c:v>
                </c:pt>
                <c:pt idx="100">
                  <c:v>11.650485436892982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2.1634615384614513</c:v>
                </c:pt>
                <c:pt idx="105">
                  <c:v>44.951923076923052</c:v>
                </c:pt>
                <c:pt idx="106">
                  <c:v>25.480769230769308</c:v>
                </c:pt>
                <c:pt idx="107">
                  <c:v>12.499999999999915</c:v>
                </c:pt>
                <c:pt idx="108">
                  <c:v>43.055555555555458</c:v>
                </c:pt>
                <c:pt idx="109">
                  <c:v>49.999999999999901</c:v>
                </c:pt>
                <c:pt idx="110">
                  <c:v>54.999999999999893</c:v>
                </c:pt>
                <c:pt idx="111">
                  <c:v>61.666666666666615</c:v>
                </c:pt>
                <c:pt idx="112">
                  <c:v>64.846416382252514</c:v>
                </c:pt>
                <c:pt idx="113">
                  <c:v>11.965811965812033</c:v>
                </c:pt>
                <c:pt idx="114">
                  <c:v>35.135135135135201</c:v>
                </c:pt>
                <c:pt idx="115">
                  <c:v>45.495495495495433</c:v>
                </c:pt>
                <c:pt idx="116">
                  <c:v>35.585585585585569</c:v>
                </c:pt>
                <c:pt idx="117">
                  <c:v>38.028169014084568</c:v>
                </c:pt>
                <c:pt idx="118">
                  <c:v>55.670103092783485</c:v>
                </c:pt>
                <c:pt idx="119">
                  <c:v>38.659793814433037</c:v>
                </c:pt>
                <c:pt idx="120">
                  <c:v>0</c:v>
                </c:pt>
                <c:pt idx="121">
                  <c:v>0</c:v>
                </c:pt>
                <c:pt idx="122">
                  <c:v>14.393939393939487</c:v>
                </c:pt>
                <c:pt idx="123">
                  <c:v>20.833333333333222</c:v>
                </c:pt>
                <c:pt idx="124">
                  <c:v>38.636363636363747</c:v>
                </c:pt>
                <c:pt idx="125">
                  <c:v>40.086206896551708</c:v>
                </c:pt>
                <c:pt idx="126">
                  <c:v>94.382022471910034</c:v>
                </c:pt>
                <c:pt idx="127">
                  <c:v>97.191011235955216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64.885496183206058</c:v>
                </c:pt>
                <c:pt idx="132">
                  <c:v>70.419847328244202</c:v>
                </c:pt>
                <c:pt idx="133">
                  <c:v>72.137404580152662</c:v>
                </c:pt>
                <c:pt idx="134">
                  <c:v>68.511450381679424</c:v>
                </c:pt>
                <c:pt idx="135">
                  <c:v>86.625514403292215</c:v>
                </c:pt>
                <c:pt idx="136">
                  <c:v>68.443496801705706</c:v>
                </c:pt>
                <c:pt idx="137">
                  <c:v>79.350348027842216</c:v>
                </c:pt>
                <c:pt idx="138">
                  <c:v>26.21809744779587</c:v>
                </c:pt>
                <c:pt idx="139">
                  <c:v>0</c:v>
                </c:pt>
                <c:pt idx="140">
                  <c:v>0</c:v>
                </c:pt>
                <c:pt idx="141">
                  <c:v>8.086785009861865</c:v>
                </c:pt>
                <c:pt idx="142">
                  <c:v>12.228796844181408</c:v>
                </c:pt>
                <c:pt idx="143">
                  <c:v>8.6785009861932476</c:v>
                </c:pt>
                <c:pt idx="144">
                  <c:v>0</c:v>
                </c:pt>
                <c:pt idx="145">
                  <c:v>8.7603305785124093</c:v>
                </c:pt>
                <c:pt idx="146">
                  <c:v>17.851239669421449</c:v>
                </c:pt>
                <c:pt idx="147">
                  <c:v>31.239669421487591</c:v>
                </c:pt>
                <c:pt idx="148">
                  <c:v>31.900826446280966</c:v>
                </c:pt>
                <c:pt idx="149">
                  <c:v>68.502581755593852</c:v>
                </c:pt>
                <c:pt idx="150">
                  <c:v>74.182444061962144</c:v>
                </c:pt>
                <c:pt idx="151">
                  <c:v>80.742459396751784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92.79731993299832</c:v>
                </c:pt>
                <c:pt idx="156">
                  <c:v>99.162479061976597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78.142076502732223</c:v>
                </c:pt>
                <c:pt idx="161">
                  <c:v>54.670329670329721</c:v>
                </c:pt>
                <c:pt idx="162">
                  <c:v>50.610820244328103</c:v>
                </c:pt>
                <c:pt idx="163">
                  <c:v>28.446771378708487</c:v>
                </c:pt>
                <c:pt idx="164">
                  <c:v>45.549738219895303</c:v>
                </c:pt>
                <c:pt idx="165">
                  <c:v>25.522041763341086</c:v>
                </c:pt>
                <c:pt idx="166">
                  <c:v>26.097560975609753</c:v>
                </c:pt>
                <c:pt idx="167">
                  <c:v>34.390243902439103</c:v>
                </c:pt>
                <c:pt idx="168">
                  <c:v>48.29268292682935</c:v>
                </c:pt>
                <c:pt idx="169">
                  <c:v>49.756097560975569</c:v>
                </c:pt>
                <c:pt idx="170">
                  <c:v>4.3902439024390159</c:v>
                </c:pt>
                <c:pt idx="171">
                  <c:v>4.8780487804878723</c:v>
                </c:pt>
                <c:pt idx="172">
                  <c:v>0</c:v>
                </c:pt>
                <c:pt idx="173">
                  <c:v>42.9118773946362</c:v>
                </c:pt>
                <c:pt idx="174">
                  <c:v>97.209302325581618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4-410E-A3AA-84935BE88725}"/>
            </c:ext>
          </c:extLst>
        </c:ser>
        <c:ser>
          <c:idx val="1"/>
          <c:order val="1"/>
          <c:tx>
            <c:strRef>
              <c:f>KD!$D$1</c:f>
              <c:strCache>
                <c:ptCount val="1"/>
                <c:pt idx="0">
                  <c:v>%D 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KD!$A$12:$A$189</c:f>
              <c:numCache>
                <c:formatCode>m/d/yyyy</c:formatCode>
                <c:ptCount val="178"/>
                <c:pt idx="0">
                  <c:v>45489</c:v>
                </c:pt>
                <c:pt idx="1">
                  <c:v>45490</c:v>
                </c:pt>
                <c:pt idx="2">
                  <c:v>45491</c:v>
                </c:pt>
                <c:pt idx="3">
                  <c:v>45492</c:v>
                </c:pt>
                <c:pt idx="4">
                  <c:v>45495</c:v>
                </c:pt>
                <c:pt idx="5">
                  <c:v>45496</c:v>
                </c:pt>
                <c:pt idx="6">
                  <c:v>45497</c:v>
                </c:pt>
                <c:pt idx="7">
                  <c:v>45498</c:v>
                </c:pt>
                <c:pt idx="8">
                  <c:v>45499</c:v>
                </c:pt>
                <c:pt idx="9">
                  <c:v>45502</c:v>
                </c:pt>
                <c:pt idx="10">
                  <c:v>45503</c:v>
                </c:pt>
                <c:pt idx="11">
                  <c:v>45504</c:v>
                </c:pt>
                <c:pt idx="12">
                  <c:v>45505</c:v>
                </c:pt>
                <c:pt idx="13">
                  <c:v>45506</c:v>
                </c:pt>
                <c:pt idx="14">
                  <c:v>45509</c:v>
                </c:pt>
                <c:pt idx="15">
                  <c:v>45510</c:v>
                </c:pt>
                <c:pt idx="16">
                  <c:v>45511</c:v>
                </c:pt>
                <c:pt idx="17">
                  <c:v>45512</c:v>
                </c:pt>
                <c:pt idx="18">
                  <c:v>45513</c:v>
                </c:pt>
                <c:pt idx="19">
                  <c:v>45516</c:v>
                </c:pt>
                <c:pt idx="20">
                  <c:v>45517</c:v>
                </c:pt>
                <c:pt idx="21">
                  <c:v>45518</c:v>
                </c:pt>
                <c:pt idx="22">
                  <c:v>45519</c:v>
                </c:pt>
                <c:pt idx="23">
                  <c:v>45520</c:v>
                </c:pt>
                <c:pt idx="24">
                  <c:v>45523</c:v>
                </c:pt>
                <c:pt idx="25">
                  <c:v>45524</c:v>
                </c:pt>
                <c:pt idx="26">
                  <c:v>45525</c:v>
                </c:pt>
                <c:pt idx="27">
                  <c:v>45526</c:v>
                </c:pt>
                <c:pt idx="28">
                  <c:v>45527</c:v>
                </c:pt>
                <c:pt idx="29">
                  <c:v>45530</c:v>
                </c:pt>
                <c:pt idx="30">
                  <c:v>45531</c:v>
                </c:pt>
                <c:pt idx="31">
                  <c:v>45532</c:v>
                </c:pt>
                <c:pt idx="32">
                  <c:v>45533</c:v>
                </c:pt>
                <c:pt idx="33">
                  <c:v>45534</c:v>
                </c:pt>
                <c:pt idx="34">
                  <c:v>45538</c:v>
                </c:pt>
                <c:pt idx="35">
                  <c:v>45539</c:v>
                </c:pt>
                <c:pt idx="36">
                  <c:v>45540</c:v>
                </c:pt>
                <c:pt idx="37">
                  <c:v>45541</c:v>
                </c:pt>
                <c:pt idx="38">
                  <c:v>45544</c:v>
                </c:pt>
                <c:pt idx="39">
                  <c:v>45545</c:v>
                </c:pt>
                <c:pt idx="40">
                  <c:v>45546</c:v>
                </c:pt>
                <c:pt idx="41">
                  <c:v>45547</c:v>
                </c:pt>
                <c:pt idx="42">
                  <c:v>45548</c:v>
                </c:pt>
                <c:pt idx="43">
                  <c:v>45551</c:v>
                </c:pt>
                <c:pt idx="44">
                  <c:v>45552</c:v>
                </c:pt>
                <c:pt idx="45">
                  <c:v>45553</c:v>
                </c:pt>
                <c:pt idx="46">
                  <c:v>45554</c:v>
                </c:pt>
                <c:pt idx="47">
                  <c:v>45555</c:v>
                </c:pt>
                <c:pt idx="48">
                  <c:v>45558</c:v>
                </c:pt>
                <c:pt idx="49">
                  <c:v>45559</c:v>
                </c:pt>
                <c:pt idx="50">
                  <c:v>45560</c:v>
                </c:pt>
                <c:pt idx="51">
                  <c:v>45561</c:v>
                </c:pt>
                <c:pt idx="52">
                  <c:v>45562</c:v>
                </c:pt>
                <c:pt idx="53">
                  <c:v>45565</c:v>
                </c:pt>
                <c:pt idx="54">
                  <c:v>45566</c:v>
                </c:pt>
                <c:pt idx="55">
                  <c:v>45567</c:v>
                </c:pt>
                <c:pt idx="56">
                  <c:v>45568</c:v>
                </c:pt>
                <c:pt idx="57">
                  <c:v>45569</c:v>
                </c:pt>
                <c:pt idx="58">
                  <c:v>45572</c:v>
                </c:pt>
                <c:pt idx="59">
                  <c:v>45573</c:v>
                </c:pt>
                <c:pt idx="60">
                  <c:v>45574</c:v>
                </c:pt>
                <c:pt idx="61">
                  <c:v>45575</c:v>
                </c:pt>
                <c:pt idx="62">
                  <c:v>45576</c:v>
                </c:pt>
                <c:pt idx="63">
                  <c:v>45579</c:v>
                </c:pt>
                <c:pt idx="64">
                  <c:v>45580</c:v>
                </c:pt>
                <c:pt idx="65">
                  <c:v>45581</c:v>
                </c:pt>
                <c:pt idx="66">
                  <c:v>45582</c:v>
                </c:pt>
                <c:pt idx="67">
                  <c:v>45583</c:v>
                </c:pt>
                <c:pt idx="68">
                  <c:v>45586</c:v>
                </c:pt>
                <c:pt idx="69">
                  <c:v>45587</c:v>
                </c:pt>
                <c:pt idx="70">
                  <c:v>45588</c:v>
                </c:pt>
                <c:pt idx="71">
                  <c:v>45589</c:v>
                </c:pt>
                <c:pt idx="72">
                  <c:v>45590</c:v>
                </c:pt>
                <c:pt idx="73">
                  <c:v>45593</c:v>
                </c:pt>
                <c:pt idx="74">
                  <c:v>45594</c:v>
                </c:pt>
                <c:pt idx="75">
                  <c:v>45595</c:v>
                </c:pt>
                <c:pt idx="76">
                  <c:v>45596</c:v>
                </c:pt>
                <c:pt idx="77">
                  <c:v>45597</c:v>
                </c:pt>
                <c:pt idx="78">
                  <c:v>45600</c:v>
                </c:pt>
                <c:pt idx="79">
                  <c:v>45601</c:v>
                </c:pt>
                <c:pt idx="80">
                  <c:v>45602</c:v>
                </c:pt>
                <c:pt idx="81">
                  <c:v>45603</c:v>
                </c:pt>
                <c:pt idx="82">
                  <c:v>45604</c:v>
                </c:pt>
                <c:pt idx="83">
                  <c:v>45607</c:v>
                </c:pt>
                <c:pt idx="84">
                  <c:v>45608</c:v>
                </c:pt>
                <c:pt idx="85">
                  <c:v>45609</c:v>
                </c:pt>
                <c:pt idx="86">
                  <c:v>45610</c:v>
                </c:pt>
                <c:pt idx="87">
                  <c:v>45611</c:v>
                </c:pt>
                <c:pt idx="88">
                  <c:v>45614</c:v>
                </c:pt>
                <c:pt idx="89">
                  <c:v>45615</c:v>
                </c:pt>
                <c:pt idx="90">
                  <c:v>45616</c:v>
                </c:pt>
                <c:pt idx="91">
                  <c:v>45617</c:v>
                </c:pt>
                <c:pt idx="92">
                  <c:v>45618</c:v>
                </c:pt>
                <c:pt idx="93">
                  <c:v>45621</c:v>
                </c:pt>
                <c:pt idx="94">
                  <c:v>45622</c:v>
                </c:pt>
                <c:pt idx="95">
                  <c:v>45623</c:v>
                </c:pt>
                <c:pt idx="96">
                  <c:v>45625</c:v>
                </c:pt>
                <c:pt idx="97">
                  <c:v>45628</c:v>
                </c:pt>
                <c:pt idx="98">
                  <c:v>45629</c:v>
                </c:pt>
                <c:pt idx="99">
                  <c:v>45630</c:v>
                </c:pt>
                <c:pt idx="100">
                  <c:v>45631</c:v>
                </c:pt>
                <c:pt idx="101">
                  <c:v>45632</c:v>
                </c:pt>
                <c:pt idx="102">
                  <c:v>45635</c:v>
                </c:pt>
                <c:pt idx="103">
                  <c:v>45636</c:v>
                </c:pt>
                <c:pt idx="104">
                  <c:v>45637</c:v>
                </c:pt>
                <c:pt idx="105">
                  <c:v>45638</c:v>
                </c:pt>
                <c:pt idx="106">
                  <c:v>45639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45649</c:v>
                </c:pt>
                <c:pt idx="113">
                  <c:v>45650</c:v>
                </c:pt>
                <c:pt idx="114">
                  <c:v>45652</c:v>
                </c:pt>
                <c:pt idx="115">
                  <c:v>45653</c:v>
                </c:pt>
                <c:pt idx="116">
                  <c:v>45656</c:v>
                </c:pt>
                <c:pt idx="117">
                  <c:v>45657</c:v>
                </c:pt>
                <c:pt idx="118">
                  <c:v>45659</c:v>
                </c:pt>
                <c:pt idx="119">
                  <c:v>45660</c:v>
                </c:pt>
                <c:pt idx="120">
                  <c:v>45663</c:v>
                </c:pt>
                <c:pt idx="121">
                  <c:v>45664</c:v>
                </c:pt>
                <c:pt idx="122">
                  <c:v>45665</c:v>
                </c:pt>
                <c:pt idx="123">
                  <c:v>45667</c:v>
                </c:pt>
                <c:pt idx="124">
                  <c:v>45670</c:v>
                </c:pt>
                <c:pt idx="125">
                  <c:v>45671</c:v>
                </c:pt>
                <c:pt idx="126">
                  <c:v>45672</c:v>
                </c:pt>
                <c:pt idx="127">
                  <c:v>45673</c:v>
                </c:pt>
                <c:pt idx="128">
                  <c:v>45674</c:v>
                </c:pt>
                <c:pt idx="129">
                  <c:v>45678</c:v>
                </c:pt>
                <c:pt idx="130">
                  <c:v>45679</c:v>
                </c:pt>
                <c:pt idx="131">
                  <c:v>45680</c:v>
                </c:pt>
                <c:pt idx="132">
                  <c:v>45681</c:v>
                </c:pt>
                <c:pt idx="133">
                  <c:v>45684</c:v>
                </c:pt>
                <c:pt idx="134">
                  <c:v>45685</c:v>
                </c:pt>
                <c:pt idx="135">
                  <c:v>45686</c:v>
                </c:pt>
                <c:pt idx="136">
                  <c:v>45687</c:v>
                </c:pt>
                <c:pt idx="137">
                  <c:v>45688</c:v>
                </c:pt>
                <c:pt idx="138">
                  <c:v>45691</c:v>
                </c:pt>
                <c:pt idx="139">
                  <c:v>45692</c:v>
                </c:pt>
                <c:pt idx="140">
                  <c:v>45693</c:v>
                </c:pt>
                <c:pt idx="141">
                  <c:v>45694</c:v>
                </c:pt>
                <c:pt idx="142">
                  <c:v>45695</c:v>
                </c:pt>
                <c:pt idx="143">
                  <c:v>45698</c:v>
                </c:pt>
                <c:pt idx="144">
                  <c:v>45699</c:v>
                </c:pt>
                <c:pt idx="145">
                  <c:v>45700</c:v>
                </c:pt>
                <c:pt idx="146">
                  <c:v>45701</c:v>
                </c:pt>
                <c:pt idx="147">
                  <c:v>45702</c:v>
                </c:pt>
                <c:pt idx="148">
                  <c:v>45706</c:v>
                </c:pt>
                <c:pt idx="149">
                  <c:v>45707</c:v>
                </c:pt>
                <c:pt idx="150">
                  <c:v>45708</c:v>
                </c:pt>
                <c:pt idx="151">
                  <c:v>45709</c:v>
                </c:pt>
                <c:pt idx="152">
                  <c:v>45712</c:v>
                </c:pt>
                <c:pt idx="153">
                  <c:v>45713</c:v>
                </c:pt>
                <c:pt idx="154">
                  <c:v>45714</c:v>
                </c:pt>
                <c:pt idx="155">
                  <c:v>45715</c:v>
                </c:pt>
                <c:pt idx="156">
                  <c:v>45716</c:v>
                </c:pt>
                <c:pt idx="157">
                  <c:v>45719</c:v>
                </c:pt>
                <c:pt idx="158">
                  <c:v>45720</c:v>
                </c:pt>
                <c:pt idx="159">
                  <c:v>45721</c:v>
                </c:pt>
                <c:pt idx="160">
                  <c:v>45722</c:v>
                </c:pt>
                <c:pt idx="161">
                  <c:v>45723</c:v>
                </c:pt>
                <c:pt idx="162">
                  <c:v>45726</c:v>
                </c:pt>
                <c:pt idx="163">
                  <c:v>45727</c:v>
                </c:pt>
                <c:pt idx="164">
                  <c:v>45728</c:v>
                </c:pt>
                <c:pt idx="165">
                  <c:v>45729</c:v>
                </c:pt>
                <c:pt idx="166">
                  <c:v>45730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45740</c:v>
                </c:pt>
                <c:pt idx="173">
                  <c:v>45741</c:v>
                </c:pt>
                <c:pt idx="174">
                  <c:v>45742</c:v>
                </c:pt>
                <c:pt idx="175">
                  <c:v>45743</c:v>
                </c:pt>
                <c:pt idx="176">
                  <c:v>45744</c:v>
                </c:pt>
                <c:pt idx="177">
                  <c:v>45747</c:v>
                </c:pt>
              </c:numCache>
            </c:numRef>
          </c:cat>
          <c:val>
            <c:numRef>
              <c:f>KD!$D$12:$D$189</c:f>
              <c:numCache>
                <c:formatCode>General</c:formatCode>
                <c:ptCount val="178"/>
                <c:pt idx="5">
                  <c:v>88.920725883476621</c:v>
                </c:pt>
                <c:pt idx="6">
                  <c:v>93.791786055396372</c:v>
                </c:pt>
                <c:pt idx="7">
                  <c:v>98.376313276026735</c:v>
                </c:pt>
                <c:pt idx="8">
                  <c:v>100</c:v>
                </c:pt>
                <c:pt idx="9">
                  <c:v>95.242718446601927</c:v>
                </c:pt>
                <c:pt idx="10">
                  <c:v>90.711974110032315</c:v>
                </c:pt>
                <c:pt idx="11">
                  <c:v>81.359223300970839</c:v>
                </c:pt>
                <c:pt idx="12">
                  <c:v>78.737864077669897</c:v>
                </c:pt>
                <c:pt idx="13">
                  <c:v>77.214554360185431</c:v>
                </c:pt>
                <c:pt idx="14">
                  <c:v>74.73934817999961</c:v>
                </c:pt>
                <c:pt idx="15">
                  <c:v>69.132050164308239</c:v>
                </c:pt>
                <c:pt idx="16">
                  <c:v>58.327376092028523</c:v>
                </c:pt>
                <c:pt idx="17">
                  <c:v>54.731168556854222</c:v>
                </c:pt>
                <c:pt idx="18">
                  <c:v>51.072752150672564</c:v>
                </c:pt>
                <c:pt idx="19">
                  <c:v>48.415072677697196</c:v>
                </c:pt>
                <c:pt idx="20">
                  <c:v>54.894578257459841</c:v>
                </c:pt>
                <c:pt idx="21">
                  <c:v>54.323743582614156</c:v>
                </c:pt>
                <c:pt idx="22">
                  <c:v>73.840151181923289</c:v>
                </c:pt>
                <c:pt idx="23">
                  <c:v>82.784810126582229</c:v>
                </c:pt>
                <c:pt idx="24">
                  <c:v>99.300699300699264</c:v>
                </c:pt>
                <c:pt idx="25">
                  <c:v>94.871794871794805</c:v>
                </c:pt>
                <c:pt idx="26">
                  <c:v>84.149184149184066</c:v>
                </c:pt>
                <c:pt idx="27">
                  <c:v>64.568764568764493</c:v>
                </c:pt>
                <c:pt idx="28">
                  <c:v>54.428904428904367</c:v>
                </c:pt>
                <c:pt idx="29">
                  <c:v>52.0979020979021</c:v>
                </c:pt>
                <c:pt idx="30">
                  <c:v>56.721056721056719</c:v>
                </c:pt>
                <c:pt idx="31">
                  <c:v>67.501942501942537</c:v>
                </c:pt>
                <c:pt idx="32">
                  <c:v>80.555555555555557</c:v>
                </c:pt>
                <c:pt idx="33">
                  <c:v>96.212121212121247</c:v>
                </c:pt>
                <c:pt idx="34">
                  <c:v>100</c:v>
                </c:pt>
                <c:pt idx="35">
                  <c:v>93.563218390804579</c:v>
                </c:pt>
                <c:pt idx="36">
                  <c:v>85.287356321839013</c:v>
                </c:pt>
                <c:pt idx="37">
                  <c:v>64.367816091953998</c:v>
                </c:pt>
                <c:pt idx="38">
                  <c:v>47.586206896551715</c:v>
                </c:pt>
                <c:pt idx="39">
                  <c:v>41.609195402298901</c:v>
                </c:pt>
                <c:pt idx="40">
                  <c:v>40.344827586206954</c:v>
                </c:pt>
                <c:pt idx="41">
                  <c:v>32.027948681261115</c:v>
                </c:pt>
                <c:pt idx="42">
                  <c:v>26.97526668892398</c:v>
                </c:pt>
                <c:pt idx="43">
                  <c:v>41.798063623789837</c:v>
                </c:pt>
                <c:pt idx="44">
                  <c:v>58.27485380116962</c:v>
                </c:pt>
                <c:pt idx="45">
                  <c:v>66.176900584795305</c:v>
                </c:pt>
                <c:pt idx="46">
                  <c:v>51.608187134502913</c:v>
                </c:pt>
                <c:pt idx="47">
                  <c:v>50.438596491227976</c:v>
                </c:pt>
                <c:pt idx="48">
                  <c:v>61.842105263157826</c:v>
                </c:pt>
                <c:pt idx="49">
                  <c:v>83.771929824561312</c:v>
                </c:pt>
                <c:pt idx="50">
                  <c:v>87.777777777777828</c:v>
                </c:pt>
                <c:pt idx="51">
                  <c:v>77.654320987654344</c:v>
                </c:pt>
                <c:pt idx="52">
                  <c:v>77.283950617283963</c:v>
                </c:pt>
                <c:pt idx="53">
                  <c:v>89.506172839506135</c:v>
                </c:pt>
                <c:pt idx="54">
                  <c:v>99.629629629629619</c:v>
                </c:pt>
                <c:pt idx="55">
                  <c:v>100</c:v>
                </c:pt>
                <c:pt idx="56">
                  <c:v>100</c:v>
                </c:pt>
                <c:pt idx="57">
                  <c:v>98.455598455598434</c:v>
                </c:pt>
                <c:pt idx="58">
                  <c:v>93.564993564993514</c:v>
                </c:pt>
                <c:pt idx="59">
                  <c:v>82.496782496782416</c:v>
                </c:pt>
                <c:pt idx="60">
                  <c:v>74.298664904092789</c:v>
                </c:pt>
                <c:pt idx="61">
                  <c:v>65.071622735874129</c:v>
                </c:pt>
                <c:pt idx="62">
                  <c:v>60.45355929428132</c:v>
                </c:pt>
                <c:pt idx="63">
                  <c:v>58.196078431372506</c:v>
                </c:pt>
                <c:pt idx="64">
                  <c:v>60.5490196078431</c:v>
                </c:pt>
                <c:pt idx="65">
                  <c:v>67.825972942368367</c:v>
                </c:pt>
                <c:pt idx="66">
                  <c:v>66.004834730986218</c:v>
                </c:pt>
                <c:pt idx="67">
                  <c:v>61.436207280005789</c:v>
                </c:pt>
                <c:pt idx="68">
                  <c:v>36.512195121951116</c:v>
                </c:pt>
                <c:pt idx="69">
                  <c:v>27.256410256410174</c:v>
                </c:pt>
                <c:pt idx="70">
                  <c:v>27.28539576365667</c:v>
                </c:pt>
                <c:pt idx="71">
                  <c:v>47.487415965676973</c:v>
                </c:pt>
                <c:pt idx="72">
                  <c:v>37.231005709266746</c:v>
                </c:pt>
                <c:pt idx="73">
                  <c:v>36.753744339951361</c:v>
                </c:pt>
                <c:pt idx="74">
                  <c:v>29.885057471264389</c:v>
                </c:pt>
                <c:pt idx="75">
                  <c:v>46.896551724137886</c:v>
                </c:pt>
                <c:pt idx="76">
                  <c:v>63.678160919540169</c:v>
                </c:pt>
                <c:pt idx="77">
                  <c:v>71.124048365427598</c:v>
                </c:pt>
                <c:pt idx="78">
                  <c:v>84.675324675324646</c:v>
                </c:pt>
                <c:pt idx="79">
                  <c:v>84.67532467532466</c:v>
                </c:pt>
                <c:pt idx="80">
                  <c:v>91.687667171538124</c:v>
                </c:pt>
                <c:pt idx="81">
                  <c:v>84.201819685690623</c:v>
                </c:pt>
                <c:pt idx="82">
                  <c:v>69.230769230769184</c:v>
                </c:pt>
                <c:pt idx="83">
                  <c:v>74.772539288668284</c:v>
                </c:pt>
                <c:pt idx="84">
                  <c:v>81.653422118918243</c:v>
                </c:pt>
                <c:pt idx="85">
                  <c:v>90.675105485232052</c:v>
                </c:pt>
                <c:pt idx="86">
                  <c:v>84.664176523483434</c:v>
                </c:pt>
                <c:pt idx="87">
                  <c:v>71.646261326692922</c:v>
                </c:pt>
                <c:pt idx="88">
                  <c:v>63.536038098726976</c:v>
                </c:pt>
                <c:pt idx="89">
                  <c:v>60.215981144982635</c:v>
                </c:pt>
                <c:pt idx="90">
                  <c:v>65.224447242111864</c:v>
                </c:pt>
                <c:pt idx="91">
                  <c:v>69.953051643192467</c:v>
                </c:pt>
                <c:pt idx="92">
                  <c:v>73.70892018779341</c:v>
                </c:pt>
                <c:pt idx="93">
                  <c:v>78.990610328638454</c:v>
                </c:pt>
                <c:pt idx="94">
                  <c:v>81.983568075117361</c:v>
                </c:pt>
                <c:pt idx="95">
                  <c:v>84.330985915492988</c:v>
                </c:pt>
                <c:pt idx="96">
                  <c:v>84.878716744913945</c:v>
                </c:pt>
                <c:pt idx="97">
                  <c:v>91.216744913928025</c:v>
                </c:pt>
                <c:pt idx="98">
                  <c:v>83.243727598566295</c:v>
                </c:pt>
                <c:pt idx="99">
                  <c:v>74.731182795698913</c:v>
                </c:pt>
                <c:pt idx="100">
                  <c:v>64.874551971326198</c:v>
                </c:pt>
                <c:pt idx="101">
                  <c:v>70.130470515718201</c:v>
                </c:pt>
                <c:pt idx="102">
                  <c:v>64.295658252781934</c:v>
                </c:pt>
                <c:pt idx="103">
                  <c:v>44.702450889452301</c:v>
                </c:pt>
                <c:pt idx="104">
                  <c:v>17.313915857605107</c:v>
                </c:pt>
                <c:pt idx="105">
                  <c:v>3.8834951456309939</c:v>
                </c:pt>
                <c:pt idx="106">
                  <c:v>0</c:v>
                </c:pt>
                <c:pt idx="107">
                  <c:v>0.72115384615381706</c:v>
                </c:pt>
                <c:pt idx="108">
                  <c:v>15.705128205128167</c:v>
                </c:pt>
                <c:pt idx="109">
                  <c:v>24.198717948717938</c:v>
                </c:pt>
                <c:pt idx="110">
                  <c:v>27.644230769230759</c:v>
                </c:pt>
                <c:pt idx="111">
                  <c:v>27.012108262108228</c:v>
                </c:pt>
                <c:pt idx="112">
                  <c:v>35.185185185185091</c:v>
                </c:pt>
                <c:pt idx="113">
                  <c:v>49.351851851851755</c:v>
                </c:pt>
                <c:pt idx="114">
                  <c:v>55.555555555555465</c:v>
                </c:pt>
                <c:pt idx="115">
                  <c:v>60.504361016306348</c:v>
                </c:pt>
                <c:pt idx="116">
                  <c:v>46.159631671577053</c:v>
                </c:pt>
                <c:pt idx="117">
                  <c:v>37.315787827733253</c:v>
                </c:pt>
                <c:pt idx="118">
                  <c:v>30.86548086548089</c:v>
                </c:pt>
                <c:pt idx="119">
                  <c:v>38.738738738738732</c:v>
                </c:pt>
                <c:pt idx="120">
                  <c:v>39.703083365055193</c:v>
                </c:pt>
                <c:pt idx="121">
                  <c:v>43.094619230817869</c:v>
                </c:pt>
                <c:pt idx="122">
                  <c:v>44.119355307100363</c:v>
                </c:pt>
                <c:pt idx="123">
                  <c:v>31.443298969072174</c:v>
                </c:pt>
                <c:pt idx="124">
                  <c:v>12.886597938144346</c:v>
                </c:pt>
                <c:pt idx="125">
                  <c:v>4.7979797979798287</c:v>
                </c:pt>
                <c:pt idx="126">
                  <c:v>11.742424242424235</c:v>
                </c:pt>
                <c:pt idx="127">
                  <c:v>24.621212121212153</c:v>
                </c:pt>
                <c:pt idx="128">
                  <c:v>33.185301288749564</c:v>
                </c:pt>
                <c:pt idx="129">
                  <c:v>57.701531001608494</c:v>
                </c:pt>
                <c:pt idx="130">
                  <c:v>77.219746868138984</c:v>
                </c:pt>
                <c:pt idx="131">
                  <c:v>97.191011235955088</c:v>
                </c:pt>
                <c:pt idx="132">
                  <c:v>99.063670411985072</c:v>
                </c:pt>
                <c:pt idx="133">
                  <c:v>100</c:v>
                </c:pt>
                <c:pt idx="134">
                  <c:v>88.295165394402019</c:v>
                </c:pt>
                <c:pt idx="135">
                  <c:v>78.435114503816749</c:v>
                </c:pt>
                <c:pt idx="136">
                  <c:v>69.147582697200974</c:v>
                </c:pt>
                <c:pt idx="137">
                  <c:v>70.356234096692091</c:v>
                </c:pt>
                <c:pt idx="138">
                  <c:v>75.758123121708095</c:v>
                </c:pt>
                <c:pt idx="139">
                  <c:v>74.526820528892458</c:v>
                </c:pt>
                <c:pt idx="140">
                  <c:v>78.139786410946712</c:v>
                </c:pt>
                <c:pt idx="141">
                  <c:v>58.003980759114597</c:v>
                </c:pt>
                <c:pt idx="142">
                  <c:v>35.189481825212695</c:v>
                </c:pt>
                <c:pt idx="143">
                  <c:v>8.739365815931956</c:v>
                </c:pt>
                <c:pt idx="144">
                  <c:v>2.6955950032872882</c:v>
                </c:pt>
                <c:pt idx="145">
                  <c:v>6.7718606180144247</c:v>
                </c:pt>
                <c:pt idx="146">
                  <c:v>9.6646942800788409</c:v>
                </c:pt>
                <c:pt idx="147">
                  <c:v>6.9690992767915523</c:v>
                </c:pt>
                <c:pt idx="148">
                  <c:v>5.8129438549018859</c:v>
                </c:pt>
                <c:pt idx="149">
                  <c:v>8.8705234159779529</c:v>
                </c:pt>
                <c:pt idx="150">
                  <c:v>19.283746556473815</c:v>
                </c:pt>
                <c:pt idx="151">
                  <c:v>26.997245179063338</c:v>
                </c:pt>
                <c:pt idx="152">
                  <c:v>43.881025874454139</c:v>
                </c:pt>
                <c:pt idx="153">
                  <c:v>58.195284087945652</c:v>
                </c:pt>
                <c:pt idx="154">
                  <c:v>74.475828404769246</c:v>
                </c:pt>
                <c:pt idx="155">
                  <c:v>84.974967819571305</c:v>
                </c:pt>
                <c:pt idx="156">
                  <c:v>93.580819798917261</c:v>
                </c:pt>
                <c:pt idx="157">
                  <c:v>100</c:v>
                </c:pt>
                <c:pt idx="158">
                  <c:v>97.599106644332778</c:v>
                </c:pt>
                <c:pt idx="159">
                  <c:v>97.319932998324973</c:v>
                </c:pt>
                <c:pt idx="160">
                  <c:v>97.319932998324973</c:v>
                </c:pt>
                <c:pt idx="161">
                  <c:v>99.720826353992194</c:v>
                </c:pt>
                <c:pt idx="162">
                  <c:v>100</c:v>
                </c:pt>
                <c:pt idx="163">
                  <c:v>92.714025500910736</c:v>
                </c:pt>
                <c:pt idx="164">
                  <c:v>77.604135391020648</c:v>
                </c:pt>
                <c:pt idx="165">
                  <c:v>61.141075472463349</c:v>
                </c:pt>
                <c:pt idx="166">
                  <c:v>44.575973764455433</c:v>
                </c:pt>
                <c:pt idx="167">
                  <c:v>41.535776614310628</c:v>
                </c:pt>
                <c:pt idx="168">
                  <c:v>33.172850453981624</c:v>
                </c:pt>
                <c:pt idx="169">
                  <c:v>32.389780319615376</c:v>
                </c:pt>
                <c:pt idx="170">
                  <c:v>28.669948880463313</c:v>
                </c:pt>
                <c:pt idx="171">
                  <c:v>36.260162601626071</c:v>
                </c:pt>
                <c:pt idx="172">
                  <c:v>44.146341463414672</c:v>
                </c:pt>
                <c:pt idx="173">
                  <c:v>34.146341463414643</c:v>
                </c:pt>
                <c:pt idx="174">
                  <c:v>19.674796747967488</c:v>
                </c:pt>
                <c:pt idx="175">
                  <c:v>3.0894308943089626</c:v>
                </c:pt>
                <c:pt idx="176">
                  <c:v>15.929975391708025</c:v>
                </c:pt>
                <c:pt idx="177">
                  <c:v>46.707059906739268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4-410E-A3AA-84935BE88725}"/>
            </c:ext>
          </c:extLst>
        </c:ser>
        <c:ser>
          <c:idx val="2"/>
          <c:order val="2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KD!$A$12:$A$189</c:f>
              <c:numCache>
                <c:formatCode>m/d/yyyy</c:formatCode>
                <c:ptCount val="178"/>
                <c:pt idx="0">
                  <c:v>45489</c:v>
                </c:pt>
                <c:pt idx="1">
                  <c:v>45490</c:v>
                </c:pt>
                <c:pt idx="2">
                  <c:v>45491</c:v>
                </c:pt>
                <c:pt idx="3">
                  <c:v>45492</c:v>
                </c:pt>
                <c:pt idx="4">
                  <c:v>45495</c:v>
                </c:pt>
                <c:pt idx="5">
                  <c:v>45496</c:v>
                </c:pt>
                <c:pt idx="6">
                  <c:v>45497</c:v>
                </c:pt>
                <c:pt idx="7">
                  <c:v>45498</c:v>
                </c:pt>
                <c:pt idx="8">
                  <c:v>45499</c:v>
                </c:pt>
                <c:pt idx="9">
                  <c:v>45502</c:v>
                </c:pt>
                <c:pt idx="10">
                  <c:v>45503</c:v>
                </c:pt>
                <c:pt idx="11">
                  <c:v>45504</c:v>
                </c:pt>
                <c:pt idx="12">
                  <c:v>45505</c:v>
                </c:pt>
                <c:pt idx="13">
                  <c:v>45506</c:v>
                </c:pt>
                <c:pt idx="14">
                  <c:v>45509</c:v>
                </c:pt>
                <c:pt idx="15">
                  <c:v>45510</c:v>
                </c:pt>
                <c:pt idx="16">
                  <c:v>45511</c:v>
                </c:pt>
                <c:pt idx="17">
                  <c:v>45512</c:v>
                </c:pt>
                <c:pt idx="18">
                  <c:v>45513</c:v>
                </c:pt>
                <c:pt idx="19">
                  <c:v>45516</c:v>
                </c:pt>
                <c:pt idx="20">
                  <c:v>45517</c:v>
                </c:pt>
                <c:pt idx="21">
                  <c:v>45518</c:v>
                </c:pt>
                <c:pt idx="22">
                  <c:v>45519</c:v>
                </c:pt>
                <c:pt idx="23">
                  <c:v>45520</c:v>
                </c:pt>
                <c:pt idx="24">
                  <c:v>45523</c:v>
                </c:pt>
                <c:pt idx="25">
                  <c:v>45524</c:v>
                </c:pt>
                <c:pt idx="26">
                  <c:v>45525</c:v>
                </c:pt>
                <c:pt idx="27">
                  <c:v>45526</c:v>
                </c:pt>
                <c:pt idx="28">
                  <c:v>45527</c:v>
                </c:pt>
                <c:pt idx="29">
                  <c:v>45530</c:v>
                </c:pt>
                <c:pt idx="30">
                  <c:v>45531</c:v>
                </c:pt>
                <c:pt idx="31">
                  <c:v>45532</c:v>
                </c:pt>
                <c:pt idx="32">
                  <c:v>45533</c:v>
                </c:pt>
                <c:pt idx="33">
                  <c:v>45534</c:v>
                </c:pt>
                <c:pt idx="34">
                  <c:v>45538</c:v>
                </c:pt>
                <c:pt idx="35">
                  <c:v>45539</c:v>
                </c:pt>
                <c:pt idx="36">
                  <c:v>45540</c:v>
                </c:pt>
                <c:pt idx="37">
                  <c:v>45541</c:v>
                </c:pt>
                <c:pt idx="38">
                  <c:v>45544</c:v>
                </c:pt>
                <c:pt idx="39">
                  <c:v>45545</c:v>
                </c:pt>
                <c:pt idx="40">
                  <c:v>45546</c:v>
                </c:pt>
                <c:pt idx="41">
                  <c:v>45547</c:v>
                </c:pt>
                <c:pt idx="42">
                  <c:v>45548</c:v>
                </c:pt>
                <c:pt idx="43">
                  <c:v>45551</c:v>
                </c:pt>
                <c:pt idx="44">
                  <c:v>45552</c:v>
                </c:pt>
                <c:pt idx="45">
                  <c:v>45553</c:v>
                </c:pt>
                <c:pt idx="46">
                  <c:v>45554</c:v>
                </c:pt>
                <c:pt idx="47">
                  <c:v>45555</c:v>
                </c:pt>
                <c:pt idx="48">
                  <c:v>45558</c:v>
                </c:pt>
                <c:pt idx="49">
                  <c:v>45559</c:v>
                </c:pt>
                <c:pt idx="50">
                  <c:v>45560</c:v>
                </c:pt>
                <c:pt idx="51">
                  <c:v>45561</c:v>
                </c:pt>
                <c:pt idx="52">
                  <c:v>45562</c:v>
                </c:pt>
                <c:pt idx="53">
                  <c:v>45565</c:v>
                </c:pt>
                <c:pt idx="54">
                  <c:v>45566</c:v>
                </c:pt>
                <c:pt idx="55">
                  <c:v>45567</c:v>
                </c:pt>
                <c:pt idx="56">
                  <c:v>45568</c:v>
                </c:pt>
                <c:pt idx="57">
                  <c:v>45569</c:v>
                </c:pt>
                <c:pt idx="58">
                  <c:v>45572</c:v>
                </c:pt>
                <c:pt idx="59">
                  <c:v>45573</c:v>
                </c:pt>
                <c:pt idx="60">
                  <c:v>45574</c:v>
                </c:pt>
                <c:pt idx="61">
                  <c:v>45575</c:v>
                </c:pt>
                <c:pt idx="62">
                  <c:v>45576</c:v>
                </c:pt>
                <c:pt idx="63">
                  <c:v>45579</c:v>
                </c:pt>
                <c:pt idx="64">
                  <c:v>45580</c:v>
                </c:pt>
                <c:pt idx="65">
                  <c:v>45581</c:v>
                </c:pt>
                <c:pt idx="66">
                  <c:v>45582</c:v>
                </c:pt>
                <c:pt idx="67">
                  <c:v>45583</c:v>
                </c:pt>
                <c:pt idx="68">
                  <c:v>45586</c:v>
                </c:pt>
                <c:pt idx="69">
                  <c:v>45587</c:v>
                </c:pt>
                <c:pt idx="70">
                  <c:v>45588</c:v>
                </c:pt>
                <c:pt idx="71">
                  <c:v>45589</c:v>
                </c:pt>
                <c:pt idx="72">
                  <c:v>45590</c:v>
                </c:pt>
                <c:pt idx="73">
                  <c:v>45593</c:v>
                </c:pt>
                <c:pt idx="74">
                  <c:v>45594</c:v>
                </c:pt>
                <c:pt idx="75">
                  <c:v>45595</c:v>
                </c:pt>
                <c:pt idx="76">
                  <c:v>45596</c:v>
                </c:pt>
                <c:pt idx="77">
                  <c:v>45597</c:v>
                </c:pt>
                <c:pt idx="78">
                  <c:v>45600</c:v>
                </c:pt>
                <c:pt idx="79">
                  <c:v>45601</c:v>
                </c:pt>
                <c:pt idx="80">
                  <c:v>45602</c:v>
                </c:pt>
                <c:pt idx="81">
                  <c:v>45603</c:v>
                </c:pt>
                <c:pt idx="82">
                  <c:v>45604</c:v>
                </c:pt>
                <c:pt idx="83">
                  <c:v>45607</c:v>
                </c:pt>
                <c:pt idx="84">
                  <c:v>45608</c:v>
                </c:pt>
                <c:pt idx="85">
                  <c:v>45609</c:v>
                </c:pt>
                <c:pt idx="86">
                  <c:v>45610</c:v>
                </c:pt>
                <c:pt idx="87">
                  <c:v>45611</c:v>
                </c:pt>
                <c:pt idx="88">
                  <c:v>45614</c:v>
                </c:pt>
                <c:pt idx="89">
                  <c:v>45615</c:v>
                </c:pt>
                <c:pt idx="90">
                  <c:v>45616</c:v>
                </c:pt>
                <c:pt idx="91">
                  <c:v>45617</c:v>
                </c:pt>
                <c:pt idx="92">
                  <c:v>45618</c:v>
                </c:pt>
                <c:pt idx="93">
                  <c:v>45621</c:v>
                </c:pt>
                <c:pt idx="94">
                  <c:v>45622</c:v>
                </c:pt>
                <c:pt idx="95">
                  <c:v>45623</c:v>
                </c:pt>
                <c:pt idx="96">
                  <c:v>45625</c:v>
                </c:pt>
                <c:pt idx="97">
                  <c:v>45628</c:v>
                </c:pt>
                <c:pt idx="98">
                  <c:v>45629</c:v>
                </c:pt>
                <c:pt idx="99">
                  <c:v>45630</c:v>
                </c:pt>
                <c:pt idx="100">
                  <c:v>45631</c:v>
                </c:pt>
                <c:pt idx="101">
                  <c:v>45632</c:v>
                </c:pt>
                <c:pt idx="102">
                  <c:v>45635</c:v>
                </c:pt>
                <c:pt idx="103">
                  <c:v>45636</c:v>
                </c:pt>
                <c:pt idx="104">
                  <c:v>45637</c:v>
                </c:pt>
                <c:pt idx="105">
                  <c:v>45638</c:v>
                </c:pt>
                <c:pt idx="106">
                  <c:v>45639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45649</c:v>
                </c:pt>
                <c:pt idx="113">
                  <c:v>45650</c:v>
                </c:pt>
                <c:pt idx="114">
                  <c:v>45652</c:v>
                </c:pt>
                <c:pt idx="115">
                  <c:v>45653</c:v>
                </c:pt>
                <c:pt idx="116">
                  <c:v>45656</c:v>
                </c:pt>
                <c:pt idx="117">
                  <c:v>45657</c:v>
                </c:pt>
                <c:pt idx="118">
                  <c:v>45659</c:v>
                </c:pt>
                <c:pt idx="119">
                  <c:v>45660</c:v>
                </c:pt>
                <c:pt idx="120">
                  <c:v>45663</c:v>
                </c:pt>
                <c:pt idx="121">
                  <c:v>45664</c:v>
                </c:pt>
                <c:pt idx="122">
                  <c:v>45665</c:v>
                </c:pt>
                <c:pt idx="123">
                  <c:v>45667</c:v>
                </c:pt>
                <c:pt idx="124">
                  <c:v>45670</c:v>
                </c:pt>
                <c:pt idx="125">
                  <c:v>45671</c:v>
                </c:pt>
                <c:pt idx="126">
                  <c:v>45672</c:v>
                </c:pt>
                <c:pt idx="127">
                  <c:v>45673</c:v>
                </c:pt>
                <c:pt idx="128">
                  <c:v>45674</c:v>
                </c:pt>
                <c:pt idx="129">
                  <c:v>45678</c:v>
                </c:pt>
                <c:pt idx="130">
                  <c:v>45679</c:v>
                </c:pt>
                <c:pt idx="131">
                  <c:v>45680</c:v>
                </c:pt>
                <c:pt idx="132">
                  <c:v>45681</c:v>
                </c:pt>
                <c:pt idx="133">
                  <c:v>45684</c:v>
                </c:pt>
                <c:pt idx="134">
                  <c:v>45685</c:v>
                </c:pt>
                <c:pt idx="135">
                  <c:v>45686</c:v>
                </c:pt>
                <c:pt idx="136">
                  <c:v>45687</c:v>
                </c:pt>
                <c:pt idx="137">
                  <c:v>45688</c:v>
                </c:pt>
                <c:pt idx="138">
                  <c:v>45691</c:v>
                </c:pt>
                <c:pt idx="139">
                  <c:v>45692</c:v>
                </c:pt>
                <c:pt idx="140">
                  <c:v>45693</c:v>
                </c:pt>
                <c:pt idx="141">
                  <c:v>45694</c:v>
                </c:pt>
                <c:pt idx="142">
                  <c:v>45695</c:v>
                </c:pt>
                <c:pt idx="143">
                  <c:v>45698</c:v>
                </c:pt>
                <c:pt idx="144">
                  <c:v>45699</c:v>
                </c:pt>
                <c:pt idx="145">
                  <c:v>45700</c:v>
                </c:pt>
                <c:pt idx="146">
                  <c:v>45701</c:v>
                </c:pt>
                <c:pt idx="147">
                  <c:v>45702</c:v>
                </c:pt>
                <c:pt idx="148">
                  <c:v>45706</c:v>
                </c:pt>
                <c:pt idx="149">
                  <c:v>45707</c:v>
                </c:pt>
                <c:pt idx="150">
                  <c:v>45708</c:v>
                </c:pt>
                <c:pt idx="151">
                  <c:v>45709</c:v>
                </c:pt>
                <c:pt idx="152">
                  <c:v>45712</c:v>
                </c:pt>
                <c:pt idx="153">
                  <c:v>45713</c:v>
                </c:pt>
                <c:pt idx="154">
                  <c:v>45714</c:v>
                </c:pt>
                <c:pt idx="155">
                  <c:v>45715</c:v>
                </c:pt>
                <c:pt idx="156">
                  <c:v>45716</c:v>
                </c:pt>
                <c:pt idx="157">
                  <c:v>45719</c:v>
                </c:pt>
                <c:pt idx="158">
                  <c:v>45720</c:v>
                </c:pt>
                <c:pt idx="159">
                  <c:v>45721</c:v>
                </c:pt>
                <c:pt idx="160">
                  <c:v>45722</c:v>
                </c:pt>
                <c:pt idx="161">
                  <c:v>45723</c:v>
                </c:pt>
                <c:pt idx="162">
                  <c:v>45726</c:v>
                </c:pt>
                <c:pt idx="163">
                  <c:v>45727</c:v>
                </c:pt>
                <c:pt idx="164">
                  <c:v>45728</c:v>
                </c:pt>
                <c:pt idx="165">
                  <c:v>45729</c:v>
                </c:pt>
                <c:pt idx="166">
                  <c:v>45730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45740</c:v>
                </c:pt>
                <c:pt idx="173">
                  <c:v>45741</c:v>
                </c:pt>
                <c:pt idx="174">
                  <c:v>45742</c:v>
                </c:pt>
                <c:pt idx="175">
                  <c:v>45743</c:v>
                </c:pt>
                <c:pt idx="176">
                  <c:v>45744</c:v>
                </c:pt>
                <c:pt idx="177">
                  <c:v>45747</c:v>
                </c:pt>
              </c:numCache>
            </c:numRef>
          </c:cat>
          <c:val>
            <c:numRef>
              <c:f>KD!$E$12:$E$189</c:f>
              <c:numCache>
                <c:formatCode>General</c:formatCode>
                <c:ptCount val="178"/>
                <c:pt idx="0">
                  <c:v>80</c:v>
                </c:pt>
                <c:pt idx="1">
                  <c:v>80</c:v>
                </c:pt>
                <c:pt idx="2">
                  <c:v>80</c:v>
                </c:pt>
                <c:pt idx="3">
                  <c:v>80</c:v>
                </c:pt>
                <c:pt idx="4">
                  <c:v>80</c:v>
                </c:pt>
                <c:pt idx="5">
                  <c:v>80</c:v>
                </c:pt>
                <c:pt idx="6">
                  <c:v>80</c:v>
                </c:pt>
                <c:pt idx="7">
                  <c:v>80</c:v>
                </c:pt>
                <c:pt idx="8">
                  <c:v>80</c:v>
                </c:pt>
                <c:pt idx="9">
                  <c:v>80</c:v>
                </c:pt>
                <c:pt idx="10">
                  <c:v>80</c:v>
                </c:pt>
                <c:pt idx="11">
                  <c:v>80</c:v>
                </c:pt>
                <c:pt idx="12">
                  <c:v>80</c:v>
                </c:pt>
                <c:pt idx="13">
                  <c:v>80</c:v>
                </c:pt>
                <c:pt idx="14">
                  <c:v>80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80</c:v>
                </c:pt>
                <c:pt idx="21">
                  <c:v>80</c:v>
                </c:pt>
                <c:pt idx="22">
                  <c:v>80</c:v>
                </c:pt>
                <c:pt idx="23">
                  <c:v>80</c:v>
                </c:pt>
                <c:pt idx="24">
                  <c:v>80</c:v>
                </c:pt>
                <c:pt idx="25">
                  <c:v>80</c:v>
                </c:pt>
                <c:pt idx="26">
                  <c:v>80</c:v>
                </c:pt>
                <c:pt idx="27">
                  <c:v>80</c:v>
                </c:pt>
                <c:pt idx="28">
                  <c:v>80</c:v>
                </c:pt>
                <c:pt idx="29">
                  <c:v>80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80</c:v>
                </c:pt>
                <c:pt idx="34">
                  <c:v>80</c:v>
                </c:pt>
                <c:pt idx="35">
                  <c:v>80</c:v>
                </c:pt>
                <c:pt idx="36">
                  <c:v>80</c:v>
                </c:pt>
                <c:pt idx="37">
                  <c:v>80</c:v>
                </c:pt>
                <c:pt idx="38">
                  <c:v>80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  <c:pt idx="42">
                  <c:v>80</c:v>
                </c:pt>
                <c:pt idx="43">
                  <c:v>80</c:v>
                </c:pt>
                <c:pt idx="44">
                  <c:v>80</c:v>
                </c:pt>
                <c:pt idx="45">
                  <c:v>80</c:v>
                </c:pt>
                <c:pt idx="46">
                  <c:v>80</c:v>
                </c:pt>
                <c:pt idx="47">
                  <c:v>80</c:v>
                </c:pt>
                <c:pt idx="48">
                  <c:v>80</c:v>
                </c:pt>
                <c:pt idx="49">
                  <c:v>80</c:v>
                </c:pt>
                <c:pt idx="50">
                  <c:v>80</c:v>
                </c:pt>
                <c:pt idx="51">
                  <c:v>80</c:v>
                </c:pt>
                <c:pt idx="52">
                  <c:v>80</c:v>
                </c:pt>
                <c:pt idx="53">
                  <c:v>80</c:v>
                </c:pt>
                <c:pt idx="54">
                  <c:v>80</c:v>
                </c:pt>
                <c:pt idx="55">
                  <c:v>80</c:v>
                </c:pt>
                <c:pt idx="56">
                  <c:v>80</c:v>
                </c:pt>
                <c:pt idx="57">
                  <c:v>80</c:v>
                </c:pt>
                <c:pt idx="58">
                  <c:v>80</c:v>
                </c:pt>
                <c:pt idx="59">
                  <c:v>80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80</c:v>
                </c:pt>
                <c:pt idx="70">
                  <c:v>80</c:v>
                </c:pt>
                <c:pt idx="71">
                  <c:v>80</c:v>
                </c:pt>
                <c:pt idx="72">
                  <c:v>80</c:v>
                </c:pt>
                <c:pt idx="73">
                  <c:v>80</c:v>
                </c:pt>
                <c:pt idx="74">
                  <c:v>80</c:v>
                </c:pt>
                <c:pt idx="75">
                  <c:v>80</c:v>
                </c:pt>
                <c:pt idx="76">
                  <c:v>80</c:v>
                </c:pt>
                <c:pt idx="77">
                  <c:v>80</c:v>
                </c:pt>
                <c:pt idx="78">
                  <c:v>80</c:v>
                </c:pt>
                <c:pt idx="79">
                  <c:v>80</c:v>
                </c:pt>
                <c:pt idx="80">
                  <c:v>80</c:v>
                </c:pt>
                <c:pt idx="81">
                  <c:v>80</c:v>
                </c:pt>
                <c:pt idx="82">
                  <c:v>80</c:v>
                </c:pt>
                <c:pt idx="83">
                  <c:v>80</c:v>
                </c:pt>
                <c:pt idx="84">
                  <c:v>80</c:v>
                </c:pt>
                <c:pt idx="85">
                  <c:v>80</c:v>
                </c:pt>
                <c:pt idx="86">
                  <c:v>80</c:v>
                </c:pt>
                <c:pt idx="87">
                  <c:v>80</c:v>
                </c:pt>
                <c:pt idx="88">
                  <c:v>80</c:v>
                </c:pt>
                <c:pt idx="89">
                  <c:v>80</c:v>
                </c:pt>
                <c:pt idx="90">
                  <c:v>80</c:v>
                </c:pt>
                <c:pt idx="91">
                  <c:v>80</c:v>
                </c:pt>
                <c:pt idx="92">
                  <c:v>80</c:v>
                </c:pt>
                <c:pt idx="93">
                  <c:v>80</c:v>
                </c:pt>
                <c:pt idx="94">
                  <c:v>80</c:v>
                </c:pt>
                <c:pt idx="95">
                  <c:v>80</c:v>
                </c:pt>
                <c:pt idx="96">
                  <c:v>80</c:v>
                </c:pt>
                <c:pt idx="97">
                  <c:v>80</c:v>
                </c:pt>
                <c:pt idx="98">
                  <c:v>80</c:v>
                </c:pt>
                <c:pt idx="99">
                  <c:v>80</c:v>
                </c:pt>
                <c:pt idx="100">
                  <c:v>80</c:v>
                </c:pt>
                <c:pt idx="101">
                  <c:v>80</c:v>
                </c:pt>
                <c:pt idx="102">
                  <c:v>80</c:v>
                </c:pt>
                <c:pt idx="103">
                  <c:v>80</c:v>
                </c:pt>
                <c:pt idx="104">
                  <c:v>80</c:v>
                </c:pt>
                <c:pt idx="105">
                  <c:v>80</c:v>
                </c:pt>
                <c:pt idx="106">
                  <c:v>80</c:v>
                </c:pt>
                <c:pt idx="107">
                  <c:v>80</c:v>
                </c:pt>
                <c:pt idx="108">
                  <c:v>80</c:v>
                </c:pt>
                <c:pt idx="109">
                  <c:v>80</c:v>
                </c:pt>
                <c:pt idx="110">
                  <c:v>80</c:v>
                </c:pt>
                <c:pt idx="111">
                  <c:v>80</c:v>
                </c:pt>
                <c:pt idx="112">
                  <c:v>80</c:v>
                </c:pt>
                <c:pt idx="113">
                  <c:v>80</c:v>
                </c:pt>
                <c:pt idx="114">
                  <c:v>80</c:v>
                </c:pt>
                <c:pt idx="115">
                  <c:v>80</c:v>
                </c:pt>
                <c:pt idx="116">
                  <c:v>80</c:v>
                </c:pt>
                <c:pt idx="117">
                  <c:v>80</c:v>
                </c:pt>
                <c:pt idx="118">
                  <c:v>80</c:v>
                </c:pt>
                <c:pt idx="119">
                  <c:v>80</c:v>
                </c:pt>
                <c:pt idx="120">
                  <c:v>80</c:v>
                </c:pt>
                <c:pt idx="121">
                  <c:v>80</c:v>
                </c:pt>
                <c:pt idx="122">
                  <c:v>80</c:v>
                </c:pt>
                <c:pt idx="123">
                  <c:v>80</c:v>
                </c:pt>
                <c:pt idx="124">
                  <c:v>80</c:v>
                </c:pt>
                <c:pt idx="125">
                  <c:v>80</c:v>
                </c:pt>
                <c:pt idx="126">
                  <c:v>80</c:v>
                </c:pt>
                <c:pt idx="127">
                  <c:v>80</c:v>
                </c:pt>
                <c:pt idx="128">
                  <c:v>80</c:v>
                </c:pt>
                <c:pt idx="129">
                  <c:v>80</c:v>
                </c:pt>
                <c:pt idx="130">
                  <c:v>80</c:v>
                </c:pt>
                <c:pt idx="131">
                  <c:v>80</c:v>
                </c:pt>
                <c:pt idx="132">
                  <c:v>80</c:v>
                </c:pt>
                <c:pt idx="133">
                  <c:v>80</c:v>
                </c:pt>
                <c:pt idx="134">
                  <c:v>80</c:v>
                </c:pt>
                <c:pt idx="135">
                  <c:v>80</c:v>
                </c:pt>
                <c:pt idx="136">
                  <c:v>80</c:v>
                </c:pt>
                <c:pt idx="137">
                  <c:v>80</c:v>
                </c:pt>
                <c:pt idx="138">
                  <c:v>80</c:v>
                </c:pt>
                <c:pt idx="139">
                  <c:v>80</c:v>
                </c:pt>
                <c:pt idx="140">
                  <c:v>80</c:v>
                </c:pt>
                <c:pt idx="141">
                  <c:v>80</c:v>
                </c:pt>
                <c:pt idx="142">
                  <c:v>80</c:v>
                </c:pt>
                <c:pt idx="143">
                  <c:v>80</c:v>
                </c:pt>
                <c:pt idx="144">
                  <c:v>80</c:v>
                </c:pt>
                <c:pt idx="145">
                  <c:v>80</c:v>
                </c:pt>
                <c:pt idx="146">
                  <c:v>80</c:v>
                </c:pt>
                <c:pt idx="147">
                  <c:v>80</c:v>
                </c:pt>
                <c:pt idx="148">
                  <c:v>80</c:v>
                </c:pt>
                <c:pt idx="149">
                  <c:v>80</c:v>
                </c:pt>
                <c:pt idx="150">
                  <c:v>80</c:v>
                </c:pt>
                <c:pt idx="151">
                  <c:v>80</c:v>
                </c:pt>
                <c:pt idx="152">
                  <c:v>80</c:v>
                </c:pt>
                <c:pt idx="153">
                  <c:v>80</c:v>
                </c:pt>
                <c:pt idx="154">
                  <c:v>80</c:v>
                </c:pt>
                <c:pt idx="155">
                  <c:v>80</c:v>
                </c:pt>
                <c:pt idx="156">
                  <c:v>80</c:v>
                </c:pt>
                <c:pt idx="157">
                  <c:v>80</c:v>
                </c:pt>
                <c:pt idx="158">
                  <c:v>80</c:v>
                </c:pt>
                <c:pt idx="159">
                  <c:v>80</c:v>
                </c:pt>
                <c:pt idx="160">
                  <c:v>80</c:v>
                </c:pt>
                <c:pt idx="161">
                  <c:v>80</c:v>
                </c:pt>
                <c:pt idx="162">
                  <c:v>80</c:v>
                </c:pt>
                <c:pt idx="163">
                  <c:v>80</c:v>
                </c:pt>
                <c:pt idx="164">
                  <c:v>80</c:v>
                </c:pt>
                <c:pt idx="165">
                  <c:v>80</c:v>
                </c:pt>
                <c:pt idx="166">
                  <c:v>80</c:v>
                </c:pt>
                <c:pt idx="167">
                  <c:v>80</c:v>
                </c:pt>
                <c:pt idx="168">
                  <c:v>80</c:v>
                </c:pt>
                <c:pt idx="169">
                  <c:v>80</c:v>
                </c:pt>
                <c:pt idx="170">
                  <c:v>80</c:v>
                </c:pt>
                <c:pt idx="171">
                  <c:v>80</c:v>
                </c:pt>
                <c:pt idx="172">
                  <c:v>80</c:v>
                </c:pt>
                <c:pt idx="173">
                  <c:v>80</c:v>
                </c:pt>
                <c:pt idx="174">
                  <c:v>80</c:v>
                </c:pt>
                <c:pt idx="175">
                  <c:v>80</c:v>
                </c:pt>
                <c:pt idx="176">
                  <c:v>80</c:v>
                </c:pt>
                <c:pt idx="177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4-410E-A3AA-84935BE88725}"/>
            </c:ext>
          </c:extLst>
        </c:ser>
        <c:ser>
          <c:idx val="3"/>
          <c:order val="3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KD!$A$12:$A$189</c:f>
              <c:numCache>
                <c:formatCode>m/d/yyyy</c:formatCode>
                <c:ptCount val="178"/>
                <c:pt idx="0">
                  <c:v>45489</c:v>
                </c:pt>
                <c:pt idx="1">
                  <c:v>45490</c:v>
                </c:pt>
                <c:pt idx="2">
                  <c:v>45491</c:v>
                </c:pt>
                <c:pt idx="3">
                  <c:v>45492</c:v>
                </c:pt>
                <c:pt idx="4">
                  <c:v>45495</c:v>
                </c:pt>
                <c:pt idx="5">
                  <c:v>45496</c:v>
                </c:pt>
                <c:pt idx="6">
                  <c:v>45497</c:v>
                </c:pt>
                <c:pt idx="7">
                  <c:v>45498</c:v>
                </c:pt>
                <c:pt idx="8">
                  <c:v>45499</c:v>
                </c:pt>
                <c:pt idx="9">
                  <c:v>45502</c:v>
                </c:pt>
                <c:pt idx="10">
                  <c:v>45503</c:v>
                </c:pt>
                <c:pt idx="11">
                  <c:v>45504</c:v>
                </c:pt>
                <c:pt idx="12">
                  <c:v>45505</c:v>
                </c:pt>
                <c:pt idx="13">
                  <c:v>45506</c:v>
                </c:pt>
                <c:pt idx="14">
                  <c:v>45509</c:v>
                </c:pt>
                <c:pt idx="15">
                  <c:v>45510</c:v>
                </c:pt>
                <c:pt idx="16">
                  <c:v>45511</c:v>
                </c:pt>
                <c:pt idx="17">
                  <c:v>45512</c:v>
                </c:pt>
                <c:pt idx="18">
                  <c:v>45513</c:v>
                </c:pt>
                <c:pt idx="19">
                  <c:v>45516</c:v>
                </c:pt>
                <c:pt idx="20">
                  <c:v>45517</c:v>
                </c:pt>
                <c:pt idx="21">
                  <c:v>45518</c:v>
                </c:pt>
                <c:pt idx="22">
                  <c:v>45519</c:v>
                </c:pt>
                <c:pt idx="23">
                  <c:v>45520</c:v>
                </c:pt>
                <c:pt idx="24">
                  <c:v>45523</c:v>
                </c:pt>
                <c:pt idx="25">
                  <c:v>45524</c:v>
                </c:pt>
                <c:pt idx="26">
                  <c:v>45525</c:v>
                </c:pt>
                <c:pt idx="27">
                  <c:v>45526</c:v>
                </c:pt>
                <c:pt idx="28">
                  <c:v>45527</c:v>
                </c:pt>
                <c:pt idx="29">
                  <c:v>45530</c:v>
                </c:pt>
                <c:pt idx="30">
                  <c:v>45531</c:v>
                </c:pt>
                <c:pt idx="31">
                  <c:v>45532</c:v>
                </c:pt>
                <c:pt idx="32">
                  <c:v>45533</c:v>
                </c:pt>
                <c:pt idx="33">
                  <c:v>45534</c:v>
                </c:pt>
                <c:pt idx="34">
                  <c:v>45538</c:v>
                </c:pt>
                <c:pt idx="35">
                  <c:v>45539</c:v>
                </c:pt>
                <c:pt idx="36">
                  <c:v>45540</c:v>
                </c:pt>
                <c:pt idx="37">
                  <c:v>45541</c:v>
                </c:pt>
                <c:pt idx="38">
                  <c:v>45544</c:v>
                </c:pt>
                <c:pt idx="39">
                  <c:v>45545</c:v>
                </c:pt>
                <c:pt idx="40">
                  <c:v>45546</c:v>
                </c:pt>
                <c:pt idx="41">
                  <c:v>45547</c:v>
                </c:pt>
                <c:pt idx="42">
                  <c:v>45548</c:v>
                </c:pt>
                <c:pt idx="43">
                  <c:v>45551</c:v>
                </c:pt>
                <c:pt idx="44">
                  <c:v>45552</c:v>
                </c:pt>
                <c:pt idx="45">
                  <c:v>45553</c:v>
                </c:pt>
                <c:pt idx="46">
                  <c:v>45554</c:v>
                </c:pt>
                <c:pt idx="47">
                  <c:v>45555</c:v>
                </c:pt>
                <c:pt idx="48">
                  <c:v>45558</c:v>
                </c:pt>
                <c:pt idx="49">
                  <c:v>45559</c:v>
                </c:pt>
                <c:pt idx="50">
                  <c:v>45560</c:v>
                </c:pt>
                <c:pt idx="51">
                  <c:v>45561</c:v>
                </c:pt>
                <c:pt idx="52">
                  <c:v>45562</c:v>
                </c:pt>
                <c:pt idx="53">
                  <c:v>45565</c:v>
                </c:pt>
                <c:pt idx="54">
                  <c:v>45566</c:v>
                </c:pt>
                <c:pt idx="55">
                  <c:v>45567</c:v>
                </c:pt>
                <c:pt idx="56">
                  <c:v>45568</c:v>
                </c:pt>
                <c:pt idx="57">
                  <c:v>45569</c:v>
                </c:pt>
                <c:pt idx="58">
                  <c:v>45572</c:v>
                </c:pt>
                <c:pt idx="59">
                  <c:v>45573</c:v>
                </c:pt>
                <c:pt idx="60">
                  <c:v>45574</c:v>
                </c:pt>
                <c:pt idx="61">
                  <c:v>45575</c:v>
                </c:pt>
                <c:pt idx="62">
                  <c:v>45576</c:v>
                </c:pt>
                <c:pt idx="63">
                  <c:v>45579</c:v>
                </c:pt>
                <c:pt idx="64">
                  <c:v>45580</c:v>
                </c:pt>
                <c:pt idx="65">
                  <c:v>45581</c:v>
                </c:pt>
                <c:pt idx="66">
                  <c:v>45582</c:v>
                </c:pt>
                <c:pt idx="67">
                  <c:v>45583</c:v>
                </c:pt>
                <c:pt idx="68">
                  <c:v>45586</c:v>
                </c:pt>
                <c:pt idx="69">
                  <c:v>45587</c:v>
                </c:pt>
                <c:pt idx="70">
                  <c:v>45588</c:v>
                </c:pt>
                <c:pt idx="71">
                  <c:v>45589</c:v>
                </c:pt>
                <c:pt idx="72">
                  <c:v>45590</c:v>
                </c:pt>
                <c:pt idx="73">
                  <c:v>45593</c:v>
                </c:pt>
                <c:pt idx="74">
                  <c:v>45594</c:v>
                </c:pt>
                <c:pt idx="75">
                  <c:v>45595</c:v>
                </c:pt>
                <c:pt idx="76">
                  <c:v>45596</c:v>
                </c:pt>
                <c:pt idx="77">
                  <c:v>45597</c:v>
                </c:pt>
                <c:pt idx="78">
                  <c:v>45600</c:v>
                </c:pt>
                <c:pt idx="79">
                  <c:v>45601</c:v>
                </c:pt>
                <c:pt idx="80">
                  <c:v>45602</c:v>
                </c:pt>
                <c:pt idx="81">
                  <c:v>45603</c:v>
                </c:pt>
                <c:pt idx="82">
                  <c:v>45604</c:v>
                </c:pt>
                <c:pt idx="83">
                  <c:v>45607</c:v>
                </c:pt>
                <c:pt idx="84">
                  <c:v>45608</c:v>
                </c:pt>
                <c:pt idx="85">
                  <c:v>45609</c:v>
                </c:pt>
                <c:pt idx="86">
                  <c:v>45610</c:v>
                </c:pt>
                <c:pt idx="87">
                  <c:v>45611</c:v>
                </c:pt>
                <c:pt idx="88">
                  <c:v>45614</c:v>
                </c:pt>
                <c:pt idx="89">
                  <c:v>45615</c:v>
                </c:pt>
                <c:pt idx="90">
                  <c:v>45616</c:v>
                </c:pt>
                <c:pt idx="91">
                  <c:v>45617</c:v>
                </c:pt>
                <c:pt idx="92">
                  <c:v>45618</c:v>
                </c:pt>
                <c:pt idx="93">
                  <c:v>45621</c:v>
                </c:pt>
                <c:pt idx="94">
                  <c:v>45622</c:v>
                </c:pt>
                <c:pt idx="95">
                  <c:v>45623</c:v>
                </c:pt>
                <c:pt idx="96">
                  <c:v>45625</c:v>
                </c:pt>
                <c:pt idx="97">
                  <c:v>45628</c:v>
                </c:pt>
                <c:pt idx="98">
                  <c:v>45629</c:v>
                </c:pt>
                <c:pt idx="99">
                  <c:v>45630</c:v>
                </c:pt>
                <c:pt idx="100">
                  <c:v>45631</c:v>
                </c:pt>
                <c:pt idx="101">
                  <c:v>45632</c:v>
                </c:pt>
                <c:pt idx="102">
                  <c:v>45635</c:v>
                </c:pt>
                <c:pt idx="103">
                  <c:v>45636</c:v>
                </c:pt>
                <c:pt idx="104">
                  <c:v>45637</c:v>
                </c:pt>
                <c:pt idx="105">
                  <c:v>45638</c:v>
                </c:pt>
                <c:pt idx="106">
                  <c:v>45639</c:v>
                </c:pt>
                <c:pt idx="107">
                  <c:v>45642</c:v>
                </c:pt>
                <c:pt idx="108">
                  <c:v>45643</c:v>
                </c:pt>
                <c:pt idx="109">
                  <c:v>45644</c:v>
                </c:pt>
                <c:pt idx="110">
                  <c:v>45645</c:v>
                </c:pt>
                <c:pt idx="111">
                  <c:v>45646</c:v>
                </c:pt>
                <c:pt idx="112">
                  <c:v>45649</c:v>
                </c:pt>
                <c:pt idx="113">
                  <c:v>45650</c:v>
                </c:pt>
                <c:pt idx="114">
                  <c:v>45652</c:v>
                </c:pt>
                <c:pt idx="115">
                  <c:v>45653</c:v>
                </c:pt>
                <c:pt idx="116">
                  <c:v>45656</c:v>
                </c:pt>
                <c:pt idx="117">
                  <c:v>45657</c:v>
                </c:pt>
                <c:pt idx="118">
                  <c:v>45659</c:v>
                </c:pt>
                <c:pt idx="119">
                  <c:v>45660</c:v>
                </c:pt>
                <c:pt idx="120">
                  <c:v>45663</c:v>
                </c:pt>
                <c:pt idx="121">
                  <c:v>45664</c:v>
                </c:pt>
                <c:pt idx="122">
                  <c:v>45665</c:v>
                </c:pt>
                <c:pt idx="123">
                  <c:v>45667</c:v>
                </c:pt>
                <c:pt idx="124">
                  <c:v>45670</c:v>
                </c:pt>
                <c:pt idx="125">
                  <c:v>45671</c:v>
                </c:pt>
                <c:pt idx="126">
                  <c:v>45672</c:v>
                </c:pt>
                <c:pt idx="127">
                  <c:v>45673</c:v>
                </c:pt>
                <c:pt idx="128">
                  <c:v>45674</c:v>
                </c:pt>
                <c:pt idx="129">
                  <c:v>45678</c:v>
                </c:pt>
                <c:pt idx="130">
                  <c:v>45679</c:v>
                </c:pt>
                <c:pt idx="131">
                  <c:v>45680</c:v>
                </c:pt>
                <c:pt idx="132">
                  <c:v>45681</c:v>
                </c:pt>
                <c:pt idx="133">
                  <c:v>45684</c:v>
                </c:pt>
                <c:pt idx="134">
                  <c:v>45685</c:v>
                </c:pt>
                <c:pt idx="135">
                  <c:v>45686</c:v>
                </c:pt>
                <c:pt idx="136">
                  <c:v>45687</c:v>
                </c:pt>
                <c:pt idx="137">
                  <c:v>45688</c:v>
                </c:pt>
                <c:pt idx="138">
                  <c:v>45691</c:v>
                </c:pt>
                <c:pt idx="139">
                  <c:v>45692</c:v>
                </c:pt>
                <c:pt idx="140">
                  <c:v>45693</c:v>
                </c:pt>
                <c:pt idx="141">
                  <c:v>45694</c:v>
                </c:pt>
                <c:pt idx="142">
                  <c:v>45695</c:v>
                </c:pt>
                <c:pt idx="143">
                  <c:v>45698</c:v>
                </c:pt>
                <c:pt idx="144">
                  <c:v>45699</c:v>
                </c:pt>
                <c:pt idx="145">
                  <c:v>45700</c:v>
                </c:pt>
                <c:pt idx="146">
                  <c:v>45701</c:v>
                </c:pt>
                <c:pt idx="147">
                  <c:v>45702</c:v>
                </c:pt>
                <c:pt idx="148">
                  <c:v>45706</c:v>
                </c:pt>
                <c:pt idx="149">
                  <c:v>45707</c:v>
                </c:pt>
                <c:pt idx="150">
                  <c:v>45708</c:v>
                </c:pt>
                <c:pt idx="151">
                  <c:v>45709</c:v>
                </c:pt>
                <c:pt idx="152">
                  <c:v>45712</c:v>
                </c:pt>
                <c:pt idx="153">
                  <c:v>45713</c:v>
                </c:pt>
                <c:pt idx="154">
                  <c:v>45714</c:v>
                </c:pt>
                <c:pt idx="155">
                  <c:v>45715</c:v>
                </c:pt>
                <c:pt idx="156">
                  <c:v>45716</c:v>
                </c:pt>
                <c:pt idx="157">
                  <c:v>45719</c:v>
                </c:pt>
                <c:pt idx="158">
                  <c:v>45720</c:v>
                </c:pt>
                <c:pt idx="159">
                  <c:v>45721</c:v>
                </c:pt>
                <c:pt idx="160">
                  <c:v>45722</c:v>
                </c:pt>
                <c:pt idx="161">
                  <c:v>45723</c:v>
                </c:pt>
                <c:pt idx="162">
                  <c:v>45726</c:v>
                </c:pt>
                <c:pt idx="163">
                  <c:v>45727</c:v>
                </c:pt>
                <c:pt idx="164">
                  <c:v>45728</c:v>
                </c:pt>
                <c:pt idx="165">
                  <c:v>45729</c:v>
                </c:pt>
                <c:pt idx="166">
                  <c:v>45730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45740</c:v>
                </c:pt>
                <c:pt idx="173">
                  <c:v>45741</c:v>
                </c:pt>
                <c:pt idx="174">
                  <c:v>45742</c:v>
                </c:pt>
                <c:pt idx="175">
                  <c:v>45743</c:v>
                </c:pt>
                <c:pt idx="176">
                  <c:v>45744</c:v>
                </c:pt>
                <c:pt idx="177">
                  <c:v>45747</c:v>
                </c:pt>
              </c:numCache>
            </c:numRef>
          </c:cat>
          <c:val>
            <c:numRef>
              <c:f>KD!$F$12:$F$189</c:f>
              <c:numCache>
                <c:formatCode>General</c:formatCode>
                <c:ptCount val="17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20</c:v>
                </c:pt>
                <c:pt idx="34">
                  <c:v>20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20</c:v>
                </c:pt>
                <c:pt idx="109">
                  <c:v>20</c:v>
                </c:pt>
                <c:pt idx="110">
                  <c:v>20</c:v>
                </c:pt>
                <c:pt idx="111">
                  <c:v>20</c:v>
                </c:pt>
                <c:pt idx="112">
                  <c:v>20</c:v>
                </c:pt>
                <c:pt idx="113">
                  <c:v>20</c:v>
                </c:pt>
                <c:pt idx="114">
                  <c:v>20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20</c:v>
                </c:pt>
                <c:pt idx="130">
                  <c:v>20</c:v>
                </c:pt>
                <c:pt idx="131">
                  <c:v>20</c:v>
                </c:pt>
                <c:pt idx="132">
                  <c:v>20</c:v>
                </c:pt>
                <c:pt idx="133">
                  <c:v>20</c:v>
                </c:pt>
                <c:pt idx="134">
                  <c:v>20</c:v>
                </c:pt>
                <c:pt idx="135">
                  <c:v>20</c:v>
                </c:pt>
                <c:pt idx="136">
                  <c:v>20</c:v>
                </c:pt>
                <c:pt idx="137">
                  <c:v>20</c:v>
                </c:pt>
                <c:pt idx="138">
                  <c:v>20</c:v>
                </c:pt>
                <c:pt idx="139">
                  <c:v>20</c:v>
                </c:pt>
                <c:pt idx="140">
                  <c:v>20</c:v>
                </c:pt>
                <c:pt idx="141">
                  <c:v>20</c:v>
                </c:pt>
                <c:pt idx="142">
                  <c:v>20</c:v>
                </c:pt>
                <c:pt idx="143">
                  <c:v>20</c:v>
                </c:pt>
                <c:pt idx="144">
                  <c:v>20</c:v>
                </c:pt>
                <c:pt idx="145">
                  <c:v>20</c:v>
                </c:pt>
                <c:pt idx="146">
                  <c:v>20</c:v>
                </c:pt>
                <c:pt idx="147">
                  <c:v>20</c:v>
                </c:pt>
                <c:pt idx="148">
                  <c:v>20</c:v>
                </c:pt>
                <c:pt idx="149">
                  <c:v>20</c:v>
                </c:pt>
                <c:pt idx="150">
                  <c:v>20</c:v>
                </c:pt>
                <c:pt idx="151">
                  <c:v>20</c:v>
                </c:pt>
                <c:pt idx="152">
                  <c:v>20</c:v>
                </c:pt>
                <c:pt idx="153">
                  <c:v>20</c:v>
                </c:pt>
                <c:pt idx="154">
                  <c:v>20</c:v>
                </c:pt>
                <c:pt idx="155">
                  <c:v>20</c:v>
                </c:pt>
                <c:pt idx="156">
                  <c:v>20</c:v>
                </c:pt>
                <c:pt idx="157">
                  <c:v>20</c:v>
                </c:pt>
                <c:pt idx="158">
                  <c:v>20</c:v>
                </c:pt>
                <c:pt idx="159">
                  <c:v>20</c:v>
                </c:pt>
                <c:pt idx="160">
                  <c:v>20</c:v>
                </c:pt>
                <c:pt idx="161">
                  <c:v>20</c:v>
                </c:pt>
                <c:pt idx="162">
                  <c:v>20</c:v>
                </c:pt>
                <c:pt idx="163">
                  <c:v>20</c:v>
                </c:pt>
                <c:pt idx="164">
                  <c:v>20</c:v>
                </c:pt>
                <c:pt idx="165">
                  <c:v>20</c:v>
                </c:pt>
                <c:pt idx="166">
                  <c:v>20</c:v>
                </c:pt>
                <c:pt idx="167">
                  <c:v>20</c:v>
                </c:pt>
                <c:pt idx="168">
                  <c:v>20</c:v>
                </c:pt>
                <c:pt idx="169">
                  <c:v>20</c:v>
                </c:pt>
                <c:pt idx="170">
                  <c:v>20</c:v>
                </c:pt>
                <c:pt idx="171">
                  <c:v>20</c:v>
                </c:pt>
                <c:pt idx="172">
                  <c:v>20</c:v>
                </c:pt>
                <c:pt idx="173">
                  <c:v>20</c:v>
                </c:pt>
                <c:pt idx="174">
                  <c:v>20</c:v>
                </c:pt>
                <c:pt idx="175">
                  <c:v>20</c:v>
                </c:pt>
                <c:pt idx="176">
                  <c:v>20</c:v>
                </c:pt>
                <c:pt idx="177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4-410E-A3AA-84935BE88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3685344"/>
        <c:axId val="413682464"/>
      </c:lineChart>
      <c:dateAx>
        <c:axId val="41368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3682464"/>
        <c:crosses val="autoZero"/>
        <c:auto val="1"/>
        <c:lblOffset val="100"/>
        <c:baseTimeUnit val="days"/>
      </c:dateAx>
      <c:valAx>
        <c:axId val="41368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368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41687989467940245"/>
          <c:y val="0.91527540172586341"/>
          <c:w val="0.20048585974102545"/>
          <c:h val="8.09358182745142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Monte</a:t>
            </a:r>
            <a:r>
              <a:rPr lang="en-GB" baseline="0"/>
              <a:t> Carlo Simulation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'Monte Carlo'!$F$2:$BN$2</c:f>
              <c:numCache>
                <c:formatCode>General</c:formatCode>
                <c:ptCount val="61"/>
                <c:pt idx="0">
                  <c:v>60.99</c:v>
                </c:pt>
                <c:pt idx="1">
                  <c:v>62.879254279563682</c:v>
                </c:pt>
                <c:pt idx="2">
                  <c:v>64.803264046252053</c:v>
                </c:pt>
                <c:pt idx="3">
                  <c:v>64.580717860862521</c:v>
                </c:pt>
                <c:pt idx="4">
                  <c:v>63.096487850942182</c:v>
                </c:pt>
                <c:pt idx="5">
                  <c:v>63.925510078272424</c:v>
                </c:pt>
                <c:pt idx="6">
                  <c:v>63.44082477601814</c:v>
                </c:pt>
                <c:pt idx="7">
                  <c:v>62.886504592241778</c:v>
                </c:pt>
                <c:pt idx="8">
                  <c:v>65.549647081949885</c:v>
                </c:pt>
                <c:pt idx="9">
                  <c:v>67.06009353818817</c:v>
                </c:pt>
                <c:pt idx="10">
                  <c:v>66.814751618172764</c:v>
                </c:pt>
                <c:pt idx="11">
                  <c:v>66.026241741981636</c:v>
                </c:pt>
                <c:pt idx="12">
                  <c:v>66.7829553447975</c:v>
                </c:pt>
                <c:pt idx="13">
                  <c:v>65.564618665073866</c:v>
                </c:pt>
                <c:pt idx="14">
                  <c:v>67.478305088169748</c:v>
                </c:pt>
                <c:pt idx="15">
                  <c:v>66.74049822582873</c:v>
                </c:pt>
                <c:pt idx="16">
                  <c:v>66.448079291196407</c:v>
                </c:pt>
                <c:pt idx="17">
                  <c:v>66.231564812571733</c:v>
                </c:pt>
                <c:pt idx="18">
                  <c:v>65.9668979694884</c:v>
                </c:pt>
                <c:pt idx="19">
                  <c:v>64.903699141233588</c:v>
                </c:pt>
                <c:pt idx="20">
                  <c:v>63.490790897630298</c:v>
                </c:pt>
                <c:pt idx="21">
                  <c:v>62.240037518076747</c:v>
                </c:pt>
                <c:pt idx="22">
                  <c:v>62.462489050916012</c:v>
                </c:pt>
                <c:pt idx="23">
                  <c:v>61.24850904820422</c:v>
                </c:pt>
                <c:pt idx="24">
                  <c:v>61.988803041305367</c:v>
                </c:pt>
                <c:pt idx="25">
                  <c:v>61.698652165388403</c:v>
                </c:pt>
                <c:pt idx="26">
                  <c:v>60.774038412050665</c:v>
                </c:pt>
                <c:pt idx="27">
                  <c:v>62.68253109396322</c:v>
                </c:pt>
                <c:pt idx="28">
                  <c:v>63.127500031247116</c:v>
                </c:pt>
                <c:pt idx="29">
                  <c:v>62.725886124168674</c:v>
                </c:pt>
                <c:pt idx="30">
                  <c:v>64.23483312794859</c:v>
                </c:pt>
                <c:pt idx="31">
                  <c:v>63.759702030657124</c:v>
                </c:pt>
                <c:pt idx="32">
                  <c:v>64.63000908735647</c:v>
                </c:pt>
                <c:pt idx="33">
                  <c:v>64.420053049704563</c:v>
                </c:pt>
                <c:pt idx="34">
                  <c:v>65.070619591353577</c:v>
                </c:pt>
                <c:pt idx="35">
                  <c:v>64.6537412223459</c:v>
                </c:pt>
                <c:pt idx="36">
                  <c:v>64.111329059018104</c:v>
                </c:pt>
                <c:pt idx="37">
                  <c:v>65.090150312028229</c:v>
                </c:pt>
                <c:pt idx="38">
                  <c:v>65.262109258345689</c:v>
                </c:pt>
                <c:pt idx="39">
                  <c:v>64.419542668291058</c:v>
                </c:pt>
                <c:pt idx="40">
                  <c:v>64.553525016901659</c:v>
                </c:pt>
                <c:pt idx="41">
                  <c:v>64.070942734477597</c:v>
                </c:pt>
                <c:pt idx="42">
                  <c:v>62.634691033279779</c:v>
                </c:pt>
                <c:pt idx="43">
                  <c:v>61.721446912744213</c:v>
                </c:pt>
                <c:pt idx="44">
                  <c:v>62.631632925150306</c:v>
                </c:pt>
                <c:pt idx="45">
                  <c:v>64.723338633174805</c:v>
                </c:pt>
                <c:pt idx="46">
                  <c:v>63.303551040523026</c:v>
                </c:pt>
                <c:pt idx="47">
                  <c:v>61.597901726041528</c:v>
                </c:pt>
                <c:pt idx="48">
                  <c:v>60.323720660586559</c:v>
                </c:pt>
                <c:pt idx="49">
                  <c:v>62.416461293896525</c:v>
                </c:pt>
                <c:pt idx="50">
                  <c:v>62.495635091244367</c:v>
                </c:pt>
                <c:pt idx="51">
                  <c:v>61.540631295945253</c:v>
                </c:pt>
                <c:pt idx="52">
                  <c:v>61.553154283365195</c:v>
                </c:pt>
                <c:pt idx="53">
                  <c:v>63.080289324445026</c:v>
                </c:pt>
                <c:pt idx="54">
                  <c:v>62.906110489453759</c:v>
                </c:pt>
                <c:pt idx="55">
                  <c:v>63.705335092494735</c:v>
                </c:pt>
                <c:pt idx="56">
                  <c:v>63.654297508199093</c:v>
                </c:pt>
                <c:pt idx="57">
                  <c:v>65.271945343982736</c:v>
                </c:pt>
                <c:pt idx="58">
                  <c:v>65.004764003165789</c:v>
                </c:pt>
                <c:pt idx="59">
                  <c:v>64.243525341787873</c:v>
                </c:pt>
                <c:pt idx="60">
                  <c:v>64.404440648453132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EA-417D-9FEF-816D9F694639}"/>
            </c:ext>
          </c:extLst>
        </c:ser>
        <c:ser>
          <c:idx val="2"/>
          <c:order val="1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'Monte Carlo'!$E$3:$BN$3</c:f>
              <c:numCache>
                <c:formatCode>General</c:formatCode>
                <c:ptCount val="62"/>
                <c:pt idx="1">
                  <c:v>60.99</c:v>
                </c:pt>
                <c:pt idx="2">
                  <c:v>62.273755183649719</c:v>
                </c:pt>
                <c:pt idx="3">
                  <c:v>62.959369495325554</c:v>
                </c:pt>
                <c:pt idx="4">
                  <c:v>62.10925643191743</c:v>
                </c:pt>
                <c:pt idx="5">
                  <c:v>62.123527868183324</c:v>
                </c:pt>
                <c:pt idx="6">
                  <c:v>60.464096349458316</c:v>
                </c:pt>
                <c:pt idx="7">
                  <c:v>61.922834534979579</c:v>
                </c:pt>
                <c:pt idx="8">
                  <c:v>63.469916551967643</c:v>
                </c:pt>
                <c:pt idx="9">
                  <c:v>63.704354276728495</c:v>
                </c:pt>
                <c:pt idx="10">
                  <c:v>60.944060136522374</c:v>
                </c:pt>
                <c:pt idx="11">
                  <c:v>61.885326083717075</c:v>
                </c:pt>
                <c:pt idx="12">
                  <c:v>61.996693175707776</c:v>
                </c:pt>
                <c:pt idx="13">
                  <c:v>62.501103861971082</c:v>
                </c:pt>
                <c:pt idx="14">
                  <c:v>62.388910903133421</c:v>
                </c:pt>
                <c:pt idx="15">
                  <c:v>62.521532153789025</c:v>
                </c:pt>
                <c:pt idx="16">
                  <c:v>61.835657527278784</c:v>
                </c:pt>
                <c:pt idx="17">
                  <c:v>61.259996246155879</c:v>
                </c:pt>
                <c:pt idx="18">
                  <c:v>63.587419976027157</c:v>
                </c:pt>
                <c:pt idx="19">
                  <c:v>63.744949369590103</c:v>
                </c:pt>
                <c:pt idx="20">
                  <c:v>64.529512709022796</c:v>
                </c:pt>
                <c:pt idx="21">
                  <c:v>66.042501979997382</c:v>
                </c:pt>
                <c:pt idx="22">
                  <c:v>65.199736077494507</c:v>
                </c:pt>
                <c:pt idx="23">
                  <c:v>64.15084106330778</c:v>
                </c:pt>
                <c:pt idx="24">
                  <c:v>63.51055283676228</c:v>
                </c:pt>
                <c:pt idx="25">
                  <c:v>64.509272465329914</c:v>
                </c:pt>
                <c:pt idx="26">
                  <c:v>64.379943282952766</c:v>
                </c:pt>
                <c:pt idx="27">
                  <c:v>65.575308403627091</c:v>
                </c:pt>
                <c:pt idx="28">
                  <c:v>63.992816810358747</c:v>
                </c:pt>
                <c:pt idx="29">
                  <c:v>64.161440554076577</c:v>
                </c:pt>
                <c:pt idx="30">
                  <c:v>64.580683335129436</c:v>
                </c:pt>
                <c:pt idx="31">
                  <c:v>62.0220909609247</c:v>
                </c:pt>
                <c:pt idx="32">
                  <c:v>62.296200867481062</c:v>
                </c:pt>
                <c:pt idx="33">
                  <c:v>62.857603954750665</c:v>
                </c:pt>
                <c:pt idx="34">
                  <c:v>60.723118069495015</c:v>
                </c:pt>
                <c:pt idx="35">
                  <c:v>62.067928987802325</c:v>
                </c:pt>
                <c:pt idx="36">
                  <c:v>62.150048230494626</c:v>
                </c:pt>
                <c:pt idx="37">
                  <c:v>64.727448396001662</c:v>
                </c:pt>
                <c:pt idx="38">
                  <c:v>64.311998449756885</c:v>
                </c:pt>
                <c:pt idx="39">
                  <c:v>63.841949119265635</c:v>
                </c:pt>
                <c:pt idx="40">
                  <c:v>64.872400609404849</c:v>
                </c:pt>
                <c:pt idx="41">
                  <c:v>65.517553214222787</c:v>
                </c:pt>
                <c:pt idx="42">
                  <c:v>66.203481191121952</c:v>
                </c:pt>
                <c:pt idx="43">
                  <c:v>66.256837984427236</c:v>
                </c:pt>
                <c:pt idx="44">
                  <c:v>65.092760811643217</c:v>
                </c:pt>
                <c:pt idx="45">
                  <c:v>66.505703377787484</c:v>
                </c:pt>
                <c:pt idx="46">
                  <c:v>67.738800394990776</c:v>
                </c:pt>
                <c:pt idx="47">
                  <c:v>69.773949963027817</c:v>
                </c:pt>
                <c:pt idx="48">
                  <c:v>69.197787280673111</c:v>
                </c:pt>
                <c:pt idx="49">
                  <c:v>69.165121369443824</c:v>
                </c:pt>
                <c:pt idx="50">
                  <c:v>68.806070101585846</c:v>
                </c:pt>
                <c:pt idx="51">
                  <c:v>69.715170990205905</c:v>
                </c:pt>
                <c:pt idx="52">
                  <c:v>67.577539221568159</c:v>
                </c:pt>
                <c:pt idx="53">
                  <c:v>68.679896867190365</c:v>
                </c:pt>
                <c:pt idx="54">
                  <c:v>69.071900275394398</c:v>
                </c:pt>
                <c:pt idx="55">
                  <c:v>68.743941439218958</c:v>
                </c:pt>
                <c:pt idx="56">
                  <c:v>68.98558749879777</c:v>
                </c:pt>
                <c:pt idx="57">
                  <c:v>69.074162162469207</c:v>
                </c:pt>
                <c:pt idx="58">
                  <c:v>69.710676594402983</c:v>
                </c:pt>
                <c:pt idx="59">
                  <c:v>70.201715755347479</c:v>
                </c:pt>
                <c:pt idx="60">
                  <c:v>72.055974949511125</c:v>
                </c:pt>
                <c:pt idx="61">
                  <c:v>73.196758174269192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EA-417D-9FEF-816D9F694639}"/>
            </c:ext>
          </c:extLst>
        </c:ser>
        <c:ser>
          <c:idx val="3"/>
          <c:order val="2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'Monte Carlo'!$E$4:$BN$4</c:f>
              <c:numCache>
                <c:formatCode>General</c:formatCode>
                <c:ptCount val="62"/>
                <c:pt idx="1">
                  <c:v>60.99</c:v>
                </c:pt>
                <c:pt idx="2">
                  <c:v>60.575994987783886</c:v>
                </c:pt>
                <c:pt idx="3">
                  <c:v>59.388700582090095</c:v>
                </c:pt>
                <c:pt idx="4">
                  <c:v>60.210555896963562</c:v>
                </c:pt>
                <c:pt idx="5">
                  <c:v>60.095745215135842</c:v>
                </c:pt>
                <c:pt idx="6">
                  <c:v>61.823567307202467</c:v>
                </c:pt>
                <c:pt idx="7">
                  <c:v>61.339439737501998</c:v>
                </c:pt>
                <c:pt idx="8">
                  <c:v>61.089779923663464</c:v>
                </c:pt>
                <c:pt idx="9">
                  <c:v>60.53204458987198</c:v>
                </c:pt>
                <c:pt idx="10">
                  <c:v>60.814696941536681</c:v>
                </c:pt>
                <c:pt idx="11">
                  <c:v>60.591516932807345</c:v>
                </c:pt>
                <c:pt idx="12">
                  <c:v>60.504403290611542</c:v>
                </c:pt>
                <c:pt idx="13">
                  <c:v>60.648364197061959</c:v>
                </c:pt>
                <c:pt idx="14">
                  <c:v>60.253605764425245</c:v>
                </c:pt>
                <c:pt idx="15">
                  <c:v>60.835162457314723</c:v>
                </c:pt>
                <c:pt idx="16">
                  <c:v>62.507551859784463</c:v>
                </c:pt>
                <c:pt idx="17">
                  <c:v>62.797067050026286</c:v>
                </c:pt>
                <c:pt idx="18">
                  <c:v>60.283798701505958</c:v>
                </c:pt>
                <c:pt idx="19">
                  <c:v>61.43286174547989</c:v>
                </c:pt>
                <c:pt idx="20">
                  <c:v>60.951681040340745</c:v>
                </c:pt>
                <c:pt idx="21">
                  <c:v>62.000109894485512</c:v>
                </c:pt>
                <c:pt idx="22">
                  <c:v>61.685596993638811</c:v>
                </c:pt>
                <c:pt idx="23">
                  <c:v>62.685271832102138</c:v>
                </c:pt>
                <c:pt idx="24">
                  <c:v>61.601446561930985</c:v>
                </c:pt>
                <c:pt idx="25">
                  <c:v>61.818368920881845</c:v>
                </c:pt>
                <c:pt idx="26">
                  <c:v>62.012490047786265</c:v>
                </c:pt>
                <c:pt idx="27">
                  <c:v>62.370089161827629</c:v>
                </c:pt>
                <c:pt idx="28">
                  <c:v>61.593142391290947</c:v>
                </c:pt>
                <c:pt idx="29">
                  <c:v>61.160890485628109</c:v>
                </c:pt>
                <c:pt idx="30">
                  <c:v>62.004882794143292</c:v>
                </c:pt>
                <c:pt idx="31">
                  <c:v>63.423040884954645</c:v>
                </c:pt>
                <c:pt idx="32">
                  <c:v>62.515091798892627</c:v>
                </c:pt>
                <c:pt idx="33">
                  <c:v>62.429306251284444</c:v>
                </c:pt>
                <c:pt idx="34">
                  <c:v>60.335937284596575</c:v>
                </c:pt>
                <c:pt idx="35">
                  <c:v>63.126079151605538</c:v>
                </c:pt>
                <c:pt idx="36">
                  <c:v>62.734736142688639</c:v>
                </c:pt>
                <c:pt idx="37">
                  <c:v>62.17433994893301</c:v>
                </c:pt>
                <c:pt idx="38">
                  <c:v>62.128538696831377</c:v>
                </c:pt>
                <c:pt idx="39">
                  <c:v>61.994540372156216</c:v>
                </c:pt>
                <c:pt idx="40">
                  <c:v>61.433381366923115</c:v>
                </c:pt>
                <c:pt idx="41">
                  <c:v>60.973548122228891</c:v>
                </c:pt>
                <c:pt idx="42">
                  <c:v>59.154637027166373</c:v>
                </c:pt>
                <c:pt idx="43">
                  <c:v>58.810194661556814</c:v>
                </c:pt>
                <c:pt idx="44">
                  <c:v>59.451367464336109</c:v>
                </c:pt>
                <c:pt idx="45">
                  <c:v>62.177334849178266</c:v>
                </c:pt>
                <c:pt idx="46">
                  <c:v>60.331766922963602</c:v>
                </c:pt>
                <c:pt idx="47">
                  <c:v>59.809725508232169</c:v>
                </c:pt>
                <c:pt idx="48">
                  <c:v>59.677696607777463</c:v>
                </c:pt>
                <c:pt idx="49">
                  <c:v>58.140699718671222</c:v>
                </c:pt>
                <c:pt idx="50">
                  <c:v>58.47540502260987</c:v>
                </c:pt>
                <c:pt idx="51">
                  <c:v>56.678014222144192</c:v>
                </c:pt>
                <c:pt idx="52">
                  <c:v>58.132399952651255</c:v>
                </c:pt>
                <c:pt idx="53">
                  <c:v>58.322136560481383</c:v>
                </c:pt>
                <c:pt idx="54">
                  <c:v>60.183619624880222</c:v>
                </c:pt>
                <c:pt idx="55">
                  <c:v>60.382168787913145</c:v>
                </c:pt>
                <c:pt idx="56">
                  <c:v>61.291992446650191</c:v>
                </c:pt>
                <c:pt idx="57">
                  <c:v>61.222844197932041</c:v>
                </c:pt>
                <c:pt idx="58">
                  <c:v>61.074351759858637</c:v>
                </c:pt>
                <c:pt idx="59">
                  <c:v>60.877812322826976</c:v>
                </c:pt>
                <c:pt idx="60">
                  <c:v>60.928134279912378</c:v>
                </c:pt>
                <c:pt idx="61">
                  <c:v>60.256017264109758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EA-417D-9FEF-816D9F694639}"/>
            </c:ext>
          </c:extLst>
        </c:ser>
        <c:ser>
          <c:idx val="4"/>
          <c:order val="3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'Monte Carlo'!$E$5:$BN$5</c:f>
              <c:numCache>
                <c:formatCode>General</c:formatCode>
                <c:ptCount val="62"/>
                <c:pt idx="1">
                  <c:v>60.99</c:v>
                </c:pt>
                <c:pt idx="2">
                  <c:v>60.855840472603226</c:v>
                </c:pt>
                <c:pt idx="3">
                  <c:v>61.523119658143166</c:v>
                </c:pt>
                <c:pt idx="4">
                  <c:v>60.431375108675525</c:v>
                </c:pt>
                <c:pt idx="5">
                  <c:v>60.173715594046122</c:v>
                </c:pt>
                <c:pt idx="6">
                  <c:v>59.240078352810926</c:v>
                </c:pt>
                <c:pt idx="7">
                  <c:v>58.243368964819481</c:v>
                </c:pt>
                <c:pt idx="8">
                  <c:v>57.67954340232869</c:v>
                </c:pt>
                <c:pt idx="9">
                  <c:v>58.489615825462828</c:v>
                </c:pt>
                <c:pt idx="10">
                  <c:v>60.228503178582848</c:v>
                </c:pt>
                <c:pt idx="11">
                  <c:v>60.169533523946114</c:v>
                </c:pt>
                <c:pt idx="12">
                  <c:v>60.506434811650898</c:v>
                </c:pt>
                <c:pt idx="13">
                  <c:v>59.600887608164079</c:v>
                </c:pt>
                <c:pt idx="14">
                  <c:v>59.479027116194125</c:v>
                </c:pt>
                <c:pt idx="15">
                  <c:v>62.077464882885074</c:v>
                </c:pt>
                <c:pt idx="16">
                  <c:v>59.383911203359879</c:v>
                </c:pt>
                <c:pt idx="17">
                  <c:v>60.905208269470585</c:v>
                </c:pt>
                <c:pt idx="18">
                  <c:v>61.40571203815194</c:v>
                </c:pt>
                <c:pt idx="19">
                  <c:v>62.057438226827067</c:v>
                </c:pt>
                <c:pt idx="20">
                  <c:v>63.377925925121957</c:v>
                </c:pt>
                <c:pt idx="21">
                  <c:v>62.7086639297654</c:v>
                </c:pt>
                <c:pt idx="22">
                  <c:v>61.865292248602714</c:v>
                </c:pt>
                <c:pt idx="23">
                  <c:v>63.617229883734176</c:v>
                </c:pt>
                <c:pt idx="24">
                  <c:v>61.436790590080506</c:v>
                </c:pt>
                <c:pt idx="25">
                  <c:v>64.088164784783544</c:v>
                </c:pt>
                <c:pt idx="26">
                  <c:v>64.001648888989266</c:v>
                </c:pt>
                <c:pt idx="27">
                  <c:v>63.012488275208526</c:v>
                </c:pt>
                <c:pt idx="28">
                  <c:v>62.996722840442992</c:v>
                </c:pt>
                <c:pt idx="29">
                  <c:v>61.418636913672366</c:v>
                </c:pt>
                <c:pt idx="30">
                  <c:v>60.833364518710326</c:v>
                </c:pt>
                <c:pt idx="31">
                  <c:v>59.25515186020187</c:v>
                </c:pt>
                <c:pt idx="32">
                  <c:v>58.395136069967066</c:v>
                </c:pt>
                <c:pt idx="33">
                  <c:v>59.101359800722861</c:v>
                </c:pt>
                <c:pt idx="34">
                  <c:v>60.727326996751458</c:v>
                </c:pt>
                <c:pt idx="35">
                  <c:v>61.801957729130592</c:v>
                </c:pt>
                <c:pt idx="36">
                  <c:v>61.799788987032919</c:v>
                </c:pt>
                <c:pt idx="37">
                  <c:v>61.073696588130822</c:v>
                </c:pt>
                <c:pt idx="38">
                  <c:v>60.163833962580121</c:v>
                </c:pt>
                <c:pt idx="39">
                  <c:v>58.953327137350222</c:v>
                </c:pt>
                <c:pt idx="40">
                  <c:v>59.415224925666536</c:v>
                </c:pt>
                <c:pt idx="41">
                  <c:v>60.39850240660536</c:v>
                </c:pt>
                <c:pt idx="42">
                  <c:v>60.189802890656523</c:v>
                </c:pt>
                <c:pt idx="43">
                  <c:v>59.824095845745973</c:v>
                </c:pt>
                <c:pt idx="44">
                  <c:v>59.688894699058615</c:v>
                </c:pt>
                <c:pt idx="45">
                  <c:v>57.851596894751189</c:v>
                </c:pt>
                <c:pt idx="46">
                  <c:v>57.929885506290134</c:v>
                </c:pt>
                <c:pt idx="47">
                  <c:v>56.591869791035158</c:v>
                </c:pt>
                <c:pt idx="48">
                  <c:v>56.296397094730288</c:v>
                </c:pt>
                <c:pt idx="49">
                  <c:v>56.445743061760886</c:v>
                </c:pt>
                <c:pt idx="50">
                  <c:v>58.228253368774489</c:v>
                </c:pt>
                <c:pt idx="51">
                  <c:v>59.693748839794495</c:v>
                </c:pt>
                <c:pt idx="52">
                  <c:v>59.661846969558617</c:v>
                </c:pt>
                <c:pt idx="53">
                  <c:v>58.735913298863387</c:v>
                </c:pt>
                <c:pt idx="54">
                  <c:v>58.174890551080289</c:v>
                </c:pt>
                <c:pt idx="55">
                  <c:v>56.423873018334035</c:v>
                </c:pt>
                <c:pt idx="56">
                  <c:v>57.204738453227456</c:v>
                </c:pt>
                <c:pt idx="57">
                  <c:v>58.894667342933126</c:v>
                </c:pt>
                <c:pt idx="58">
                  <c:v>56.79393246348787</c:v>
                </c:pt>
                <c:pt idx="59">
                  <c:v>57.454471537623576</c:v>
                </c:pt>
                <c:pt idx="60">
                  <c:v>56.692395465011039</c:v>
                </c:pt>
                <c:pt idx="61">
                  <c:v>57.258085475647611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EA-417D-9FEF-816D9F694639}"/>
            </c:ext>
          </c:extLst>
        </c:ser>
        <c:ser>
          <c:idx val="5"/>
          <c:order val="4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'Monte Carlo'!$E$6:$BN$6</c:f>
              <c:numCache>
                <c:formatCode>General</c:formatCode>
                <c:ptCount val="62"/>
                <c:pt idx="1">
                  <c:v>60.99</c:v>
                </c:pt>
                <c:pt idx="2">
                  <c:v>60.461905222800617</c:v>
                </c:pt>
                <c:pt idx="3">
                  <c:v>60.14499453329595</c:v>
                </c:pt>
                <c:pt idx="4">
                  <c:v>59.309676180887024</c:v>
                </c:pt>
                <c:pt idx="5">
                  <c:v>60.759394143632896</c:v>
                </c:pt>
                <c:pt idx="6">
                  <c:v>60.713507842057517</c:v>
                </c:pt>
                <c:pt idx="7">
                  <c:v>62.4774901041501</c:v>
                </c:pt>
                <c:pt idx="8">
                  <c:v>64.402432249630166</c:v>
                </c:pt>
                <c:pt idx="9">
                  <c:v>64.561285285649959</c:v>
                </c:pt>
                <c:pt idx="10">
                  <c:v>64.537865832871404</c:v>
                </c:pt>
                <c:pt idx="11">
                  <c:v>64.102730898056208</c:v>
                </c:pt>
                <c:pt idx="12">
                  <c:v>64.673397099254643</c:v>
                </c:pt>
                <c:pt idx="13">
                  <c:v>63.903501239191392</c:v>
                </c:pt>
                <c:pt idx="14">
                  <c:v>65.08803366744587</c:v>
                </c:pt>
                <c:pt idx="15">
                  <c:v>65.74458659599793</c:v>
                </c:pt>
                <c:pt idx="16">
                  <c:v>65.480081447549424</c:v>
                </c:pt>
                <c:pt idx="17">
                  <c:v>63.447892995265605</c:v>
                </c:pt>
                <c:pt idx="18">
                  <c:v>62.407915147655295</c:v>
                </c:pt>
                <c:pt idx="19">
                  <c:v>63.782922582737754</c:v>
                </c:pt>
                <c:pt idx="20">
                  <c:v>63.385076113679382</c:v>
                </c:pt>
                <c:pt idx="21">
                  <c:v>62.787671610575593</c:v>
                </c:pt>
                <c:pt idx="22">
                  <c:v>62.851091241281303</c:v>
                </c:pt>
                <c:pt idx="23">
                  <c:v>63.255949626692242</c:v>
                </c:pt>
                <c:pt idx="24">
                  <c:v>62.943652354777953</c:v>
                </c:pt>
                <c:pt idx="25">
                  <c:v>62.992393319768915</c:v>
                </c:pt>
                <c:pt idx="26">
                  <c:v>61.738481570623811</c:v>
                </c:pt>
                <c:pt idx="27">
                  <c:v>60.546322179044708</c:v>
                </c:pt>
                <c:pt idx="28">
                  <c:v>58.993886238615417</c:v>
                </c:pt>
                <c:pt idx="29">
                  <c:v>56.748019160470989</c:v>
                </c:pt>
                <c:pt idx="30">
                  <c:v>58.057099464682274</c:v>
                </c:pt>
                <c:pt idx="31">
                  <c:v>55.408923782230794</c:v>
                </c:pt>
                <c:pt idx="32">
                  <c:v>55.156176498976805</c:v>
                </c:pt>
                <c:pt idx="33">
                  <c:v>54.938600120192369</c:v>
                </c:pt>
                <c:pt idx="34">
                  <c:v>56.463233399700627</c:v>
                </c:pt>
                <c:pt idx="35">
                  <c:v>57.190500125305455</c:v>
                </c:pt>
                <c:pt idx="36">
                  <c:v>55.588908429099568</c:v>
                </c:pt>
                <c:pt idx="37">
                  <c:v>54.810730384140953</c:v>
                </c:pt>
                <c:pt idx="38">
                  <c:v>57.279363304988827</c:v>
                </c:pt>
                <c:pt idx="39">
                  <c:v>56.44900619000169</c:v>
                </c:pt>
                <c:pt idx="40">
                  <c:v>57.634158560363829</c:v>
                </c:pt>
                <c:pt idx="41">
                  <c:v>57.542761016692531</c:v>
                </c:pt>
                <c:pt idx="42">
                  <c:v>57.217174538055254</c:v>
                </c:pt>
                <c:pt idx="43">
                  <c:v>59.404184441327715</c:v>
                </c:pt>
                <c:pt idx="44">
                  <c:v>60.157546407406095</c:v>
                </c:pt>
                <c:pt idx="45">
                  <c:v>60.113428338890529</c:v>
                </c:pt>
                <c:pt idx="46">
                  <c:v>58.784829831981554</c:v>
                </c:pt>
                <c:pt idx="47">
                  <c:v>59.87763710861276</c:v>
                </c:pt>
                <c:pt idx="48">
                  <c:v>59.89669505050658</c:v>
                </c:pt>
                <c:pt idx="49">
                  <c:v>59.6022495495003</c:v>
                </c:pt>
                <c:pt idx="50">
                  <c:v>59.887042278312705</c:v>
                </c:pt>
                <c:pt idx="51">
                  <c:v>59.124957160708313</c:v>
                </c:pt>
                <c:pt idx="52">
                  <c:v>57.993334980950749</c:v>
                </c:pt>
                <c:pt idx="53">
                  <c:v>57.535309811292422</c:v>
                </c:pt>
                <c:pt idx="54">
                  <c:v>59.467526084444252</c:v>
                </c:pt>
                <c:pt idx="55">
                  <c:v>56.977373142861779</c:v>
                </c:pt>
                <c:pt idx="56">
                  <c:v>56.540236217785115</c:v>
                </c:pt>
                <c:pt idx="57">
                  <c:v>56.728517528335509</c:v>
                </c:pt>
                <c:pt idx="58">
                  <c:v>54.898972153408224</c:v>
                </c:pt>
                <c:pt idx="59">
                  <c:v>55.908679591685363</c:v>
                </c:pt>
                <c:pt idx="60">
                  <c:v>55.953375630009965</c:v>
                </c:pt>
                <c:pt idx="61">
                  <c:v>55.62630545652079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4EA-417D-9FEF-816D9F694639}"/>
            </c:ext>
          </c:extLst>
        </c:ser>
        <c:ser>
          <c:idx val="6"/>
          <c:order val="5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Carlo'!$E$7:$BN$7</c:f>
              <c:numCache>
                <c:formatCode>General</c:formatCode>
                <c:ptCount val="62"/>
                <c:pt idx="1">
                  <c:v>60.99</c:v>
                </c:pt>
                <c:pt idx="2">
                  <c:v>59.769322453711666</c:v>
                </c:pt>
                <c:pt idx="3">
                  <c:v>58.905402018366985</c:v>
                </c:pt>
                <c:pt idx="4">
                  <c:v>58.473903180602107</c:v>
                </c:pt>
                <c:pt idx="5">
                  <c:v>58.890773622013384</c:v>
                </c:pt>
                <c:pt idx="6">
                  <c:v>59.415074748748886</c:v>
                </c:pt>
                <c:pt idx="7">
                  <c:v>59.132563656324393</c:v>
                </c:pt>
                <c:pt idx="8">
                  <c:v>59.453603028088843</c:v>
                </c:pt>
                <c:pt idx="9">
                  <c:v>60.833351232144537</c:v>
                </c:pt>
                <c:pt idx="10">
                  <c:v>60.515652504738945</c:v>
                </c:pt>
                <c:pt idx="11">
                  <c:v>60.607373559368888</c:v>
                </c:pt>
                <c:pt idx="12">
                  <c:v>59.173546785499568</c:v>
                </c:pt>
                <c:pt idx="13">
                  <c:v>58.636015225344494</c:v>
                </c:pt>
                <c:pt idx="14">
                  <c:v>59.171540805873434</c:v>
                </c:pt>
                <c:pt idx="15">
                  <c:v>58.485183847199899</c:v>
                </c:pt>
                <c:pt idx="16">
                  <c:v>58.744563921546629</c:v>
                </c:pt>
                <c:pt idx="17">
                  <c:v>57.080399184056098</c:v>
                </c:pt>
                <c:pt idx="18">
                  <c:v>56.948765709855188</c:v>
                </c:pt>
                <c:pt idx="19">
                  <c:v>59.79680073551237</c:v>
                </c:pt>
                <c:pt idx="20">
                  <c:v>60.11509464378431</c:v>
                </c:pt>
                <c:pt idx="21">
                  <c:v>59.07799154601129</c:v>
                </c:pt>
                <c:pt idx="22">
                  <c:v>59.104574206685442</c:v>
                </c:pt>
                <c:pt idx="23">
                  <c:v>58.510193518331377</c:v>
                </c:pt>
                <c:pt idx="24">
                  <c:v>59.216198698216338</c:v>
                </c:pt>
                <c:pt idx="25">
                  <c:v>60.880777422928659</c:v>
                </c:pt>
                <c:pt idx="26">
                  <c:v>63.150104789014044</c:v>
                </c:pt>
                <c:pt idx="27">
                  <c:v>63.012100633465508</c:v>
                </c:pt>
                <c:pt idx="28">
                  <c:v>62.083039636855197</c:v>
                </c:pt>
                <c:pt idx="29">
                  <c:v>61.207113552725389</c:v>
                </c:pt>
                <c:pt idx="30">
                  <c:v>59.446412264333617</c:v>
                </c:pt>
                <c:pt idx="31">
                  <c:v>56.572615278531835</c:v>
                </c:pt>
                <c:pt idx="32">
                  <c:v>56.353666340709616</c:v>
                </c:pt>
                <c:pt idx="33">
                  <c:v>55.628926073032076</c:v>
                </c:pt>
                <c:pt idx="34">
                  <c:v>56.436683999343039</c:v>
                </c:pt>
                <c:pt idx="35">
                  <c:v>57.605996618590964</c:v>
                </c:pt>
                <c:pt idx="36">
                  <c:v>57.55934974555791</c:v>
                </c:pt>
                <c:pt idx="37">
                  <c:v>57.624305277546398</c:v>
                </c:pt>
                <c:pt idx="38">
                  <c:v>56.426385775679577</c:v>
                </c:pt>
                <c:pt idx="39">
                  <c:v>57.828276004064257</c:v>
                </c:pt>
                <c:pt idx="40">
                  <c:v>58.608807845589595</c:v>
                </c:pt>
                <c:pt idx="41">
                  <c:v>58.334393753187754</c:v>
                </c:pt>
                <c:pt idx="42">
                  <c:v>56.607093699040043</c:v>
                </c:pt>
                <c:pt idx="43">
                  <c:v>60.137012112898034</c:v>
                </c:pt>
                <c:pt idx="44">
                  <c:v>59.685087621613022</c:v>
                </c:pt>
                <c:pt idx="45">
                  <c:v>61.624182950256213</c:v>
                </c:pt>
                <c:pt idx="46">
                  <c:v>62.858806384383598</c:v>
                </c:pt>
                <c:pt idx="47">
                  <c:v>63.025626250787191</c:v>
                </c:pt>
                <c:pt idx="48">
                  <c:v>64.478945436832575</c:v>
                </c:pt>
                <c:pt idx="49">
                  <c:v>63.852849902805012</c:v>
                </c:pt>
                <c:pt idx="50">
                  <c:v>64.180578974012434</c:v>
                </c:pt>
                <c:pt idx="51">
                  <c:v>64.425309752802661</c:v>
                </c:pt>
                <c:pt idx="52">
                  <c:v>64.696318231230052</c:v>
                </c:pt>
                <c:pt idx="53">
                  <c:v>64.235975472948169</c:v>
                </c:pt>
                <c:pt idx="54">
                  <c:v>62.516472242675029</c:v>
                </c:pt>
                <c:pt idx="55">
                  <c:v>60.591773555496893</c:v>
                </c:pt>
                <c:pt idx="56">
                  <c:v>59.852451747092196</c:v>
                </c:pt>
                <c:pt idx="57">
                  <c:v>61.445635706117784</c:v>
                </c:pt>
                <c:pt idx="58">
                  <c:v>58.78812629178843</c:v>
                </c:pt>
                <c:pt idx="59">
                  <c:v>59.205840731461841</c:v>
                </c:pt>
                <c:pt idx="60">
                  <c:v>58.910606390035781</c:v>
                </c:pt>
                <c:pt idx="61">
                  <c:v>58.607555109543718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4EA-417D-9FEF-816D9F694639}"/>
            </c:ext>
          </c:extLst>
        </c:ser>
        <c:ser>
          <c:idx val="7"/>
          <c:order val="6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Carlo'!$E$8:$BN$8</c:f>
              <c:numCache>
                <c:formatCode>General</c:formatCode>
                <c:ptCount val="62"/>
                <c:pt idx="1">
                  <c:v>60.99</c:v>
                </c:pt>
                <c:pt idx="2">
                  <c:v>61.03838952084876</c:v>
                </c:pt>
                <c:pt idx="3">
                  <c:v>61.46037424406547</c:v>
                </c:pt>
                <c:pt idx="4">
                  <c:v>60.297897835732293</c:v>
                </c:pt>
                <c:pt idx="5">
                  <c:v>58.886618706745651</c:v>
                </c:pt>
                <c:pt idx="6">
                  <c:v>57.407924672384297</c:v>
                </c:pt>
                <c:pt idx="7">
                  <c:v>58.187807046511793</c:v>
                </c:pt>
                <c:pt idx="8">
                  <c:v>58.129194300361988</c:v>
                </c:pt>
                <c:pt idx="9">
                  <c:v>57.425971814568435</c:v>
                </c:pt>
                <c:pt idx="10">
                  <c:v>57.711667969104212</c:v>
                </c:pt>
                <c:pt idx="11">
                  <c:v>61.232911312145511</c:v>
                </c:pt>
                <c:pt idx="12">
                  <c:v>62.541937318667216</c:v>
                </c:pt>
                <c:pt idx="13">
                  <c:v>62.776512048130478</c:v>
                </c:pt>
                <c:pt idx="14">
                  <c:v>61.644097778778644</c:v>
                </c:pt>
                <c:pt idx="15">
                  <c:v>63.09134485974581</c:v>
                </c:pt>
                <c:pt idx="16">
                  <c:v>62.143803695494761</c:v>
                </c:pt>
                <c:pt idx="17">
                  <c:v>60.801317731460429</c:v>
                </c:pt>
                <c:pt idx="18">
                  <c:v>61.416204537994801</c:v>
                </c:pt>
                <c:pt idx="19">
                  <c:v>60.94404385382883</c:v>
                </c:pt>
                <c:pt idx="20">
                  <c:v>60.781075781671561</c:v>
                </c:pt>
                <c:pt idx="21">
                  <c:v>60.118477273274159</c:v>
                </c:pt>
                <c:pt idx="22">
                  <c:v>60.318327390818013</c:v>
                </c:pt>
                <c:pt idx="23">
                  <c:v>60.414185063057666</c:v>
                </c:pt>
                <c:pt idx="24">
                  <c:v>60.39128909478876</c:v>
                </c:pt>
                <c:pt idx="25">
                  <c:v>59.278298259420801</c:v>
                </c:pt>
                <c:pt idx="26">
                  <c:v>57.256269468980783</c:v>
                </c:pt>
                <c:pt idx="27">
                  <c:v>58.570753761271284</c:v>
                </c:pt>
                <c:pt idx="28">
                  <c:v>59.19651747412582</c:v>
                </c:pt>
                <c:pt idx="29">
                  <c:v>59.516002045631701</c:v>
                </c:pt>
                <c:pt idx="30">
                  <c:v>61.303442157725122</c:v>
                </c:pt>
                <c:pt idx="31">
                  <c:v>61.672848200070682</c:v>
                </c:pt>
                <c:pt idx="32">
                  <c:v>62.879647283994814</c:v>
                </c:pt>
                <c:pt idx="33">
                  <c:v>63.763371396433712</c:v>
                </c:pt>
                <c:pt idx="34">
                  <c:v>63.108827087732195</c:v>
                </c:pt>
                <c:pt idx="35">
                  <c:v>63.341633553259513</c:v>
                </c:pt>
                <c:pt idx="36">
                  <c:v>63.940327539003299</c:v>
                </c:pt>
                <c:pt idx="37">
                  <c:v>63.274137348479378</c:v>
                </c:pt>
                <c:pt idx="38">
                  <c:v>63.326331564390173</c:v>
                </c:pt>
                <c:pt idx="39">
                  <c:v>64.054363385690039</c:v>
                </c:pt>
                <c:pt idx="40">
                  <c:v>62.951766742542169</c:v>
                </c:pt>
                <c:pt idx="41">
                  <c:v>63.664985942130457</c:v>
                </c:pt>
                <c:pt idx="42">
                  <c:v>63.60284968554263</c:v>
                </c:pt>
                <c:pt idx="43">
                  <c:v>64.892120723962705</c:v>
                </c:pt>
                <c:pt idx="44">
                  <c:v>65.476683404032826</c:v>
                </c:pt>
                <c:pt idx="45">
                  <c:v>66.810192271955387</c:v>
                </c:pt>
                <c:pt idx="46">
                  <c:v>68.242157659971895</c:v>
                </c:pt>
                <c:pt idx="47">
                  <c:v>69.79238869199277</c:v>
                </c:pt>
                <c:pt idx="48">
                  <c:v>69.083737118732444</c:v>
                </c:pt>
                <c:pt idx="49">
                  <c:v>68.558140498627637</c:v>
                </c:pt>
                <c:pt idx="50">
                  <c:v>70.743017676138805</c:v>
                </c:pt>
                <c:pt idx="51">
                  <c:v>70.904796610089107</c:v>
                </c:pt>
                <c:pt idx="52">
                  <c:v>70.496476785589351</c:v>
                </c:pt>
                <c:pt idx="53">
                  <c:v>69.374621444497706</c:v>
                </c:pt>
                <c:pt idx="54">
                  <c:v>71.62742525860331</c:v>
                </c:pt>
                <c:pt idx="55">
                  <c:v>69.491310345843701</c:v>
                </c:pt>
                <c:pt idx="56">
                  <c:v>67.55715255531949</c:v>
                </c:pt>
                <c:pt idx="57">
                  <c:v>67.502740211615532</c:v>
                </c:pt>
                <c:pt idx="58">
                  <c:v>65.44240556130579</c:v>
                </c:pt>
                <c:pt idx="59">
                  <c:v>66.273455900231937</c:v>
                </c:pt>
                <c:pt idx="60">
                  <c:v>66.838913750907125</c:v>
                </c:pt>
                <c:pt idx="61">
                  <c:v>66.936633759014185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4EA-417D-9FEF-816D9F694639}"/>
            </c:ext>
          </c:extLst>
        </c:ser>
        <c:ser>
          <c:idx val="8"/>
          <c:order val="7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Carlo'!$E$9:$BN$9</c:f>
              <c:numCache>
                <c:formatCode>General</c:formatCode>
                <c:ptCount val="62"/>
                <c:pt idx="1">
                  <c:v>60.99</c:v>
                </c:pt>
                <c:pt idx="2">
                  <c:v>60.88965937545742</c:v>
                </c:pt>
                <c:pt idx="3">
                  <c:v>59.107039544378168</c:v>
                </c:pt>
                <c:pt idx="4">
                  <c:v>59.492819837038425</c:v>
                </c:pt>
                <c:pt idx="5">
                  <c:v>58.400375683788731</c:v>
                </c:pt>
                <c:pt idx="6">
                  <c:v>58.22769256394669</c:v>
                </c:pt>
                <c:pt idx="7">
                  <c:v>57.72431423557844</c:v>
                </c:pt>
                <c:pt idx="8">
                  <c:v>57.342463501831126</c:v>
                </c:pt>
                <c:pt idx="9">
                  <c:v>56.575034420466004</c:v>
                </c:pt>
                <c:pt idx="10">
                  <c:v>56.978062020987352</c:v>
                </c:pt>
                <c:pt idx="11">
                  <c:v>58.228846571810969</c:v>
                </c:pt>
                <c:pt idx="12">
                  <c:v>56.982151443952972</c:v>
                </c:pt>
                <c:pt idx="13">
                  <c:v>57.16864763282662</c:v>
                </c:pt>
                <c:pt idx="14">
                  <c:v>58.173659340792334</c:v>
                </c:pt>
                <c:pt idx="15">
                  <c:v>59.072969410495105</c:v>
                </c:pt>
                <c:pt idx="16">
                  <c:v>59.827922923971208</c:v>
                </c:pt>
                <c:pt idx="17">
                  <c:v>59.061350759418971</c:v>
                </c:pt>
                <c:pt idx="18">
                  <c:v>59.459592968336374</c:v>
                </c:pt>
                <c:pt idx="19">
                  <c:v>58.774408723680594</c:v>
                </c:pt>
                <c:pt idx="20">
                  <c:v>57.777988631027085</c:v>
                </c:pt>
                <c:pt idx="21">
                  <c:v>58.531813325002169</c:v>
                </c:pt>
                <c:pt idx="22">
                  <c:v>59.78412970877492</c:v>
                </c:pt>
                <c:pt idx="23">
                  <c:v>60.759441325484985</c:v>
                </c:pt>
                <c:pt idx="24">
                  <c:v>59.078393172978409</c:v>
                </c:pt>
                <c:pt idx="25">
                  <c:v>59.467913912707907</c:v>
                </c:pt>
                <c:pt idx="26">
                  <c:v>57.759995432600832</c:v>
                </c:pt>
                <c:pt idx="27">
                  <c:v>58.138791245126441</c:v>
                </c:pt>
                <c:pt idx="28">
                  <c:v>57.233738508121554</c:v>
                </c:pt>
                <c:pt idx="29">
                  <c:v>60.782412257946191</c:v>
                </c:pt>
                <c:pt idx="30">
                  <c:v>61.615128913482359</c:v>
                </c:pt>
                <c:pt idx="31">
                  <c:v>60.308799703987987</c:v>
                </c:pt>
                <c:pt idx="32">
                  <c:v>61.375174470036129</c:v>
                </c:pt>
                <c:pt idx="33">
                  <c:v>62.798551813710326</c:v>
                </c:pt>
                <c:pt idx="34">
                  <c:v>61.398825705847486</c:v>
                </c:pt>
                <c:pt idx="35">
                  <c:v>60.934951412078711</c:v>
                </c:pt>
                <c:pt idx="36">
                  <c:v>59.344356989906871</c:v>
                </c:pt>
                <c:pt idx="37">
                  <c:v>61.173197516764361</c:v>
                </c:pt>
                <c:pt idx="38">
                  <c:v>61.804110397539056</c:v>
                </c:pt>
                <c:pt idx="39">
                  <c:v>61.418850771556876</c:v>
                </c:pt>
                <c:pt idx="40">
                  <c:v>59.262873978428601</c:v>
                </c:pt>
                <c:pt idx="41">
                  <c:v>58.544450810050684</c:v>
                </c:pt>
                <c:pt idx="42">
                  <c:v>57.994471118076611</c:v>
                </c:pt>
                <c:pt idx="43">
                  <c:v>56.508839177734956</c:v>
                </c:pt>
                <c:pt idx="44">
                  <c:v>55.777655304650587</c:v>
                </c:pt>
                <c:pt idx="45">
                  <c:v>57.843852859656195</c:v>
                </c:pt>
                <c:pt idx="46">
                  <c:v>57.14559506741054</c:v>
                </c:pt>
                <c:pt idx="47">
                  <c:v>57.182246332703166</c:v>
                </c:pt>
                <c:pt idx="48">
                  <c:v>57.856119973226349</c:v>
                </c:pt>
                <c:pt idx="49">
                  <c:v>57.83797698966643</c:v>
                </c:pt>
                <c:pt idx="50">
                  <c:v>58.230346693755195</c:v>
                </c:pt>
                <c:pt idx="51">
                  <c:v>57.129252732486208</c:v>
                </c:pt>
                <c:pt idx="52">
                  <c:v>57.228896444032323</c:v>
                </c:pt>
                <c:pt idx="53">
                  <c:v>57.797542424476454</c:v>
                </c:pt>
                <c:pt idx="54">
                  <c:v>57.328491275882726</c:v>
                </c:pt>
                <c:pt idx="55">
                  <c:v>54.826942974033159</c:v>
                </c:pt>
                <c:pt idx="56">
                  <c:v>53.93002751188974</c:v>
                </c:pt>
                <c:pt idx="57">
                  <c:v>54.005326696356477</c:v>
                </c:pt>
                <c:pt idx="58">
                  <c:v>52.820746096271762</c:v>
                </c:pt>
                <c:pt idx="59">
                  <c:v>52.772674742027263</c:v>
                </c:pt>
                <c:pt idx="60">
                  <c:v>52.462899987792277</c:v>
                </c:pt>
                <c:pt idx="61">
                  <c:v>52.985063257930243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4EA-417D-9FEF-816D9F694639}"/>
            </c:ext>
          </c:extLst>
        </c:ser>
        <c:ser>
          <c:idx val="9"/>
          <c:order val="8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Carlo'!$E$10:$BN$10</c:f>
              <c:numCache>
                <c:formatCode>General</c:formatCode>
                <c:ptCount val="62"/>
                <c:pt idx="1">
                  <c:v>60.99</c:v>
                </c:pt>
                <c:pt idx="2">
                  <c:v>60.587662622755602</c:v>
                </c:pt>
                <c:pt idx="3">
                  <c:v>60.596519470539192</c:v>
                </c:pt>
                <c:pt idx="4">
                  <c:v>60.794024961809122</c:v>
                </c:pt>
                <c:pt idx="5">
                  <c:v>61.140647224659297</c:v>
                </c:pt>
                <c:pt idx="6">
                  <c:v>62.393125496294815</c:v>
                </c:pt>
                <c:pt idx="7">
                  <c:v>61.051797097739225</c:v>
                </c:pt>
                <c:pt idx="8">
                  <c:v>61.102662224188293</c:v>
                </c:pt>
                <c:pt idx="9">
                  <c:v>60.997548622922253</c:v>
                </c:pt>
                <c:pt idx="10">
                  <c:v>61.327101189046459</c:v>
                </c:pt>
                <c:pt idx="11">
                  <c:v>60.30785693618278</c:v>
                </c:pt>
                <c:pt idx="12">
                  <c:v>59.739396204487186</c:v>
                </c:pt>
                <c:pt idx="13">
                  <c:v>57.958198937411566</c:v>
                </c:pt>
                <c:pt idx="14">
                  <c:v>58.683966373289053</c:v>
                </c:pt>
                <c:pt idx="15">
                  <c:v>61.058472598664466</c:v>
                </c:pt>
                <c:pt idx="16">
                  <c:v>59.930165127006752</c:v>
                </c:pt>
                <c:pt idx="17">
                  <c:v>60.303244446572769</c:v>
                </c:pt>
                <c:pt idx="18">
                  <c:v>60.516343275766026</c:v>
                </c:pt>
                <c:pt idx="19">
                  <c:v>60.184978787785887</c:v>
                </c:pt>
                <c:pt idx="20">
                  <c:v>60.709408647334399</c:v>
                </c:pt>
                <c:pt idx="21">
                  <c:v>58.488306666309377</c:v>
                </c:pt>
                <c:pt idx="22">
                  <c:v>56.622240879807315</c:v>
                </c:pt>
                <c:pt idx="23">
                  <c:v>55.702943879815393</c:v>
                </c:pt>
                <c:pt idx="24">
                  <c:v>57.400356346192062</c:v>
                </c:pt>
                <c:pt idx="25">
                  <c:v>58.313780562596037</c:v>
                </c:pt>
                <c:pt idx="26">
                  <c:v>58.882577871542239</c:v>
                </c:pt>
                <c:pt idx="27">
                  <c:v>58.684707618069496</c:v>
                </c:pt>
                <c:pt idx="28">
                  <c:v>59.870240194270437</c:v>
                </c:pt>
                <c:pt idx="29">
                  <c:v>59.708751499935666</c:v>
                </c:pt>
                <c:pt idx="30">
                  <c:v>59.409391012917794</c:v>
                </c:pt>
                <c:pt idx="31">
                  <c:v>60.239001501433165</c:v>
                </c:pt>
                <c:pt idx="32">
                  <c:v>61.369116751053468</c:v>
                </c:pt>
                <c:pt idx="33">
                  <c:v>63.186742126981628</c:v>
                </c:pt>
                <c:pt idx="34">
                  <c:v>64.340308373211073</c:v>
                </c:pt>
                <c:pt idx="35">
                  <c:v>64.821028799084317</c:v>
                </c:pt>
                <c:pt idx="36">
                  <c:v>65.068517461295784</c:v>
                </c:pt>
                <c:pt idx="37">
                  <c:v>64.813087631342157</c:v>
                </c:pt>
                <c:pt idx="38">
                  <c:v>66.772566153716298</c:v>
                </c:pt>
                <c:pt idx="39">
                  <c:v>67.792314127827311</c:v>
                </c:pt>
                <c:pt idx="40">
                  <c:v>65.608703553137616</c:v>
                </c:pt>
                <c:pt idx="41">
                  <c:v>66.303448646253884</c:v>
                </c:pt>
                <c:pt idx="42">
                  <c:v>65.791615886896878</c:v>
                </c:pt>
                <c:pt idx="43">
                  <c:v>66.972853315315447</c:v>
                </c:pt>
                <c:pt idx="44">
                  <c:v>68.516891066758916</c:v>
                </c:pt>
                <c:pt idx="45">
                  <c:v>69.239837371801684</c:v>
                </c:pt>
                <c:pt idx="46">
                  <c:v>69.112553491174225</c:v>
                </c:pt>
                <c:pt idx="47">
                  <c:v>69.352131232610375</c:v>
                </c:pt>
                <c:pt idx="48">
                  <c:v>68.66686891752137</c:v>
                </c:pt>
                <c:pt idx="49">
                  <c:v>68.013241841212917</c:v>
                </c:pt>
                <c:pt idx="50">
                  <c:v>70.969436692642233</c:v>
                </c:pt>
                <c:pt idx="51">
                  <c:v>69.848928039795211</c:v>
                </c:pt>
                <c:pt idx="52">
                  <c:v>67.658301082728087</c:v>
                </c:pt>
                <c:pt idx="53">
                  <c:v>70.023874547354382</c:v>
                </c:pt>
                <c:pt idx="54">
                  <c:v>71.244082091504708</c:v>
                </c:pt>
                <c:pt idx="55">
                  <c:v>72.702583988029176</c:v>
                </c:pt>
                <c:pt idx="56">
                  <c:v>72.960224587270716</c:v>
                </c:pt>
                <c:pt idx="57">
                  <c:v>73.718551709102513</c:v>
                </c:pt>
                <c:pt idx="58">
                  <c:v>72.87135033428396</c:v>
                </c:pt>
                <c:pt idx="59">
                  <c:v>71.533077648630197</c:v>
                </c:pt>
                <c:pt idx="60">
                  <c:v>72.3675565920433</c:v>
                </c:pt>
                <c:pt idx="61">
                  <c:v>71.131830145782757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4EA-417D-9FEF-816D9F694639}"/>
            </c:ext>
          </c:extLst>
        </c:ser>
        <c:ser>
          <c:idx val="10"/>
          <c:order val="9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Carlo'!$E$11:$BN$11</c:f>
              <c:numCache>
                <c:formatCode>General</c:formatCode>
                <c:ptCount val="62"/>
                <c:pt idx="1">
                  <c:v>60.99</c:v>
                </c:pt>
                <c:pt idx="2">
                  <c:v>60.112102235151283</c:v>
                </c:pt>
                <c:pt idx="3">
                  <c:v>60.385442427767835</c:v>
                </c:pt>
                <c:pt idx="4">
                  <c:v>58.178216986414036</c:v>
                </c:pt>
                <c:pt idx="5">
                  <c:v>57.5542632991679</c:v>
                </c:pt>
                <c:pt idx="6">
                  <c:v>56.388129925267698</c:v>
                </c:pt>
                <c:pt idx="7">
                  <c:v>58.880930186418674</c:v>
                </c:pt>
                <c:pt idx="8">
                  <c:v>58.959472185485438</c:v>
                </c:pt>
                <c:pt idx="9">
                  <c:v>59.642050643684435</c:v>
                </c:pt>
                <c:pt idx="10">
                  <c:v>59.082538233511464</c:v>
                </c:pt>
                <c:pt idx="11">
                  <c:v>59.830335740776206</c:v>
                </c:pt>
                <c:pt idx="12">
                  <c:v>60.30843069284159</c:v>
                </c:pt>
                <c:pt idx="13">
                  <c:v>60.269519049911281</c:v>
                </c:pt>
                <c:pt idx="14">
                  <c:v>59.269016705438531</c:v>
                </c:pt>
                <c:pt idx="15">
                  <c:v>59.022569748976629</c:v>
                </c:pt>
                <c:pt idx="16">
                  <c:v>56.872302956445786</c:v>
                </c:pt>
                <c:pt idx="17">
                  <c:v>56.871829945591841</c:v>
                </c:pt>
                <c:pt idx="18">
                  <c:v>57.127185235830929</c:v>
                </c:pt>
                <c:pt idx="19">
                  <c:v>57.694154183524375</c:v>
                </c:pt>
                <c:pt idx="20">
                  <c:v>56.634616908871131</c:v>
                </c:pt>
                <c:pt idx="21">
                  <c:v>55.938777734008958</c:v>
                </c:pt>
                <c:pt idx="22">
                  <c:v>55.453572713305441</c:v>
                </c:pt>
                <c:pt idx="23">
                  <c:v>58.183466161508946</c:v>
                </c:pt>
                <c:pt idx="24">
                  <c:v>60.508029741720414</c:v>
                </c:pt>
                <c:pt idx="25">
                  <c:v>60.283553407201133</c:v>
                </c:pt>
                <c:pt idx="26">
                  <c:v>60.896365040328142</c:v>
                </c:pt>
                <c:pt idx="27">
                  <c:v>62.179766727919812</c:v>
                </c:pt>
                <c:pt idx="28">
                  <c:v>62.279607803665975</c:v>
                </c:pt>
                <c:pt idx="29">
                  <c:v>63.756679561764059</c:v>
                </c:pt>
                <c:pt idx="30">
                  <c:v>64.783249956288742</c:v>
                </c:pt>
                <c:pt idx="31">
                  <c:v>65.819712328602947</c:v>
                </c:pt>
                <c:pt idx="32">
                  <c:v>67.52972763657273</c:v>
                </c:pt>
                <c:pt idx="33">
                  <c:v>67.899580515018172</c:v>
                </c:pt>
                <c:pt idx="34">
                  <c:v>68.489300872695324</c:v>
                </c:pt>
                <c:pt idx="35">
                  <c:v>68.354025570290119</c:v>
                </c:pt>
                <c:pt idx="36">
                  <c:v>68.438667981085757</c:v>
                </c:pt>
                <c:pt idx="37">
                  <c:v>66.211621369375877</c:v>
                </c:pt>
                <c:pt idx="38">
                  <c:v>64.458280556685494</c:v>
                </c:pt>
                <c:pt idx="39">
                  <c:v>65.198904369945538</c:v>
                </c:pt>
                <c:pt idx="40">
                  <c:v>65.769043301451546</c:v>
                </c:pt>
                <c:pt idx="41">
                  <c:v>64.90875456427915</c:v>
                </c:pt>
                <c:pt idx="42">
                  <c:v>63.528541759697561</c:v>
                </c:pt>
                <c:pt idx="43">
                  <c:v>63.919302151235456</c:v>
                </c:pt>
                <c:pt idx="44">
                  <c:v>65.90132908441646</c:v>
                </c:pt>
                <c:pt idx="45">
                  <c:v>69.196575456830985</c:v>
                </c:pt>
                <c:pt idx="46">
                  <c:v>67.34336480447962</c:v>
                </c:pt>
                <c:pt idx="47">
                  <c:v>69.92365049235292</c:v>
                </c:pt>
                <c:pt idx="48">
                  <c:v>68.521797464672787</c:v>
                </c:pt>
                <c:pt idx="49">
                  <c:v>66.652396412237962</c:v>
                </c:pt>
                <c:pt idx="50">
                  <c:v>66.548057839896671</c:v>
                </c:pt>
                <c:pt idx="51">
                  <c:v>67.495864317704559</c:v>
                </c:pt>
                <c:pt idx="52">
                  <c:v>67.978849686964239</c:v>
                </c:pt>
                <c:pt idx="53">
                  <c:v>70.250060924230397</c:v>
                </c:pt>
                <c:pt idx="54">
                  <c:v>70.76528815108712</c:v>
                </c:pt>
                <c:pt idx="55">
                  <c:v>70.412894817616319</c:v>
                </c:pt>
                <c:pt idx="56">
                  <c:v>71.112180221310211</c:v>
                </c:pt>
                <c:pt idx="57">
                  <c:v>70.547885394755568</c:v>
                </c:pt>
                <c:pt idx="58">
                  <c:v>69.293075907833853</c:v>
                </c:pt>
                <c:pt idx="59">
                  <c:v>70.908492705587207</c:v>
                </c:pt>
                <c:pt idx="60">
                  <c:v>71.928142024108908</c:v>
                </c:pt>
                <c:pt idx="61">
                  <c:v>73.251751367360654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4EA-417D-9FEF-816D9F694639}"/>
            </c:ext>
          </c:extLst>
        </c:ser>
        <c:ser>
          <c:idx val="11"/>
          <c:order val="10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Carlo'!$E$12:$BN$12</c:f>
              <c:numCache>
                <c:formatCode>General</c:formatCode>
                <c:ptCount val="62"/>
                <c:pt idx="1">
                  <c:v>60.99</c:v>
                </c:pt>
                <c:pt idx="2">
                  <c:v>59.675130695786102</c:v>
                </c:pt>
                <c:pt idx="3">
                  <c:v>61.374288527606907</c:v>
                </c:pt>
                <c:pt idx="4">
                  <c:v>60.512556045323457</c:v>
                </c:pt>
                <c:pt idx="5">
                  <c:v>61.582664958673853</c:v>
                </c:pt>
                <c:pt idx="6">
                  <c:v>61.116933530192085</c:v>
                </c:pt>
                <c:pt idx="7">
                  <c:v>61.763562126521272</c:v>
                </c:pt>
                <c:pt idx="8">
                  <c:v>59.450065596971569</c:v>
                </c:pt>
                <c:pt idx="9">
                  <c:v>59.096054299768838</c:v>
                </c:pt>
                <c:pt idx="10">
                  <c:v>60.752345414574243</c:v>
                </c:pt>
                <c:pt idx="11">
                  <c:v>60.380901887857753</c:v>
                </c:pt>
                <c:pt idx="12">
                  <c:v>60.047836682560444</c:v>
                </c:pt>
                <c:pt idx="13">
                  <c:v>58.291545116791454</c:v>
                </c:pt>
                <c:pt idx="14">
                  <c:v>58.461322424911614</c:v>
                </c:pt>
                <c:pt idx="15">
                  <c:v>59.397340993085933</c:v>
                </c:pt>
                <c:pt idx="16">
                  <c:v>60.487176347938593</c:v>
                </c:pt>
                <c:pt idx="17">
                  <c:v>61.271653425131973</c:v>
                </c:pt>
                <c:pt idx="18">
                  <c:v>62.578405806893748</c:v>
                </c:pt>
                <c:pt idx="19">
                  <c:v>62.474837549532026</c:v>
                </c:pt>
                <c:pt idx="20">
                  <c:v>62.269422366601653</c:v>
                </c:pt>
                <c:pt idx="21">
                  <c:v>62.75273447182628</c:v>
                </c:pt>
                <c:pt idx="22">
                  <c:v>62.264682422136481</c:v>
                </c:pt>
                <c:pt idx="23">
                  <c:v>62.843282536888388</c:v>
                </c:pt>
                <c:pt idx="24">
                  <c:v>61.146952378134969</c:v>
                </c:pt>
                <c:pt idx="25">
                  <c:v>61.354338627211533</c:v>
                </c:pt>
                <c:pt idx="26">
                  <c:v>62.007863376103295</c:v>
                </c:pt>
                <c:pt idx="27">
                  <c:v>60.857710146790453</c:v>
                </c:pt>
                <c:pt idx="28">
                  <c:v>59.925567271192627</c:v>
                </c:pt>
                <c:pt idx="29">
                  <c:v>60.339201827330825</c:v>
                </c:pt>
                <c:pt idx="30">
                  <c:v>59.437455584301254</c:v>
                </c:pt>
                <c:pt idx="31">
                  <c:v>59.754538888756827</c:v>
                </c:pt>
                <c:pt idx="32">
                  <c:v>58.742595574129389</c:v>
                </c:pt>
                <c:pt idx="33">
                  <c:v>59.957377940264912</c:v>
                </c:pt>
                <c:pt idx="34">
                  <c:v>59.93543272883106</c:v>
                </c:pt>
                <c:pt idx="35">
                  <c:v>59.610540918479771</c:v>
                </c:pt>
                <c:pt idx="36">
                  <c:v>60.495963070430726</c:v>
                </c:pt>
                <c:pt idx="37">
                  <c:v>60.953495677481833</c:v>
                </c:pt>
                <c:pt idx="38">
                  <c:v>60.67163768866623</c:v>
                </c:pt>
                <c:pt idx="39">
                  <c:v>58.962256292146449</c:v>
                </c:pt>
                <c:pt idx="40">
                  <c:v>58.527283232549024</c:v>
                </c:pt>
                <c:pt idx="41">
                  <c:v>59.351953564713213</c:v>
                </c:pt>
                <c:pt idx="42">
                  <c:v>60.913295214804045</c:v>
                </c:pt>
                <c:pt idx="43">
                  <c:v>60.582822669368909</c:v>
                </c:pt>
                <c:pt idx="44">
                  <c:v>60.594581363227022</c:v>
                </c:pt>
                <c:pt idx="45">
                  <c:v>59.091484324132523</c:v>
                </c:pt>
                <c:pt idx="46">
                  <c:v>60.264097613213792</c:v>
                </c:pt>
                <c:pt idx="47">
                  <c:v>59.331479256686272</c:v>
                </c:pt>
                <c:pt idx="48">
                  <c:v>59.551948103909126</c:v>
                </c:pt>
                <c:pt idx="49">
                  <c:v>59.380985904800546</c:v>
                </c:pt>
                <c:pt idx="50">
                  <c:v>59.215130213257176</c:v>
                </c:pt>
                <c:pt idx="51">
                  <c:v>58.358855602543173</c:v>
                </c:pt>
                <c:pt idx="52">
                  <c:v>56.684411959831792</c:v>
                </c:pt>
                <c:pt idx="53">
                  <c:v>57.903100478492149</c:v>
                </c:pt>
                <c:pt idx="54">
                  <c:v>56.898834754680593</c:v>
                </c:pt>
                <c:pt idx="55">
                  <c:v>58.58644964552856</c:v>
                </c:pt>
                <c:pt idx="56">
                  <c:v>60.611767803964028</c:v>
                </c:pt>
                <c:pt idx="57">
                  <c:v>59.091775799604349</c:v>
                </c:pt>
                <c:pt idx="58">
                  <c:v>59.571193298826408</c:v>
                </c:pt>
                <c:pt idx="59">
                  <c:v>61.447774161546818</c:v>
                </c:pt>
                <c:pt idx="60">
                  <c:v>60.910673651787704</c:v>
                </c:pt>
                <c:pt idx="61">
                  <c:v>61.832672086824267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4EA-417D-9FEF-816D9F694639}"/>
            </c:ext>
          </c:extLst>
        </c:ser>
        <c:ser>
          <c:idx val="12"/>
          <c:order val="11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Carlo'!$E$13:$BN$13</c:f>
              <c:numCache>
                <c:formatCode>General</c:formatCode>
                <c:ptCount val="62"/>
                <c:pt idx="1">
                  <c:v>60.99</c:v>
                </c:pt>
                <c:pt idx="2">
                  <c:v>60.607284260916799</c:v>
                </c:pt>
                <c:pt idx="3">
                  <c:v>60.335454494660461</c:v>
                </c:pt>
                <c:pt idx="4">
                  <c:v>61.263575362581804</c:v>
                </c:pt>
                <c:pt idx="5">
                  <c:v>61.667473395754328</c:v>
                </c:pt>
                <c:pt idx="6">
                  <c:v>61.127799347815916</c:v>
                </c:pt>
                <c:pt idx="7">
                  <c:v>61.62097259202644</c:v>
                </c:pt>
                <c:pt idx="8">
                  <c:v>60.869941469761223</c:v>
                </c:pt>
                <c:pt idx="9">
                  <c:v>59.650314933766687</c:v>
                </c:pt>
                <c:pt idx="10">
                  <c:v>59.97781337473927</c:v>
                </c:pt>
                <c:pt idx="11">
                  <c:v>59.457952851306949</c:v>
                </c:pt>
                <c:pt idx="12">
                  <c:v>60.65111822972294</c:v>
                </c:pt>
                <c:pt idx="13">
                  <c:v>59.825477961138766</c:v>
                </c:pt>
                <c:pt idx="14">
                  <c:v>60.491620920520177</c:v>
                </c:pt>
                <c:pt idx="15">
                  <c:v>60.2841104060726</c:v>
                </c:pt>
                <c:pt idx="16">
                  <c:v>60.558935527578939</c:v>
                </c:pt>
                <c:pt idx="17">
                  <c:v>59.764200820643723</c:v>
                </c:pt>
                <c:pt idx="18">
                  <c:v>59.722286447360162</c:v>
                </c:pt>
                <c:pt idx="19">
                  <c:v>60.885587320245079</c:v>
                </c:pt>
                <c:pt idx="20">
                  <c:v>60.256693330322278</c:v>
                </c:pt>
                <c:pt idx="21">
                  <c:v>59.149422196571415</c:v>
                </c:pt>
                <c:pt idx="22">
                  <c:v>59.557205426687922</c:v>
                </c:pt>
                <c:pt idx="23">
                  <c:v>60.649271774969392</c:v>
                </c:pt>
                <c:pt idx="24">
                  <c:v>60.084822106553851</c:v>
                </c:pt>
                <c:pt idx="25">
                  <c:v>61.464974160494833</c:v>
                </c:pt>
                <c:pt idx="26">
                  <c:v>60.925975454890398</c:v>
                </c:pt>
                <c:pt idx="27">
                  <c:v>60.819531173525107</c:v>
                </c:pt>
                <c:pt idx="28">
                  <c:v>63.556235575209477</c:v>
                </c:pt>
                <c:pt idx="29">
                  <c:v>64.784871091272194</c:v>
                </c:pt>
                <c:pt idx="30">
                  <c:v>63.870161723275658</c:v>
                </c:pt>
                <c:pt idx="31">
                  <c:v>64.750200462146992</c:v>
                </c:pt>
                <c:pt idx="32">
                  <c:v>64.921824760341281</c:v>
                </c:pt>
                <c:pt idx="33">
                  <c:v>62.722799288827105</c:v>
                </c:pt>
                <c:pt idx="34">
                  <c:v>64.240374013359514</c:v>
                </c:pt>
                <c:pt idx="35">
                  <c:v>65.381693574197996</c:v>
                </c:pt>
                <c:pt idx="36">
                  <c:v>66.866813217991805</c:v>
                </c:pt>
                <c:pt idx="37">
                  <c:v>66.596077586490722</c:v>
                </c:pt>
                <c:pt idx="38">
                  <c:v>67.941942644146962</c:v>
                </c:pt>
                <c:pt idx="39">
                  <c:v>70.173696628873614</c:v>
                </c:pt>
                <c:pt idx="40">
                  <c:v>70.647996067747044</c:v>
                </c:pt>
                <c:pt idx="41">
                  <c:v>68.969144690452254</c:v>
                </c:pt>
                <c:pt idx="42">
                  <c:v>69.596995418569165</c:v>
                </c:pt>
                <c:pt idx="43">
                  <c:v>70.758045036133026</c:v>
                </c:pt>
                <c:pt idx="44">
                  <c:v>70.603144832742927</c:v>
                </c:pt>
                <c:pt idx="45">
                  <c:v>71.198128175237642</c:v>
                </c:pt>
                <c:pt idx="46">
                  <c:v>71.510235365421849</c:v>
                </c:pt>
                <c:pt idx="47">
                  <c:v>74.173262764786983</c:v>
                </c:pt>
                <c:pt idx="48">
                  <c:v>74.335655162818227</c:v>
                </c:pt>
                <c:pt idx="49">
                  <c:v>71.034948729205865</c:v>
                </c:pt>
                <c:pt idx="50">
                  <c:v>72.113085701420076</c:v>
                </c:pt>
                <c:pt idx="51">
                  <c:v>73.767637169868294</c:v>
                </c:pt>
                <c:pt idx="52">
                  <c:v>75.397281493855658</c:v>
                </c:pt>
                <c:pt idx="53">
                  <c:v>76.331038838860806</c:v>
                </c:pt>
                <c:pt idx="54">
                  <c:v>77.082262828750586</c:v>
                </c:pt>
                <c:pt idx="55">
                  <c:v>74.385383982487198</c:v>
                </c:pt>
                <c:pt idx="56">
                  <c:v>72.562585272288473</c:v>
                </c:pt>
                <c:pt idx="57">
                  <c:v>72.454611238419744</c:v>
                </c:pt>
                <c:pt idx="58">
                  <c:v>71.664426631684847</c:v>
                </c:pt>
                <c:pt idx="59">
                  <c:v>70.978314823043647</c:v>
                </c:pt>
                <c:pt idx="60">
                  <c:v>73.520116448626993</c:v>
                </c:pt>
                <c:pt idx="61">
                  <c:v>71.86147337953706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4EA-417D-9FEF-816D9F694639}"/>
            </c:ext>
          </c:extLst>
        </c:ser>
        <c:ser>
          <c:idx val="13"/>
          <c:order val="12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Carlo'!$E$14:$BN$14</c:f>
              <c:numCache>
                <c:formatCode>General</c:formatCode>
                <c:ptCount val="62"/>
                <c:pt idx="1">
                  <c:v>60.99</c:v>
                </c:pt>
                <c:pt idx="2">
                  <c:v>60.843264576159427</c:v>
                </c:pt>
                <c:pt idx="3">
                  <c:v>61.920868589982618</c:v>
                </c:pt>
                <c:pt idx="4">
                  <c:v>60.443604080187995</c:v>
                </c:pt>
                <c:pt idx="5">
                  <c:v>62.284554462088074</c:v>
                </c:pt>
                <c:pt idx="6">
                  <c:v>61.328668590539507</c:v>
                </c:pt>
                <c:pt idx="7">
                  <c:v>60.947210189595793</c:v>
                </c:pt>
                <c:pt idx="8">
                  <c:v>61.429812011807975</c:v>
                </c:pt>
                <c:pt idx="9">
                  <c:v>59.752391025987031</c:v>
                </c:pt>
                <c:pt idx="10">
                  <c:v>60.487002194938881</c:v>
                </c:pt>
                <c:pt idx="11">
                  <c:v>61.28685191734828</c:v>
                </c:pt>
                <c:pt idx="12">
                  <c:v>59.516196501714639</c:v>
                </c:pt>
                <c:pt idx="13">
                  <c:v>59.802940385011524</c:v>
                </c:pt>
                <c:pt idx="14">
                  <c:v>61.057321464828497</c:v>
                </c:pt>
                <c:pt idx="15">
                  <c:v>59.666058163572842</c:v>
                </c:pt>
                <c:pt idx="16">
                  <c:v>60.144844213753224</c:v>
                </c:pt>
                <c:pt idx="17">
                  <c:v>60.150720411152811</c:v>
                </c:pt>
                <c:pt idx="18">
                  <c:v>59.928160555964602</c:v>
                </c:pt>
                <c:pt idx="19">
                  <c:v>59.871273394497621</c:v>
                </c:pt>
                <c:pt idx="20">
                  <c:v>60.881997021655934</c:v>
                </c:pt>
                <c:pt idx="21">
                  <c:v>59.386377104918942</c:v>
                </c:pt>
                <c:pt idx="22">
                  <c:v>61.822897865033354</c:v>
                </c:pt>
                <c:pt idx="23">
                  <c:v>61.299868649846978</c:v>
                </c:pt>
                <c:pt idx="24">
                  <c:v>59.374252455123745</c:v>
                </c:pt>
                <c:pt idx="25">
                  <c:v>58.61804705309504</c:v>
                </c:pt>
                <c:pt idx="26">
                  <c:v>59.3730949865895</c:v>
                </c:pt>
                <c:pt idx="27">
                  <c:v>58.638229190663388</c:v>
                </c:pt>
                <c:pt idx="28">
                  <c:v>59.884111275561814</c:v>
                </c:pt>
                <c:pt idx="29">
                  <c:v>61.030737243494464</c:v>
                </c:pt>
                <c:pt idx="30">
                  <c:v>61.38978120049044</c:v>
                </c:pt>
                <c:pt idx="31">
                  <c:v>58.890568831738165</c:v>
                </c:pt>
                <c:pt idx="32">
                  <c:v>58.122009650906918</c:v>
                </c:pt>
                <c:pt idx="33">
                  <c:v>57.457217574652432</c:v>
                </c:pt>
                <c:pt idx="34">
                  <c:v>58.39600693643979</c:v>
                </c:pt>
                <c:pt idx="35">
                  <c:v>58.34582425933084</c:v>
                </c:pt>
                <c:pt idx="36">
                  <c:v>58.238826226905182</c:v>
                </c:pt>
                <c:pt idx="37">
                  <c:v>58.71240613831565</c:v>
                </c:pt>
                <c:pt idx="38">
                  <c:v>59.007131491774793</c:v>
                </c:pt>
                <c:pt idx="39">
                  <c:v>60.208027991591656</c:v>
                </c:pt>
                <c:pt idx="40">
                  <c:v>60.136717381825875</c:v>
                </c:pt>
                <c:pt idx="41">
                  <c:v>61.23236060307439</c:v>
                </c:pt>
                <c:pt idx="42">
                  <c:v>61.274744390417865</c:v>
                </c:pt>
                <c:pt idx="43">
                  <c:v>60.531155823813457</c:v>
                </c:pt>
                <c:pt idx="44">
                  <c:v>60.711972304145689</c:v>
                </c:pt>
                <c:pt idx="45">
                  <c:v>60.922744143492416</c:v>
                </c:pt>
                <c:pt idx="46">
                  <c:v>59.753047551787105</c:v>
                </c:pt>
                <c:pt idx="47">
                  <c:v>59.223649043977311</c:v>
                </c:pt>
                <c:pt idx="48">
                  <c:v>57.888533578105466</c:v>
                </c:pt>
                <c:pt idx="49">
                  <c:v>56.890622904835546</c:v>
                </c:pt>
                <c:pt idx="50">
                  <c:v>57.747429223436399</c:v>
                </c:pt>
                <c:pt idx="51">
                  <c:v>57.672579361138055</c:v>
                </c:pt>
                <c:pt idx="52">
                  <c:v>56.373450664310944</c:v>
                </c:pt>
                <c:pt idx="53">
                  <c:v>58.252884357310009</c:v>
                </c:pt>
                <c:pt idx="54">
                  <c:v>58.379259030631594</c:v>
                </c:pt>
                <c:pt idx="55">
                  <c:v>58.209163024335332</c:v>
                </c:pt>
                <c:pt idx="56">
                  <c:v>57.40439178293105</c:v>
                </c:pt>
                <c:pt idx="57">
                  <c:v>57.920456635819356</c:v>
                </c:pt>
                <c:pt idx="58">
                  <c:v>59.564970642984967</c:v>
                </c:pt>
                <c:pt idx="59">
                  <c:v>60.545638775788795</c:v>
                </c:pt>
                <c:pt idx="60">
                  <c:v>60.023923263851316</c:v>
                </c:pt>
                <c:pt idx="61">
                  <c:v>61.204819517096929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4EA-417D-9FEF-816D9F694639}"/>
            </c:ext>
          </c:extLst>
        </c:ser>
        <c:ser>
          <c:idx val="14"/>
          <c:order val="13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Carlo'!$E$15:$BN$15</c:f>
              <c:numCache>
                <c:formatCode>General</c:formatCode>
                <c:ptCount val="62"/>
                <c:pt idx="1">
                  <c:v>60.99</c:v>
                </c:pt>
                <c:pt idx="2">
                  <c:v>62.84133289313052</c:v>
                </c:pt>
                <c:pt idx="3">
                  <c:v>63.621703805523481</c:v>
                </c:pt>
                <c:pt idx="4">
                  <c:v>63.513184823144343</c:v>
                </c:pt>
                <c:pt idx="5">
                  <c:v>64.162714121407333</c:v>
                </c:pt>
                <c:pt idx="6">
                  <c:v>63.320067391044589</c:v>
                </c:pt>
                <c:pt idx="7">
                  <c:v>64.216937001054532</c:v>
                </c:pt>
                <c:pt idx="8">
                  <c:v>64.659285337036238</c:v>
                </c:pt>
                <c:pt idx="9">
                  <c:v>65.801018842501463</c:v>
                </c:pt>
                <c:pt idx="10">
                  <c:v>64.483701940879627</c:v>
                </c:pt>
                <c:pt idx="11">
                  <c:v>65.134590666450734</c:v>
                </c:pt>
                <c:pt idx="12">
                  <c:v>64.500999693407167</c:v>
                </c:pt>
                <c:pt idx="13">
                  <c:v>63.648720978059622</c:v>
                </c:pt>
                <c:pt idx="14">
                  <c:v>63.511202567673209</c:v>
                </c:pt>
                <c:pt idx="15">
                  <c:v>65.668420153168043</c:v>
                </c:pt>
                <c:pt idx="16">
                  <c:v>64.437695120227829</c:v>
                </c:pt>
                <c:pt idx="17">
                  <c:v>65.609024832978832</c:v>
                </c:pt>
                <c:pt idx="18">
                  <c:v>65.288016080631408</c:v>
                </c:pt>
                <c:pt idx="19">
                  <c:v>65.026235409191969</c:v>
                </c:pt>
                <c:pt idx="20">
                  <c:v>64.25343792391142</c:v>
                </c:pt>
                <c:pt idx="21">
                  <c:v>64.023282023492058</c:v>
                </c:pt>
                <c:pt idx="22">
                  <c:v>64.98427018968944</c:v>
                </c:pt>
                <c:pt idx="23">
                  <c:v>64.337473029985276</c:v>
                </c:pt>
                <c:pt idx="24">
                  <c:v>63.683704962162039</c:v>
                </c:pt>
                <c:pt idx="25">
                  <c:v>62.397484018233669</c:v>
                </c:pt>
                <c:pt idx="26">
                  <c:v>62.961659781097396</c:v>
                </c:pt>
                <c:pt idx="27">
                  <c:v>61.929475943246793</c:v>
                </c:pt>
                <c:pt idx="28">
                  <c:v>64.004225274049517</c:v>
                </c:pt>
                <c:pt idx="29">
                  <c:v>63.984093127208808</c:v>
                </c:pt>
                <c:pt idx="30">
                  <c:v>63.153917842101954</c:v>
                </c:pt>
                <c:pt idx="31">
                  <c:v>62.906245469393944</c:v>
                </c:pt>
                <c:pt idx="32">
                  <c:v>64.323915523846054</c:v>
                </c:pt>
                <c:pt idx="33">
                  <c:v>63.280121604837831</c:v>
                </c:pt>
                <c:pt idx="34">
                  <c:v>63.050965757161244</c:v>
                </c:pt>
                <c:pt idx="35">
                  <c:v>61.622701986020516</c:v>
                </c:pt>
                <c:pt idx="36">
                  <c:v>61.705457397732722</c:v>
                </c:pt>
                <c:pt idx="37">
                  <c:v>64.537854084436418</c:v>
                </c:pt>
                <c:pt idx="38">
                  <c:v>64.151912033454892</c:v>
                </c:pt>
                <c:pt idx="39">
                  <c:v>66.652812150562823</c:v>
                </c:pt>
                <c:pt idx="40">
                  <c:v>65.188533688527727</c:v>
                </c:pt>
                <c:pt idx="41">
                  <c:v>65.09786746939902</c:v>
                </c:pt>
                <c:pt idx="42">
                  <c:v>64.832438137481901</c:v>
                </c:pt>
                <c:pt idx="43">
                  <c:v>64.715620888686928</c:v>
                </c:pt>
                <c:pt idx="44">
                  <c:v>67.234453357714997</c:v>
                </c:pt>
                <c:pt idx="45">
                  <c:v>67.687989601054539</c:v>
                </c:pt>
                <c:pt idx="46">
                  <c:v>66.89705755625215</c:v>
                </c:pt>
                <c:pt idx="47">
                  <c:v>66.47581275784016</c:v>
                </c:pt>
                <c:pt idx="48">
                  <c:v>68.19760239847308</c:v>
                </c:pt>
                <c:pt idx="49">
                  <c:v>68.118324175299108</c:v>
                </c:pt>
                <c:pt idx="50">
                  <c:v>68.969384696831767</c:v>
                </c:pt>
                <c:pt idx="51">
                  <c:v>69.9780976503326</c:v>
                </c:pt>
                <c:pt idx="52">
                  <c:v>70.448868668310027</c:v>
                </c:pt>
                <c:pt idx="53">
                  <c:v>69.123433906229778</c:v>
                </c:pt>
                <c:pt idx="54">
                  <c:v>68.851084358055218</c:v>
                </c:pt>
                <c:pt idx="55">
                  <c:v>70.254505422256884</c:v>
                </c:pt>
                <c:pt idx="56">
                  <c:v>71.678317423504836</c:v>
                </c:pt>
                <c:pt idx="57">
                  <c:v>71.231816676304817</c:v>
                </c:pt>
                <c:pt idx="58">
                  <c:v>69.174388822381971</c:v>
                </c:pt>
                <c:pt idx="59">
                  <c:v>69.073971253689891</c:v>
                </c:pt>
                <c:pt idx="60">
                  <c:v>67.714825285589654</c:v>
                </c:pt>
                <c:pt idx="61">
                  <c:v>68.182059957563737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4EA-417D-9FEF-816D9F694639}"/>
            </c:ext>
          </c:extLst>
        </c:ser>
        <c:ser>
          <c:idx val="15"/>
          <c:order val="14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Carlo'!$E$16:$BN$16</c:f>
              <c:numCache>
                <c:formatCode>General</c:formatCode>
                <c:ptCount val="62"/>
                <c:pt idx="1">
                  <c:v>60.99</c:v>
                </c:pt>
                <c:pt idx="2">
                  <c:v>60.682880885821554</c:v>
                </c:pt>
                <c:pt idx="3">
                  <c:v>63.012344011974044</c:v>
                </c:pt>
                <c:pt idx="4">
                  <c:v>62.439255396202874</c:v>
                </c:pt>
                <c:pt idx="5">
                  <c:v>61.376876877973906</c:v>
                </c:pt>
                <c:pt idx="6">
                  <c:v>61.112779006403755</c:v>
                </c:pt>
                <c:pt idx="7">
                  <c:v>59.710562291835224</c:v>
                </c:pt>
                <c:pt idx="8">
                  <c:v>59.986359790592424</c:v>
                </c:pt>
                <c:pt idx="9">
                  <c:v>60.7658223448028</c:v>
                </c:pt>
                <c:pt idx="10">
                  <c:v>61.894862326236016</c:v>
                </c:pt>
                <c:pt idx="11">
                  <c:v>60.326631910649041</c:v>
                </c:pt>
                <c:pt idx="12">
                  <c:v>58.373041962912936</c:v>
                </c:pt>
                <c:pt idx="13">
                  <c:v>57.704687307431378</c:v>
                </c:pt>
                <c:pt idx="14">
                  <c:v>59.083459856800438</c:v>
                </c:pt>
                <c:pt idx="15">
                  <c:v>58.982364897905221</c:v>
                </c:pt>
                <c:pt idx="16">
                  <c:v>59.532822234693484</c:v>
                </c:pt>
                <c:pt idx="17">
                  <c:v>61.093326159463061</c:v>
                </c:pt>
                <c:pt idx="18">
                  <c:v>61.386180143829449</c:v>
                </c:pt>
                <c:pt idx="19">
                  <c:v>62.374344831461954</c:v>
                </c:pt>
                <c:pt idx="20">
                  <c:v>62.487796581344448</c:v>
                </c:pt>
                <c:pt idx="21">
                  <c:v>62.300106121079779</c:v>
                </c:pt>
                <c:pt idx="22">
                  <c:v>63.257747089633888</c:v>
                </c:pt>
                <c:pt idx="23">
                  <c:v>62.187009215925912</c:v>
                </c:pt>
                <c:pt idx="24">
                  <c:v>62.990302040166362</c:v>
                </c:pt>
                <c:pt idx="25">
                  <c:v>63.709822835671083</c:v>
                </c:pt>
                <c:pt idx="26">
                  <c:v>63.860648846787036</c:v>
                </c:pt>
                <c:pt idx="27">
                  <c:v>63.771233024533778</c:v>
                </c:pt>
                <c:pt idx="28">
                  <c:v>63.825020277738396</c:v>
                </c:pt>
                <c:pt idx="29">
                  <c:v>66.004446889223104</c:v>
                </c:pt>
                <c:pt idx="30">
                  <c:v>65.545543301966035</c:v>
                </c:pt>
                <c:pt idx="31">
                  <c:v>66.565247457967843</c:v>
                </c:pt>
                <c:pt idx="32">
                  <c:v>66.341826832566753</c:v>
                </c:pt>
                <c:pt idx="33">
                  <c:v>65.995507458308836</c:v>
                </c:pt>
                <c:pt idx="34">
                  <c:v>66.184281932212315</c:v>
                </c:pt>
                <c:pt idx="35">
                  <c:v>67.465589098343699</c:v>
                </c:pt>
                <c:pt idx="36">
                  <c:v>68.109516594227657</c:v>
                </c:pt>
                <c:pt idx="37">
                  <c:v>68.952430488442559</c:v>
                </c:pt>
                <c:pt idx="38">
                  <c:v>67.796988232725923</c:v>
                </c:pt>
                <c:pt idx="39">
                  <c:v>67.301588174191707</c:v>
                </c:pt>
                <c:pt idx="40">
                  <c:v>67.217739160644996</c:v>
                </c:pt>
                <c:pt idx="41">
                  <c:v>70.945960666737165</c:v>
                </c:pt>
                <c:pt idx="42">
                  <c:v>69.227673327926084</c:v>
                </c:pt>
                <c:pt idx="43">
                  <c:v>67.918950847035816</c:v>
                </c:pt>
                <c:pt idx="44">
                  <c:v>66.932479853894577</c:v>
                </c:pt>
                <c:pt idx="45">
                  <c:v>66.713545380380424</c:v>
                </c:pt>
                <c:pt idx="46">
                  <c:v>67.43935156251969</c:v>
                </c:pt>
                <c:pt idx="47">
                  <c:v>65.512266353433006</c:v>
                </c:pt>
                <c:pt idx="48">
                  <c:v>65.160377501240717</c:v>
                </c:pt>
                <c:pt idx="49">
                  <c:v>66.041192036803238</c:v>
                </c:pt>
                <c:pt idx="50">
                  <c:v>65.964838001628777</c:v>
                </c:pt>
                <c:pt idx="51">
                  <c:v>66.001862729629167</c:v>
                </c:pt>
                <c:pt idx="52">
                  <c:v>65.577470269839338</c:v>
                </c:pt>
                <c:pt idx="53">
                  <c:v>64.365982794036384</c:v>
                </c:pt>
                <c:pt idx="54">
                  <c:v>64.60081369009842</c:v>
                </c:pt>
                <c:pt idx="55">
                  <c:v>64.265343707263725</c:v>
                </c:pt>
                <c:pt idx="56">
                  <c:v>64.900211916806981</c:v>
                </c:pt>
                <c:pt idx="57">
                  <c:v>65.104874025865982</c:v>
                </c:pt>
                <c:pt idx="58">
                  <c:v>64.366089338575364</c:v>
                </c:pt>
                <c:pt idx="59">
                  <c:v>63.307994856533377</c:v>
                </c:pt>
                <c:pt idx="60">
                  <c:v>64.723946626344528</c:v>
                </c:pt>
                <c:pt idx="61">
                  <c:v>65.026004223201056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4EA-417D-9FEF-816D9F694639}"/>
            </c:ext>
          </c:extLst>
        </c:ser>
        <c:ser>
          <c:idx val="16"/>
          <c:order val="15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Carlo'!$E$17:$BN$17</c:f>
              <c:numCache>
                <c:formatCode>General</c:formatCode>
                <c:ptCount val="62"/>
                <c:pt idx="1">
                  <c:v>60.99</c:v>
                </c:pt>
                <c:pt idx="2">
                  <c:v>61.887502920181284</c:v>
                </c:pt>
                <c:pt idx="3">
                  <c:v>61.669600245526816</c:v>
                </c:pt>
                <c:pt idx="4">
                  <c:v>64.141645770196817</c:v>
                </c:pt>
                <c:pt idx="5">
                  <c:v>64.578160777842626</c:v>
                </c:pt>
                <c:pt idx="6">
                  <c:v>64.29340595839453</c:v>
                </c:pt>
                <c:pt idx="7">
                  <c:v>64.665759417139682</c:v>
                </c:pt>
                <c:pt idx="8">
                  <c:v>64.941288576187205</c:v>
                </c:pt>
                <c:pt idx="9">
                  <c:v>66.179908730165636</c:v>
                </c:pt>
                <c:pt idx="10">
                  <c:v>66.808769751646082</c:v>
                </c:pt>
                <c:pt idx="11">
                  <c:v>67.16067581617969</c:v>
                </c:pt>
                <c:pt idx="12">
                  <c:v>66.210239919106911</c:v>
                </c:pt>
                <c:pt idx="13">
                  <c:v>66.454766674358837</c:v>
                </c:pt>
                <c:pt idx="14">
                  <c:v>67.318679408819307</c:v>
                </c:pt>
                <c:pt idx="15">
                  <c:v>66.675282048803325</c:v>
                </c:pt>
                <c:pt idx="16">
                  <c:v>69.018537693186346</c:v>
                </c:pt>
                <c:pt idx="17">
                  <c:v>70.34034256520664</c:v>
                </c:pt>
                <c:pt idx="18">
                  <c:v>70.543744320113177</c:v>
                </c:pt>
                <c:pt idx="19">
                  <c:v>71.41395906305921</c:v>
                </c:pt>
                <c:pt idx="20">
                  <c:v>71.051502067929803</c:v>
                </c:pt>
                <c:pt idx="21">
                  <c:v>70.64737717331414</c:v>
                </c:pt>
                <c:pt idx="22">
                  <c:v>70.834214017651561</c:v>
                </c:pt>
                <c:pt idx="23">
                  <c:v>69.296557731834298</c:v>
                </c:pt>
                <c:pt idx="24">
                  <c:v>69.39779452526308</c:v>
                </c:pt>
                <c:pt idx="25">
                  <c:v>70.251348071013908</c:v>
                </c:pt>
                <c:pt idx="26">
                  <c:v>70.279437704297294</c:v>
                </c:pt>
                <c:pt idx="27">
                  <c:v>69.268715436527998</c:v>
                </c:pt>
                <c:pt idx="28">
                  <c:v>69.90215447354835</c:v>
                </c:pt>
                <c:pt idx="29">
                  <c:v>70.660079314948135</c:v>
                </c:pt>
                <c:pt idx="30">
                  <c:v>70.969969296874055</c:v>
                </c:pt>
                <c:pt idx="31">
                  <c:v>71.184368306438159</c:v>
                </c:pt>
                <c:pt idx="32">
                  <c:v>70.956895799795547</c:v>
                </c:pt>
                <c:pt idx="33">
                  <c:v>69.966604339399808</c:v>
                </c:pt>
                <c:pt idx="34">
                  <c:v>68.313262916469725</c:v>
                </c:pt>
                <c:pt idx="35">
                  <c:v>67.210851647208187</c:v>
                </c:pt>
                <c:pt idx="36">
                  <c:v>67.187059943873024</c:v>
                </c:pt>
                <c:pt idx="37">
                  <c:v>68.608206717271159</c:v>
                </c:pt>
                <c:pt idx="38">
                  <c:v>68.531167352369152</c:v>
                </c:pt>
                <c:pt idx="39">
                  <c:v>66.596703257282371</c:v>
                </c:pt>
                <c:pt idx="40">
                  <c:v>66.803096532029031</c:v>
                </c:pt>
                <c:pt idx="41">
                  <c:v>66.177221945615543</c:v>
                </c:pt>
                <c:pt idx="42">
                  <c:v>66.248542624071277</c:v>
                </c:pt>
                <c:pt idx="43">
                  <c:v>66.57192755034481</c:v>
                </c:pt>
                <c:pt idx="44">
                  <c:v>67.360949096021741</c:v>
                </c:pt>
                <c:pt idx="45">
                  <c:v>68.338471350741486</c:v>
                </c:pt>
                <c:pt idx="46">
                  <c:v>67.469462306484303</c:v>
                </c:pt>
                <c:pt idx="47">
                  <c:v>66.616941300795418</c:v>
                </c:pt>
                <c:pt idx="48">
                  <c:v>65.70355470460116</c:v>
                </c:pt>
                <c:pt idx="49">
                  <c:v>63.395653830331192</c:v>
                </c:pt>
                <c:pt idx="50">
                  <c:v>63.610094265608772</c:v>
                </c:pt>
                <c:pt idx="51">
                  <c:v>64.206284189216419</c:v>
                </c:pt>
                <c:pt idx="52">
                  <c:v>63.792116163720237</c:v>
                </c:pt>
                <c:pt idx="53">
                  <c:v>62.895071642816951</c:v>
                </c:pt>
                <c:pt idx="54">
                  <c:v>62.956185931543367</c:v>
                </c:pt>
                <c:pt idx="55">
                  <c:v>63.919776452515691</c:v>
                </c:pt>
                <c:pt idx="56">
                  <c:v>65.975396449437469</c:v>
                </c:pt>
                <c:pt idx="57">
                  <c:v>67.980062631362898</c:v>
                </c:pt>
                <c:pt idx="58">
                  <c:v>69.433374266202378</c:v>
                </c:pt>
                <c:pt idx="59">
                  <c:v>73.519502743946632</c:v>
                </c:pt>
                <c:pt idx="60">
                  <c:v>72.915211229659064</c:v>
                </c:pt>
                <c:pt idx="61">
                  <c:v>73.206109937210911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4EA-417D-9FEF-816D9F694639}"/>
            </c:ext>
          </c:extLst>
        </c:ser>
        <c:ser>
          <c:idx val="17"/>
          <c:order val="16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Carlo'!$E$18:$BN$18</c:f>
              <c:numCache>
                <c:formatCode>General</c:formatCode>
                <c:ptCount val="62"/>
                <c:pt idx="1">
                  <c:v>60.99</c:v>
                </c:pt>
                <c:pt idx="2">
                  <c:v>61.853608496404654</c:v>
                </c:pt>
                <c:pt idx="3">
                  <c:v>62.415197694578275</c:v>
                </c:pt>
                <c:pt idx="4">
                  <c:v>62.219380008756417</c:v>
                </c:pt>
                <c:pt idx="5">
                  <c:v>63.850056473865735</c:v>
                </c:pt>
                <c:pt idx="6">
                  <c:v>64.141818933418364</c:v>
                </c:pt>
                <c:pt idx="7">
                  <c:v>65.445634904856988</c:v>
                </c:pt>
                <c:pt idx="8">
                  <c:v>63.160961523514558</c:v>
                </c:pt>
                <c:pt idx="9">
                  <c:v>62.219608193697738</c:v>
                </c:pt>
                <c:pt idx="10">
                  <c:v>62.175951500611852</c:v>
                </c:pt>
                <c:pt idx="11">
                  <c:v>64.751092941126075</c:v>
                </c:pt>
                <c:pt idx="12">
                  <c:v>65.163920992747492</c:v>
                </c:pt>
                <c:pt idx="13">
                  <c:v>63.414397079359411</c:v>
                </c:pt>
                <c:pt idx="14">
                  <c:v>65.146614219053987</c:v>
                </c:pt>
                <c:pt idx="15">
                  <c:v>64.295915891249834</c:v>
                </c:pt>
                <c:pt idx="16">
                  <c:v>65.943920224557942</c:v>
                </c:pt>
                <c:pt idx="17">
                  <c:v>64.762449977631093</c:v>
                </c:pt>
                <c:pt idx="18">
                  <c:v>66.792060628691388</c:v>
                </c:pt>
                <c:pt idx="19">
                  <c:v>65.531318112107769</c:v>
                </c:pt>
                <c:pt idx="20">
                  <c:v>65.628151344566973</c:v>
                </c:pt>
                <c:pt idx="21">
                  <c:v>66.295593693027698</c:v>
                </c:pt>
                <c:pt idx="22">
                  <c:v>64.882935644183419</c:v>
                </c:pt>
                <c:pt idx="23">
                  <c:v>66.847755899560156</c:v>
                </c:pt>
                <c:pt idx="24">
                  <c:v>66.539893538203984</c:v>
                </c:pt>
                <c:pt idx="25">
                  <c:v>66.189535899032748</c:v>
                </c:pt>
                <c:pt idx="26">
                  <c:v>65.710660122833133</c:v>
                </c:pt>
                <c:pt idx="27">
                  <c:v>64.83336346973752</c:v>
                </c:pt>
                <c:pt idx="28">
                  <c:v>64.020204187148906</c:v>
                </c:pt>
                <c:pt idx="29">
                  <c:v>64.970599596254445</c:v>
                </c:pt>
                <c:pt idx="30">
                  <c:v>65.827007168161757</c:v>
                </c:pt>
                <c:pt idx="31">
                  <c:v>66.838749270050457</c:v>
                </c:pt>
                <c:pt idx="32">
                  <c:v>67.334061268809023</c:v>
                </c:pt>
                <c:pt idx="33">
                  <c:v>68.227796172835113</c:v>
                </c:pt>
                <c:pt idx="34">
                  <c:v>68.299341682155841</c:v>
                </c:pt>
                <c:pt idx="35">
                  <c:v>69.776648106772853</c:v>
                </c:pt>
                <c:pt idx="36">
                  <c:v>68.314046126739967</c:v>
                </c:pt>
                <c:pt idx="37">
                  <c:v>67.859887957576746</c:v>
                </c:pt>
                <c:pt idx="38">
                  <c:v>68.462102604647342</c:v>
                </c:pt>
                <c:pt idx="39">
                  <c:v>69.857659435195259</c:v>
                </c:pt>
                <c:pt idx="40">
                  <c:v>68.417638432046999</c:v>
                </c:pt>
                <c:pt idx="41">
                  <c:v>67.779639981533734</c:v>
                </c:pt>
                <c:pt idx="42">
                  <c:v>69.200103054834173</c:v>
                </c:pt>
                <c:pt idx="43">
                  <c:v>67.466033257008434</c:v>
                </c:pt>
                <c:pt idx="44">
                  <c:v>66.708646148387018</c:v>
                </c:pt>
                <c:pt idx="45">
                  <c:v>67.837110821231036</c:v>
                </c:pt>
                <c:pt idx="46">
                  <c:v>68.967491411492432</c:v>
                </c:pt>
                <c:pt idx="47">
                  <c:v>67.969988467386827</c:v>
                </c:pt>
                <c:pt idx="48">
                  <c:v>67.680036600698472</c:v>
                </c:pt>
                <c:pt idx="49">
                  <c:v>66.889881970038545</c:v>
                </c:pt>
                <c:pt idx="50">
                  <c:v>67.471396896795511</c:v>
                </c:pt>
                <c:pt idx="51">
                  <c:v>65.458107905904512</c:v>
                </c:pt>
                <c:pt idx="52">
                  <c:v>65.773271096737759</c:v>
                </c:pt>
                <c:pt idx="53">
                  <c:v>66.739510729304456</c:v>
                </c:pt>
                <c:pt idx="54">
                  <c:v>65.782137126283303</c:v>
                </c:pt>
                <c:pt idx="55">
                  <c:v>65.523108395624774</c:v>
                </c:pt>
                <c:pt idx="56">
                  <c:v>65.690869826366566</c:v>
                </c:pt>
                <c:pt idx="57">
                  <c:v>66.522566155035392</c:v>
                </c:pt>
                <c:pt idx="58">
                  <c:v>67.958196870813111</c:v>
                </c:pt>
                <c:pt idx="59">
                  <c:v>67.460354693868808</c:v>
                </c:pt>
                <c:pt idx="60">
                  <c:v>65.51959945280268</c:v>
                </c:pt>
                <c:pt idx="61">
                  <c:v>64.047556626221919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4EA-417D-9FEF-816D9F694639}"/>
            </c:ext>
          </c:extLst>
        </c:ser>
        <c:ser>
          <c:idx val="18"/>
          <c:order val="17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Carlo'!$E$19:$BN$19</c:f>
              <c:numCache>
                <c:formatCode>General</c:formatCode>
                <c:ptCount val="62"/>
                <c:pt idx="1">
                  <c:v>60.99</c:v>
                </c:pt>
                <c:pt idx="2">
                  <c:v>61.972308226851752</c:v>
                </c:pt>
                <c:pt idx="3">
                  <c:v>62.499408769460921</c:v>
                </c:pt>
                <c:pt idx="4">
                  <c:v>62.808175117289544</c:v>
                </c:pt>
                <c:pt idx="5">
                  <c:v>62.73431100313968</c:v>
                </c:pt>
                <c:pt idx="6">
                  <c:v>62.145601026611729</c:v>
                </c:pt>
                <c:pt idx="7">
                  <c:v>60.863361371752276</c:v>
                </c:pt>
                <c:pt idx="8">
                  <c:v>61.685308918708955</c:v>
                </c:pt>
                <c:pt idx="9">
                  <c:v>61.451526600186099</c:v>
                </c:pt>
                <c:pt idx="10">
                  <c:v>63.045440806751529</c:v>
                </c:pt>
                <c:pt idx="11">
                  <c:v>61.7847783127445</c:v>
                </c:pt>
                <c:pt idx="12">
                  <c:v>62.059226839144365</c:v>
                </c:pt>
                <c:pt idx="13">
                  <c:v>64.317004915974252</c:v>
                </c:pt>
                <c:pt idx="14">
                  <c:v>63.807420882937464</c:v>
                </c:pt>
                <c:pt idx="15">
                  <c:v>65.024884286518287</c:v>
                </c:pt>
                <c:pt idx="16">
                  <c:v>63.634194031201105</c:v>
                </c:pt>
                <c:pt idx="17">
                  <c:v>63.074916845327259</c:v>
                </c:pt>
                <c:pt idx="18">
                  <c:v>62.424243903496034</c:v>
                </c:pt>
                <c:pt idx="19">
                  <c:v>64.826701508801477</c:v>
                </c:pt>
                <c:pt idx="20">
                  <c:v>63.985377874239376</c:v>
                </c:pt>
                <c:pt idx="21">
                  <c:v>63.527358603051326</c:v>
                </c:pt>
                <c:pt idx="22">
                  <c:v>64.832147733753644</c:v>
                </c:pt>
                <c:pt idx="23">
                  <c:v>65.23001754752795</c:v>
                </c:pt>
                <c:pt idx="24">
                  <c:v>65.000596546990849</c:v>
                </c:pt>
                <c:pt idx="25">
                  <c:v>63.650776773971018</c:v>
                </c:pt>
                <c:pt idx="26">
                  <c:v>65.033998906373483</c:v>
                </c:pt>
                <c:pt idx="27">
                  <c:v>66.016641893611151</c:v>
                </c:pt>
                <c:pt idx="28">
                  <c:v>66.734172568237199</c:v>
                </c:pt>
                <c:pt idx="29">
                  <c:v>67.770170462600163</c:v>
                </c:pt>
                <c:pt idx="30">
                  <c:v>67.492815967395316</c:v>
                </c:pt>
                <c:pt idx="31">
                  <c:v>67.869631574472805</c:v>
                </c:pt>
                <c:pt idx="32">
                  <c:v>70.009080596477062</c:v>
                </c:pt>
                <c:pt idx="33">
                  <c:v>67.33669512858927</c:v>
                </c:pt>
                <c:pt idx="34">
                  <c:v>68.917171826407781</c:v>
                </c:pt>
                <c:pt idx="35">
                  <c:v>68.118050747127569</c:v>
                </c:pt>
                <c:pt idx="36">
                  <c:v>69.727022804332265</c:v>
                </c:pt>
                <c:pt idx="37">
                  <c:v>70.458671720403203</c:v>
                </c:pt>
                <c:pt idx="38">
                  <c:v>70.57490712915758</c:v>
                </c:pt>
                <c:pt idx="39">
                  <c:v>68.868871728347074</c:v>
                </c:pt>
                <c:pt idx="40">
                  <c:v>68.239857472315336</c:v>
                </c:pt>
                <c:pt idx="41">
                  <c:v>66.95834888370922</c:v>
                </c:pt>
                <c:pt idx="42">
                  <c:v>67.679672526389169</c:v>
                </c:pt>
                <c:pt idx="43">
                  <c:v>69.703847878406094</c:v>
                </c:pt>
                <c:pt idx="44">
                  <c:v>69.178820509906188</c:v>
                </c:pt>
                <c:pt idx="45">
                  <c:v>69.674051228601655</c:v>
                </c:pt>
                <c:pt idx="46">
                  <c:v>69.864812954024046</c:v>
                </c:pt>
                <c:pt idx="47">
                  <c:v>66.640652484715801</c:v>
                </c:pt>
                <c:pt idx="48">
                  <c:v>67.100433782399278</c:v>
                </c:pt>
                <c:pt idx="49">
                  <c:v>65.948656148548423</c:v>
                </c:pt>
                <c:pt idx="50">
                  <c:v>64.52248771583929</c:v>
                </c:pt>
                <c:pt idx="51">
                  <c:v>66.205982130269547</c:v>
                </c:pt>
                <c:pt idx="52">
                  <c:v>67.824948127031831</c:v>
                </c:pt>
                <c:pt idx="53">
                  <c:v>69.281292873216557</c:v>
                </c:pt>
                <c:pt idx="54">
                  <c:v>68.149714720211989</c:v>
                </c:pt>
                <c:pt idx="55">
                  <c:v>67.34629776687261</c:v>
                </c:pt>
                <c:pt idx="56">
                  <c:v>65.182111158054013</c:v>
                </c:pt>
                <c:pt idx="57">
                  <c:v>67.57718913015799</c:v>
                </c:pt>
                <c:pt idx="58">
                  <c:v>68.260851580660557</c:v>
                </c:pt>
                <c:pt idx="59">
                  <c:v>65.45817008325848</c:v>
                </c:pt>
                <c:pt idx="60">
                  <c:v>65.399773978932672</c:v>
                </c:pt>
                <c:pt idx="61">
                  <c:v>64.418343540891684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4EA-417D-9FEF-816D9F694639}"/>
            </c:ext>
          </c:extLst>
        </c:ser>
        <c:ser>
          <c:idx val="19"/>
          <c:order val="18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Carlo'!$E$20:$BN$20</c:f>
              <c:numCache>
                <c:formatCode>General</c:formatCode>
                <c:ptCount val="62"/>
                <c:pt idx="1">
                  <c:v>60.99</c:v>
                </c:pt>
                <c:pt idx="2">
                  <c:v>59.652508555649796</c:v>
                </c:pt>
                <c:pt idx="3">
                  <c:v>59.319647333030929</c:v>
                </c:pt>
                <c:pt idx="4">
                  <c:v>59.941185260685856</c:v>
                </c:pt>
                <c:pt idx="5">
                  <c:v>60.774820452016399</c:v>
                </c:pt>
                <c:pt idx="6">
                  <c:v>60.189899981562611</c:v>
                </c:pt>
                <c:pt idx="7">
                  <c:v>61.13824197366889</c:v>
                </c:pt>
                <c:pt idx="8">
                  <c:v>61.238004894983646</c:v>
                </c:pt>
                <c:pt idx="9">
                  <c:v>62.135778021146507</c:v>
                </c:pt>
                <c:pt idx="10">
                  <c:v>60.294349771352813</c:v>
                </c:pt>
                <c:pt idx="11">
                  <c:v>59.92141452934203</c:v>
                </c:pt>
                <c:pt idx="12">
                  <c:v>59.873750000613882</c:v>
                </c:pt>
                <c:pt idx="13">
                  <c:v>59.178591922995544</c:v>
                </c:pt>
                <c:pt idx="14">
                  <c:v>61.853605121215807</c:v>
                </c:pt>
                <c:pt idx="15">
                  <c:v>63.335616826228112</c:v>
                </c:pt>
                <c:pt idx="16">
                  <c:v>66.039200405355302</c:v>
                </c:pt>
                <c:pt idx="17">
                  <c:v>66.523327657933265</c:v>
                </c:pt>
                <c:pt idx="18">
                  <c:v>66.02031575059749</c:v>
                </c:pt>
                <c:pt idx="19">
                  <c:v>64.864493111635895</c:v>
                </c:pt>
                <c:pt idx="20">
                  <c:v>64.942911779149455</c:v>
                </c:pt>
                <c:pt idx="21">
                  <c:v>67.19645992291376</c:v>
                </c:pt>
                <c:pt idx="22">
                  <c:v>66.856246459067933</c:v>
                </c:pt>
                <c:pt idx="23">
                  <c:v>65.123750668510084</c:v>
                </c:pt>
                <c:pt idx="24">
                  <c:v>66.958596250421508</c:v>
                </c:pt>
                <c:pt idx="25">
                  <c:v>66.840598463781276</c:v>
                </c:pt>
                <c:pt idx="26">
                  <c:v>68.007216558885759</c:v>
                </c:pt>
                <c:pt idx="27">
                  <c:v>67.308203981109557</c:v>
                </c:pt>
                <c:pt idx="28">
                  <c:v>66.58975267331769</c:v>
                </c:pt>
                <c:pt idx="29">
                  <c:v>65.748032029968186</c:v>
                </c:pt>
                <c:pt idx="30">
                  <c:v>63.892814906503972</c:v>
                </c:pt>
                <c:pt idx="31">
                  <c:v>63.541538046289247</c:v>
                </c:pt>
                <c:pt idx="32">
                  <c:v>64.221016095579699</c:v>
                </c:pt>
                <c:pt idx="33">
                  <c:v>62.315801223581175</c:v>
                </c:pt>
                <c:pt idx="34">
                  <c:v>63.789420965137566</c:v>
                </c:pt>
                <c:pt idx="35">
                  <c:v>64.143841024404068</c:v>
                </c:pt>
                <c:pt idx="36">
                  <c:v>64.742137440899612</c:v>
                </c:pt>
                <c:pt idx="37">
                  <c:v>65.055046702119554</c:v>
                </c:pt>
                <c:pt idx="38">
                  <c:v>63.310021988892991</c:v>
                </c:pt>
                <c:pt idx="39">
                  <c:v>63.058830459407751</c:v>
                </c:pt>
                <c:pt idx="40">
                  <c:v>62.386673002563157</c:v>
                </c:pt>
                <c:pt idx="41">
                  <c:v>62.632855409498177</c:v>
                </c:pt>
                <c:pt idx="42">
                  <c:v>62.072578506448387</c:v>
                </c:pt>
                <c:pt idx="43">
                  <c:v>63.095070752669635</c:v>
                </c:pt>
                <c:pt idx="44">
                  <c:v>61.76903315540293</c:v>
                </c:pt>
                <c:pt idx="45">
                  <c:v>63.67303053819569</c:v>
                </c:pt>
                <c:pt idx="46">
                  <c:v>64.676647985298032</c:v>
                </c:pt>
                <c:pt idx="47">
                  <c:v>64.229738880594297</c:v>
                </c:pt>
                <c:pt idx="48">
                  <c:v>63.931826153136306</c:v>
                </c:pt>
                <c:pt idx="49">
                  <c:v>66.013506555130206</c:v>
                </c:pt>
                <c:pt idx="50">
                  <c:v>66.72935834058805</c:v>
                </c:pt>
                <c:pt idx="51">
                  <c:v>66.274590572519571</c:v>
                </c:pt>
                <c:pt idx="52">
                  <c:v>66.42890034672736</c:v>
                </c:pt>
                <c:pt idx="53">
                  <c:v>65.000340182690209</c:v>
                </c:pt>
                <c:pt idx="54">
                  <c:v>65.834211059001021</c:v>
                </c:pt>
                <c:pt idx="55">
                  <c:v>65.136787098148901</c:v>
                </c:pt>
                <c:pt idx="56">
                  <c:v>66.007496125027671</c:v>
                </c:pt>
                <c:pt idx="57">
                  <c:v>66.844131427170808</c:v>
                </c:pt>
                <c:pt idx="58">
                  <c:v>65.382584424917439</c:v>
                </c:pt>
                <c:pt idx="59">
                  <c:v>64.26555919161342</c:v>
                </c:pt>
                <c:pt idx="60">
                  <c:v>63.382912425238025</c:v>
                </c:pt>
                <c:pt idx="61">
                  <c:v>63.342920377735524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24EA-417D-9FEF-816D9F694639}"/>
            </c:ext>
          </c:extLst>
        </c:ser>
        <c:ser>
          <c:idx val="20"/>
          <c:order val="19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Carlo'!$E$21:$BN$21</c:f>
              <c:numCache>
                <c:formatCode>General</c:formatCode>
                <c:ptCount val="62"/>
                <c:pt idx="1">
                  <c:v>60.99</c:v>
                </c:pt>
                <c:pt idx="2">
                  <c:v>62.199827741136787</c:v>
                </c:pt>
                <c:pt idx="3">
                  <c:v>63.134420686407438</c:v>
                </c:pt>
                <c:pt idx="4">
                  <c:v>64.283822143123658</c:v>
                </c:pt>
                <c:pt idx="5">
                  <c:v>64.029740274438566</c:v>
                </c:pt>
                <c:pt idx="6">
                  <c:v>64.129740461159969</c:v>
                </c:pt>
                <c:pt idx="7">
                  <c:v>63.034077910035585</c:v>
                </c:pt>
                <c:pt idx="8">
                  <c:v>62.120649368750826</c:v>
                </c:pt>
                <c:pt idx="9">
                  <c:v>60.291903101291282</c:v>
                </c:pt>
                <c:pt idx="10">
                  <c:v>59.858834831439154</c:v>
                </c:pt>
                <c:pt idx="11">
                  <c:v>58.383320582638945</c:v>
                </c:pt>
                <c:pt idx="12">
                  <c:v>59.549522450116164</c:v>
                </c:pt>
                <c:pt idx="13">
                  <c:v>57.965467833614333</c:v>
                </c:pt>
                <c:pt idx="14">
                  <c:v>57.901896084370364</c:v>
                </c:pt>
                <c:pt idx="15">
                  <c:v>58.82473207719584</c:v>
                </c:pt>
                <c:pt idx="16">
                  <c:v>57.33962655454971</c:v>
                </c:pt>
                <c:pt idx="17">
                  <c:v>58.435843168555358</c:v>
                </c:pt>
                <c:pt idx="18">
                  <c:v>57.948177439761501</c:v>
                </c:pt>
                <c:pt idx="19">
                  <c:v>57.18233533804711</c:v>
                </c:pt>
                <c:pt idx="20">
                  <c:v>56.864762501660692</c:v>
                </c:pt>
                <c:pt idx="21">
                  <c:v>56.221591519351215</c:v>
                </c:pt>
                <c:pt idx="22">
                  <c:v>54.863213911096722</c:v>
                </c:pt>
                <c:pt idx="23">
                  <c:v>55.011038273659885</c:v>
                </c:pt>
                <c:pt idx="24">
                  <c:v>56.084445528428809</c:v>
                </c:pt>
                <c:pt idx="25">
                  <c:v>56.268283296579781</c:v>
                </c:pt>
                <c:pt idx="26">
                  <c:v>56.469158124805624</c:v>
                </c:pt>
                <c:pt idx="27">
                  <c:v>55.818821259622787</c:v>
                </c:pt>
                <c:pt idx="28">
                  <c:v>55.854159795220326</c:v>
                </c:pt>
                <c:pt idx="29">
                  <c:v>56.238642324258045</c:v>
                </c:pt>
                <c:pt idx="30">
                  <c:v>56.214387088961104</c:v>
                </c:pt>
                <c:pt idx="31">
                  <c:v>56.492983940637664</c:v>
                </c:pt>
                <c:pt idx="32">
                  <c:v>56.723312419124028</c:v>
                </c:pt>
                <c:pt idx="33">
                  <c:v>56.493922534487687</c:v>
                </c:pt>
                <c:pt idx="34">
                  <c:v>57.324470306935787</c:v>
                </c:pt>
                <c:pt idx="35">
                  <c:v>60.560503624825621</c:v>
                </c:pt>
                <c:pt idx="36">
                  <c:v>59.785984337167868</c:v>
                </c:pt>
                <c:pt idx="37">
                  <c:v>59.22824857814642</c:v>
                </c:pt>
                <c:pt idx="38">
                  <c:v>59.178014192587533</c:v>
                </c:pt>
                <c:pt idx="39">
                  <c:v>58.732239411651051</c:v>
                </c:pt>
                <c:pt idx="40">
                  <c:v>60.50370956494627</c:v>
                </c:pt>
                <c:pt idx="41">
                  <c:v>58.942823045850027</c:v>
                </c:pt>
                <c:pt idx="42">
                  <c:v>58.509601106114594</c:v>
                </c:pt>
                <c:pt idx="43">
                  <c:v>56.828087538684606</c:v>
                </c:pt>
                <c:pt idx="44">
                  <c:v>56.331775188220696</c:v>
                </c:pt>
                <c:pt idx="45">
                  <c:v>54.29336828857079</c:v>
                </c:pt>
                <c:pt idx="46">
                  <c:v>52.795477497227438</c:v>
                </c:pt>
                <c:pt idx="47">
                  <c:v>53.732303170391916</c:v>
                </c:pt>
                <c:pt idx="48">
                  <c:v>52.857430713834461</c:v>
                </c:pt>
                <c:pt idx="49">
                  <c:v>54.449884551045194</c:v>
                </c:pt>
                <c:pt idx="50">
                  <c:v>54.573821630009576</c:v>
                </c:pt>
                <c:pt idx="51">
                  <c:v>53.500944907189528</c:v>
                </c:pt>
                <c:pt idx="52">
                  <c:v>55.576505910129427</c:v>
                </c:pt>
                <c:pt idx="53">
                  <c:v>54.743428105118582</c:v>
                </c:pt>
                <c:pt idx="54">
                  <c:v>55.62704442224647</c:v>
                </c:pt>
                <c:pt idx="55">
                  <c:v>55.50002464638866</c:v>
                </c:pt>
                <c:pt idx="56">
                  <c:v>54.998182518586333</c:v>
                </c:pt>
                <c:pt idx="57">
                  <c:v>55.63771252979182</c:v>
                </c:pt>
                <c:pt idx="58">
                  <c:v>57.195934833446557</c:v>
                </c:pt>
                <c:pt idx="59">
                  <c:v>56.982720674480809</c:v>
                </c:pt>
                <c:pt idx="60">
                  <c:v>56.615194221938367</c:v>
                </c:pt>
                <c:pt idx="61">
                  <c:v>56.82240717711958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24EA-417D-9FEF-816D9F694639}"/>
            </c:ext>
          </c:extLst>
        </c:ser>
        <c:ser>
          <c:idx val="21"/>
          <c:order val="20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Carlo'!$E$22:$BN$22</c:f>
              <c:numCache>
                <c:formatCode>General</c:formatCode>
                <c:ptCount val="62"/>
                <c:pt idx="1">
                  <c:v>60.99</c:v>
                </c:pt>
                <c:pt idx="2">
                  <c:v>61.80116279839531</c:v>
                </c:pt>
                <c:pt idx="3">
                  <c:v>60.814199177489385</c:v>
                </c:pt>
                <c:pt idx="4">
                  <c:v>61.98733915650768</c:v>
                </c:pt>
                <c:pt idx="5">
                  <c:v>62.377595983231608</c:v>
                </c:pt>
                <c:pt idx="6">
                  <c:v>63.31372084347084</c:v>
                </c:pt>
                <c:pt idx="7">
                  <c:v>63.031481041955743</c:v>
                </c:pt>
                <c:pt idx="8">
                  <c:v>63.494246414311412</c:v>
                </c:pt>
                <c:pt idx="9">
                  <c:v>64.345024874633623</c:v>
                </c:pt>
                <c:pt idx="10">
                  <c:v>63.192018817352135</c:v>
                </c:pt>
                <c:pt idx="11">
                  <c:v>66.221450946008872</c:v>
                </c:pt>
                <c:pt idx="12">
                  <c:v>66.601999499090127</c:v>
                </c:pt>
                <c:pt idx="13">
                  <c:v>68.499274434932488</c:v>
                </c:pt>
                <c:pt idx="14">
                  <c:v>70.839986707625229</c:v>
                </c:pt>
                <c:pt idx="15">
                  <c:v>71.171570111866771</c:v>
                </c:pt>
                <c:pt idx="16">
                  <c:v>70.895714729596833</c:v>
                </c:pt>
                <c:pt idx="17">
                  <c:v>69.586721355870523</c:v>
                </c:pt>
                <c:pt idx="18">
                  <c:v>72.167892008547938</c:v>
                </c:pt>
                <c:pt idx="19">
                  <c:v>73.822886527027279</c:v>
                </c:pt>
                <c:pt idx="20">
                  <c:v>74.377324266929747</c:v>
                </c:pt>
                <c:pt idx="21">
                  <c:v>72.995927762600502</c:v>
                </c:pt>
                <c:pt idx="22">
                  <c:v>74.038372517569471</c:v>
                </c:pt>
                <c:pt idx="23">
                  <c:v>72.738280354932655</c:v>
                </c:pt>
                <c:pt idx="24">
                  <c:v>71.471808355873534</c:v>
                </c:pt>
                <c:pt idx="25">
                  <c:v>73.179162018357871</c:v>
                </c:pt>
                <c:pt idx="26">
                  <c:v>73.222479792997021</c:v>
                </c:pt>
                <c:pt idx="27">
                  <c:v>73.517643318152494</c:v>
                </c:pt>
                <c:pt idx="28">
                  <c:v>74.247203184847606</c:v>
                </c:pt>
                <c:pt idx="29">
                  <c:v>70.984634118388925</c:v>
                </c:pt>
                <c:pt idx="30">
                  <c:v>68.112524059848894</c:v>
                </c:pt>
                <c:pt idx="31">
                  <c:v>68.416826762804718</c:v>
                </c:pt>
                <c:pt idx="32">
                  <c:v>67.831419166237978</c:v>
                </c:pt>
                <c:pt idx="33">
                  <c:v>67.295751771056985</c:v>
                </c:pt>
                <c:pt idx="34">
                  <c:v>67.957988651244818</c:v>
                </c:pt>
                <c:pt idx="35">
                  <c:v>66.616042294115104</c:v>
                </c:pt>
                <c:pt idx="36">
                  <c:v>67.813335715986881</c:v>
                </c:pt>
                <c:pt idx="37">
                  <c:v>67.510836760027203</c:v>
                </c:pt>
                <c:pt idx="38">
                  <c:v>66.146918667920033</c:v>
                </c:pt>
                <c:pt idx="39">
                  <c:v>66.710978633613607</c:v>
                </c:pt>
                <c:pt idx="40">
                  <c:v>67.329017774151566</c:v>
                </c:pt>
                <c:pt idx="41">
                  <c:v>66.47866400102555</c:v>
                </c:pt>
                <c:pt idx="42">
                  <c:v>67.058926846387166</c:v>
                </c:pt>
                <c:pt idx="43">
                  <c:v>68.081671314693352</c:v>
                </c:pt>
                <c:pt idx="44">
                  <c:v>69.14437124167813</c:v>
                </c:pt>
                <c:pt idx="45">
                  <c:v>71.346355763798414</c:v>
                </c:pt>
                <c:pt idx="46">
                  <c:v>71.903918044614272</c:v>
                </c:pt>
                <c:pt idx="47">
                  <c:v>71.464869804267991</c:v>
                </c:pt>
                <c:pt idx="48">
                  <c:v>72.0757286564222</c:v>
                </c:pt>
                <c:pt idx="49">
                  <c:v>71.21350301853677</c:v>
                </c:pt>
                <c:pt idx="50">
                  <c:v>71.9226044329194</c:v>
                </c:pt>
                <c:pt idx="51">
                  <c:v>74.429416163501898</c:v>
                </c:pt>
                <c:pt idx="52">
                  <c:v>76.356953573468672</c:v>
                </c:pt>
                <c:pt idx="53">
                  <c:v>77.948052713253958</c:v>
                </c:pt>
                <c:pt idx="54">
                  <c:v>80.50873045657994</c:v>
                </c:pt>
                <c:pt idx="55">
                  <c:v>84.808033825678351</c:v>
                </c:pt>
                <c:pt idx="56">
                  <c:v>83.828055418517891</c:v>
                </c:pt>
                <c:pt idx="57">
                  <c:v>83.407024880913653</c:v>
                </c:pt>
                <c:pt idx="58">
                  <c:v>83.047493802886166</c:v>
                </c:pt>
                <c:pt idx="59">
                  <c:v>82.897138841230699</c:v>
                </c:pt>
                <c:pt idx="60">
                  <c:v>80.693797185024195</c:v>
                </c:pt>
                <c:pt idx="61">
                  <c:v>84.050971621934977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24EA-417D-9FEF-816D9F694639}"/>
            </c:ext>
          </c:extLst>
        </c:ser>
        <c:ser>
          <c:idx val="22"/>
          <c:order val="21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Carlo'!$E$23:$BN$23</c:f>
              <c:numCache>
                <c:formatCode>General</c:formatCode>
                <c:ptCount val="62"/>
                <c:pt idx="1">
                  <c:v>60.99</c:v>
                </c:pt>
                <c:pt idx="2">
                  <c:v>60.548782824446405</c:v>
                </c:pt>
                <c:pt idx="3">
                  <c:v>60.058632917878484</c:v>
                </c:pt>
                <c:pt idx="4">
                  <c:v>60.691772358428707</c:v>
                </c:pt>
                <c:pt idx="5">
                  <c:v>60.435270356725127</c:v>
                </c:pt>
                <c:pt idx="6">
                  <c:v>61.239521903648182</c:v>
                </c:pt>
                <c:pt idx="7">
                  <c:v>60.323771267953873</c:v>
                </c:pt>
                <c:pt idx="8">
                  <c:v>60.016336729305699</c:v>
                </c:pt>
                <c:pt idx="9">
                  <c:v>60.104762017371492</c:v>
                </c:pt>
                <c:pt idx="10">
                  <c:v>61.017971402994476</c:v>
                </c:pt>
                <c:pt idx="11">
                  <c:v>62.930014758891261</c:v>
                </c:pt>
                <c:pt idx="12">
                  <c:v>64.779261425803654</c:v>
                </c:pt>
                <c:pt idx="13">
                  <c:v>65.816683637586365</c:v>
                </c:pt>
                <c:pt idx="14">
                  <c:v>65.357869424999706</c:v>
                </c:pt>
                <c:pt idx="15">
                  <c:v>63.231147645516344</c:v>
                </c:pt>
                <c:pt idx="16">
                  <c:v>63.479118195183631</c:v>
                </c:pt>
                <c:pt idx="17">
                  <c:v>64.444903069713263</c:v>
                </c:pt>
                <c:pt idx="18">
                  <c:v>63.531156681635629</c:v>
                </c:pt>
                <c:pt idx="19">
                  <c:v>64.210503705218045</c:v>
                </c:pt>
                <c:pt idx="20">
                  <c:v>63.07472952576645</c:v>
                </c:pt>
                <c:pt idx="21">
                  <c:v>62.392378295186454</c:v>
                </c:pt>
                <c:pt idx="22">
                  <c:v>62.622143857081518</c:v>
                </c:pt>
                <c:pt idx="23">
                  <c:v>63.618695749542873</c:v>
                </c:pt>
                <c:pt idx="24">
                  <c:v>63.589932667236141</c:v>
                </c:pt>
                <c:pt idx="25">
                  <c:v>63.310210575868609</c:v>
                </c:pt>
                <c:pt idx="26">
                  <c:v>62.798709592304057</c:v>
                </c:pt>
                <c:pt idx="27">
                  <c:v>65.945394008834697</c:v>
                </c:pt>
                <c:pt idx="28">
                  <c:v>68.632156795723461</c:v>
                </c:pt>
                <c:pt idx="29">
                  <c:v>69.25427733195319</c:v>
                </c:pt>
                <c:pt idx="30">
                  <c:v>69.405413299410796</c:v>
                </c:pt>
                <c:pt idx="31">
                  <c:v>70.20589686012751</c:v>
                </c:pt>
                <c:pt idx="32">
                  <c:v>69.316603741560371</c:v>
                </c:pt>
                <c:pt idx="33">
                  <c:v>73.521271101973653</c:v>
                </c:pt>
                <c:pt idx="34">
                  <c:v>72.559638803998894</c:v>
                </c:pt>
                <c:pt idx="35">
                  <c:v>73.780287653536746</c:v>
                </c:pt>
                <c:pt idx="36">
                  <c:v>73.483025918609016</c:v>
                </c:pt>
                <c:pt idx="37">
                  <c:v>74.206288241202373</c:v>
                </c:pt>
                <c:pt idx="38">
                  <c:v>73.778225423613719</c:v>
                </c:pt>
                <c:pt idx="39">
                  <c:v>74.448771542939539</c:v>
                </c:pt>
                <c:pt idx="40">
                  <c:v>76.164028464543691</c:v>
                </c:pt>
                <c:pt idx="41">
                  <c:v>78.508292472798246</c:v>
                </c:pt>
                <c:pt idx="42">
                  <c:v>78.184288577230006</c:v>
                </c:pt>
                <c:pt idx="43">
                  <c:v>79.535707079631123</c:v>
                </c:pt>
                <c:pt idx="44">
                  <c:v>79.000780252125281</c:v>
                </c:pt>
                <c:pt idx="45">
                  <c:v>81.310320758467896</c:v>
                </c:pt>
                <c:pt idx="46">
                  <c:v>80.510753210618191</c:v>
                </c:pt>
                <c:pt idx="47">
                  <c:v>78.657304432196554</c:v>
                </c:pt>
                <c:pt idx="48">
                  <c:v>76.557408531530328</c:v>
                </c:pt>
                <c:pt idx="49">
                  <c:v>76.891588649289133</c:v>
                </c:pt>
                <c:pt idx="50">
                  <c:v>78.047576515750436</c:v>
                </c:pt>
                <c:pt idx="51">
                  <c:v>76.561229697231681</c:v>
                </c:pt>
                <c:pt idx="52">
                  <c:v>76.034670341157323</c:v>
                </c:pt>
                <c:pt idx="53">
                  <c:v>75.652979371010545</c:v>
                </c:pt>
                <c:pt idx="54">
                  <c:v>77.880439030496817</c:v>
                </c:pt>
                <c:pt idx="55">
                  <c:v>80.811973355243012</c:v>
                </c:pt>
                <c:pt idx="56">
                  <c:v>78.587017125409091</c:v>
                </c:pt>
                <c:pt idx="57">
                  <c:v>79.227674596982141</c:v>
                </c:pt>
                <c:pt idx="58">
                  <c:v>79.814072997704528</c:v>
                </c:pt>
                <c:pt idx="59">
                  <c:v>79.777653654578259</c:v>
                </c:pt>
                <c:pt idx="60">
                  <c:v>79.918479112362135</c:v>
                </c:pt>
                <c:pt idx="61">
                  <c:v>81.603850899888897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4EA-417D-9FEF-816D9F694639}"/>
            </c:ext>
          </c:extLst>
        </c:ser>
        <c:ser>
          <c:idx val="23"/>
          <c:order val="22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Carlo'!$E$24:$BN$24</c:f>
              <c:numCache>
                <c:formatCode>General</c:formatCode>
                <c:ptCount val="62"/>
                <c:pt idx="1">
                  <c:v>60.99</c:v>
                </c:pt>
                <c:pt idx="2">
                  <c:v>59.982437292781725</c:v>
                </c:pt>
                <c:pt idx="3">
                  <c:v>60.860477178970399</c:v>
                </c:pt>
                <c:pt idx="4">
                  <c:v>61.587231794616123</c:v>
                </c:pt>
                <c:pt idx="5">
                  <c:v>63.035646362971853</c:v>
                </c:pt>
                <c:pt idx="6">
                  <c:v>64.141909168824228</c:v>
                </c:pt>
                <c:pt idx="7">
                  <c:v>64.77310498091262</c:v>
                </c:pt>
                <c:pt idx="8">
                  <c:v>64.522319596828567</c:v>
                </c:pt>
                <c:pt idx="9">
                  <c:v>63.237073166222181</c:v>
                </c:pt>
                <c:pt idx="10">
                  <c:v>61.452915026016782</c:v>
                </c:pt>
                <c:pt idx="11">
                  <c:v>61.151892206742559</c:v>
                </c:pt>
                <c:pt idx="12">
                  <c:v>62.61454476555798</c:v>
                </c:pt>
                <c:pt idx="13">
                  <c:v>64.930435149406236</c:v>
                </c:pt>
                <c:pt idx="14">
                  <c:v>66.26789797136864</c:v>
                </c:pt>
                <c:pt idx="15">
                  <c:v>68.405891212415824</c:v>
                </c:pt>
                <c:pt idx="16">
                  <c:v>66.337299160879866</c:v>
                </c:pt>
                <c:pt idx="17">
                  <c:v>66.482110411235922</c:v>
                </c:pt>
                <c:pt idx="18">
                  <c:v>68.240637168596052</c:v>
                </c:pt>
                <c:pt idx="19">
                  <c:v>67.502057461211848</c:v>
                </c:pt>
                <c:pt idx="20">
                  <c:v>66.656379643068249</c:v>
                </c:pt>
                <c:pt idx="21">
                  <c:v>67.075568588997456</c:v>
                </c:pt>
                <c:pt idx="22">
                  <c:v>66.552790643816593</c:v>
                </c:pt>
                <c:pt idx="23">
                  <c:v>65.36833162285528</c:v>
                </c:pt>
                <c:pt idx="24">
                  <c:v>63.289355744333712</c:v>
                </c:pt>
                <c:pt idx="25">
                  <c:v>63.710485663717769</c:v>
                </c:pt>
                <c:pt idx="26">
                  <c:v>66.81098449155418</c:v>
                </c:pt>
                <c:pt idx="27">
                  <c:v>67.422714954693973</c:v>
                </c:pt>
                <c:pt idx="28">
                  <c:v>66.117049516253928</c:v>
                </c:pt>
                <c:pt idx="29">
                  <c:v>66.69222246205932</c:v>
                </c:pt>
                <c:pt idx="30">
                  <c:v>67.169477160054484</c:v>
                </c:pt>
                <c:pt idx="31">
                  <c:v>69.222512397098811</c:v>
                </c:pt>
                <c:pt idx="32">
                  <c:v>71.183827272377172</c:v>
                </c:pt>
                <c:pt idx="33">
                  <c:v>71.818628485446212</c:v>
                </c:pt>
                <c:pt idx="34">
                  <c:v>73.632699513350047</c:v>
                </c:pt>
                <c:pt idx="35">
                  <c:v>73.127720757827205</c:v>
                </c:pt>
                <c:pt idx="36">
                  <c:v>75.375325781752835</c:v>
                </c:pt>
                <c:pt idx="37">
                  <c:v>76.486900177490867</c:v>
                </c:pt>
                <c:pt idx="38">
                  <c:v>75.300818586582011</c:v>
                </c:pt>
                <c:pt idx="39">
                  <c:v>76.175062678913051</c:v>
                </c:pt>
                <c:pt idx="40">
                  <c:v>76.797778108836766</c:v>
                </c:pt>
                <c:pt idx="41">
                  <c:v>77.077233062187531</c:v>
                </c:pt>
                <c:pt idx="42">
                  <c:v>76.4727281283796</c:v>
                </c:pt>
                <c:pt idx="43">
                  <c:v>77.222160228766583</c:v>
                </c:pt>
                <c:pt idx="44">
                  <c:v>79.027573036022133</c:v>
                </c:pt>
                <c:pt idx="45">
                  <c:v>79.987964375512007</c:v>
                </c:pt>
                <c:pt idx="46">
                  <c:v>79.124686045730542</c:v>
                </c:pt>
                <c:pt idx="47">
                  <c:v>81.48681094967209</c:v>
                </c:pt>
                <c:pt idx="48">
                  <c:v>80.124327321945358</c:v>
                </c:pt>
                <c:pt idx="49">
                  <c:v>77.800042314798091</c:v>
                </c:pt>
                <c:pt idx="50">
                  <c:v>79.984663004438843</c:v>
                </c:pt>
                <c:pt idx="51">
                  <c:v>80.338000451467309</c:v>
                </c:pt>
                <c:pt idx="52">
                  <c:v>79.86603092918385</c:v>
                </c:pt>
                <c:pt idx="53">
                  <c:v>80.627193681125419</c:v>
                </c:pt>
                <c:pt idx="54">
                  <c:v>78.533252279165296</c:v>
                </c:pt>
                <c:pt idx="55">
                  <c:v>80.338643228746861</c:v>
                </c:pt>
                <c:pt idx="56">
                  <c:v>81.463525992989588</c:v>
                </c:pt>
                <c:pt idx="57">
                  <c:v>81.816474554187153</c:v>
                </c:pt>
                <c:pt idx="58">
                  <c:v>83.835756642701327</c:v>
                </c:pt>
                <c:pt idx="59">
                  <c:v>84.965043339944259</c:v>
                </c:pt>
                <c:pt idx="60">
                  <c:v>85.153932664732423</c:v>
                </c:pt>
                <c:pt idx="61">
                  <c:v>88.953899252989402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24EA-417D-9FEF-816D9F694639}"/>
            </c:ext>
          </c:extLst>
        </c:ser>
        <c:ser>
          <c:idx val="24"/>
          <c:order val="23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Carlo'!$E$25:$BN$25</c:f>
              <c:numCache>
                <c:formatCode>General</c:formatCode>
                <c:ptCount val="62"/>
                <c:pt idx="1">
                  <c:v>60.99</c:v>
                </c:pt>
                <c:pt idx="2">
                  <c:v>61.378058546852941</c:v>
                </c:pt>
                <c:pt idx="3">
                  <c:v>60.55349002823656</c:v>
                </c:pt>
                <c:pt idx="4">
                  <c:v>61.29741936516433</c:v>
                </c:pt>
                <c:pt idx="5">
                  <c:v>59.8217192879778</c:v>
                </c:pt>
                <c:pt idx="6">
                  <c:v>60.40206862131096</c:v>
                </c:pt>
                <c:pt idx="7">
                  <c:v>58.876971410653546</c:v>
                </c:pt>
                <c:pt idx="8">
                  <c:v>59.502627057335999</c:v>
                </c:pt>
                <c:pt idx="9">
                  <c:v>58.841209339390723</c:v>
                </c:pt>
                <c:pt idx="10">
                  <c:v>58.006249467410569</c:v>
                </c:pt>
                <c:pt idx="11">
                  <c:v>57.833516606678579</c:v>
                </c:pt>
                <c:pt idx="12">
                  <c:v>56.277302783906777</c:v>
                </c:pt>
                <c:pt idx="13">
                  <c:v>56.2558462394937</c:v>
                </c:pt>
                <c:pt idx="14">
                  <c:v>56.810659580375109</c:v>
                </c:pt>
                <c:pt idx="15">
                  <c:v>55.738399459288182</c:v>
                </c:pt>
                <c:pt idx="16">
                  <c:v>57.306333884798754</c:v>
                </c:pt>
                <c:pt idx="17">
                  <c:v>58.155404925356457</c:v>
                </c:pt>
                <c:pt idx="18">
                  <c:v>59.046490051677779</c:v>
                </c:pt>
                <c:pt idx="19">
                  <c:v>57.418055757798484</c:v>
                </c:pt>
                <c:pt idx="20">
                  <c:v>57.896676580067997</c:v>
                </c:pt>
                <c:pt idx="21">
                  <c:v>56.489097600626671</c:v>
                </c:pt>
                <c:pt idx="22">
                  <c:v>56.254614423693631</c:v>
                </c:pt>
                <c:pt idx="23">
                  <c:v>56.03303584287449</c:v>
                </c:pt>
                <c:pt idx="24">
                  <c:v>57.532211638546052</c:v>
                </c:pt>
                <c:pt idx="25">
                  <c:v>58.449496449788803</c:v>
                </c:pt>
                <c:pt idx="26">
                  <c:v>59.404775631693596</c:v>
                </c:pt>
                <c:pt idx="27">
                  <c:v>57.535685452021696</c:v>
                </c:pt>
                <c:pt idx="28">
                  <c:v>56.958438569182327</c:v>
                </c:pt>
                <c:pt idx="29">
                  <c:v>56.653384237271062</c:v>
                </c:pt>
                <c:pt idx="30">
                  <c:v>55.715221551309469</c:v>
                </c:pt>
                <c:pt idx="31">
                  <c:v>56.474017846208774</c:v>
                </c:pt>
                <c:pt idx="32">
                  <c:v>57.079312253693516</c:v>
                </c:pt>
                <c:pt idx="33">
                  <c:v>57.183839600006593</c:v>
                </c:pt>
                <c:pt idx="34">
                  <c:v>57.905414600842171</c:v>
                </c:pt>
                <c:pt idx="35">
                  <c:v>57.72548946655121</c:v>
                </c:pt>
                <c:pt idx="36">
                  <c:v>58.598282544521332</c:v>
                </c:pt>
                <c:pt idx="37">
                  <c:v>57.75904651915917</c:v>
                </c:pt>
                <c:pt idx="38">
                  <c:v>58.422707528581746</c:v>
                </c:pt>
                <c:pt idx="39">
                  <c:v>58.582567354966066</c:v>
                </c:pt>
                <c:pt idx="40">
                  <c:v>57.594326143998224</c:v>
                </c:pt>
                <c:pt idx="41">
                  <c:v>60.354996601543455</c:v>
                </c:pt>
                <c:pt idx="42">
                  <c:v>61.292868504910174</c:v>
                </c:pt>
                <c:pt idx="43">
                  <c:v>61.147847970746653</c:v>
                </c:pt>
                <c:pt idx="44">
                  <c:v>63.240313235276332</c:v>
                </c:pt>
                <c:pt idx="45">
                  <c:v>62.100724582851733</c:v>
                </c:pt>
                <c:pt idx="46">
                  <c:v>61.903713426724096</c:v>
                </c:pt>
                <c:pt idx="47">
                  <c:v>63.48138907894424</c:v>
                </c:pt>
                <c:pt idx="48">
                  <c:v>64.349518414240038</c:v>
                </c:pt>
                <c:pt idx="49">
                  <c:v>64.493576301431361</c:v>
                </c:pt>
                <c:pt idx="50">
                  <c:v>66.351724331904904</c:v>
                </c:pt>
                <c:pt idx="51">
                  <c:v>66.385747444966071</c:v>
                </c:pt>
                <c:pt idx="52">
                  <c:v>65.401321341399353</c:v>
                </c:pt>
                <c:pt idx="53">
                  <c:v>64.480956734141614</c:v>
                </c:pt>
                <c:pt idx="54">
                  <c:v>64.444362670383654</c:v>
                </c:pt>
                <c:pt idx="55">
                  <c:v>64.655682617908411</c:v>
                </c:pt>
                <c:pt idx="56">
                  <c:v>64.13928012368396</c:v>
                </c:pt>
                <c:pt idx="57">
                  <c:v>62.746161783182508</c:v>
                </c:pt>
                <c:pt idx="58">
                  <c:v>63.494234897508406</c:v>
                </c:pt>
                <c:pt idx="59">
                  <c:v>65.242264836888353</c:v>
                </c:pt>
                <c:pt idx="60">
                  <c:v>64.307323736519407</c:v>
                </c:pt>
                <c:pt idx="61">
                  <c:v>63.072220736613993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4EA-417D-9FEF-816D9F694639}"/>
            </c:ext>
          </c:extLst>
        </c:ser>
        <c:ser>
          <c:idx val="25"/>
          <c:order val="24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Carlo'!$E$26:$BN$26</c:f>
              <c:numCache>
                <c:formatCode>General</c:formatCode>
                <c:ptCount val="62"/>
                <c:pt idx="1">
                  <c:v>60.99</c:v>
                </c:pt>
                <c:pt idx="2">
                  <c:v>61.576645735917509</c:v>
                </c:pt>
                <c:pt idx="3">
                  <c:v>61.240162631146454</c:v>
                </c:pt>
                <c:pt idx="4">
                  <c:v>61.008546238731839</c:v>
                </c:pt>
                <c:pt idx="5">
                  <c:v>61.798123497082578</c:v>
                </c:pt>
                <c:pt idx="6">
                  <c:v>60.221196797169057</c:v>
                </c:pt>
                <c:pt idx="7">
                  <c:v>61.299730716075658</c:v>
                </c:pt>
                <c:pt idx="8">
                  <c:v>60.822125617703222</c:v>
                </c:pt>
                <c:pt idx="9">
                  <c:v>62.467688894670715</c:v>
                </c:pt>
                <c:pt idx="10">
                  <c:v>61.826194508346276</c:v>
                </c:pt>
                <c:pt idx="11">
                  <c:v>59.608338955835578</c:v>
                </c:pt>
                <c:pt idx="12">
                  <c:v>59.272105753094522</c:v>
                </c:pt>
                <c:pt idx="13">
                  <c:v>59.207507586870527</c:v>
                </c:pt>
                <c:pt idx="14">
                  <c:v>60.778940503201184</c:v>
                </c:pt>
                <c:pt idx="15">
                  <c:v>59.340394700212087</c:v>
                </c:pt>
                <c:pt idx="16">
                  <c:v>57.682858513940083</c:v>
                </c:pt>
                <c:pt idx="17">
                  <c:v>58.665857771683015</c:v>
                </c:pt>
                <c:pt idx="18">
                  <c:v>60.077385098791325</c:v>
                </c:pt>
                <c:pt idx="19">
                  <c:v>60.874693867602303</c:v>
                </c:pt>
                <c:pt idx="20">
                  <c:v>60.471012121878928</c:v>
                </c:pt>
                <c:pt idx="21">
                  <c:v>60.301563755220087</c:v>
                </c:pt>
                <c:pt idx="22">
                  <c:v>64.27433917630745</c:v>
                </c:pt>
                <c:pt idx="23">
                  <c:v>63.044021062252838</c:v>
                </c:pt>
                <c:pt idx="24">
                  <c:v>62.19550161383227</c:v>
                </c:pt>
                <c:pt idx="25">
                  <c:v>60.388312957160323</c:v>
                </c:pt>
                <c:pt idx="26">
                  <c:v>60.590500752444001</c:v>
                </c:pt>
                <c:pt idx="27">
                  <c:v>60.03488513220173</c:v>
                </c:pt>
                <c:pt idx="28">
                  <c:v>60.446753566846752</c:v>
                </c:pt>
                <c:pt idx="29">
                  <c:v>62.351226279588552</c:v>
                </c:pt>
                <c:pt idx="30">
                  <c:v>62.710745450547314</c:v>
                </c:pt>
                <c:pt idx="31">
                  <c:v>62.437553756624723</c:v>
                </c:pt>
                <c:pt idx="32">
                  <c:v>63.387199689637697</c:v>
                </c:pt>
                <c:pt idx="33">
                  <c:v>64.961460744774982</c:v>
                </c:pt>
                <c:pt idx="34">
                  <c:v>66.651527294641369</c:v>
                </c:pt>
                <c:pt idx="35">
                  <c:v>64.466740389095918</c:v>
                </c:pt>
                <c:pt idx="36">
                  <c:v>63.564996973781597</c:v>
                </c:pt>
                <c:pt idx="37">
                  <c:v>64.039036453953372</c:v>
                </c:pt>
                <c:pt idx="38">
                  <c:v>64.863872470673343</c:v>
                </c:pt>
                <c:pt idx="39">
                  <c:v>63.718143045795486</c:v>
                </c:pt>
                <c:pt idx="40">
                  <c:v>63.756210232970176</c:v>
                </c:pt>
                <c:pt idx="41">
                  <c:v>65.775101653237201</c:v>
                </c:pt>
                <c:pt idx="42">
                  <c:v>63.879611338740872</c:v>
                </c:pt>
                <c:pt idx="43">
                  <c:v>66.276719602848118</c:v>
                </c:pt>
                <c:pt idx="44">
                  <c:v>66.111433646485708</c:v>
                </c:pt>
                <c:pt idx="45">
                  <c:v>65.718470523285376</c:v>
                </c:pt>
                <c:pt idx="46">
                  <c:v>67.225470074040615</c:v>
                </c:pt>
                <c:pt idx="47">
                  <c:v>67.890319344509535</c:v>
                </c:pt>
                <c:pt idx="48">
                  <c:v>66.50173796360852</c:v>
                </c:pt>
                <c:pt idx="49">
                  <c:v>68.138071647204853</c:v>
                </c:pt>
                <c:pt idx="50">
                  <c:v>68.294289646705209</c:v>
                </c:pt>
                <c:pt idx="51">
                  <c:v>68.260330343002053</c:v>
                </c:pt>
                <c:pt idx="52">
                  <c:v>67.077940099010007</c:v>
                </c:pt>
                <c:pt idx="53">
                  <c:v>69.37160731433427</c:v>
                </c:pt>
                <c:pt idx="54">
                  <c:v>70.015403069396442</c:v>
                </c:pt>
                <c:pt idx="55">
                  <c:v>70.391902890786028</c:v>
                </c:pt>
                <c:pt idx="56">
                  <c:v>72.017199856932734</c:v>
                </c:pt>
                <c:pt idx="57">
                  <c:v>70.327819960666673</c:v>
                </c:pt>
                <c:pt idx="58">
                  <c:v>69.707050709796363</c:v>
                </c:pt>
                <c:pt idx="59">
                  <c:v>68.965580660370691</c:v>
                </c:pt>
                <c:pt idx="60">
                  <c:v>69.236280649600403</c:v>
                </c:pt>
                <c:pt idx="61">
                  <c:v>69.509483575399727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24EA-417D-9FEF-816D9F694639}"/>
            </c:ext>
          </c:extLst>
        </c:ser>
        <c:ser>
          <c:idx val="26"/>
          <c:order val="25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Carlo'!$E$27:$BN$27</c:f>
              <c:numCache>
                <c:formatCode>General</c:formatCode>
                <c:ptCount val="62"/>
                <c:pt idx="1">
                  <c:v>60.99</c:v>
                </c:pt>
                <c:pt idx="2">
                  <c:v>60.798557135242007</c:v>
                </c:pt>
                <c:pt idx="3">
                  <c:v>62.172782881156763</c:v>
                </c:pt>
                <c:pt idx="4">
                  <c:v>61.656116413208281</c:v>
                </c:pt>
                <c:pt idx="5">
                  <c:v>59.6108341971469</c:v>
                </c:pt>
                <c:pt idx="6">
                  <c:v>58.80028060302174</c:v>
                </c:pt>
                <c:pt idx="7">
                  <c:v>59.192285411612993</c:v>
                </c:pt>
                <c:pt idx="8">
                  <c:v>59.381181498205279</c:v>
                </c:pt>
                <c:pt idx="9">
                  <c:v>58.145218539116868</c:v>
                </c:pt>
                <c:pt idx="10">
                  <c:v>59.222261409481014</c:v>
                </c:pt>
                <c:pt idx="11">
                  <c:v>59.812617386108229</c:v>
                </c:pt>
                <c:pt idx="12">
                  <c:v>59.041250234073651</c:v>
                </c:pt>
                <c:pt idx="13">
                  <c:v>58.221898566046512</c:v>
                </c:pt>
                <c:pt idx="14">
                  <c:v>55.712414091494104</c:v>
                </c:pt>
                <c:pt idx="15">
                  <c:v>55.727479023096897</c:v>
                </c:pt>
                <c:pt idx="16">
                  <c:v>55.241145353365354</c:v>
                </c:pt>
                <c:pt idx="17">
                  <c:v>55.563775811254196</c:v>
                </c:pt>
                <c:pt idx="18">
                  <c:v>55.393377073386823</c:v>
                </c:pt>
                <c:pt idx="19">
                  <c:v>55.338979934886083</c:v>
                </c:pt>
                <c:pt idx="20">
                  <c:v>55.597804092746827</c:v>
                </c:pt>
                <c:pt idx="21">
                  <c:v>54.559435203454775</c:v>
                </c:pt>
                <c:pt idx="22">
                  <c:v>55.030640933787588</c:v>
                </c:pt>
                <c:pt idx="23">
                  <c:v>54.223548246822524</c:v>
                </c:pt>
                <c:pt idx="24">
                  <c:v>54.788980652817351</c:v>
                </c:pt>
                <c:pt idx="25">
                  <c:v>56.030595449327826</c:v>
                </c:pt>
                <c:pt idx="26">
                  <c:v>55.0880183347426</c:v>
                </c:pt>
                <c:pt idx="27">
                  <c:v>56.770156168904848</c:v>
                </c:pt>
                <c:pt idx="28">
                  <c:v>57.122552221147693</c:v>
                </c:pt>
                <c:pt idx="29">
                  <c:v>57.292177088461344</c:v>
                </c:pt>
                <c:pt idx="30">
                  <c:v>58.596327728569712</c:v>
                </c:pt>
                <c:pt idx="31">
                  <c:v>57.607871785397712</c:v>
                </c:pt>
                <c:pt idx="32">
                  <c:v>57.168342839250961</c:v>
                </c:pt>
                <c:pt idx="33">
                  <c:v>57.930698112364546</c:v>
                </c:pt>
                <c:pt idx="34">
                  <c:v>58.26655470719151</c:v>
                </c:pt>
                <c:pt idx="35">
                  <c:v>58.976021654620972</c:v>
                </c:pt>
                <c:pt idx="36">
                  <c:v>58.62050755763449</c:v>
                </c:pt>
                <c:pt idx="37">
                  <c:v>58.600677933436387</c:v>
                </c:pt>
                <c:pt idx="38">
                  <c:v>58.895127958627882</c:v>
                </c:pt>
                <c:pt idx="39">
                  <c:v>59.487910281407302</c:v>
                </c:pt>
                <c:pt idx="40">
                  <c:v>58.789088619010947</c:v>
                </c:pt>
                <c:pt idx="41">
                  <c:v>56.296740280152541</c:v>
                </c:pt>
                <c:pt idx="42">
                  <c:v>55.806851286258912</c:v>
                </c:pt>
                <c:pt idx="43">
                  <c:v>57.210400233547276</c:v>
                </c:pt>
                <c:pt idx="44">
                  <c:v>56.680678082301654</c:v>
                </c:pt>
                <c:pt idx="45">
                  <c:v>56.60425741380898</c:v>
                </c:pt>
                <c:pt idx="46">
                  <c:v>57.703580916853134</c:v>
                </c:pt>
                <c:pt idx="47">
                  <c:v>57.153950419412318</c:v>
                </c:pt>
                <c:pt idx="48">
                  <c:v>56.786926984166186</c:v>
                </c:pt>
                <c:pt idx="49">
                  <c:v>57.799815416530883</c:v>
                </c:pt>
                <c:pt idx="50">
                  <c:v>57.358827973119695</c:v>
                </c:pt>
                <c:pt idx="51">
                  <c:v>59.272327469669555</c:v>
                </c:pt>
                <c:pt idx="52">
                  <c:v>58.524951070140681</c:v>
                </c:pt>
                <c:pt idx="53">
                  <c:v>57.573056890071257</c:v>
                </c:pt>
                <c:pt idx="54">
                  <c:v>57.581858582717437</c:v>
                </c:pt>
                <c:pt idx="55">
                  <c:v>56.292099142282296</c:v>
                </c:pt>
                <c:pt idx="56">
                  <c:v>55.945736233624046</c:v>
                </c:pt>
                <c:pt idx="57">
                  <c:v>55.30969155370849</c:v>
                </c:pt>
                <c:pt idx="58">
                  <c:v>55.232361842921144</c:v>
                </c:pt>
                <c:pt idx="59">
                  <c:v>56.440497236221063</c:v>
                </c:pt>
                <c:pt idx="60">
                  <c:v>58.342981602234545</c:v>
                </c:pt>
                <c:pt idx="61">
                  <c:v>58.263959957583268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24EA-417D-9FEF-816D9F694639}"/>
            </c:ext>
          </c:extLst>
        </c:ser>
        <c:ser>
          <c:idx val="27"/>
          <c:order val="26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Carlo'!$E$28:$BN$28</c:f>
              <c:numCache>
                <c:formatCode>General</c:formatCode>
                <c:ptCount val="62"/>
                <c:pt idx="1">
                  <c:v>60.99</c:v>
                </c:pt>
                <c:pt idx="2">
                  <c:v>60.834619571439234</c:v>
                </c:pt>
                <c:pt idx="3">
                  <c:v>60.650106993444027</c:v>
                </c:pt>
                <c:pt idx="4">
                  <c:v>61.612941082401356</c:v>
                </c:pt>
                <c:pt idx="5">
                  <c:v>62.454455506000549</c:v>
                </c:pt>
                <c:pt idx="6">
                  <c:v>61.545907077129819</c:v>
                </c:pt>
                <c:pt idx="7">
                  <c:v>61.1019049983095</c:v>
                </c:pt>
                <c:pt idx="8">
                  <c:v>60.078724982233254</c:v>
                </c:pt>
                <c:pt idx="9">
                  <c:v>61.208478689873196</c:v>
                </c:pt>
                <c:pt idx="10">
                  <c:v>64.148692668592602</c:v>
                </c:pt>
                <c:pt idx="11">
                  <c:v>63.730434825175706</c:v>
                </c:pt>
                <c:pt idx="12">
                  <c:v>65.842239614580464</c:v>
                </c:pt>
                <c:pt idx="13">
                  <c:v>66.02109840163142</c:v>
                </c:pt>
                <c:pt idx="14">
                  <c:v>66.366761468544254</c:v>
                </c:pt>
                <c:pt idx="15">
                  <c:v>66.184083141379887</c:v>
                </c:pt>
                <c:pt idx="16">
                  <c:v>65.844835334268168</c:v>
                </c:pt>
                <c:pt idx="17">
                  <c:v>66.453196979887664</c:v>
                </c:pt>
                <c:pt idx="18">
                  <c:v>65.207038695785116</c:v>
                </c:pt>
                <c:pt idx="19">
                  <c:v>65.560223418643361</c:v>
                </c:pt>
                <c:pt idx="20">
                  <c:v>63.021775254667695</c:v>
                </c:pt>
                <c:pt idx="21">
                  <c:v>62.417998915813591</c:v>
                </c:pt>
                <c:pt idx="22">
                  <c:v>60.544499608234716</c:v>
                </c:pt>
                <c:pt idx="23">
                  <c:v>59.30382942146764</c:v>
                </c:pt>
                <c:pt idx="24">
                  <c:v>60.403072364290637</c:v>
                </c:pt>
                <c:pt idx="25">
                  <c:v>59.564586883999674</c:v>
                </c:pt>
                <c:pt idx="26">
                  <c:v>59.92598223849587</c:v>
                </c:pt>
                <c:pt idx="27">
                  <c:v>60.757896602457166</c:v>
                </c:pt>
                <c:pt idx="28">
                  <c:v>60.248001257583326</c:v>
                </c:pt>
                <c:pt idx="29">
                  <c:v>59.978378773397175</c:v>
                </c:pt>
                <c:pt idx="30">
                  <c:v>61.198272485536165</c:v>
                </c:pt>
                <c:pt idx="31">
                  <c:v>62.404544547579327</c:v>
                </c:pt>
                <c:pt idx="32">
                  <c:v>62.34532888900236</c:v>
                </c:pt>
                <c:pt idx="33">
                  <c:v>63.475961428331367</c:v>
                </c:pt>
                <c:pt idx="34">
                  <c:v>63.291741341049381</c:v>
                </c:pt>
                <c:pt idx="35">
                  <c:v>63.686563631262025</c:v>
                </c:pt>
                <c:pt idx="36">
                  <c:v>64.882221257744547</c:v>
                </c:pt>
                <c:pt idx="37">
                  <c:v>63.987364409842016</c:v>
                </c:pt>
                <c:pt idx="38">
                  <c:v>64.434355841201551</c:v>
                </c:pt>
                <c:pt idx="39">
                  <c:v>64.295054120214445</c:v>
                </c:pt>
                <c:pt idx="40">
                  <c:v>63.84557248118908</c:v>
                </c:pt>
                <c:pt idx="41">
                  <c:v>66.402091970201482</c:v>
                </c:pt>
                <c:pt idx="42">
                  <c:v>67.998382056431097</c:v>
                </c:pt>
                <c:pt idx="43">
                  <c:v>66.384227288448116</c:v>
                </c:pt>
                <c:pt idx="44">
                  <c:v>68.721341445767834</c:v>
                </c:pt>
                <c:pt idx="45">
                  <c:v>70.363696080449969</c:v>
                </c:pt>
                <c:pt idx="46">
                  <c:v>70.727698950712607</c:v>
                </c:pt>
                <c:pt idx="47">
                  <c:v>69.889986025853545</c:v>
                </c:pt>
                <c:pt idx="48">
                  <c:v>69.584814200052222</c:v>
                </c:pt>
                <c:pt idx="49">
                  <c:v>71.059036784008853</c:v>
                </c:pt>
                <c:pt idx="50">
                  <c:v>71.628766526372601</c:v>
                </c:pt>
                <c:pt idx="51">
                  <c:v>69.842450925566368</c:v>
                </c:pt>
                <c:pt idx="52">
                  <c:v>69.050989056569151</c:v>
                </c:pt>
                <c:pt idx="53">
                  <c:v>67.680596873363697</c:v>
                </c:pt>
                <c:pt idx="54">
                  <c:v>69.06492509895115</c:v>
                </c:pt>
                <c:pt idx="55">
                  <c:v>69.040360134800395</c:v>
                </c:pt>
                <c:pt idx="56">
                  <c:v>67.478439826885648</c:v>
                </c:pt>
                <c:pt idx="57">
                  <c:v>69.73929210497306</c:v>
                </c:pt>
                <c:pt idx="58">
                  <c:v>67.620087841924615</c:v>
                </c:pt>
                <c:pt idx="59">
                  <c:v>67.077210342898709</c:v>
                </c:pt>
                <c:pt idx="60">
                  <c:v>67.736031922398439</c:v>
                </c:pt>
                <c:pt idx="61">
                  <c:v>68.251900982647669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24EA-417D-9FEF-816D9F694639}"/>
            </c:ext>
          </c:extLst>
        </c:ser>
        <c:ser>
          <c:idx val="28"/>
          <c:order val="27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Carlo'!$E$29:$BN$29</c:f>
              <c:numCache>
                <c:formatCode>General</c:formatCode>
                <c:ptCount val="62"/>
                <c:pt idx="1">
                  <c:v>60.99</c:v>
                </c:pt>
                <c:pt idx="2">
                  <c:v>60.580729640851175</c:v>
                </c:pt>
                <c:pt idx="3">
                  <c:v>62.671192095419556</c:v>
                </c:pt>
                <c:pt idx="4">
                  <c:v>64.234579187033248</c:v>
                </c:pt>
                <c:pt idx="5">
                  <c:v>63.702823724048571</c:v>
                </c:pt>
                <c:pt idx="6">
                  <c:v>63.94261752790036</c:v>
                </c:pt>
                <c:pt idx="7">
                  <c:v>66.550052259811025</c:v>
                </c:pt>
                <c:pt idx="8">
                  <c:v>65.035417347818168</c:v>
                </c:pt>
                <c:pt idx="9">
                  <c:v>64.974531114841213</c:v>
                </c:pt>
                <c:pt idx="10">
                  <c:v>65.153390031008243</c:v>
                </c:pt>
                <c:pt idx="11">
                  <c:v>64.194203615980271</c:v>
                </c:pt>
                <c:pt idx="12">
                  <c:v>63.476963663666233</c:v>
                </c:pt>
                <c:pt idx="13">
                  <c:v>63.890731446549815</c:v>
                </c:pt>
                <c:pt idx="14">
                  <c:v>64.801630939137979</c:v>
                </c:pt>
                <c:pt idx="15">
                  <c:v>64.86228593679472</c:v>
                </c:pt>
                <c:pt idx="16">
                  <c:v>65.312404196445527</c:v>
                </c:pt>
                <c:pt idx="17">
                  <c:v>67.725122125742459</c:v>
                </c:pt>
                <c:pt idx="18">
                  <c:v>68.552668377188581</c:v>
                </c:pt>
                <c:pt idx="19">
                  <c:v>66.5046229090201</c:v>
                </c:pt>
                <c:pt idx="20">
                  <c:v>65.741552393890245</c:v>
                </c:pt>
                <c:pt idx="21">
                  <c:v>67.982912875629438</c:v>
                </c:pt>
                <c:pt idx="22">
                  <c:v>66.473618977536063</c:v>
                </c:pt>
                <c:pt idx="23">
                  <c:v>66.127970593742532</c:v>
                </c:pt>
                <c:pt idx="24">
                  <c:v>64.653712666027332</c:v>
                </c:pt>
                <c:pt idx="25">
                  <c:v>63.985175975515993</c:v>
                </c:pt>
                <c:pt idx="26">
                  <c:v>63.753028335306873</c:v>
                </c:pt>
                <c:pt idx="27">
                  <c:v>63.466529191980698</c:v>
                </c:pt>
                <c:pt idx="28">
                  <c:v>63.525624408162088</c:v>
                </c:pt>
                <c:pt idx="29">
                  <c:v>63.706349704405532</c:v>
                </c:pt>
                <c:pt idx="30">
                  <c:v>62.721685524883235</c:v>
                </c:pt>
                <c:pt idx="31">
                  <c:v>61.713972839215351</c:v>
                </c:pt>
                <c:pt idx="32">
                  <c:v>62.435993970995135</c:v>
                </c:pt>
                <c:pt idx="33">
                  <c:v>63.229531610033206</c:v>
                </c:pt>
                <c:pt idx="34">
                  <c:v>64.691722188296538</c:v>
                </c:pt>
                <c:pt idx="35">
                  <c:v>64.018695968729389</c:v>
                </c:pt>
                <c:pt idx="36">
                  <c:v>63.339751060884282</c:v>
                </c:pt>
                <c:pt idx="37">
                  <c:v>63.035270742436346</c:v>
                </c:pt>
                <c:pt idx="38">
                  <c:v>61.921274984084683</c:v>
                </c:pt>
                <c:pt idx="39">
                  <c:v>62.412903043120664</c:v>
                </c:pt>
                <c:pt idx="40">
                  <c:v>62.045463413414573</c:v>
                </c:pt>
                <c:pt idx="41">
                  <c:v>62.547860791765508</c:v>
                </c:pt>
                <c:pt idx="42">
                  <c:v>64.910332046706898</c:v>
                </c:pt>
                <c:pt idx="43">
                  <c:v>64.47063787875517</c:v>
                </c:pt>
                <c:pt idx="44">
                  <c:v>63.832894687820591</c:v>
                </c:pt>
                <c:pt idx="45">
                  <c:v>64.461900797892469</c:v>
                </c:pt>
                <c:pt idx="46">
                  <c:v>64.615886677533524</c:v>
                </c:pt>
                <c:pt idx="47">
                  <c:v>64.073291730894795</c:v>
                </c:pt>
                <c:pt idx="48">
                  <c:v>63.139436669292081</c:v>
                </c:pt>
                <c:pt idx="49">
                  <c:v>61.100574790036738</c:v>
                </c:pt>
                <c:pt idx="50">
                  <c:v>60.36378115313186</c:v>
                </c:pt>
                <c:pt idx="51">
                  <c:v>61.178325843758046</c:v>
                </c:pt>
                <c:pt idx="52">
                  <c:v>62.24842376497827</c:v>
                </c:pt>
                <c:pt idx="53">
                  <c:v>62.230763387832162</c:v>
                </c:pt>
                <c:pt idx="54">
                  <c:v>62.51129546111779</c:v>
                </c:pt>
                <c:pt idx="55">
                  <c:v>63.397735330539284</c:v>
                </c:pt>
                <c:pt idx="56">
                  <c:v>64.101272950353348</c:v>
                </c:pt>
                <c:pt idx="57">
                  <c:v>63.840388307982522</c:v>
                </c:pt>
                <c:pt idx="58">
                  <c:v>62.564361229613368</c:v>
                </c:pt>
                <c:pt idx="59">
                  <c:v>60.204436794345263</c:v>
                </c:pt>
                <c:pt idx="60">
                  <c:v>62.041114471961457</c:v>
                </c:pt>
                <c:pt idx="61">
                  <c:v>62.074960578342633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4EA-417D-9FEF-816D9F694639}"/>
            </c:ext>
          </c:extLst>
        </c:ser>
        <c:ser>
          <c:idx val="29"/>
          <c:order val="28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Carlo'!$E$30:$BN$30</c:f>
              <c:numCache>
                <c:formatCode>General</c:formatCode>
                <c:ptCount val="62"/>
                <c:pt idx="1">
                  <c:v>60.99</c:v>
                </c:pt>
                <c:pt idx="2">
                  <c:v>59.460826493826914</c:v>
                </c:pt>
                <c:pt idx="3">
                  <c:v>60.65259543837147</c:v>
                </c:pt>
                <c:pt idx="4">
                  <c:v>61.199443543777399</c:v>
                </c:pt>
                <c:pt idx="5">
                  <c:v>63.880658722615884</c:v>
                </c:pt>
                <c:pt idx="6">
                  <c:v>64.369929172746566</c:v>
                </c:pt>
                <c:pt idx="7">
                  <c:v>63.922596359859433</c:v>
                </c:pt>
                <c:pt idx="8">
                  <c:v>64.347492733801431</c:v>
                </c:pt>
                <c:pt idx="9">
                  <c:v>62.021826686371767</c:v>
                </c:pt>
                <c:pt idx="10">
                  <c:v>63.779056044574411</c:v>
                </c:pt>
                <c:pt idx="11">
                  <c:v>63.523428482899313</c:v>
                </c:pt>
                <c:pt idx="12">
                  <c:v>64.906061120316906</c:v>
                </c:pt>
                <c:pt idx="13">
                  <c:v>64.41312212172565</c:v>
                </c:pt>
                <c:pt idx="14">
                  <c:v>63.52810667746661</c:v>
                </c:pt>
                <c:pt idx="15">
                  <c:v>62.77427505332961</c:v>
                </c:pt>
                <c:pt idx="16">
                  <c:v>64.737861717230487</c:v>
                </c:pt>
                <c:pt idx="17">
                  <c:v>64.431442448005313</c:v>
                </c:pt>
                <c:pt idx="18">
                  <c:v>64.39706239101956</c:v>
                </c:pt>
                <c:pt idx="19">
                  <c:v>65.431244514102289</c:v>
                </c:pt>
                <c:pt idx="20">
                  <c:v>66.383250627548207</c:v>
                </c:pt>
                <c:pt idx="21">
                  <c:v>65.518551183636873</c:v>
                </c:pt>
                <c:pt idx="22">
                  <c:v>66.311525480070415</c:v>
                </c:pt>
                <c:pt idx="23">
                  <c:v>69.667839959274389</c:v>
                </c:pt>
                <c:pt idx="24">
                  <c:v>73.116323682506277</c:v>
                </c:pt>
                <c:pt idx="25">
                  <c:v>71.96450192918978</c:v>
                </c:pt>
                <c:pt idx="26">
                  <c:v>71.518001866197196</c:v>
                </c:pt>
                <c:pt idx="27">
                  <c:v>72.050382558373073</c:v>
                </c:pt>
                <c:pt idx="28">
                  <c:v>74.875670157713813</c:v>
                </c:pt>
                <c:pt idx="29">
                  <c:v>75.462983705871693</c:v>
                </c:pt>
                <c:pt idx="30">
                  <c:v>74.090181709171119</c:v>
                </c:pt>
                <c:pt idx="31">
                  <c:v>71.373019511922109</c:v>
                </c:pt>
                <c:pt idx="32">
                  <c:v>69.112749962246056</c:v>
                </c:pt>
                <c:pt idx="33">
                  <c:v>69.824478123821635</c:v>
                </c:pt>
                <c:pt idx="34">
                  <c:v>68.724473804819993</c:v>
                </c:pt>
                <c:pt idx="35">
                  <c:v>71.051092488552698</c:v>
                </c:pt>
                <c:pt idx="36">
                  <c:v>72.914314532760315</c:v>
                </c:pt>
                <c:pt idx="37">
                  <c:v>75.355685204362956</c:v>
                </c:pt>
                <c:pt idx="38">
                  <c:v>77.634551941812191</c:v>
                </c:pt>
                <c:pt idx="39">
                  <c:v>77.800605430389524</c:v>
                </c:pt>
                <c:pt idx="40">
                  <c:v>78.392934794666061</c:v>
                </c:pt>
                <c:pt idx="41">
                  <c:v>78.231044187183741</c:v>
                </c:pt>
                <c:pt idx="42">
                  <c:v>80.075525440845709</c:v>
                </c:pt>
                <c:pt idx="43">
                  <c:v>81.018338954421694</c:v>
                </c:pt>
                <c:pt idx="44">
                  <c:v>81.200256133881012</c:v>
                </c:pt>
                <c:pt idx="45">
                  <c:v>82.013618294717602</c:v>
                </c:pt>
                <c:pt idx="46">
                  <c:v>81.674583262825152</c:v>
                </c:pt>
                <c:pt idx="47">
                  <c:v>84.512320297300278</c:v>
                </c:pt>
                <c:pt idx="48">
                  <c:v>87.198331072226594</c:v>
                </c:pt>
                <c:pt idx="49">
                  <c:v>85.950789452362926</c:v>
                </c:pt>
                <c:pt idx="50">
                  <c:v>85.858993384146814</c:v>
                </c:pt>
                <c:pt idx="51">
                  <c:v>86.782064815233738</c:v>
                </c:pt>
                <c:pt idx="52">
                  <c:v>87.036682879422614</c:v>
                </c:pt>
                <c:pt idx="53">
                  <c:v>89.57087175148088</c:v>
                </c:pt>
                <c:pt idx="54">
                  <c:v>89.311906385094261</c:v>
                </c:pt>
                <c:pt idx="55">
                  <c:v>90.161992213054646</c:v>
                </c:pt>
                <c:pt idx="56">
                  <c:v>90.658369145988587</c:v>
                </c:pt>
                <c:pt idx="57">
                  <c:v>88.683419005328631</c:v>
                </c:pt>
                <c:pt idx="58">
                  <c:v>91.510827479683371</c:v>
                </c:pt>
                <c:pt idx="59">
                  <c:v>91.854427525193969</c:v>
                </c:pt>
                <c:pt idx="60">
                  <c:v>93.334883833125758</c:v>
                </c:pt>
                <c:pt idx="61">
                  <c:v>93.986657009267887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4EA-417D-9FEF-816D9F694639}"/>
            </c:ext>
          </c:extLst>
        </c:ser>
        <c:ser>
          <c:idx val="30"/>
          <c:order val="29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Carlo'!$E$31:$BN$31</c:f>
              <c:numCache>
                <c:formatCode>General</c:formatCode>
                <c:ptCount val="62"/>
                <c:pt idx="1">
                  <c:v>60.99</c:v>
                </c:pt>
                <c:pt idx="2">
                  <c:v>60.10827744236191</c:v>
                </c:pt>
                <c:pt idx="3">
                  <c:v>61.466597776673474</c:v>
                </c:pt>
                <c:pt idx="4">
                  <c:v>61.473887303603</c:v>
                </c:pt>
                <c:pt idx="5">
                  <c:v>60.024616629986376</c:v>
                </c:pt>
                <c:pt idx="6">
                  <c:v>61.962682215548213</c:v>
                </c:pt>
                <c:pt idx="7">
                  <c:v>61.7549040339361</c:v>
                </c:pt>
                <c:pt idx="8">
                  <c:v>62.100315720571182</c:v>
                </c:pt>
                <c:pt idx="9">
                  <c:v>60.843865089703257</c:v>
                </c:pt>
                <c:pt idx="10">
                  <c:v>61.855573715394854</c:v>
                </c:pt>
                <c:pt idx="11">
                  <c:v>60.994378310638446</c:v>
                </c:pt>
                <c:pt idx="12">
                  <c:v>62.227764761724018</c:v>
                </c:pt>
                <c:pt idx="13">
                  <c:v>62.395140219192712</c:v>
                </c:pt>
                <c:pt idx="14">
                  <c:v>65.172742634137563</c:v>
                </c:pt>
                <c:pt idx="15">
                  <c:v>66.603011718634903</c:v>
                </c:pt>
                <c:pt idx="16">
                  <c:v>68.014334290991357</c:v>
                </c:pt>
                <c:pt idx="17">
                  <c:v>68.952272440326553</c:v>
                </c:pt>
                <c:pt idx="18">
                  <c:v>70.083025930206205</c:v>
                </c:pt>
                <c:pt idx="19">
                  <c:v>70.950784056850836</c:v>
                </c:pt>
                <c:pt idx="20">
                  <c:v>70.353112341344854</c:v>
                </c:pt>
                <c:pt idx="21">
                  <c:v>70.329647162659114</c:v>
                </c:pt>
                <c:pt idx="22">
                  <c:v>71.277671671048253</c:v>
                </c:pt>
                <c:pt idx="23">
                  <c:v>68.196000300802567</c:v>
                </c:pt>
                <c:pt idx="24">
                  <c:v>67.181634171661997</c:v>
                </c:pt>
                <c:pt idx="25">
                  <c:v>68.597719141667028</c:v>
                </c:pt>
                <c:pt idx="26">
                  <c:v>69.089803388513687</c:v>
                </c:pt>
                <c:pt idx="27">
                  <c:v>68.282776519403257</c:v>
                </c:pt>
                <c:pt idx="28">
                  <c:v>67.632057560172612</c:v>
                </c:pt>
                <c:pt idx="29">
                  <c:v>66.611859450246797</c:v>
                </c:pt>
                <c:pt idx="30">
                  <c:v>64.08075543506699</c:v>
                </c:pt>
                <c:pt idx="31">
                  <c:v>63.410971299620179</c:v>
                </c:pt>
                <c:pt idx="32">
                  <c:v>63.371663607009296</c:v>
                </c:pt>
                <c:pt idx="33">
                  <c:v>63.627779728267868</c:v>
                </c:pt>
                <c:pt idx="34">
                  <c:v>63.071535074207908</c:v>
                </c:pt>
                <c:pt idx="35">
                  <c:v>64.837340746171051</c:v>
                </c:pt>
                <c:pt idx="36">
                  <c:v>64.810433178317794</c:v>
                </c:pt>
                <c:pt idx="37">
                  <c:v>64.659142440313346</c:v>
                </c:pt>
                <c:pt idx="38">
                  <c:v>63.328814000611985</c:v>
                </c:pt>
                <c:pt idx="39">
                  <c:v>63.922823481416984</c:v>
                </c:pt>
                <c:pt idx="40">
                  <c:v>65.229139533581019</c:v>
                </c:pt>
                <c:pt idx="41">
                  <c:v>64.685752068661685</c:v>
                </c:pt>
                <c:pt idx="42">
                  <c:v>63.584604460970311</c:v>
                </c:pt>
                <c:pt idx="43">
                  <c:v>65.570616217237543</c:v>
                </c:pt>
                <c:pt idx="44">
                  <c:v>66.819520012384913</c:v>
                </c:pt>
                <c:pt idx="45">
                  <c:v>67.16470023926793</c:v>
                </c:pt>
                <c:pt idx="46">
                  <c:v>67.95296754738655</c:v>
                </c:pt>
                <c:pt idx="47">
                  <c:v>68.018489756279408</c:v>
                </c:pt>
                <c:pt idx="48">
                  <c:v>67.221270659847647</c:v>
                </c:pt>
                <c:pt idx="49">
                  <c:v>65.171552476402226</c:v>
                </c:pt>
                <c:pt idx="50">
                  <c:v>64.296446381505973</c:v>
                </c:pt>
                <c:pt idx="51">
                  <c:v>63.52669105746731</c:v>
                </c:pt>
                <c:pt idx="52">
                  <c:v>62.302381064688014</c:v>
                </c:pt>
                <c:pt idx="53">
                  <c:v>64.73986572695172</c:v>
                </c:pt>
                <c:pt idx="54">
                  <c:v>66.715055899266261</c:v>
                </c:pt>
                <c:pt idx="55">
                  <c:v>68.221615135621846</c:v>
                </c:pt>
                <c:pt idx="56">
                  <c:v>69.071998751390396</c:v>
                </c:pt>
                <c:pt idx="57">
                  <c:v>68.033327627737847</c:v>
                </c:pt>
                <c:pt idx="58">
                  <c:v>68.989129051489982</c:v>
                </c:pt>
                <c:pt idx="59">
                  <c:v>66.814490309939401</c:v>
                </c:pt>
                <c:pt idx="60">
                  <c:v>66.836073229934001</c:v>
                </c:pt>
                <c:pt idx="61">
                  <c:v>68.567785378902002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4EA-417D-9FEF-816D9F694639}"/>
            </c:ext>
          </c:extLst>
        </c:ser>
        <c:ser>
          <c:idx val="31"/>
          <c:order val="30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Carlo'!$E$32:$BN$32</c:f>
              <c:numCache>
                <c:formatCode>General</c:formatCode>
                <c:ptCount val="62"/>
                <c:pt idx="1">
                  <c:v>60.99</c:v>
                </c:pt>
                <c:pt idx="2">
                  <c:v>62.810599094054147</c:v>
                </c:pt>
                <c:pt idx="3">
                  <c:v>61.101722818901607</c:v>
                </c:pt>
                <c:pt idx="4">
                  <c:v>59.369118016950168</c:v>
                </c:pt>
                <c:pt idx="5">
                  <c:v>58.844744814919132</c:v>
                </c:pt>
                <c:pt idx="6">
                  <c:v>57.748115793629033</c:v>
                </c:pt>
                <c:pt idx="7">
                  <c:v>56.868513426005897</c:v>
                </c:pt>
                <c:pt idx="8">
                  <c:v>57.693344369030527</c:v>
                </c:pt>
                <c:pt idx="9">
                  <c:v>57.059798453984328</c:v>
                </c:pt>
                <c:pt idx="10">
                  <c:v>57.355967380811308</c:v>
                </c:pt>
                <c:pt idx="11">
                  <c:v>56.995820972854894</c:v>
                </c:pt>
                <c:pt idx="12">
                  <c:v>55.823805460659209</c:v>
                </c:pt>
                <c:pt idx="13">
                  <c:v>55.665921539331634</c:v>
                </c:pt>
                <c:pt idx="14">
                  <c:v>54.238450036509072</c:v>
                </c:pt>
                <c:pt idx="15">
                  <c:v>54.362340336098526</c:v>
                </c:pt>
                <c:pt idx="16">
                  <c:v>53.828471778118214</c:v>
                </c:pt>
                <c:pt idx="17">
                  <c:v>54.852405999040769</c:v>
                </c:pt>
                <c:pt idx="18">
                  <c:v>55.272659189643228</c:v>
                </c:pt>
                <c:pt idx="19">
                  <c:v>55.600168991970698</c:v>
                </c:pt>
                <c:pt idx="20">
                  <c:v>55.19356793968403</c:v>
                </c:pt>
                <c:pt idx="21">
                  <c:v>56.666946465936903</c:v>
                </c:pt>
                <c:pt idx="22">
                  <c:v>56.405183757844952</c:v>
                </c:pt>
                <c:pt idx="23">
                  <c:v>57.608721389948187</c:v>
                </c:pt>
                <c:pt idx="24">
                  <c:v>58.219322477779727</c:v>
                </c:pt>
                <c:pt idx="25">
                  <c:v>58.294510111752253</c:v>
                </c:pt>
                <c:pt idx="26">
                  <c:v>57.337535784275651</c:v>
                </c:pt>
                <c:pt idx="27">
                  <c:v>57.751381682380782</c:v>
                </c:pt>
                <c:pt idx="28">
                  <c:v>56.555232898224148</c:v>
                </c:pt>
                <c:pt idx="29">
                  <c:v>58.439273265113584</c:v>
                </c:pt>
                <c:pt idx="30">
                  <c:v>55.712449846218284</c:v>
                </c:pt>
                <c:pt idx="31">
                  <c:v>56.141074081960937</c:v>
                </c:pt>
                <c:pt idx="32">
                  <c:v>54.630817694559219</c:v>
                </c:pt>
                <c:pt idx="33">
                  <c:v>53.812028342500675</c:v>
                </c:pt>
                <c:pt idx="34">
                  <c:v>53.330900664602829</c:v>
                </c:pt>
                <c:pt idx="35">
                  <c:v>55.879467415893885</c:v>
                </c:pt>
                <c:pt idx="36">
                  <c:v>56.189683442974399</c:v>
                </c:pt>
                <c:pt idx="37">
                  <c:v>54.967603260241134</c:v>
                </c:pt>
                <c:pt idx="38">
                  <c:v>52.835906806095217</c:v>
                </c:pt>
                <c:pt idx="39">
                  <c:v>54.077990642179508</c:v>
                </c:pt>
                <c:pt idx="40">
                  <c:v>53.267814919429988</c:v>
                </c:pt>
                <c:pt idx="41">
                  <c:v>52.820679466906313</c:v>
                </c:pt>
                <c:pt idx="42">
                  <c:v>52.98005301489912</c:v>
                </c:pt>
                <c:pt idx="43">
                  <c:v>52.079006531924385</c:v>
                </c:pt>
                <c:pt idx="44">
                  <c:v>51.347132761179914</c:v>
                </c:pt>
                <c:pt idx="45">
                  <c:v>51.740254167228429</c:v>
                </c:pt>
                <c:pt idx="46">
                  <c:v>51.715376274001876</c:v>
                </c:pt>
                <c:pt idx="47">
                  <c:v>51.949871772609399</c:v>
                </c:pt>
                <c:pt idx="48">
                  <c:v>52.25880382845363</c:v>
                </c:pt>
                <c:pt idx="49">
                  <c:v>54.990913783488558</c:v>
                </c:pt>
                <c:pt idx="50">
                  <c:v>54.944971146657807</c:v>
                </c:pt>
                <c:pt idx="51">
                  <c:v>52.947993341917417</c:v>
                </c:pt>
                <c:pt idx="52">
                  <c:v>52.880512464006671</c:v>
                </c:pt>
                <c:pt idx="53">
                  <c:v>52.064367541286614</c:v>
                </c:pt>
                <c:pt idx="54">
                  <c:v>52.245520705325447</c:v>
                </c:pt>
                <c:pt idx="55">
                  <c:v>52.965602920418512</c:v>
                </c:pt>
                <c:pt idx="56">
                  <c:v>54.299300970228273</c:v>
                </c:pt>
                <c:pt idx="57">
                  <c:v>55.591027098690411</c:v>
                </c:pt>
                <c:pt idx="58">
                  <c:v>54.441837913415839</c:v>
                </c:pt>
                <c:pt idx="59">
                  <c:v>55.319311864953967</c:v>
                </c:pt>
                <c:pt idx="60">
                  <c:v>53.334864942323229</c:v>
                </c:pt>
                <c:pt idx="61">
                  <c:v>52.614583254535589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24EA-417D-9FEF-816D9F694639}"/>
            </c:ext>
          </c:extLst>
        </c:ser>
        <c:ser>
          <c:idx val="32"/>
          <c:order val="31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Carlo'!$E$33:$BN$33</c:f>
              <c:numCache>
                <c:formatCode>General</c:formatCode>
                <c:ptCount val="62"/>
                <c:pt idx="1">
                  <c:v>60.99</c:v>
                </c:pt>
                <c:pt idx="2">
                  <c:v>59.884684373674119</c:v>
                </c:pt>
                <c:pt idx="3">
                  <c:v>59.194656931114814</c:v>
                </c:pt>
                <c:pt idx="4">
                  <c:v>59.019738002228372</c:v>
                </c:pt>
                <c:pt idx="5">
                  <c:v>60.397537191410976</c:v>
                </c:pt>
                <c:pt idx="6">
                  <c:v>59.248783906626521</c:v>
                </c:pt>
                <c:pt idx="7">
                  <c:v>59.521237556118834</c:v>
                </c:pt>
                <c:pt idx="8">
                  <c:v>61.214389019455439</c:v>
                </c:pt>
                <c:pt idx="9">
                  <c:v>61.398059955690449</c:v>
                </c:pt>
                <c:pt idx="10">
                  <c:v>62.097246341754747</c:v>
                </c:pt>
                <c:pt idx="11">
                  <c:v>61.142855833802187</c:v>
                </c:pt>
                <c:pt idx="12">
                  <c:v>62.973758230721607</c:v>
                </c:pt>
                <c:pt idx="13">
                  <c:v>62.435381209573265</c:v>
                </c:pt>
                <c:pt idx="14">
                  <c:v>64.344270110475478</c:v>
                </c:pt>
                <c:pt idx="15">
                  <c:v>65.265031154515839</c:v>
                </c:pt>
                <c:pt idx="16">
                  <c:v>63.606429252778575</c:v>
                </c:pt>
                <c:pt idx="17">
                  <c:v>63.934499507493094</c:v>
                </c:pt>
                <c:pt idx="18">
                  <c:v>65.137916319920109</c:v>
                </c:pt>
                <c:pt idx="19">
                  <c:v>66.694882934976505</c:v>
                </c:pt>
                <c:pt idx="20">
                  <c:v>66.577925842700608</c:v>
                </c:pt>
                <c:pt idx="21">
                  <c:v>68.889303226009162</c:v>
                </c:pt>
                <c:pt idx="22">
                  <c:v>69.420489090872394</c:v>
                </c:pt>
                <c:pt idx="23">
                  <c:v>69.30863306824331</c:v>
                </c:pt>
                <c:pt idx="24">
                  <c:v>70.100982218115249</c:v>
                </c:pt>
                <c:pt idx="25">
                  <c:v>69.607732494900219</c:v>
                </c:pt>
                <c:pt idx="26">
                  <c:v>70.555846503784977</c:v>
                </c:pt>
                <c:pt idx="27">
                  <c:v>69.827303399491285</c:v>
                </c:pt>
                <c:pt idx="28">
                  <c:v>68.688307681003593</c:v>
                </c:pt>
                <c:pt idx="29">
                  <c:v>67.511675632678177</c:v>
                </c:pt>
                <c:pt idx="30">
                  <c:v>68.869310218873323</c:v>
                </c:pt>
                <c:pt idx="31">
                  <c:v>71.826394139147112</c:v>
                </c:pt>
                <c:pt idx="32">
                  <c:v>72.370236689803278</c:v>
                </c:pt>
                <c:pt idx="33">
                  <c:v>72.386517417324313</c:v>
                </c:pt>
                <c:pt idx="34">
                  <c:v>72.407272552150133</c:v>
                </c:pt>
                <c:pt idx="35">
                  <c:v>71.501421119255568</c:v>
                </c:pt>
                <c:pt idx="36">
                  <c:v>73.137971984523702</c:v>
                </c:pt>
                <c:pt idx="37">
                  <c:v>72.753293957290666</c:v>
                </c:pt>
                <c:pt idx="38">
                  <c:v>72.78151356715793</c:v>
                </c:pt>
                <c:pt idx="39">
                  <c:v>72.986824858523221</c:v>
                </c:pt>
                <c:pt idx="40">
                  <c:v>71.205060541961984</c:v>
                </c:pt>
                <c:pt idx="41">
                  <c:v>69.948762853325533</c:v>
                </c:pt>
                <c:pt idx="42">
                  <c:v>67.780752428389249</c:v>
                </c:pt>
                <c:pt idx="43">
                  <c:v>67.774617190962047</c:v>
                </c:pt>
                <c:pt idx="44">
                  <c:v>66.495786149569298</c:v>
                </c:pt>
                <c:pt idx="45">
                  <c:v>65.370749312037077</c:v>
                </c:pt>
                <c:pt idx="46">
                  <c:v>65.937362697065268</c:v>
                </c:pt>
                <c:pt idx="47">
                  <c:v>65.752118703946721</c:v>
                </c:pt>
                <c:pt idx="48">
                  <c:v>63.649128007522201</c:v>
                </c:pt>
                <c:pt idx="49">
                  <c:v>65.756003791315919</c:v>
                </c:pt>
                <c:pt idx="50">
                  <c:v>65.348340914941318</c:v>
                </c:pt>
                <c:pt idx="51">
                  <c:v>66.786636716856918</c:v>
                </c:pt>
                <c:pt idx="52">
                  <c:v>68.022635137515891</c:v>
                </c:pt>
                <c:pt idx="53">
                  <c:v>70.336073426334693</c:v>
                </c:pt>
                <c:pt idx="54">
                  <c:v>68.207869688915196</c:v>
                </c:pt>
                <c:pt idx="55">
                  <c:v>68.926698035967377</c:v>
                </c:pt>
                <c:pt idx="56">
                  <c:v>71.270556706936617</c:v>
                </c:pt>
                <c:pt idx="57">
                  <c:v>71.648104735728921</c:v>
                </c:pt>
                <c:pt idx="58">
                  <c:v>71.885499538197934</c:v>
                </c:pt>
                <c:pt idx="59">
                  <c:v>71.943939950514348</c:v>
                </c:pt>
                <c:pt idx="60">
                  <c:v>73.181230601108453</c:v>
                </c:pt>
                <c:pt idx="61">
                  <c:v>74.928045837372196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24EA-417D-9FEF-816D9F694639}"/>
            </c:ext>
          </c:extLst>
        </c:ser>
        <c:ser>
          <c:idx val="33"/>
          <c:order val="32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Carlo'!$E$34:$BN$34</c:f>
              <c:numCache>
                <c:formatCode>General</c:formatCode>
                <c:ptCount val="62"/>
                <c:pt idx="1">
                  <c:v>60.99</c:v>
                </c:pt>
                <c:pt idx="2">
                  <c:v>60.846877437172886</c:v>
                </c:pt>
                <c:pt idx="3">
                  <c:v>62.896181405656193</c:v>
                </c:pt>
                <c:pt idx="4">
                  <c:v>64.801437068676236</c:v>
                </c:pt>
                <c:pt idx="5">
                  <c:v>63.673003414533326</c:v>
                </c:pt>
                <c:pt idx="6">
                  <c:v>63.258735749349597</c:v>
                </c:pt>
                <c:pt idx="7">
                  <c:v>62.766150208032229</c:v>
                </c:pt>
                <c:pt idx="8">
                  <c:v>63.741607907314645</c:v>
                </c:pt>
                <c:pt idx="9">
                  <c:v>63.18268116445303</c:v>
                </c:pt>
                <c:pt idx="10">
                  <c:v>63.853929586044593</c:v>
                </c:pt>
                <c:pt idx="11">
                  <c:v>63.227143586827566</c:v>
                </c:pt>
                <c:pt idx="12">
                  <c:v>62.203093466122411</c:v>
                </c:pt>
                <c:pt idx="13">
                  <c:v>63.919110127176005</c:v>
                </c:pt>
                <c:pt idx="14">
                  <c:v>63.117925268625243</c:v>
                </c:pt>
                <c:pt idx="15">
                  <c:v>62.214900071875697</c:v>
                </c:pt>
                <c:pt idx="16">
                  <c:v>62.738277609841312</c:v>
                </c:pt>
                <c:pt idx="17">
                  <c:v>63.291216643513074</c:v>
                </c:pt>
                <c:pt idx="18">
                  <c:v>63.768199141770381</c:v>
                </c:pt>
                <c:pt idx="19">
                  <c:v>61.565169476402147</c:v>
                </c:pt>
                <c:pt idx="20">
                  <c:v>62.550440432609335</c:v>
                </c:pt>
                <c:pt idx="21">
                  <c:v>63.7779175950796</c:v>
                </c:pt>
                <c:pt idx="22">
                  <c:v>63.578042624004887</c:v>
                </c:pt>
                <c:pt idx="23">
                  <c:v>62.093879594525269</c:v>
                </c:pt>
                <c:pt idx="24">
                  <c:v>62.481653089926866</c:v>
                </c:pt>
                <c:pt idx="25">
                  <c:v>60.958878614356216</c:v>
                </c:pt>
                <c:pt idx="26">
                  <c:v>61.751802358251524</c:v>
                </c:pt>
                <c:pt idx="27">
                  <c:v>62.533376631506528</c:v>
                </c:pt>
                <c:pt idx="28">
                  <c:v>63.378031571449405</c:v>
                </c:pt>
                <c:pt idx="29">
                  <c:v>63.929000883056425</c:v>
                </c:pt>
                <c:pt idx="30">
                  <c:v>66.141739932806829</c:v>
                </c:pt>
                <c:pt idx="31">
                  <c:v>66.62431330851868</c:v>
                </c:pt>
                <c:pt idx="32">
                  <c:v>67.896697963022419</c:v>
                </c:pt>
                <c:pt idx="33">
                  <c:v>67.597300020618732</c:v>
                </c:pt>
                <c:pt idx="34">
                  <c:v>66.235890222303027</c:v>
                </c:pt>
                <c:pt idx="35">
                  <c:v>67.724444723540913</c:v>
                </c:pt>
                <c:pt idx="36">
                  <c:v>67.300804134314816</c:v>
                </c:pt>
                <c:pt idx="37">
                  <c:v>69.185179597430988</c:v>
                </c:pt>
                <c:pt idx="38">
                  <c:v>68.078236223358417</c:v>
                </c:pt>
                <c:pt idx="39">
                  <c:v>65.718995111891985</c:v>
                </c:pt>
                <c:pt idx="40">
                  <c:v>65.336168503775937</c:v>
                </c:pt>
                <c:pt idx="41">
                  <c:v>65.569318094534324</c:v>
                </c:pt>
                <c:pt idx="42">
                  <c:v>63.861862251759788</c:v>
                </c:pt>
                <c:pt idx="43">
                  <c:v>63.378641108319997</c:v>
                </c:pt>
                <c:pt idx="44">
                  <c:v>63.489123479024357</c:v>
                </c:pt>
                <c:pt idx="45">
                  <c:v>61.562879224988336</c:v>
                </c:pt>
                <c:pt idx="46">
                  <c:v>64.073652588051061</c:v>
                </c:pt>
                <c:pt idx="47">
                  <c:v>65.475068081343281</c:v>
                </c:pt>
                <c:pt idx="48">
                  <c:v>65.983825503031412</c:v>
                </c:pt>
                <c:pt idx="49">
                  <c:v>66.129058584846106</c:v>
                </c:pt>
                <c:pt idx="50">
                  <c:v>66.344813385720812</c:v>
                </c:pt>
                <c:pt idx="51">
                  <c:v>68.644298316245354</c:v>
                </c:pt>
                <c:pt idx="52">
                  <c:v>68.651916231924091</c:v>
                </c:pt>
                <c:pt idx="53">
                  <c:v>70.865361787019751</c:v>
                </c:pt>
                <c:pt idx="54">
                  <c:v>73.420472673030062</c:v>
                </c:pt>
                <c:pt idx="55">
                  <c:v>72.82657718610001</c:v>
                </c:pt>
                <c:pt idx="56">
                  <c:v>72.903579993123003</c:v>
                </c:pt>
                <c:pt idx="57">
                  <c:v>73.460214676512166</c:v>
                </c:pt>
                <c:pt idx="58">
                  <c:v>73.216434207933801</c:v>
                </c:pt>
                <c:pt idx="59">
                  <c:v>71.658810887805103</c:v>
                </c:pt>
                <c:pt idx="60">
                  <c:v>71.866174896185257</c:v>
                </c:pt>
                <c:pt idx="61">
                  <c:v>70.298132736503419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24EA-417D-9FEF-816D9F694639}"/>
            </c:ext>
          </c:extLst>
        </c:ser>
        <c:ser>
          <c:idx val="34"/>
          <c:order val="33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Carlo'!$E$35:$BN$35</c:f>
              <c:numCache>
                <c:formatCode>General</c:formatCode>
                <c:ptCount val="62"/>
                <c:pt idx="1">
                  <c:v>60.99</c:v>
                </c:pt>
                <c:pt idx="2">
                  <c:v>61.259928636492639</c:v>
                </c:pt>
                <c:pt idx="3">
                  <c:v>60.824727821635484</c:v>
                </c:pt>
                <c:pt idx="4">
                  <c:v>60.926619215531922</c:v>
                </c:pt>
                <c:pt idx="5">
                  <c:v>62.811436317488727</c:v>
                </c:pt>
                <c:pt idx="6">
                  <c:v>62.587113349783472</c:v>
                </c:pt>
                <c:pt idx="7">
                  <c:v>62.145944446594527</c:v>
                </c:pt>
                <c:pt idx="8">
                  <c:v>63.804654305608857</c:v>
                </c:pt>
                <c:pt idx="9">
                  <c:v>64.416176165832226</c:v>
                </c:pt>
                <c:pt idx="10">
                  <c:v>64.216080221329833</c:v>
                </c:pt>
                <c:pt idx="11">
                  <c:v>64.341395173547156</c:v>
                </c:pt>
                <c:pt idx="12">
                  <c:v>64.30840075615167</c:v>
                </c:pt>
                <c:pt idx="13">
                  <c:v>65.008978572999567</c:v>
                </c:pt>
                <c:pt idx="14">
                  <c:v>65.969336791913662</c:v>
                </c:pt>
                <c:pt idx="15">
                  <c:v>62.215779430938838</c:v>
                </c:pt>
                <c:pt idx="16">
                  <c:v>62.148967189977107</c:v>
                </c:pt>
                <c:pt idx="17">
                  <c:v>63.11134248558615</c:v>
                </c:pt>
                <c:pt idx="18">
                  <c:v>62.170374420367565</c:v>
                </c:pt>
                <c:pt idx="19">
                  <c:v>62.449430729317307</c:v>
                </c:pt>
                <c:pt idx="20">
                  <c:v>63.771316171075277</c:v>
                </c:pt>
                <c:pt idx="21">
                  <c:v>64.442875303114704</c:v>
                </c:pt>
                <c:pt idx="22">
                  <c:v>64.044614163153298</c:v>
                </c:pt>
                <c:pt idx="23">
                  <c:v>64.053069978646121</c:v>
                </c:pt>
                <c:pt idx="24">
                  <c:v>61.85171505495186</c:v>
                </c:pt>
                <c:pt idx="25">
                  <c:v>63.676421099815514</c:v>
                </c:pt>
                <c:pt idx="26">
                  <c:v>63.513013668963268</c:v>
                </c:pt>
                <c:pt idx="27">
                  <c:v>62.281845339418567</c:v>
                </c:pt>
                <c:pt idx="28">
                  <c:v>63.720001802078684</c:v>
                </c:pt>
                <c:pt idx="29">
                  <c:v>64.953024250465404</c:v>
                </c:pt>
                <c:pt idx="30">
                  <c:v>65.156562408199989</c:v>
                </c:pt>
                <c:pt idx="31">
                  <c:v>62.540284183261413</c:v>
                </c:pt>
                <c:pt idx="32">
                  <c:v>63.09238202343478</c:v>
                </c:pt>
                <c:pt idx="33">
                  <c:v>64.661053064275478</c:v>
                </c:pt>
                <c:pt idx="34">
                  <c:v>64.120532346137153</c:v>
                </c:pt>
                <c:pt idx="35">
                  <c:v>63.000050404520223</c:v>
                </c:pt>
                <c:pt idx="36">
                  <c:v>65.535271732066988</c:v>
                </c:pt>
                <c:pt idx="37">
                  <c:v>63.698278934570936</c:v>
                </c:pt>
                <c:pt idx="38">
                  <c:v>63.121560422322716</c:v>
                </c:pt>
                <c:pt idx="39">
                  <c:v>64.446129517723151</c:v>
                </c:pt>
                <c:pt idx="40">
                  <c:v>64.142557128059678</c:v>
                </c:pt>
                <c:pt idx="41">
                  <c:v>66.00026790315313</c:v>
                </c:pt>
                <c:pt idx="42">
                  <c:v>65.566709262995204</c:v>
                </c:pt>
                <c:pt idx="43">
                  <c:v>65.011581776278803</c:v>
                </c:pt>
                <c:pt idx="44">
                  <c:v>66.284906166853261</c:v>
                </c:pt>
                <c:pt idx="45">
                  <c:v>64.327792177485165</c:v>
                </c:pt>
                <c:pt idx="46">
                  <c:v>65.133553671509461</c:v>
                </c:pt>
                <c:pt idx="47">
                  <c:v>66.701565570182083</c:v>
                </c:pt>
                <c:pt idx="48">
                  <c:v>68.72696309013142</c:v>
                </c:pt>
                <c:pt idx="49">
                  <c:v>67.576965634075151</c:v>
                </c:pt>
                <c:pt idx="50">
                  <c:v>68.580118784671839</c:v>
                </c:pt>
                <c:pt idx="51">
                  <c:v>67.199469408237661</c:v>
                </c:pt>
                <c:pt idx="52">
                  <c:v>68.488487858343305</c:v>
                </c:pt>
                <c:pt idx="53">
                  <c:v>68.825693565886297</c:v>
                </c:pt>
                <c:pt idx="54">
                  <c:v>69.120171050315307</c:v>
                </c:pt>
                <c:pt idx="55">
                  <c:v>68.642388008855534</c:v>
                </c:pt>
                <c:pt idx="56">
                  <c:v>66.942086628059599</c:v>
                </c:pt>
                <c:pt idx="57">
                  <c:v>65.77630113324831</c:v>
                </c:pt>
                <c:pt idx="58">
                  <c:v>64.248444131384332</c:v>
                </c:pt>
                <c:pt idx="59">
                  <c:v>63.744465875867725</c:v>
                </c:pt>
                <c:pt idx="60">
                  <c:v>64.157072574827225</c:v>
                </c:pt>
                <c:pt idx="61">
                  <c:v>63.190441419294331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24EA-417D-9FEF-816D9F694639}"/>
            </c:ext>
          </c:extLst>
        </c:ser>
        <c:ser>
          <c:idx val="35"/>
          <c:order val="34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Carlo'!$E$36:$BN$36</c:f>
              <c:numCache>
                <c:formatCode>General</c:formatCode>
                <c:ptCount val="62"/>
                <c:pt idx="1">
                  <c:v>60.99</c:v>
                </c:pt>
                <c:pt idx="2">
                  <c:v>62.628548470430175</c:v>
                </c:pt>
                <c:pt idx="3">
                  <c:v>62.401333052412951</c:v>
                </c:pt>
                <c:pt idx="4">
                  <c:v>63.004548856585849</c:v>
                </c:pt>
                <c:pt idx="5">
                  <c:v>63.626937839603919</c:v>
                </c:pt>
                <c:pt idx="6">
                  <c:v>64.720328171865603</c:v>
                </c:pt>
                <c:pt idx="7">
                  <c:v>63.960780590200088</c:v>
                </c:pt>
                <c:pt idx="8">
                  <c:v>65.186731233795413</c:v>
                </c:pt>
                <c:pt idx="9">
                  <c:v>64.913177181398126</c:v>
                </c:pt>
                <c:pt idx="10">
                  <c:v>65.144519081537126</c:v>
                </c:pt>
                <c:pt idx="11">
                  <c:v>64.345911757844874</c:v>
                </c:pt>
                <c:pt idx="12">
                  <c:v>65.082091604276386</c:v>
                </c:pt>
                <c:pt idx="13">
                  <c:v>65.058261851181143</c:v>
                </c:pt>
                <c:pt idx="14">
                  <c:v>66.56682857904002</c:v>
                </c:pt>
                <c:pt idx="15">
                  <c:v>66.162385580130163</c:v>
                </c:pt>
                <c:pt idx="16">
                  <c:v>67.405973272409099</c:v>
                </c:pt>
                <c:pt idx="17">
                  <c:v>66.716517024362687</c:v>
                </c:pt>
                <c:pt idx="18">
                  <c:v>68.972929869913088</c:v>
                </c:pt>
                <c:pt idx="19">
                  <c:v>69.695417761609761</c:v>
                </c:pt>
                <c:pt idx="20">
                  <c:v>71.166696465046286</c:v>
                </c:pt>
                <c:pt idx="21">
                  <c:v>69.14698680343993</c:v>
                </c:pt>
                <c:pt idx="22">
                  <c:v>68.210447752013721</c:v>
                </c:pt>
                <c:pt idx="23">
                  <c:v>68.066027385017748</c:v>
                </c:pt>
                <c:pt idx="24">
                  <c:v>70.29666706214384</c:v>
                </c:pt>
                <c:pt idx="25">
                  <c:v>71.023319043639077</c:v>
                </c:pt>
                <c:pt idx="26">
                  <c:v>71.214400351338369</c:v>
                </c:pt>
                <c:pt idx="27">
                  <c:v>70.976529347424119</c:v>
                </c:pt>
                <c:pt idx="28">
                  <c:v>72.133175332946664</c:v>
                </c:pt>
                <c:pt idx="29">
                  <c:v>73.383673357907895</c:v>
                </c:pt>
                <c:pt idx="30">
                  <c:v>74.696521308746355</c:v>
                </c:pt>
                <c:pt idx="31">
                  <c:v>77.469521721745878</c:v>
                </c:pt>
                <c:pt idx="32">
                  <c:v>77.843656371902867</c:v>
                </c:pt>
                <c:pt idx="33">
                  <c:v>78.80679861107761</c:v>
                </c:pt>
                <c:pt idx="34">
                  <c:v>77.804767336684804</c:v>
                </c:pt>
                <c:pt idx="35">
                  <c:v>79.644033884956315</c:v>
                </c:pt>
                <c:pt idx="36">
                  <c:v>82.701157936761334</c:v>
                </c:pt>
                <c:pt idx="37">
                  <c:v>84.682554726056139</c:v>
                </c:pt>
                <c:pt idx="38">
                  <c:v>85.185815499535508</c:v>
                </c:pt>
                <c:pt idx="39">
                  <c:v>80.742127904263469</c:v>
                </c:pt>
                <c:pt idx="40">
                  <c:v>79.826768959537247</c:v>
                </c:pt>
                <c:pt idx="41">
                  <c:v>81.932190599928148</c:v>
                </c:pt>
                <c:pt idx="42">
                  <c:v>81.225394695821649</c:v>
                </c:pt>
                <c:pt idx="43">
                  <c:v>82.141514106854956</c:v>
                </c:pt>
                <c:pt idx="44">
                  <c:v>83.00088880853869</c:v>
                </c:pt>
                <c:pt idx="45">
                  <c:v>82.649372485796505</c:v>
                </c:pt>
                <c:pt idx="46">
                  <c:v>83.131335581000741</c:v>
                </c:pt>
                <c:pt idx="47">
                  <c:v>85.047111234831092</c:v>
                </c:pt>
                <c:pt idx="48">
                  <c:v>82.720634772595361</c:v>
                </c:pt>
                <c:pt idx="49">
                  <c:v>82.760194901760428</c:v>
                </c:pt>
                <c:pt idx="50">
                  <c:v>80.804078572997113</c:v>
                </c:pt>
                <c:pt idx="51">
                  <c:v>77.617036536878715</c:v>
                </c:pt>
                <c:pt idx="52">
                  <c:v>76.300363047993741</c:v>
                </c:pt>
                <c:pt idx="53">
                  <c:v>74.930498885814217</c:v>
                </c:pt>
                <c:pt idx="54">
                  <c:v>76.221967783974861</c:v>
                </c:pt>
                <c:pt idx="55">
                  <c:v>74.717249467030072</c:v>
                </c:pt>
                <c:pt idx="56">
                  <c:v>75.610598634232943</c:v>
                </c:pt>
                <c:pt idx="57">
                  <c:v>75.356037505074795</c:v>
                </c:pt>
                <c:pt idx="58">
                  <c:v>76.138148830946832</c:v>
                </c:pt>
                <c:pt idx="59">
                  <c:v>78.03082687428919</c:v>
                </c:pt>
                <c:pt idx="60">
                  <c:v>76.536905673851365</c:v>
                </c:pt>
                <c:pt idx="61">
                  <c:v>75.004230700631638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24EA-417D-9FEF-816D9F694639}"/>
            </c:ext>
          </c:extLst>
        </c:ser>
        <c:ser>
          <c:idx val="36"/>
          <c:order val="35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Carlo'!$E$37:$BN$37</c:f>
              <c:numCache>
                <c:formatCode>General</c:formatCode>
                <c:ptCount val="62"/>
                <c:pt idx="1">
                  <c:v>60.99</c:v>
                </c:pt>
                <c:pt idx="2">
                  <c:v>60.780441401580539</c:v>
                </c:pt>
                <c:pt idx="3">
                  <c:v>60.823810978181442</c:v>
                </c:pt>
                <c:pt idx="4">
                  <c:v>62.900957933449845</c:v>
                </c:pt>
                <c:pt idx="5">
                  <c:v>61.202567802376045</c:v>
                </c:pt>
                <c:pt idx="6">
                  <c:v>63.295354231053892</c:v>
                </c:pt>
                <c:pt idx="7">
                  <c:v>65.467473926703562</c:v>
                </c:pt>
                <c:pt idx="8">
                  <c:v>65.292366601589748</c:v>
                </c:pt>
                <c:pt idx="9">
                  <c:v>67.031142806784459</c:v>
                </c:pt>
                <c:pt idx="10">
                  <c:v>71.40147479667894</c:v>
                </c:pt>
                <c:pt idx="11">
                  <c:v>72.163337693303816</c:v>
                </c:pt>
                <c:pt idx="12">
                  <c:v>72.938156376860022</c:v>
                </c:pt>
                <c:pt idx="13">
                  <c:v>72.491194028250405</c:v>
                </c:pt>
                <c:pt idx="14">
                  <c:v>72.19336730796995</c:v>
                </c:pt>
                <c:pt idx="15">
                  <c:v>74.24227773738653</c:v>
                </c:pt>
                <c:pt idx="16">
                  <c:v>73.38452801846762</c:v>
                </c:pt>
                <c:pt idx="17">
                  <c:v>71.131679540922747</c:v>
                </c:pt>
                <c:pt idx="18">
                  <c:v>69.415514746596315</c:v>
                </c:pt>
                <c:pt idx="19">
                  <c:v>70.291753058033621</c:v>
                </c:pt>
                <c:pt idx="20">
                  <c:v>70.683301207320213</c:v>
                </c:pt>
                <c:pt idx="21">
                  <c:v>71.466666342467477</c:v>
                </c:pt>
                <c:pt idx="22">
                  <c:v>70.140315155273456</c:v>
                </c:pt>
                <c:pt idx="23">
                  <c:v>72.283522691860668</c:v>
                </c:pt>
                <c:pt idx="24">
                  <c:v>72.487373051510204</c:v>
                </c:pt>
                <c:pt idx="25">
                  <c:v>71.064301901095675</c:v>
                </c:pt>
                <c:pt idx="26">
                  <c:v>70.970521355351451</c:v>
                </c:pt>
                <c:pt idx="27">
                  <c:v>69.851813256950763</c:v>
                </c:pt>
                <c:pt idx="28">
                  <c:v>71.082554117720235</c:v>
                </c:pt>
                <c:pt idx="29">
                  <c:v>69.38475067314296</c:v>
                </c:pt>
                <c:pt idx="30">
                  <c:v>69.508241200523841</c:v>
                </c:pt>
                <c:pt idx="31">
                  <c:v>70.362701303607466</c:v>
                </c:pt>
                <c:pt idx="32">
                  <c:v>69.926843978235709</c:v>
                </c:pt>
                <c:pt idx="33">
                  <c:v>69.679439469287914</c:v>
                </c:pt>
                <c:pt idx="34">
                  <c:v>69.915316403488902</c:v>
                </c:pt>
                <c:pt idx="35">
                  <c:v>70.416562636395525</c:v>
                </c:pt>
                <c:pt idx="36">
                  <c:v>70.44057397575655</c:v>
                </c:pt>
                <c:pt idx="37">
                  <c:v>71.632814586592573</c:v>
                </c:pt>
                <c:pt idx="38">
                  <c:v>70.781741536281118</c:v>
                </c:pt>
                <c:pt idx="39">
                  <c:v>71.052291872230114</c:v>
                </c:pt>
                <c:pt idx="40">
                  <c:v>72.49672448191285</c:v>
                </c:pt>
                <c:pt idx="41">
                  <c:v>72.569911424880303</c:v>
                </c:pt>
                <c:pt idx="42">
                  <c:v>74.486291142990567</c:v>
                </c:pt>
                <c:pt idx="43">
                  <c:v>74.585136510081384</c:v>
                </c:pt>
                <c:pt idx="44">
                  <c:v>74.657785943219594</c:v>
                </c:pt>
                <c:pt idx="45">
                  <c:v>73.32587086632843</c:v>
                </c:pt>
                <c:pt idx="46">
                  <c:v>72.287532429215659</c:v>
                </c:pt>
                <c:pt idx="47">
                  <c:v>73.483043825560884</c:v>
                </c:pt>
                <c:pt idx="48">
                  <c:v>73.560595780825651</c:v>
                </c:pt>
                <c:pt idx="49">
                  <c:v>73.211995698919765</c:v>
                </c:pt>
                <c:pt idx="50">
                  <c:v>74.410429926060445</c:v>
                </c:pt>
                <c:pt idx="51">
                  <c:v>73.581588568509943</c:v>
                </c:pt>
                <c:pt idx="52">
                  <c:v>73.362883500246298</c:v>
                </c:pt>
                <c:pt idx="53">
                  <c:v>73.821266270350748</c:v>
                </c:pt>
                <c:pt idx="54">
                  <c:v>73.814066252913108</c:v>
                </c:pt>
                <c:pt idx="55">
                  <c:v>76.924272828120607</c:v>
                </c:pt>
                <c:pt idx="56">
                  <c:v>77.114296939050604</c:v>
                </c:pt>
                <c:pt idx="57">
                  <c:v>80.155746190660267</c:v>
                </c:pt>
                <c:pt idx="58">
                  <c:v>79.393464658864673</c:v>
                </c:pt>
                <c:pt idx="59">
                  <c:v>79.431805767059942</c:v>
                </c:pt>
                <c:pt idx="60">
                  <c:v>81.497481707837153</c:v>
                </c:pt>
                <c:pt idx="61">
                  <c:v>80.805438127538523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24EA-417D-9FEF-816D9F694639}"/>
            </c:ext>
          </c:extLst>
        </c:ser>
        <c:ser>
          <c:idx val="37"/>
          <c:order val="36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Carlo'!$E$38:$BN$38</c:f>
              <c:numCache>
                <c:formatCode>General</c:formatCode>
                <c:ptCount val="62"/>
                <c:pt idx="1">
                  <c:v>60.99</c:v>
                </c:pt>
                <c:pt idx="2">
                  <c:v>62.971690756755422</c:v>
                </c:pt>
                <c:pt idx="3">
                  <c:v>62.408305720993177</c:v>
                </c:pt>
                <c:pt idx="4">
                  <c:v>62.528343155672147</c:v>
                </c:pt>
                <c:pt idx="5">
                  <c:v>61.292943626621302</c:v>
                </c:pt>
                <c:pt idx="6">
                  <c:v>62.819418923996508</c:v>
                </c:pt>
                <c:pt idx="7">
                  <c:v>64.25549101159595</c:v>
                </c:pt>
                <c:pt idx="8">
                  <c:v>63.578534651748122</c:v>
                </c:pt>
                <c:pt idx="9">
                  <c:v>65.092491083407381</c:v>
                </c:pt>
                <c:pt idx="10">
                  <c:v>63.973546515938914</c:v>
                </c:pt>
                <c:pt idx="11">
                  <c:v>64.558557102646219</c:v>
                </c:pt>
                <c:pt idx="12">
                  <c:v>64.456974352163869</c:v>
                </c:pt>
                <c:pt idx="13">
                  <c:v>62.991693714169251</c:v>
                </c:pt>
                <c:pt idx="14">
                  <c:v>64.618629914405162</c:v>
                </c:pt>
                <c:pt idx="15">
                  <c:v>64.090854230886038</c:v>
                </c:pt>
                <c:pt idx="16">
                  <c:v>64.077344770101917</c:v>
                </c:pt>
                <c:pt idx="17">
                  <c:v>61.655996312642479</c:v>
                </c:pt>
                <c:pt idx="18">
                  <c:v>62.593115463962157</c:v>
                </c:pt>
                <c:pt idx="19">
                  <c:v>61.559688232546698</c:v>
                </c:pt>
                <c:pt idx="20">
                  <c:v>63.921233798867974</c:v>
                </c:pt>
                <c:pt idx="21">
                  <c:v>65.879328523645128</c:v>
                </c:pt>
                <c:pt idx="22">
                  <c:v>64.416057462872843</c:v>
                </c:pt>
                <c:pt idx="23">
                  <c:v>64.754692126735307</c:v>
                </c:pt>
                <c:pt idx="24">
                  <c:v>65.092526012577139</c:v>
                </c:pt>
                <c:pt idx="25">
                  <c:v>66.19511698721216</c:v>
                </c:pt>
                <c:pt idx="26">
                  <c:v>67.367128068456211</c:v>
                </c:pt>
                <c:pt idx="27">
                  <c:v>65.572961197277863</c:v>
                </c:pt>
                <c:pt idx="28">
                  <c:v>65.120055968954347</c:v>
                </c:pt>
                <c:pt idx="29">
                  <c:v>66.049946049401228</c:v>
                </c:pt>
                <c:pt idx="30">
                  <c:v>67.48959013154186</c:v>
                </c:pt>
                <c:pt idx="31">
                  <c:v>65.059937455919936</c:v>
                </c:pt>
                <c:pt idx="32">
                  <c:v>65.209179866166025</c:v>
                </c:pt>
                <c:pt idx="33">
                  <c:v>66.399812439586626</c:v>
                </c:pt>
                <c:pt idx="34">
                  <c:v>68.573634258485797</c:v>
                </c:pt>
                <c:pt idx="35">
                  <c:v>67.995680067721864</c:v>
                </c:pt>
                <c:pt idx="36">
                  <c:v>68.134164999920955</c:v>
                </c:pt>
                <c:pt idx="37">
                  <c:v>66.413090143764748</c:v>
                </c:pt>
                <c:pt idx="38">
                  <c:v>67.070004329912706</c:v>
                </c:pt>
                <c:pt idx="39">
                  <c:v>67.50312451230198</c:v>
                </c:pt>
                <c:pt idx="40">
                  <c:v>67.596685302117564</c:v>
                </c:pt>
                <c:pt idx="41">
                  <c:v>68.683170710292032</c:v>
                </c:pt>
                <c:pt idx="42">
                  <c:v>69.608610828851312</c:v>
                </c:pt>
                <c:pt idx="43">
                  <c:v>68.023296150197993</c:v>
                </c:pt>
                <c:pt idx="44">
                  <c:v>68.352268691960816</c:v>
                </c:pt>
                <c:pt idx="45">
                  <c:v>68.173779668954339</c:v>
                </c:pt>
                <c:pt idx="46">
                  <c:v>68.517708525213678</c:v>
                </c:pt>
                <c:pt idx="47">
                  <c:v>68.551781565300914</c:v>
                </c:pt>
                <c:pt idx="48">
                  <c:v>68.823071310638483</c:v>
                </c:pt>
                <c:pt idx="49">
                  <c:v>68.865081663954797</c:v>
                </c:pt>
                <c:pt idx="50">
                  <c:v>68.277383547050604</c:v>
                </c:pt>
                <c:pt idx="51">
                  <c:v>67.204410037374203</c:v>
                </c:pt>
                <c:pt idx="52">
                  <c:v>65.207624390743135</c:v>
                </c:pt>
                <c:pt idx="53">
                  <c:v>67.222326189694314</c:v>
                </c:pt>
                <c:pt idx="54">
                  <c:v>64.808150468333892</c:v>
                </c:pt>
                <c:pt idx="55">
                  <c:v>63.861277487628882</c:v>
                </c:pt>
                <c:pt idx="56">
                  <c:v>63.911800615048293</c:v>
                </c:pt>
                <c:pt idx="57">
                  <c:v>63.940292986000792</c:v>
                </c:pt>
                <c:pt idx="58">
                  <c:v>64.368757858012415</c:v>
                </c:pt>
                <c:pt idx="59">
                  <c:v>63.933487343448718</c:v>
                </c:pt>
                <c:pt idx="60">
                  <c:v>64.693096566400229</c:v>
                </c:pt>
                <c:pt idx="61">
                  <c:v>64.372836696394813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24EA-417D-9FEF-816D9F694639}"/>
            </c:ext>
          </c:extLst>
        </c:ser>
        <c:ser>
          <c:idx val="38"/>
          <c:order val="37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Carlo'!$E$39:$BN$39</c:f>
              <c:numCache>
                <c:formatCode>General</c:formatCode>
                <c:ptCount val="62"/>
                <c:pt idx="1">
                  <c:v>60.99</c:v>
                </c:pt>
                <c:pt idx="2">
                  <c:v>63.599524478494807</c:v>
                </c:pt>
                <c:pt idx="3">
                  <c:v>65.158690436696688</c:v>
                </c:pt>
                <c:pt idx="4">
                  <c:v>64.752978422431056</c:v>
                </c:pt>
                <c:pt idx="5">
                  <c:v>66.042555312536578</c:v>
                </c:pt>
                <c:pt idx="6">
                  <c:v>66.556297141165601</c:v>
                </c:pt>
                <c:pt idx="7">
                  <c:v>64.715142557336961</c:v>
                </c:pt>
                <c:pt idx="8">
                  <c:v>63.49756923818088</c:v>
                </c:pt>
                <c:pt idx="9">
                  <c:v>61.163435627985251</c:v>
                </c:pt>
                <c:pt idx="10">
                  <c:v>60.492482683168333</c:v>
                </c:pt>
                <c:pt idx="11">
                  <c:v>60.422000159719389</c:v>
                </c:pt>
                <c:pt idx="12">
                  <c:v>61.144953946971405</c:v>
                </c:pt>
                <c:pt idx="13">
                  <c:v>60.765900709289177</c:v>
                </c:pt>
                <c:pt idx="14">
                  <c:v>60.022228954077853</c:v>
                </c:pt>
                <c:pt idx="15">
                  <c:v>61.177476235583605</c:v>
                </c:pt>
                <c:pt idx="16">
                  <c:v>60.658129379707127</c:v>
                </c:pt>
                <c:pt idx="17">
                  <c:v>61.608239692904043</c:v>
                </c:pt>
                <c:pt idx="18">
                  <c:v>59.248536723874309</c:v>
                </c:pt>
                <c:pt idx="19">
                  <c:v>59.971247906068442</c:v>
                </c:pt>
                <c:pt idx="20">
                  <c:v>58.907658560091811</c:v>
                </c:pt>
                <c:pt idx="21">
                  <c:v>57.997270250051095</c:v>
                </c:pt>
                <c:pt idx="22">
                  <c:v>55.733069351936955</c:v>
                </c:pt>
                <c:pt idx="23">
                  <c:v>55.866950093464247</c:v>
                </c:pt>
                <c:pt idx="24">
                  <c:v>56.15356861024933</c:v>
                </c:pt>
                <c:pt idx="25">
                  <c:v>57.114864387250321</c:v>
                </c:pt>
                <c:pt idx="26">
                  <c:v>57.466088132312898</c:v>
                </c:pt>
                <c:pt idx="27">
                  <c:v>57.087457370058246</c:v>
                </c:pt>
                <c:pt idx="28">
                  <c:v>56.742114806264006</c:v>
                </c:pt>
                <c:pt idx="29">
                  <c:v>57.711605056726881</c:v>
                </c:pt>
                <c:pt idx="30">
                  <c:v>57.52007379892256</c:v>
                </c:pt>
                <c:pt idx="31">
                  <c:v>56.463786237766087</c:v>
                </c:pt>
                <c:pt idx="32">
                  <c:v>56.023032187544771</c:v>
                </c:pt>
                <c:pt idx="33">
                  <c:v>57.491867994594799</c:v>
                </c:pt>
                <c:pt idx="34">
                  <c:v>56.238037996375574</c:v>
                </c:pt>
                <c:pt idx="35">
                  <c:v>58.038716603668909</c:v>
                </c:pt>
                <c:pt idx="36">
                  <c:v>59.395437046186366</c:v>
                </c:pt>
                <c:pt idx="37">
                  <c:v>59.591628041824421</c:v>
                </c:pt>
                <c:pt idx="38">
                  <c:v>60.09432745637362</c:v>
                </c:pt>
                <c:pt idx="39">
                  <c:v>59.483184290415792</c:v>
                </c:pt>
                <c:pt idx="40">
                  <c:v>61.63198423502682</c:v>
                </c:pt>
                <c:pt idx="41">
                  <c:v>61.882934934325732</c:v>
                </c:pt>
                <c:pt idx="42">
                  <c:v>61.018635005977373</c:v>
                </c:pt>
                <c:pt idx="43">
                  <c:v>60.750194286428041</c:v>
                </c:pt>
                <c:pt idx="44">
                  <c:v>63.094109114870299</c:v>
                </c:pt>
                <c:pt idx="45">
                  <c:v>62.066941780436792</c:v>
                </c:pt>
                <c:pt idx="46">
                  <c:v>58.938050171150117</c:v>
                </c:pt>
                <c:pt idx="47">
                  <c:v>59.046854634478223</c:v>
                </c:pt>
                <c:pt idx="48">
                  <c:v>57.938439802663197</c:v>
                </c:pt>
                <c:pt idx="49">
                  <c:v>57.37815150580785</c:v>
                </c:pt>
                <c:pt idx="50">
                  <c:v>56.827018656359684</c:v>
                </c:pt>
                <c:pt idx="51">
                  <c:v>57.315965757627303</c:v>
                </c:pt>
                <c:pt idx="52">
                  <c:v>57.633583229489254</c:v>
                </c:pt>
                <c:pt idx="53">
                  <c:v>58.396582856866218</c:v>
                </c:pt>
                <c:pt idx="54">
                  <c:v>59.195841326816058</c:v>
                </c:pt>
                <c:pt idx="55">
                  <c:v>58.356900797918399</c:v>
                </c:pt>
                <c:pt idx="56">
                  <c:v>58.790959544535397</c:v>
                </c:pt>
                <c:pt idx="57">
                  <c:v>58.208578590196836</c:v>
                </c:pt>
                <c:pt idx="58">
                  <c:v>59.748559655418184</c:v>
                </c:pt>
                <c:pt idx="59">
                  <c:v>58.608123618517304</c:v>
                </c:pt>
                <c:pt idx="60">
                  <c:v>59.29416669790993</c:v>
                </c:pt>
                <c:pt idx="61">
                  <c:v>58.740073994117012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24EA-417D-9FEF-816D9F694639}"/>
            </c:ext>
          </c:extLst>
        </c:ser>
        <c:ser>
          <c:idx val="39"/>
          <c:order val="38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Carlo'!$E$40:$BN$40</c:f>
              <c:numCache>
                <c:formatCode>General</c:formatCode>
                <c:ptCount val="62"/>
                <c:pt idx="1">
                  <c:v>60.99</c:v>
                </c:pt>
                <c:pt idx="2">
                  <c:v>61.41494206235808</c:v>
                </c:pt>
                <c:pt idx="3">
                  <c:v>63.631262683756837</c:v>
                </c:pt>
                <c:pt idx="4">
                  <c:v>63.730364888348859</c:v>
                </c:pt>
                <c:pt idx="5">
                  <c:v>63.28028529758145</c:v>
                </c:pt>
                <c:pt idx="6">
                  <c:v>63.241733785716079</c:v>
                </c:pt>
                <c:pt idx="7">
                  <c:v>62.885755800545638</c:v>
                </c:pt>
                <c:pt idx="8">
                  <c:v>63.665467225766449</c:v>
                </c:pt>
                <c:pt idx="9">
                  <c:v>64.165396381998221</c:v>
                </c:pt>
                <c:pt idx="10">
                  <c:v>63.804727534204417</c:v>
                </c:pt>
                <c:pt idx="11">
                  <c:v>63.543104974779681</c:v>
                </c:pt>
                <c:pt idx="12">
                  <c:v>62.845036383347839</c:v>
                </c:pt>
                <c:pt idx="13">
                  <c:v>62.212882913812528</c:v>
                </c:pt>
                <c:pt idx="14">
                  <c:v>63.643652861227494</c:v>
                </c:pt>
                <c:pt idx="15">
                  <c:v>63.95507368156408</c:v>
                </c:pt>
                <c:pt idx="16">
                  <c:v>63.776060357098871</c:v>
                </c:pt>
                <c:pt idx="17">
                  <c:v>62.811654762396017</c:v>
                </c:pt>
                <c:pt idx="18">
                  <c:v>62.32165505468663</c:v>
                </c:pt>
                <c:pt idx="19">
                  <c:v>61.018813545051678</c:v>
                </c:pt>
                <c:pt idx="20">
                  <c:v>61.474752239666515</c:v>
                </c:pt>
                <c:pt idx="21">
                  <c:v>61.026852905598204</c:v>
                </c:pt>
                <c:pt idx="22">
                  <c:v>62.457580713155245</c:v>
                </c:pt>
                <c:pt idx="23">
                  <c:v>63.120697354317223</c:v>
                </c:pt>
                <c:pt idx="24">
                  <c:v>62.659200954050085</c:v>
                </c:pt>
                <c:pt idx="25">
                  <c:v>60.819852879669064</c:v>
                </c:pt>
                <c:pt idx="26">
                  <c:v>60.052956742414118</c:v>
                </c:pt>
                <c:pt idx="27">
                  <c:v>59.964758286674574</c:v>
                </c:pt>
                <c:pt idx="28">
                  <c:v>60.394977314317806</c:v>
                </c:pt>
                <c:pt idx="29">
                  <c:v>61.014352917649987</c:v>
                </c:pt>
                <c:pt idx="30">
                  <c:v>59.820831964421721</c:v>
                </c:pt>
                <c:pt idx="31">
                  <c:v>60.928448191695587</c:v>
                </c:pt>
                <c:pt idx="32">
                  <c:v>60.837052044539732</c:v>
                </c:pt>
                <c:pt idx="33">
                  <c:v>60.417526727667472</c:v>
                </c:pt>
                <c:pt idx="34">
                  <c:v>61.49049577573021</c:v>
                </c:pt>
                <c:pt idx="35">
                  <c:v>60.845968581574084</c:v>
                </c:pt>
                <c:pt idx="36">
                  <c:v>60.943168922347695</c:v>
                </c:pt>
                <c:pt idx="37">
                  <c:v>60.087346482913219</c:v>
                </c:pt>
                <c:pt idx="38">
                  <c:v>59.800054731348204</c:v>
                </c:pt>
                <c:pt idx="39">
                  <c:v>59.892113251030523</c:v>
                </c:pt>
                <c:pt idx="40">
                  <c:v>57.576727632476157</c:v>
                </c:pt>
                <c:pt idx="41">
                  <c:v>58.597315159305801</c:v>
                </c:pt>
                <c:pt idx="42">
                  <c:v>57.955165781857687</c:v>
                </c:pt>
                <c:pt idx="43">
                  <c:v>57.859259748661309</c:v>
                </c:pt>
                <c:pt idx="44">
                  <c:v>57.813762763851663</c:v>
                </c:pt>
                <c:pt idx="45">
                  <c:v>57.863812960092623</c:v>
                </c:pt>
                <c:pt idx="46">
                  <c:v>56.411377127885949</c:v>
                </c:pt>
                <c:pt idx="47">
                  <c:v>57.779928582076508</c:v>
                </c:pt>
                <c:pt idx="48">
                  <c:v>57.44896172481225</c:v>
                </c:pt>
                <c:pt idx="49">
                  <c:v>60.882441745830775</c:v>
                </c:pt>
                <c:pt idx="50">
                  <c:v>61.062681424493285</c:v>
                </c:pt>
                <c:pt idx="51">
                  <c:v>61.18200528558333</c:v>
                </c:pt>
                <c:pt idx="52">
                  <c:v>59.830741153808148</c:v>
                </c:pt>
                <c:pt idx="53">
                  <c:v>59.776373936570252</c:v>
                </c:pt>
                <c:pt idx="54">
                  <c:v>60.599016093084252</c:v>
                </c:pt>
                <c:pt idx="55">
                  <c:v>59.627617448960876</c:v>
                </c:pt>
                <c:pt idx="56">
                  <c:v>59.774480891290374</c:v>
                </c:pt>
                <c:pt idx="57">
                  <c:v>60.507483899761105</c:v>
                </c:pt>
                <c:pt idx="58">
                  <c:v>59.224128923145386</c:v>
                </c:pt>
                <c:pt idx="59">
                  <c:v>58.285396435093645</c:v>
                </c:pt>
                <c:pt idx="60">
                  <c:v>57.052991511796201</c:v>
                </c:pt>
                <c:pt idx="61">
                  <c:v>56.952145571917953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24EA-417D-9FEF-816D9F694639}"/>
            </c:ext>
          </c:extLst>
        </c:ser>
        <c:ser>
          <c:idx val="40"/>
          <c:order val="39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Carlo'!$E$41:$BN$41</c:f>
              <c:numCache>
                <c:formatCode>General</c:formatCode>
                <c:ptCount val="62"/>
                <c:pt idx="1">
                  <c:v>60.99</c:v>
                </c:pt>
                <c:pt idx="2">
                  <c:v>61.964889300607197</c:v>
                </c:pt>
                <c:pt idx="3">
                  <c:v>62.956077746905372</c:v>
                </c:pt>
                <c:pt idx="4">
                  <c:v>64.047158463065131</c:v>
                </c:pt>
                <c:pt idx="5">
                  <c:v>64.293309906394981</c:v>
                </c:pt>
                <c:pt idx="6">
                  <c:v>64.300490727250761</c:v>
                </c:pt>
                <c:pt idx="7">
                  <c:v>65.828021054269897</c:v>
                </c:pt>
                <c:pt idx="8">
                  <c:v>66.417700346832262</c:v>
                </c:pt>
                <c:pt idx="9">
                  <c:v>67.080873024275718</c:v>
                </c:pt>
                <c:pt idx="10">
                  <c:v>68.913566752780355</c:v>
                </c:pt>
                <c:pt idx="11">
                  <c:v>69.945255839472964</c:v>
                </c:pt>
                <c:pt idx="12">
                  <c:v>71.828498095380866</c:v>
                </c:pt>
                <c:pt idx="13">
                  <c:v>71.771931301199459</c:v>
                </c:pt>
                <c:pt idx="14">
                  <c:v>71.11067587344165</c:v>
                </c:pt>
                <c:pt idx="15">
                  <c:v>71.976872960471667</c:v>
                </c:pt>
                <c:pt idx="16">
                  <c:v>71.830550098799947</c:v>
                </c:pt>
                <c:pt idx="17">
                  <c:v>72.413060126197308</c:v>
                </c:pt>
                <c:pt idx="18">
                  <c:v>72.559070134303383</c:v>
                </c:pt>
                <c:pt idx="19">
                  <c:v>71.156784400836983</c:v>
                </c:pt>
                <c:pt idx="20">
                  <c:v>70.152279018568677</c:v>
                </c:pt>
                <c:pt idx="21">
                  <c:v>68.435486355377961</c:v>
                </c:pt>
                <c:pt idx="22">
                  <c:v>67.662317144479417</c:v>
                </c:pt>
                <c:pt idx="23">
                  <c:v>70.230818656984226</c:v>
                </c:pt>
                <c:pt idx="24">
                  <c:v>67.536554528451518</c:v>
                </c:pt>
                <c:pt idx="25">
                  <c:v>66.477075144233126</c:v>
                </c:pt>
                <c:pt idx="26">
                  <c:v>65.738754781526595</c:v>
                </c:pt>
                <c:pt idx="27">
                  <c:v>65.386443810331386</c:v>
                </c:pt>
                <c:pt idx="28">
                  <c:v>65.33987422053292</c:v>
                </c:pt>
                <c:pt idx="29">
                  <c:v>66.439668390928858</c:v>
                </c:pt>
                <c:pt idx="30">
                  <c:v>69.693159854549421</c:v>
                </c:pt>
                <c:pt idx="31">
                  <c:v>69.401811351328718</c:v>
                </c:pt>
                <c:pt idx="32">
                  <c:v>71.089372993062412</c:v>
                </c:pt>
                <c:pt idx="33">
                  <c:v>69.303145156967787</c:v>
                </c:pt>
                <c:pt idx="34">
                  <c:v>69.386727427833534</c:v>
                </c:pt>
                <c:pt idx="35">
                  <c:v>67.00718461238192</c:v>
                </c:pt>
                <c:pt idx="36">
                  <c:v>64.583947518330135</c:v>
                </c:pt>
                <c:pt idx="37">
                  <c:v>66.647643604762479</c:v>
                </c:pt>
                <c:pt idx="38">
                  <c:v>65.4406271548756</c:v>
                </c:pt>
                <c:pt idx="39">
                  <c:v>67.216822846387402</c:v>
                </c:pt>
                <c:pt idx="40">
                  <c:v>67.648765528467024</c:v>
                </c:pt>
                <c:pt idx="41">
                  <c:v>68.328313230906545</c:v>
                </c:pt>
                <c:pt idx="42">
                  <c:v>71.765266567840399</c:v>
                </c:pt>
                <c:pt idx="43">
                  <c:v>73.284719771387344</c:v>
                </c:pt>
                <c:pt idx="44">
                  <c:v>73.726861617529792</c:v>
                </c:pt>
                <c:pt idx="45">
                  <c:v>73.498111302753159</c:v>
                </c:pt>
                <c:pt idx="46">
                  <c:v>74.463447956594521</c:v>
                </c:pt>
                <c:pt idx="47">
                  <c:v>74.669172978943791</c:v>
                </c:pt>
                <c:pt idx="48">
                  <c:v>74.86958621002006</c:v>
                </c:pt>
                <c:pt idx="49">
                  <c:v>73.068493400407149</c:v>
                </c:pt>
                <c:pt idx="50">
                  <c:v>72.95834383297553</c:v>
                </c:pt>
                <c:pt idx="51">
                  <c:v>72.77733540355193</c:v>
                </c:pt>
                <c:pt idx="52">
                  <c:v>74.436526950530705</c:v>
                </c:pt>
                <c:pt idx="53">
                  <c:v>71.452296120503561</c:v>
                </c:pt>
                <c:pt idx="54">
                  <c:v>70.762073175054169</c:v>
                </c:pt>
                <c:pt idx="55">
                  <c:v>71.692099560322831</c:v>
                </c:pt>
                <c:pt idx="56">
                  <c:v>70.473173239187261</c:v>
                </c:pt>
                <c:pt idx="57">
                  <c:v>69.781176820113046</c:v>
                </c:pt>
                <c:pt idx="58">
                  <c:v>72.088509234281503</c:v>
                </c:pt>
                <c:pt idx="59">
                  <c:v>71.36753873942709</c:v>
                </c:pt>
                <c:pt idx="60">
                  <c:v>70.553080008917377</c:v>
                </c:pt>
                <c:pt idx="61">
                  <c:v>70.594436096087179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24EA-417D-9FEF-816D9F694639}"/>
            </c:ext>
          </c:extLst>
        </c:ser>
        <c:ser>
          <c:idx val="41"/>
          <c:order val="40"/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Carlo'!$E$42:$BN$42</c:f>
              <c:numCache>
                <c:formatCode>General</c:formatCode>
                <c:ptCount val="62"/>
                <c:pt idx="1">
                  <c:v>60.99</c:v>
                </c:pt>
                <c:pt idx="2">
                  <c:v>62.389166132069448</c:v>
                </c:pt>
                <c:pt idx="3">
                  <c:v>62.208842289448199</c:v>
                </c:pt>
                <c:pt idx="4">
                  <c:v>64.006262102230053</c:v>
                </c:pt>
                <c:pt idx="5">
                  <c:v>63.804897870315294</c:v>
                </c:pt>
                <c:pt idx="6">
                  <c:v>61.782609527960851</c:v>
                </c:pt>
                <c:pt idx="7">
                  <c:v>63.223473606068737</c:v>
                </c:pt>
                <c:pt idx="8">
                  <c:v>64.415189482761306</c:v>
                </c:pt>
                <c:pt idx="9">
                  <c:v>63.841590175992529</c:v>
                </c:pt>
                <c:pt idx="10">
                  <c:v>62.79726191004967</c:v>
                </c:pt>
                <c:pt idx="11">
                  <c:v>64.37672517716085</c:v>
                </c:pt>
                <c:pt idx="12">
                  <c:v>67.38249547402387</c:v>
                </c:pt>
                <c:pt idx="13">
                  <c:v>66.805233303412365</c:v>
                </c:pt>
                <c:pt idx="14">
                  <c:v>66.319497397933077</c:v>
                </c:pt>
                <c:pt idx="15">
                  <c:v>65.076261433074009</c:v>
                </c:pt>
                <c:pt idx="16">
                  <c:v>66.047067268838191</c:v>
                </c:pt>
                <c:pt idx="17">
                  <c:v>68.000568955302654</c:v>
                </c:pt>
                <c:pt idx="18">
                  <c:v>70.998547209848269</c:v>
                </c:pt>
                <c:pt idx="19">
                  <c:v>70.587822470388573</c:v>
                </c:pt>
                <c:pt idx="20">
                  <c:v>69.559888361567502</c:v>
                </c:pt>
                <c:pt idx="21">
                  <c:v>69.334833985706354</c:v>
                </c:pt>
                <c:pt idx="22">
                  <c:v>69.408687159649588</c:v>
                </c:pt>
                <c:pt idx="23">
                  <c:v>70.389850425660867</c:v>
                </c:pt>
                <c:pt idx="24">
                  <c:v>69.108224843160073</c:v>
                </c:pt>
                <c:pt idx="25">
                  <c:v>70.368914619140938</c:v>
                </c:pt>
                <c:pt idx="26">
                  <c:v>73.051120520041323</c:v>
                </c:pt>
                <c:pt idx="27">
                  <c:v>74.44008321740337</c:v>
                </c:pt>
                <c:pt idx="28">
                  <c:v>75.407799704051513</c:v>
                </c:pt>
                <c:pt idx="29">
                  <c:v>77.01772438467853</c:v>
                </c:pt>
                <c:pt idx="30">
                  <c:v>76.677729253085715</c:v>
                </c:pt>
                <c:pt idx="31">
                  <c:v>76.65199216055359</c:v>
                </c:pt>
                <c:pt idx="32">
                  <c:v>75.921830896960969</c:v>
                </c:pt>
                <c:pt idx="33">
                  <c:v>76.644767316276869</c:v>
                </c:pt>
                <c:pt idx="34">
                  <c:v>77.660029739993419</c:v>
                </c:pt>
                <c:pt idx="35">
                  <c:v>77.407938181033401</c:v>
                </c:pt>
                <c:pt idx="36">
                  <c:v>76.481323277310921</c:v>
                </c:pt>
                <c:pt idx="37">
                  <c:v>76.436942356135418</c:v>
                </c:pt>
                <c:pt idx="38">
                  <c:v>78.75150607926598</c:v>
                </c:pt>
                <c:pt idx="39">
                  <c:v>79.336308261117964</c:v>
                </c:pt>
                <c:pt idx="40">
                  <c:v>80.063385900360444</c:v>
                </c:pt>
                <c:pt idx="41">
                  <c:v>79.804923689550904</c:v>
                </c:pt>
                <c:pt idx="42">
                  <c:v>77.987851424146243</c:v>
                </c:pt>
                <c:pt idx="43">
                  <c:v>78.013066752830468</c:v>
                </c:pt>
                <c:pt idx="44">
                  <c:v>78.916850339450036</c:v>
                </c:pt>
                <c:pt idx="45">
                  <c:v>79.525586421641009</c:v>
                </c:pt>
                <c:pt idx="46">
                  <c:v>78.629532443359864</c:v>
                </c:pt>
                <c:pt idx="47">
                  <c:v>80.195948218747162</c:v>
                </c:pt>
                <c:pt idx="48">
                  <c:v>80.767164837739941</c:v>
                </c:pt>
                <c:pt idx="49">
                  <c:v>82.81716151184105</c:v>
                </c:pt>
                <c:pt idx="50">
                  <c:v>82.483466662100142</c:v>
                </c:pt>
                <c:pt idx="51">
                  <c:v>81.509657882654508</c:v>
                </c:pt>
                <c:pt idx="52">
                  <c:v>79.548214481857144</c:v>
                </c:pt>
                <c:pt idx="53">
                  <c:v>79.383745861613647</c:v>
                </c:pt>
                <c:pt idx="54">
                  <c:v>79.82670657186739</c:v>
                </c:pt>
                <c:pt idx="55">
                  <c:v>81.149341467103227</c:v>
                </c:pt>
                <c:pt idx="56">
                  <c:v>82.247390049111829</c:v>
                </c:pt>
                <c:pt idx="57">
                  <c:v>81.341667010787532</c:v>
                </c:pt>
                <c:pt idx="58">
                  <c:v>77.71881591778525</c:v>
                </c:pt>
                <c:pt idx="59">
                  <c:v>76.681361121674939</c:v>
                </c:pt>
                <c:pt idx="60">
                  <c:v>76.920000124507169</c:v>
                </c:pt>
                <c:pt idx="61">
                  <c:v>75.739075027683583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24EA-417D-9FEF-816D9F694639}"/>
            </c:ext>
          </c:extLst>
        </c:ser>
        <c:ser>
          <c:idx val="42"/>
          <c:order val="41"/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Carlo'!$E$43:$BN$43</c:f>
              <c:numCache>
                <c:formatCode>General</c:formatCode>
                <c:ptCount val="62"/>
                <c:pt idx="1">
                  <c:v>60.99</c:v>
                </c:pt>
                <c:pt idx="2">
                  <c:v>60.639644352091551</c:v>
                </c:pt>
                <c:pt idx="3">
                  <c:v>61.602295960857568</c:v>
                </c:pt>
                <c:pt idx="4">
                  <c:v>62.045478680484607</c:v>
                </c:pt>
                <c:pt idx="5">
                  <c:v>63.140867276109873</c:v>
                </c:pt>
                <c:pt idx="6">
                  <c:v>63.795548453644827</c:v>
                </c:pt>
                <c:pt idx="7">
                  <c:v>63.264390873134339</c:v>
                </c:pt>
                <c:pt idx="8">
                  <c:v>61.942639607950404</c:v>
                </c:pt>
                <c:pt idx="9">
                  <c:v>63.213674063352165</c:v>
                </c:pt>
                <c:pt idx="10">
                  <c:v>63.591696459103538</c:v>
                </c:pt>
                <c:pt idx="11">
                  <c:v>63.663810280095987</c:v>
                </c:pt>
                <c:pt idx="12">
                  <c:v>61.89538788176182</c:v>
                </c:pt>
                <c:pt idx="13">
                  <c:v>62.197494871919616</c:v>
                </c:pt>
                <c:pt idx="14">
                  <c:v>64.190135717665868</c:v>
                </c:pt>
                <c:pt idx="15">
                  <c:v>64.85266362112408</c:v>
                </c:pt>
                <c:pt idx="16">
                  <c:v>63.583531924852238</c:v>
                </c:pt>
                <c:pt idx="17">
                  <c:v>61.383145723134824</c:v>
                </c:pt>
                <c:pt idx="18">
                  <c:v>61.455113917840954</c:v>
                </c:pt>
                <c:pt idx="19">
                  <c:v>60.147158894824813</c:v>
                </c:pt>
                <c:pt idx="20">
                  <c:v>60.857231974473216</c:v>
                </c:pt>
                <c:pt idx="21">
                  <c:v>60.76093408723716</c:v>
                </c:pt>
                <c:pt idx="22">
                  <c:v>62.302497246617627</c:v>
                </c:pt>
                <c:pt idx="23">
                  <c:v>60.556589889385812</c:v>
                </c:pt>
                <c:pt idx="24">
                  <c:v>59.830784979633563</c:v>
                </c:pt>
                <c:pt idx="25">
                  <c:v>60.542927080373616</c:v>
                </c:pt>
                <c:pt idx="26">
                  <c:v>60.178523660855454</c:v>
                </c:pt>
                <c:pt idx="27">
                  <c:v>62.039006186044695</c:v>
                </c:pt>
                <c:pt idx="28">
                  <c:v>61.470969455571954</c:v>
                </c:pt>
                <c:pt idx="29">
                  <c:v>61.866007758137769</c:v>
                </c:pt>
                <c:pt idx="30">
                  <c:v>63.638078257915069</c:v>
                </c:pt>
                <c:pt idx="31">
                  <c:v>65.023504117552164</c:v>
                </c:pt>
                <c:pt idx="32">
                  <c:v>66.308285917095347</c:v>
                </c:pt>
                <c:pt idx="33">
                  <c:v>66.779061162696749</c:v>
                </c:pt>
                <c:pt idx="34">
                  <c:v>68.203551807316657</c:v>
                </c:pt>
                <c:pt idx="35">
                  <c:v>67.893062542313004</c:v>
                </c:pt>
                <c:pt idx="36">
                  <c:v>68.457483839231628</c:v>
                </c:pt>
                <c:pt idx="37">
                  <c:v>69.07846003535677</c:v>
                </c:pt>
                <c:pt idx="38">
                  <c:v>69.625151715432551</c:v>
                </c:pt>
                <c:pt idx="39">
                  <c:v>68.416061944524301</c:v>
                </c:pt>
                <c:pt idx="40">
                  <c:v>69.345206843442341</c:v>
                </c:pt>
                <c:pt idx="41">
                  <c:v>70.717999535636153</c:v>
                </c:pt>
                <c:pt idx="42">
                  <c:v>68.001547204382632</c:v>
                </c:pt>
                <c:pt idx="43">
                  <c:v>69.855548090857454</c:v>
                </c:pt>
                <c:pt idx="44">
                  <c:v>70.331260430536531</c:v>
                </c:pt>
                <c:pt idx="45">
                  <c:v>68.866154145485851</c:v>
                </c:pt>
                <c:pt idx="46">
                  <c:v>69.862439650224914</c:v>
                </c:pt>
                <c:pt idx="47">
                  <c:v>69.804313479669048</c:v>
                </c:pt>
                <c:pt idx="48">
                  <c:v>69.483860039405329</c:v>
                </c:pt>
                <c:pt idx="49">
                  <c:v>68.595907834294565</c:v>
                </c:pt>
                <c:pt idx="50">
                  <c:v>72.241872603437869</c:v>
                </c:pt>
                <c:pt idx="51">
                  <c:v>74.240821741745322</c:v>
                </c:pt>
                <c:pt idx="52">
                  <c:v>74.922234202850291</c:v>
                </c:pt>
                <c:pt idx="53">
                  <c:v>72.808822643675683</c:v>
                </c:pt>
                <c:pt idx="54">
                  <c:v>73.691498290667667</c:v>
                </c:pt>
                <c:pt idx="55">
                  <c:v>75.149396718686319</c:v>
                </c:pt>
                <c:pt idx="56">
                  <c:v>77.386378074442064</c:v>
                </c:pt>
                <c:pt idx="57">
                  <c:v>76.899005946408636</c:v>
                </c:pt>
                <c:pt idx="58">
                  <c:v>74.607196817803498</c:v>
                </c:pt>
                <c:pt idx="59">
                  <c:v>74.659458889761353</c:v>
                </c:pt>
                <c:pt idx="60">
                  <c:v>72.192560209923997</c:v>
                </c:pt>
                <c:pt idx="61">
                  <c:v>73.000866460914494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24EA-417D-9FEF-816D9F694639}"/>
            </c:ext>
          </c:extLst>
        </c:ser>
        <c:ser>
          <c:idx val="43"/>
          <c:order val="42"/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Carlo'!$E$44:$BN$44</c:f>
              <c:numCache>
                <c:formatCode>General</c:formatCode>
                <c:ptCount val="62"/>
                <c:pt idx="1">
                  <c:v>60.99</c:v>
                </c:pt>
                <c:pt idx="2">
                  <c:v>61.659043476399333</c:v>
                </c:pt>
                <c:pt idx="3">
                  <c:v>60.334160389302689</c:v>
                </c:pt>
                <c:pt idx="4">
                  <c:v>61.575665245365386</c:v>
                </c:pt>
                <c:pt idx="5">
                  <c:v>60.215747051183648</c:v>
                </c:pt>
                <c:pt idx="6">
                  <c:v>62.108220002337468</c:v>
                </c:pt>
                <c:pt idx="7">
                  <c:v>62.883684737713175</c:v>
                </c:pt>
                <c:pt idx="8">
                  <c:v>62.127805391799221</c:v>
                </c:pt>
                <c:pt idx="9">
                  <c:v>62.503450830385844</c:v>
                </c:pt>
                <c:pt idx="10">
                  <c:v>60.849471585201044</c:v>
                </c:pt>
                <c:pt idx="11">
                  <c:v>57.585460555198686</c:v>
                </c:pt>
                <c:pt idx="12">
                  <c:v>59.204753692710675</c:v>
                </c:pt>
                <c:pt idx="13">
                  <c:v>58.521477242577973</c:v>
                </c:pt>
                <c:pt idx="14">
                  <c:v>59.962319796237367</c:v>
                </c:pt>
                <c:pt idx="15">
                  <c:v>60.80163686029573</c:v>
                </c:pt>
                <c:pt idx="16">
                  <c:v>62.14236685167856</c:v>
                </c:pt>
                <c:pt idx="17">
                  <c:v>61.987266219056622</c:v>
                </c:pt>
                <c:pt idx="18">
                  <c:v>61.385869819170523</c:v>
                </c:pt>
                <c:pt idx="19">
                  <c:v>61.734706502855367</c:v>
                </c:pt>
                <c:pt idx="20">
                  <c:v>63.21189336107166</c:v>
                </c:pt>
                <c:pt idx="21">
                  <c:v>62.705252378441806</c:v>
                </c:pt>
                <c:pt idx="22">
                  <c:v>61.220624515053856</c:v>
                </c:pt>
                <c:pt idx="23">
                  <c:v>63.801652401474968</c:v>
                </c:pt>
                <c:pt idx="24">
                  <c:v>63.255438233927414</c:v>
                </c:pt>
                <c:pt idx="25">
                  <c:v>62.30010714631532</c:v>
                </c:pt>
                <c:pt idx="26">
                  <c:v>61.039553768370823</c:v>
                </c:pt>
                <c:pt idx="27">
                  <c:v>60.919097885795921</c:v>
                </c:pt>
                <c:pt idx="28">
                  <c:v>62.230717643224416</c:v>
                </c:pt>
                <c:pt idx="29">
                  <c:v>65.29715020880019</c:v>
                </c:pt>
                <c:pt idx="30">
                  <c:v>65.073325496024054</c:v>
                </c:pt>
                <c:pt idx="31">
                  <c:v>65.268650809387694</c:v>
                </c:pt>
                <c:pt idx="32">
                  <c:v>65.862303878729165</c:v>
                </c:pt>
                <c:pt idx="33">
                  <c:v>66.467581224701661</c:v>
                </c:pt>
                <c:pt idx="34">
                  <c:v>65.984118643326482</c:v>
                </c:pt>
                <c:pt idx="35">
                  <c:v>64.252934305253248</c:v>
                </c:pt>
                <c:pt idx="36">
                  <c:v>63.51817536328177</c:v>
                </c:pt>
                <c:pt idx="37">
                  <c:v>65.452865304976854</c:v>
                </c:pt>
                <c:pt idx="38">
                  <c:v>66.623898726556817</c:v>
                </c:pt>
                <c:pt idx="39">
                  <c:v>65.689685724511151</c:v>
                </c:pt>
                <c:pt idx="40">
                  <c:v>66.349627724511762</c:v>
                </c:pt>
                <c:pt idx="41">
                  <c:v>65.223925472610858</c:v>
                </c:pt>
                <c:pt idx="42">
                  <c:v>64.58630862708074</c:v>
                </c:pt>
                <c:pt idx="43">
                  <c:v>65.522126524356537</c:v>
                </c:pt>
                <c:pt idx="44">
                  <c:v>66.897373781943642</c:v>
                </c:pt>
                <c:pt idx="45">
                  <c:v>67.595676564681881</c:v>
                </c:pt>
                <c:pt idx="46">
                  <c:v>66.619237630886616</c:v>
                </c:pt>
                <c:pt idx="47">
                  <c:v>67.189928911203722</c:v>
                </c:pt>
                <c:pt idx="48">
                  <c:v>67.038155954139796</c:v>
                </c:pt>
                <c:pt idx="49">
                  <c:v>66.684100874107031</c:v>
                </c:pt>
                <c:pt idx="50">
                  <c:v>66.465848988928968</c:v>
                </c:pt>
                <c:pt idx="51">
                  <c:v>65.57415595177774</c:v>
                </c:pt>
                <c:pt idx="52">
                  <c:v>64.917960035266191</c:v>
                </c:pt>
                <c:pt idx="53">
                  <c:v>64.715017599447577</c:v>
                </c:pt>
                <c:pt idx="54">
                  <c:v>66.651917826855481</c:v>
                </c:pt>
                <c:pt idx="55">
                  <c:v>68.57588238839179</c:v>
                </c:pt>
                <c:pt idx="56">
                  <c:v>67.65255294932804</c:v>
                </c:pt>
                <c:pt idx="57">
                  <c:v>64.625281153594273</c:v>
                </c:pt>
                <c:pt idx="58">
                  <c:v>64.208936271321278</c:v>
                </c:pt>
                <c:pt idx="59">
                  <c:v>64.341278458179303</c:v>
                </c:pt>
                <c:pt idx="60">
                  <c:v>65.772750127212348</c:v>
                </c:pt>
                <c:pt idx="61">
                  <c:v>65.775244024732004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24EA-417D-9FEF-816D9F694639}"/>
            </c:ext>
          </c:extLst>
        </c:ser>
        <c:ser>
          <c:idx val="44"/>
          <c:order val="43"/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Carlo'!$E$45:$BN$45</c:f>
              <c:numCache>
                <c:formatCode>General</c:formatCode>
                <c:ptCount val="62"/>
                <c:pt idx="1">
                  <c:v>60.99</c:v>
                </c:pt>
                <c:pt idx="2">
                  <c:v>61.702688567774651</c:v>
                </c:pt>
                <c:pt idx="3">
                  <c:v>61.390933008460436</c:v>
                </c:pt>
                <c:pt idx="4">
                  <c:v>61.931431009505907</c:v>
                </c:pt>
                <c:pt idx="5">
                  <c:v>61.045419746524864</c:v>
                </c:pt>
                <c:pt idx="6">
                  <c:v>60.843909729375689</c:v>
                </c:pt>
                <c:pt idx="7">
                  <c:v>61.768007958965484</c:v>
                </c:pt>
                <c:pt idx="8">
                  <c:v>63.645588398576443</c:v>
                </c:pt>
                <c:pt idx="9">
                  <c:v>63.173639715515137</c:v>
                </c:pt>
                <c:pt idx="10">
                  <c:v>62.255172126806137</c:v>
                </c:pt>
                <c:pt idx="11">
                  <c:v>63.541961578602766</c:v>
                </c:pt>
                <c:pt idx="12">
                  <c:v>63.441038799259665</c:v>
                </c:pt>
                <c:pt idx="13">
                  <c:v>62.442569684798492</c:v>
                </c:pt>
                <c:pt idx="14">
                  <c:v>61.592726212095684</c:v>
                </c:pt>
                <c:pt idx="15">
                  <c:v>61.774086345765312</c:v>
                </c:pt>
                <c:pt idx="16">
                  <c:v>61.569913475354092</c:v>
                </c:pt>
                <c:pt idx="17">
                  <c:v>63.473373287775473</c:v>
                </c:pt>
                <c:pt idx="18">
                  <c:v>63.818851624139505</c:v>
                </c:pt>
                <c:pt idx="19">
                  <c:v>62.794707734221369</c:v>
                </c:pt>
                <c:pt idx="20">
                  <c:v>61.868503430642065</c:v>
                </c:pt>
                <c:pt idx="21">
                  <c:v>63.688792423352233</c:v>
                </c:pt>
                <c:pt idx="22">
                  <c:v>65.078451662835207</c:v>
                </c:pt>
                <c:pt idx="23">
                  <c:v>63.468234938041022</c:v>
                </c:pt>
                <c:pt idx="24">
                  <c:v>64.834369027722602</c:v>
                </c:pt>
                <c:pt idx="25">
                  <c:v>63.391329293346885</c:v>
                </c:pt>
                <c:pt idx="26">
                  <c:v>62.282083004933739</c:v>
                </c:pt>
                <c:pt idx="27">
                  <c:v>64.243170992953324</c:v>
                </c:pt>
                <c:pt idx="28">
                  <c:v>64.085442577818654</c:v>
                </c:pt>
                <c:pt idx="29">
                  <c:v>63.938508566836411</c:v>
                </c:pt>
                <c:pt idx="30">
                  <c:v>64.257031686359738</c:v>
                </c:pt>
                <c:pt idx="31">
                  <c:v>62.840193502591887</c:v>
                </c:pt>
                <c:pt idx="32">
                  <c:v>61.901370340259149</c:v>
                </c:pt>
                <c:pt idx="33">
                  <c:v>62.464439777052164</c:v>
                </c:pt>
                <c:pt idx="34">
                  <c:v>65.027602330454172</c:v>
                </c:pt>
                <c:pt idx="35">
                  <c:v>63.887526080400256</c:v>
                </c:pt>
                <c:pt idx="36">
                  <c:v>63.427096981396915</c:v>
                </c:pt>
                <c:pt idx="37">
                  <c:v>62.771180631588706</c:v>
                </c:pt>
                <c:pt idx="38">
                  <c:v>63.463973414603885</c:v>
                </c:pt>
                <c:pt idx="39">
                  <c:v>62.834158373530201</c:v>
                </c:pt>
                <c:pt idx="40">
                  <c:v>62.948003921743712</c:v>
                </c:pt>
                <c:pt idx="41">
                  <c:v>64.066888333969658</c:v>
                </c:pt>
                <c:pt idx="42">
                  <c:v>63.555518351999922</c:v>
                </c:pt>
                <c:pt idx="43">
                  <c:v>65.362647522154717</c:v>
                </c:pt>
                <c:pt idx="44">
                  <c:v>67.476064467253934</c:v>
                </c:pt>
                <c:pt idx="45">
                  <c:v>66.390468233031967</c:v>
                </c:pt>
                <c:pt idx="46">
                  <c:v>65.638433144776386</c:v>
                </c:pt>
                <c:pt idx="47">
                  <c:v>67.995375416614934</c:v>
                </c:pt>
                <c:pt idx="48">
                  <c:v>66.856434024279707</c:v>
                </c:pt>
                <c:pt idx="49">
                  <c:v>64.600144798344743</c:v>
                </c:pt>
                <c:pt idx="50">
                  <c:v>63.691130643468234</c:v>
                </c:pt>
                <c:pt idx="51">
                  <c:v>61.957759663870526</c:v>
                </c:pt>
                <c:pt idx="52">
                  <c:v>61.682626028757603</c:v>
                </c:pt>
                <c:pt idx="53">
                  <c:v>60.504557330960857</c:v>
                </c:pt>
                <c:pt idx="54">
                  <c:v>58.857933392097287</c:v>
                </c:pt>
                <c:pt idx="55">
                  <c:v>58.993314070665797</c:v>
                </c:pt>
                <c:pt idx="56">
                  <c:v>59.05865962364436</c:v>
                </c:pt>
                <c:pt idx="57">
                  <c:v>59.791397883944093</c:v>
                </c:pt>
                <c:pt idx="58">
                  <c:v>60.971021006596729</c:v>
                </c:pt>
                <c:pt idx="59">
                  <c:v>61.944655438075728</c:v>
                </c:pt>
                <c:pt idx="60">
                  <c:v>62.525482676639285</c:v>
                </c:pt>
                <c:pt idx="61">
                  <c:v>62.724354403383991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24EA-417D-9FEF-816D9F694639}"/>
            </c:ext>
          </c:extLst>
        </c:ser>
        <c:ser>
          <c:idx val="45"/>
          <c:order val="44"/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Carlo'!$E$46:$BN$46</c:f>
              <c:numCache>
                <c:formatCode>General</c:formatCode>
                <c:ptCount val="62"/>
                <c:pt idx="1">
                  <c:v>60.99</c:v>
                </c:pt>
                <c:pt idx="2">
                  <c:v>62.865780209504919</c:v>
                </c:pt>
                <c:pt idx="3">
                  <c:v>62.657180117131702</c:v>
                </c:pt>
                <c:pt idx="4">
                  <c:v>61.591920613039591</c:v>
                </c:pt>
                <c:pt idx="5">
                  <c:v>62.17112493697411</c:v>
                </c:pt>
                <c:pt idx="6">
                  <c:v>64.351720134645106</c:v>
                </c:pt>
                <c:pt idx="7">
                  <c:v>64.384837557575722</c:v>
                </c:pt>
                <c:pt idx="8">
                  <c:v>62.691377269856673</c:v>
                </c:pt>
                <c:pt idx="9">
                  <c:v>61.682732001130312</c:v>
                </c:pt>
                <c:pt idx="10">
                  <c:v>60.653453449465736</c:v>
                </c:pt>
                <c:pt idx="11">
                  <c:v>60.622021565411806</c:v>
                </c:pt>
                <c:pt idx="12">
                  <c:v>59.975819692993596</c:v>
                </c:pt>
                <c:pt idx="13">
                  <c:v>58.571472850904023</c:v>
                </c:pt>
                <c:pt idx="14">
                  <c:v>59.419299488541242</c:v>
                </c:pt>
                <c:pt idx="15">
                  <c:v>57.544018594283436</c:v>
                </c:pt>
                <c:pt idx="16">
                  <c:v>57.846635879735793</c:v>
                </c:pt>
                <c:pt idx="17">
                  <c:v>56.323511187964584</c:v>
                </c:pt>
                <c:pt idx="18">
                  <c:v>56.197874264349934</c:v>
                </c:pt>
                <c:pt idx="19">
                  <c:v>55.968521252959718</c:v>
                </c:pt>
                <c:pt idx="20">
                  <c:v>55.385530675948353</c:v>
                </c:pt>
                <c:pt idx="21">
                  <c:v>54.037171233937265</c:v>
                </c:pt>
                <c:pt idx="22">
                  <c:v>53.831213680130261</c:v>
                </c:pt>
                <c:pt idx="23">
                  <c:v>54.281038985538885</c:v>
                </c:pt>
                <c:pt idx="24">
                  <c:v>55.780064239616877</c:v>
                </c:pt>
                <c:pt idx="25">
                  <c:v>57.180585545766647</c:v>
                </c:pt>
                <c:pt idx="26">
                  <c:v>57.747438389505682</c:v>
                </c:pt>
                <c:pt idx="27">
                  <c:v>58.345695021023005</c:v>
                </c:pt>
                <c:pt idx="28">
                  <c:v>59.053646101361686</c:v>
                </c:pt>
                <c:pt idx="29">
                  <c:v>60.27674366362821</c:v>
                </c:pt>
                <c:pt idx="30">
                  <c:v>58.713491457579735</c:v>
                </c:pt>
                <c:pt idx="31">
                  <c:v>57.453156761344687</c:v>
                </c:pt>
                <c:pt idx="32">
                  <c:v>56.752135347962387</c:v>
                </c:pt>
                <c:pt idx="33">
                  <c:v>56.591778671795403</c:v>
                </c:pt>
                <c:pt idx="34">
                  <c:v>55.468570566639187</c:v>
                </c:pt>
                <c:pt idx="35">
                  <c:v>55.344029056085084</c:v>
                </c:pt>
                <c:pt idx="36">
                  <c:v>54.835146247088467</c:v>
                </c:pt>
                <c:pt idx="37">
                  <c:v>55.756928589349478</c:v>
                </c:pt>
                <c:pt idx="38">
                  <c:v>54.344578526440309</c:v>
                </c:pt>
                <c:pt idx="39">
                  <c:v>54.670875989547142</c:v>
                </c:pt>
                <c:pt idx="40">
                  <c:v>54.626602692659191</c:v>
                </c:pt>
                <c:pt idx="41">
                  <c:v>53.418927760978129</c:v>
                </c:pt>
                <c:pt idx="42">
                  <c:v>52.81714917127794</c:v>
                </c:pt>
                <c:pt idx="43">
                  <c:v>51.534611067033168</c:v>
                </c:pt>
                <c:pt idx="44">
                  <c:v>54.071827055266851</c:v>
                </c:pt>
                <c:pt idx="45">
                  <c:v>55.001630381502906</c:v>
                </c:pt>
                <c:pt idx="46">
                  <c:v>54.872272978546228</c:v>
                </c:pt>
                <c:pt idx="47">
                  <c:v>55.582286145323096</c:v>
                </c:pt>
                <c:pt idx="48">
                  <c:v>55.580470057545526</c:v>
                </c:pt>
                <c:pt idx="49">
                  <c:v>55.459986460067277</c:v>
                </c:pt>
                <c:pt idx="50">
                  <c:v>57.550124393067811</c:v>
                </c:pt>
                <c:pt idx="51">
                  <c:v>57.917312392569713</c:v>
                </c:pt>
                <c:pt idx="52">
                  <c:v>57.340713349626043</c:v>
                </c:pt>
                <c:pt idx="53">
                  <c:v>57.00852872222989</c:v>
                </c:pt>
                <c:pt idx="54">
                  <c:v>56.592527639108241</c:v>
                </c:pt>
                <c:pt idx="55">
                  <c:v>54.973684168065574</c:v>
                </c:pt>
                <c:pt idx="56">
                  <c:v>55.117203254074717</c:v>
                </c:pt>
                <c:pt idx="57">
                  <c:v>57.100382674346385</c:v>
                </c:pt>
                <c:pt idx="58">
                  <c:v>56.095108496111749</c:v>
                </c:pt>
                <c:pt idx="59">
                  <c:v>55.596984049335511</c:v>
                </c:pt>
                <c:pt idx="60">
                  <c:v>56.575999785001898</c:v>
                </c:pt>
                <c:pt idx="61">
                  <c:v>57.54567877855299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24EA-417D-9FEF-816D9F694639}"/>
            </c:ext>
          </c:extLst>
        </c:ser>
        <c:ser>
          <c:idx val="46"/>
          <c:order val="45"/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Carlo'!$E$47:$BN$47</c:f>
              <c:numCache>
                <c:formatCode>General</c:formatCode>
                <c:ptCount val="62"/>
                <c:pt idx="1">
                  <c:v>60.99</c:v>
                </c:pt>
                <c:pt idx="2">
                  <c:v>60.460466567761848</c:v>
                </c:pt>
                <c:pt idx="3">
                  <c:v>59.892265181611386</c:v>
                </c:pt>
                <c:pt idx="4">
                  <c:v>58.975380453708652</c:v>
                </c:pt>
                <c:pt idx="5">
                  <c:v>59.383577100132001</c:v>
                </c:pt>
                <c:pt idx="6">
                  <c:v>60.061246207517385</c:v>
                </c:pt>
                <c:pt idx="7">
                  <c:v>60.731700449508622</c:v>
                </c:pt>
                <c:pt idx="8">
                  <c:v>62.016316961438783</c:v>
                </c:pt>
                <c:pt idx="9">
                  <c:v>62.922073388815676</c:v>
                </c:pt>
                <c:pt idx="10">
                  <c:v>62.861624859742228</c:v>
                </c:pt>
                <c:pt idx="11">
                  <c:v>63.11244340308405</c:v>
                </c:pt>
                <c:pt idx="12">
                  <c:v>63.393070180803733</c:v>
                </c:pt>
                <c:pt idx="13">
                  <c:v>62.947763308576349</c:v>
                </c:pt>
                <c:pt idx="14">
                  <c:v>61.118057906886314</c:v>
                </c:pt>
                <c:pt idx="15">
                  <c:v>60.924509299986369</c:v>
                </c:pt>
                <c:pt idx="16">
                  <c:v>62.848656139836841</c:v>
                </c:pt>
                <c:pt idx="17">
                  <c:v>62.895763314830191</c:v>
                </c:pt>
                <c:pt idx="18">
                  <c:v>62.587943336017481</c:v>
                </c:pt>
                <c:pt idx="19">
                  <c:v>60.25544541897537</c:v>
                </c:pt>
                <c:pt idx="20">
                  <c:v>61.697118784805021</c:v>
                </c:pt>
                <c:pt idx="21">
                  <c:v>63.574117469162914</c:v>
                </c:pt>
                <c:pt idx="22">
                  <c:v>63.59270598504353</c:v>
                </c:pt>
                <c:pt idx="23">
                  <c:v>64.136334570491499</c:v>
                </c:pt>
                <c:pt idx="24">
                  <c:v>64.856538960323292</c:v>
                </c:pt>
                <c:pt idx="25">
                  <c:v>63.966999385710665</c:v>
                </c:pt>
                <c:pt idx="26">
                  <c:v>64.931559964257445</c:v>
                </c:pt>
                <c:pt idx="27">
                  <c:v>65.547845709785435</c:v>
                </c:pt>
                <c:pt idx="28">
                  <c:v>67.262622723556532</c:v>
                </c:pt>
                <c:pt idx="29">
                  <c:v>65.48922648331893</c:v>
                </c:pt>
                <c:pt idx="30">
                  <c:v>67.190880011522239</c:v>
                </c:pt>
                <c:pt idx="31">
                  <c:v>68.790018159161122</c:v>
                </c:pt>
                <c:pt idx="32">
                  <c:v>69.265545803935666</c:v>
                </c:pt>
                <c:pt idx="33">
                  <c:v>69.536982631460404</c:v>
                </c:pt>
                <c:pt idx="34">
                  <c:v>70.119729468127659</c:v>
                </c:pt>
                <c:pt idx="35">
                  <c:v>68.73090872284854</c:v>
                </c:pt>
                <c:pt idx="36">
                  <c:v>68.456630445105645</c:v>
                </c:pt>
                <c:pt idx="37">
                  <c:v>69.569743596022889</c:v>
                </c:pt>
                <c:pt idx="38">
                  <c:v>70.072355169666437</c:v>
                </c:pt>
                <c:pt idx="39">
                  <c:v>70.614902500149597</c:v>
                </c:pt>
                <c:pt idx="40">
                  <c:v>72.079057517539141</c:v>
                </c:pt>
                <c:pt idx="41">
                  <c:v>74.253350088925686</c:v>
                </c:pt>
                <c:pt idx="42">
                  <c:v>74.033196065474101</c:v>
                </c:pt>
                <c:pt idx="43">
                  <c:v>74.592604620180282</c:v>
                </c:pt>
                <c:pt idx="44">
                  <c:v>75.112595556289293</c:v>
                </c:pt>
                <c:pt idx="45">
                  <c:v>76.285853053272092</c:v>
                </c:pt>
                <c:pt idx="46">
                  <c:v>75.297719972929869</c:v>
                </c:pt>
                <c:pt idx="47">
                  <c:v>76.671989892056274</c:v>
                </c:pt>
                <c:pt idx="48">
                  <c:v>78.231959484842662</c:v>
                </c:pt>
                <c:pt idx="49">
                  <c:v>80.800825673243295</c:v>
                </c:pt>
                <c:pt idx="50">
                  <c:v>81.835181774920898</c:v>
                </c:pt>
                <c:pt idx="51">
                  <c:v>80.612533239890524</c:v>
                </c:pt>
                <c:pt idx="52">
                  <c:v>81.673779501919711</c:v>
                </c:pt>
                <c:pt idx="53">
                  <c:v>81.922659009800029</c:v>
                </c:pt>
                <c:pt idx="54">
                  <c:v>83.133078957367175</c:v>
                </c:pt>
                <c:pt idx="55">
                  <c:v>82.869157597449657</c:v>
                </c:pt>
                <c:pt idx="56">
                  <c:v>82.183769029648602</c:v>
                </c:pt>
                <c:pt idx="57">
                  <c:v>83.267372390374391</c:v>
                </c:pt>
                <c:pt idx="58">
                  <c:v>82.836384113585282</c:v>
                </c:pt>
                <c:pt idx="59">
                  <c:v>80.514545149215039</c:v>
                </c:pt>
                <c:pt idx="60">
                  <c:v>82.660918468324937</c:v>
                </c:pt>
                <c:pt idx="61">
                  <c:v>82.083545343223221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24EA-417D-9FEF-816D9F694639}"/>
            </c:ext>
          </c:extLst>
        </c:ser>
        <c:ser>
          <c:idx val="47"/>
          <c:order val="46"/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Carlo'!$E$48:$BN$48</c:f>
              <c:numCache>
                <c:formatCode>General</c:formatCode>
                <c:ptCount val="62"/>
                <c:pt idx="1">
                  <c:v>60.99</c:v>
                </c:pt>
                <c:pt idx="2">
                  <c:v>60.570043389504889</c:v>
                </c:pt>
                <c:pt idx="3">
                  <c:v>61.182003400187305</c:v>
                </c:pt>
                <c:pt idx="4">
                  <c:v>60.929895423305119</c:v>
                </c:pt>
                <c:pt idx="5">
                  <c:v>61.287537692032139</c:v>
                </c:pt>
                <c:pt idx="6">
                  <c:v>60.581430959924312</c:v>
                </c:pt>
                <c:pt idx="7">
                  <c:v>59.942754708215986</c:v>
                </c:pt>
                <c:pt idx="8">
                  <c:v>60.444447570102533</c:v>
                </c:pt>
                <c:pt idx="9">
                  <c:v>60.282423286385047</c:v>
                </c:pt>
                <c:pt idx="10">
                  <c:v>60.763743082097989</c:v>
                </c:pt>
                <c:pt idx="11">
                  <c:v>60.412298026708442</c:v>
                </c:pt>
                <c:pt idx="12">
                  <c:v>60.607551290459988</c:v>
                </c:pt>
                <c:pt idx="13">
                  <c:v>60.968406302492255</c:v>
                </c:pt>
                <c:pt idx="14">
                  <c:v>61.354031089400721</c:v>
                </c:pt>
                <c:pt idx="15">
                  <c:v>62.932795760611867</c:v>
                </c:pt>
                <c:pt idx="16">
                  <c:v>62.187471288269577</c:v>
                </c:pt>
                <c:pt idx="17">
                  <c:v>62.622639227765575</c:v>
                </c:pt>
                <c:pt idx="18">
                  <c:v>64.122443099616049</c:v>
                </c:pt>
                <c:pt idx="19">
                  <c:v>62.829649651173973</c:v>
                </c:pt>
                <c:pt idx="20">
                  <c:v>63.072336831404698</c:v>
                </c:pt>
                <c:pt idx="21">
                  <c:v>61.220947370395642</c:v>
                </c:pt>
                <c:pt idx="22">
                  <c:v>60.510165426166203</c:v>
                </c:pt>
                <c:pt idx="23">
                  <c:v>59.889252178947984</c:v>
                </c:pt>
                <c:pt idx="24">
                  <c:v>59.724506893318932</c:v>
                </c:pt>
                <c:pt idx="25">
                  <c:v>59.95667583988206</c:v>
                </c:pt>
                <c:pt idx="26">
                  <c:v>60.052497738106155</c:v>
                </c:pt>
                <c:pt idx="27">
                  <c:v>60.117237155064892</c:v>
                </c:pt>
                <c:pt idx="28">
                  <c:v>58.558183840892539</c:v>
                </c:pt>
                <c:pt idx="29">
                  <c:v>57.506356826688524</c:v>
                </c:pt>
                <c:pt idx="30">
                  <c:v>58.234895789232041</c:v>
                </c:pt>
                <c:pt idx="31">
                  <c:v>57.753650248084035</c:v>
                </c:pt>
                <c:pt idx="32">
                  <c:v>57.783749665944761</c:v>
                </c:pt>
                <c:pt idx="33">
                  <c:v>57.703307767625517</c:v>
                </c:pt>
                <c:pt idx="34">
                  <c:v>57.602598592614896</c:v>
                </c:pt>
                <c:pt idx="35">
                  <c:v>58.930648543887763</c:v>
                </c:pt>
                <c:pt idx="36">
                  <c:v>59.201046053933503</c:v>
                </c:pt>
                <c:pt idx="37">
                  <c:v>61.503900592489394</c:v>
                </c:pt>
                <c:pt idx="38">
                  <c:v>60.662011088645556</c:v>
                </c:pt>
                <c:pt idx="39">
                  <c:v>60.34401343057084</c:v>
                </c:pt>
                <c:pt idx="40">
                  <c:v>60.772362223816124</c:v>
                </c:pt>
                <c:pt idx="41">
                  <c:v>59.688710519002228</c:v>
                </c:pt>
                <c:pt idx="42">
                  <c:v>62.003240067375017</c:v>
                </c:pt>
                <c:pt idx="43">
                  <c:v>63.495562119344029</c:v>
                </c:pt>
                <c:pt idx="44">
                  <c:v>63.505735025539011</c:v>
                </c:pt>
                <c:pt idx="45">
                  <c:v>64.134779732715984</c:v>
                </c:pt>
                <c:pt idx="46">
                  <c:v>62.820077009765555</c:v>
                </c:pt>
                <c:pt idx="47">
                  <c:v>62.112141005714612</c:v>
                </c:pt>
                <c:pt idx="48">
                  <c:v>63.136094668883032</c:v>
                </c:pt>
                <c:pt idx="49">
                  <c:v>61.773654305223694</c:v>
                </c:pt>
                <c:pt idx="50">
                  <c:v>62.43011250055757</c:v>
                </c:pt>
                <c:pt idx="51">
                  <c:v>61.109863399930902</c:v>
                </c:pt>
                <c:pt idx="52">
                  <c:v>59.983924118350423</c:v>
                </c:pt>
                <c:pt idx="53">
                  <c:v>62.40121401443659</c:v>
                </c:pt>
                <c:pt idx="54">
                  <c:v>64.70809800339633</c:v>
                </c:pt>
                <c:pt idx="55">
                  <c:v>64.704329985952526</c:v>
                </c:pt>
                <c:pt idx="56">
                  <c:v>64.445140807341474</c:v>
                </c:pt>
                <c:pt idx="57">
                  <c:v>64.840345276286016</c:v>
                </c:pt>
                <c:pt idx="58">
                  <c:v>64.229163796479924</c:v>
                </c:pt>
                <c:pt idx="59">
                  <c:v>63.403745250084704</c:v>
                </c:pt>
                <c:pt idx="60">
                  <c:v>63.01131938721867</c:v>
                </c:pt>
                <c:pt idx="61">
                  <c:v>63.803999568057044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24EA-417D-9FEF-816D9F694639}"/>
            </c:ext>
          </c:extLst>
        </c:ser>
        <c:ser>
          <c:idx val="48"/>
          <c:order val="47"/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Carlo'!$E$49:$BN$49</c:f>
              <c:numCache>
                <c:formatCode>General</c:formatCode>
                <c:ptCount val="62"/>
                <c:pt idx="1">
                  <c:v>60.99</c:v>
                </c:pt>
                <c:pt idx="2">
                  <c:v>59.814897467381549</c:v>
                </c:pt>
                <c:pt idx="3">
                  <c:v>59.129380777713422</c:v>
                </c:pt>
                <c:pt idx="4">
                  <c:v>60.353445624240251</c:v>
                </c:pt>
                <c:pt idx="5">
                  <c:v>60.551200568054369</c:v>
                </c:pt>
                <c:pt idx="6">
                  <c:v>60.882862332824672</c:v>
                </c:pt>
                <c:pt idx="7">
                  <c:v>58.730780262235768</c:v>
                </c:pt>
                <c:pt idx="8">
                  <c:v>58.676041339867297</c:v>
                </c:pt>
                <c:pt idx="9">
                  <c:v>58.16907627680061</c:v>
                </c:pt>
                <c:pt idx="10">
                  <c:v>57.653987771280676</c:v>
                </c:pt>
                <c:pt idx="11">
                  <c:v>56.376569261376581</c:v>
                </c:pt>
                <c:pt idx="12">
                  <c:v>58.140869658790081</c:v>
                </c:pt>
                <c:pt idx="13">
                  <c:v>56.009127056141139</c:v>
                </c:pt>
                <c:pt idx="14">
                  <c:v>56.890072996100088</c:v>
                </c:pt>
                <c:pt idx="15">
                  <c:v>56.971813709588211</c:v>
                </c:pt>
                <c:pt idx="16">
                  <c:v>56.51938391121567</c:v>
                </c:pt>
                <c:pt idx="17">
                  <c:v>55.838682602117579</c:v>
                </c:pt>
                <c:pt idx="18">
                  <c:v>56.264484664924254</c:v>
                </c:pt>
                <c:pt idx="19">
                  <c:v>57.898446846969691</c:v>
                </c:pt>
                <c:pt idx="20">
                  <c:v>58.570668791771837</c:v>
                </c:pt>
                <c:pt idx="21">
                  <c:v>58.900153601499554</c:v>
                </c:pt>
                <c:pt idx="22">
                  <c:v>57.875088672183445</c:v>
                </c:pt>
                <c:pt idx="23">
                  <c:v>57.009258803496216</c:v>
                </c:pt>
                <c:pt idx="24">
                  <c:v>57.570278959729457</c:v>
                </c:pt>
                <c:pt idx="25">
                  <c:v>55.56331952031487</c:v>
                </c:pt>
                <c:pt idx="26">
                  <c:v>56.675426528579365</c:v>
                </c:pt>
                <c:pt idx="27">
                  <c:v>58.674228730393416</c:v>
                </c:pt>
                <c:pt idx="28">
                  <c:v>59.953055509224114</c:v>
                </c:pt>
                <c:pt idx="29">
                  <c:v>59.243463495181707</c:v>
                </c:pt>
                <c:pt idx="30">
                  <c:v>59.380572997354228</c:v>
                </c:pt>
                <c:pt idx="31">
                  <c:v>57.306022916747757</c:v>
                </c:pt>
                <c:pt idx="32">
                  <c:v>56.893442242235807</c:v>
                </c:pt>
                <c:pt idx="33">
                  <c:v>56.975234645966744</c:v>
                </c:pt>
                <c:pt idx="34">
                  <c:v>54.358629658981705</c:v>
                </c:pt>
                <c:pt idx="35">
                  <c:v>53.598487747428671</c:v>
                </c:pt>
                <c:pt idx="36">
                  <c:v>51.951433389701187</c:v>
                </c:pt>
                <c:pt idx="37">
                  <c:v>53.116002280667281</c:v>
                </c:pt>
                <c:pt idx="38">
                  <c:v>53.482511695725428</c:v>
                </c:pt>
                <c:pt idx="39">
                  <c:v>52.508618218600191</c:v>
                </c:pt>
                <c:pt idx="40">
                  <c:v>53.940335928244018</c:v>
                </c:pt>
                <c:pt idx="41">
                  <c:v>53.191409537552772</c:v>
                </c:pt>
                <c:pt idx="42">
                  <c:v>52.965831911414952</c:v>
                </c:pt>
                <c:pt idx="43">
                  <c:v>52.776985514634021</c:v>
                </c:pt>
                <c:pt idx="44">
                  <c:v>52.316995605524006</c:v>
                </c:pt>
                <c:pt idx="45">
                  <c:v>52.92849514841393</c:v>
                </c:pt>
                <c:pt idx="46">
                  <c:v>51.980719409448291</c:v>
                </c:pt>
                <c:pt idx="47">
                  <c:v>52.067406657331219</c:v>
                </c:pt>
                <c:pt idx="48">
                  <c:v>52.101832212545517</c:v>
                </c:pt>
                <c:pt idx="49">
                  <c:v>52.813361644434757</c:v>
                </c:pt>
                <c:pt idx="50">
                  <c:v>52.321389366386192</c:v>
                </c:pt>
                <c:pt idx="51">
                  <c:v>52.929195921193163</c:v>
                </c:pt>
                <c:pt idx="52">
                  <c:v>52.65813985398011</c:v>
                </c:pt>
                <c:pt idx="53">
                  <c:v>52.573627462335914</c:v>
                </c:pt>
                <c:pt idx="54">
                  <c:v>52.65932710878068</c:v>
                </c:pt>
                <c:pt idx="55">
                  <c:v>54.575481083139465</c:v>
                </c:pt>
                <c:pt idx="56">
                  <c:v>55.188677127377169</c:v>
                </c:pt>
                <c:pt idx="57">
                  <c:v>54.732419604437993</c:v>
                </c:pt>
                <c:pt idx="58">
                  <c:v>55.545512142002273</c:v>
                </c:pt>
                <c:pt idx="59">
                  <c:v>54.428354157463914</c:v>
                </c:pt>
                <c:pt idx="60">
                  <c:v>54.600271659515627</c:v>
                </c:pt>
                <c:pt idx="61">
                  <c:v>54.945234872920246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24EA-417D-9FEF-816D9F694639}"/>
            </c:ext>
          </c:extLst>
        </c:ser>
        <c:ser>
          <c:idx val="49"/>
          <c:order val="48"/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Carlo'!$E$50:$BN$50</c:f>
              <c:numCache>
                <c:formatCode>General</c:formatCode>
                <c:ptCount val="62"/>
                <c:pt idx="1">
                  <c:v>60.99</c:v>
                </c:pt>
                <c:pt idx="2">
                  <c:v>62.23588309036419</c:v>
                </c:pt>
                <c:pt idx="3">
                  <c:v>63.878557389128808</c:v>
                </c:pt>
                <c:pt idx="4">
                  <c:v>63.291262032350339</c:v>
                </c:pt>
                <c:pt idx="5">
                  <c:v>63.461272065903863</c:v>
                </c:pt>
                <c:pt idx="6">
                  <c:v>63.079945482750333</c:v>
                </c:pt>
                <c:pt idx="7">
                  <c:v>62.738225430497813</c:v>
                </c:pt>
                <c:pt idx="8">
                  <c:v>63.739272466250888</c:v>
                </c:pt>
                <c:pt idx="9">
                  <c:v>65.238517168024813</c:v>
                </c:pt>
                <c:pt idx="10">
                  <c:v>64.561399699561392</c:v>
                </c:pt>
                <c:pt idx="11">
                  <c:v>65.010899877638721</c:v>
                </c:pt>
                <c:pt idx="12">
                  <c:v>66.333448774752398</c:v>
                </c:pt>
                <c:pt idx="13">
                  <c:v>66.822238830872067</c:v>
                </c:pt>
                <c:pt idx="14">
                  <c:v>68.096948395207718</c:v>
                </c:pt>
                <c:pt idx="15">
                  <c:v>70.298315829154774</c:v>
                </c:pt>
                <c:pt idx="16">
                  <c:v>70.960543153080451</c:v>
                </c:pt>
                <c:pt idx="17">
                  <c:v>71.78522075980834</c:v>
                </c:pt>
                <c:pt idx="18">
                  <c:v>72.520733215781007</c:v>
                </c:pt>
                <c:pt idx="19">
                  <c:v>73.024792036679884</c:v>
                </c:pt>
                <c:pt idx="20">
                  <c:v>76.153397925017401</c:v>
                </c:pt>
                <c:pt idx="21">
                  <c:v>78.306931880410474</c:v>
                </c:pt>
                <c:pt idx="22">
                  <c:v>76.649958250947734</c:v>
                </c:pt>
                <c:pt idx="23">
                  <c:v>76.619737039731973</c:v>
                </c:pt>
                <c:pt idx="24">
                  <c:v>75.555432601749786</c:v>
                </c:pt>
                <c:pt idx="25">
                  <c:v>76.932335618249894</c:v>
                </c:pt>
                <c:pt idx="26">
                  <c:v>77.764745490280021</c:v>
                </c:pt>
                <c:pt idx="27">
                  <c:v>77.291765486147341</c:v>
                </c:pt>
                <c:pt idx="28">
                  <c:v>75.400087981088717</c:v>
                </c:pt>
                <c:pt idx="29">
                  <c:v>77.974452244249377</c:v>
                </c:pt>
                <c:pt idx="30">
                  <c:v>77.05213006379816</c:v>
                </c:pt>
                <c:pt idx="31">
                  <c:v>78.679972728938068</c:v>
                </c:pt>
                <c:pt idx="32">
                  <c:v>79.986682192104766</c:v>
                </c:pt>
                <c:pt idx="33">
                  <c:v>79.164017142273835</c:v>
                </c:pt>
                <c:pt idx="34">
                  <c:v>81.159156888547358</c:v>
                </c:pt>
                <c:pt idx="35">
                  <c:v>82.272459658622694</c:v>
                </c:pt>
                <c:pt idx="36">
                  <c:v>82.757437268037435</c:v>
                </c:pt>
                <c:pt idx="37">
                  <c:v>83.982089967485706</c:v>
                </c:pt>
                <c:pt idx="38">
                  <c:v>82.374898623813792</c:v>
                </c:pt>
                <c:pt idx="39">
                  <c:v>84.571368040290992</c:v>
                </c:pt>
                <c:pt idx="40">
                  <c:v>85.813015323310893</c:v>
                </c:pt>
                <c:pt idx="41">
                  <c:v>84.037612752183932</c:v>
                </c:pt>
                <c:pt idx="42">
                  <c:v>83.20267634414131</c:v>
                </c:pt>
                <c:pt idx="43">
                  <c:v>84.009850418143074</c:v>
                </c:pt>
                <c:pt idx="44">
                  <c:v>81.732427996453282</c:v>
                </c:pt>
                <c:pt idx="45">
                  <c:v>81.282074457996274</c:v>
                </c:pt>
                <c:pt idx="46">
                  <c:v>83.333621495354976</c:v>
                </c:pt>
                <c:pt idx="47">
                  <c:v>86.99434063965947</c:v>
                </c:pt>
                <c:pt idx="48">
                  <c:v>88.907674032682095</c:v>
                </c:pt>
                <c:pt idx="49">
                  <c:v>88.027031155978932</c:v>
                </c:pt>
                <c:pt idx="50">
                  <c:v>88.716309699980798</c:v>
                </c:pt>
                <c:pt idx="51">
                  <c:v>90.972417427714333</c:v>
                </c:pt>
                <c:pt idx="52">
                  <c:v>89.334889255039442</c:v>
                </c:pt>
                <c:pt idx="53">
                  <c:v>92.390626938917976</c:v>
                </c:pt>
                <c:pt idx="54">
                  <c:v>93.861301627283723</c:v>
                </c:pt>
                <c:pt idx="55">
                  <c:v>96.406100890391755</c:v>
                </c:pt>
                <c:pt idx="56">
                  <c:v>94.979461859780912</c:v>
                </c:pt>
                <c:pt idx="57">
                  <c:v>94.161495781135315</c:v>
                </c:pt>
                <c:pt idx="58">
                  <c:v>93.763686651545541</c:v>
                </c:pt>
                <c:pt idx="59">
                  <c:v>93.619805731701277</c:v>
                </c:pt>
                <c:pt idx="60">
                  <c:v>96.53107845056897</c:v>
                </c:pt>
                <c:pt idx="61">
                  <c:v>96.843411635879377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24EA-417D-9FEF-816D9F694639}"/>
            </c:ext>
          </c:extLst>
        </c:ser>
        <c:ser>
          <c:idx val="50"/>
          <c:order val="49"/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Carlo'!$E$51:$BN$51</c:f>
              <c:numCache>
                <c:formatCode>General</c:formatCode>
                <c:ptCount val="62"/>
                <c:pt idx="1">
                  <c:v>60.99</c:v>
                </c:pt>
                <c:pt idx="2">
                  <c:v>60.716366894677883</c:v>
                </c:pt>
                <c:pt idx="3">
                  <c:v>60.804948125478759</c:v>
                </c:pt>
                <c:pt idx="4">
                  <c:v>60.707929519207113</c:v>
                </c:pt>
                <c:pt idx="5">
                  <c:v>61.643436401775922</c:v>
                </c:pt>
                <c:pt idx="6">
                  <c:v>63.63808933837484</c:v>
                </c:pt>
                <c:pt idx="7">
                  <c:v>63.14748320584593</c:v>
                </c:pt>
                <c:pt idx="8">
                  <c:v>61.887635189100799</c:v>
                </c:pt>
                <c:pt idx="9">
                  <c:v>61.807926852861137</c:v>
                </c:pt>
                <c:pt idx="10">
                  <c:v>62.242088457648315</c:v>
                </c:pt>
                <c:pt idx="11">
                  <c:v>62.003534229773422</c:v>
                </c:pt>
                <c:pt idx="12">
                  <c:v>63.621314409628468</c:v>
                </c:pt>
                <c:pt idx="13">
                  <c:v>64.777158344397108</c:v>
                </c:pt>
                <c:pt idx="14">
                  <c:v>66.42923023886982</c:v>
                </c:pt>
                <c:pt idx="15">
                  <c:v>64.923623684113878</c:v>
                </c:pt>
                <c:pt idx="16">
                  <c:v>65.488586496020247</c:v>
                </c:pt>
                <c:pt idx="17">
                  <c:v>64.789322069585154</c:v>
                </c:pt>
                <c:pt idx="18">
                  <c:v>64.408862245693669</c:v>
                </c:pt>
                <c:pt idx="19">
                  <c:v>65.334833714007203</c:v>
                </c:pt>
                <c:pt idx="20">
                  <c:v>65.761927148325995</c:v>
                </c:pt>
                <c:pt idx="21">
                  <c:v>65.048414728441188</c:v>
                </c:pt>
                <c:pt idx="22">
                  <c:v>64.231154131825733</c:v>
                </c:pt>
                <c:pt idx="23">
                  <c:v>63.517207140872834</c:v>
                </c:pt>
                <c:pt idx="24">
                  <c:v>65.234767182112464</c:v>
                </c:pt>
                <c:pt idx="25">
                  <c:v>64.630596056749013</c:v>
                </c:pt>
                <c:pt idx="26">
                  <c:v>64.927715753343961</c:v>
                </c:pt>
                <c:pt idx="27">
                  <c:v>65.43326287804193</c:v>
                </c:pt>
                <c:pt idx="28">
                  <c:v>63.773098314676538</c:v>
                </c:pt>
                <c:pt idx="29">
                  <c:v>62.294527068612645</c:v>
                </c:pt>
                <c:pt idx="30">
                  <c:v>64.032800265636411</c:v>
                </c:pt>
                <c:pt idx="31">
                  <c:v>64.873976560142296</c:v>
                </c:pt>
                <c:pt idx="32">
                  <c:v>64.758677348464062</c:v>
                </c:pt>
                <c:pt idx="33">
                  <c:v>66.735849273992514</c:v>
                </c:pt>
                <c:pt idx="34">
                  <c:v>67.694218030187258</c:v>
                </c:pt>
                <c:pt idx="35">
                  <c:v>65.633249438224738</c:v>
                </c:pt>
                <c:pt idx="36">
                  <c:v>67.294045526185343</c:v>
                </c:pt>
                <c:pt idx="37">
                  <c:v>66.843191291541473</c:v>
                </c:pt>
                <c:pt idx="38">
                  <c:v>68.733831420641081</c:v>
                </c:pt>
                <c:pt idx="39">
                  <c:v>69.129549455548826</c:v>
                </c:pt>
                <c:pt idx="40">
                  <c:v>68.838922327205282</c:v>
                </c:pt>
                <c:pt idx="41">
                  <c:v>70.237254692193162</c:v>
                </c:pt>
                <c:pt idx="42">
                  <c:v>71.613947953452907</c:v>
                </c:pt>
                <c:pt idx="43">
                  <c:v>74.001220066677874</c:v>
                </c:pt>
                <c:pt idx="44">
                  <c:v>72.017872850218879</c:v>
                </c:pt>
                <c:pt idx="45">
                  <c:v>71.082474165953627</c:v>
                </c:pt>
                <c:pt idx="46">
                  <c:v>70.992523285451853</c:v>
                </c:pt>
                <c:pt idx="47">
                  <c:v>73.593955054241064</c:v>
                </c:pt>
                <c:pt idx="48">
                  <c:v>75.127508575409919</c:v>
                </c:pt>
                <c:pt idx="49">
                  <c:v>74.676515224043214</c:v>
                </c:pt>
                <c:pt idx="50">
                  <c:v>73.754146143674163</c:v>
                </c:pt>
                <c:pt idx="51">
                  <c:v>73.034270948167389</c:v>
                </c:pt>
                <c:pt idx="52">
                  <c:v>73.518625513830898</c:v>
                </c:pt>
                <c:pt idx="53">
                  <c:v>74.456040287057306</c:v>
                </c:pt>
                <c:pt idx="54">
                  <c:v>77.433410217609079</c:v>
                </c:pt>
                <c:pt idx="55">
                  <c:v>76.953046463363222</c:v>
                </c:pt>
                <c:pt idx="56">
                  <c:v>75.148749903316883</c:v>
                </c:pt>
                <c:pt idx="57">
                  <c:v>74.413260210642008</c:v>
                </c:pt>
                <c:pt idx="58">
                  <c:v>75.150402380212867</c:v>
                </c:pt>
                <c:pt idx="59">
                  <c:v>76.240507579229103</c:v>
                </c:pt>
                <c:pt idx="60">
                  <c:v>76.581639000505191</c:v>
                </c:pt>
                <c:pt idx="61">
                  <c:v>76.280295566740406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24EA-417D-9FEF-816D9F694639}"/>
            </c:ext>
          </c:extLst>
        </c:ser>
        <c:ser>
          <c:idx val="51"/>
          <c:order val="50"/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Carlo'!$E$52:$BN$52</c:f>
              <c:numCache>
                <c:formatCode>General</c:formatCode>
                <c:ptCount val="62"/>
                <c:pt idx="1">
                  <c:v>60.99</c:v>
                </c:pt>
                <c:pt idx="2">
                  <c:v>60.027780424837914</c:v>
                </c:pt>
                <c:pt idx="3">
                  <c:v>60.184448937222527</c:v>
                </c:pt>
                <c:pt idx="4">
                  <c:v>63.763056963503665</c:v>
                </c:pt>
                <c:pt idx="5">
                  <c:v>65.580455291818339</c:v>
                </c:pt>
                <c:pt idx="6">
                  <c:v>65.317361094566849</c:v>
                </c:pt>
                <c:pt idx="7">
                  <c:v>66.381045333844185</c:v>
                </c:pt>
                <c:pt idx="8">
                  <c:v>68.418507160629375</c:v>
                </c:pt>
                <c:pt idx="9">
                  <c:v>67.988628693603417</c:v>
                </c:pt>
                <c:pt idx="10">
                  <c:v>71.69505290951119</c:v>
                </c:pt>
                <c:pt idx="11">
                  <c:v>70.321377405056637</c:v>
                </c:pt>
                <c:pt idx="12">
                  <c:v>70.674877953189096</c:v>
                </c:pt>
                <c:pt idx="13">
                  <c:v>70.547231865271215</c:v>
                </c:pt>
                <c:pt idx="14">
                  <c:v>70.545256663060641</c:v>
                </c:pt>
                <c:pt idx="15">
                  <c:v>69.553277725139836</c:v>
                </c:pt>
                <c:pt idx="16">
                  <c:v>67.905764845959482</c:v>
                </c:pt>
                <c:pt idx="17">
                  <c:v>67.907046300222532</c:v>
                </c:pt>
                <c:pt idx="18">
                  <c:v>67.919751327190212</c:v>
                </c:pt>
                <c:pt idx="19">
                  <c:v>66.424868018103666</c:v>
                </c:pt>
                <c:pt idx="20">
                  <c:v>67.348543352987676</c:v>
                </c:pt>
                <c:pt idx="21">
                  <c:v>67.151442311424262</c:v>
                </c:pt>
                <c:pt idx="22">
                  <c:v>68.889802441427221</c:v>
                </c:pt>
                <c:pt idx="23">
                  <c:v>68.850116988206665</c:v>
                </c:pt>
                <c:pt idx="24">
                  <c:v>69.412719775283023</c:v>
                </c:pt>
                <c:pt idx="25">
                  <c:v>68.639811056420442</c:v>
                </c:pt>
                <c:pt idx="26">
                  <c:v>71.590265665713105</c:v>
                </c:pt>
                <c:pt idx="27">
                  <c:v>69.347096995238317</c:v>
                </c:pt>
                <c:pt idx="28">
                  <c:v>70.368030705977134</c:v>
                </c:pt>
                <c:pt idx="29">
                  <c:v>69.689726406892461</c:v>
                </c:pt>
                <c:pt idx="30">
                  <c:v>73.773633284251389</c:v>
                </c:pt>
                <c:pt idx="31">
                  <c:v>74.559961494671342</c:v>
                </c:pt>
                <c:pt idx="32">
                  <c:v>70.602246776896635</c:v>
                </c:pt>
                <c:pt idx="33">
                  <c:v>69.844800257052583</c:v>
                </c:pt>
                <c:pt idx="34">
                  <c:v>70.016771007985938</c:v>
                </c:pt>
                <c:pt idx="35">
                  <c:v>70.613793508520089</c:v>
                </c:pt>
                <c:pt idx="36">
                  <c:v>70.011538712078377</c:v>
                </c:pt>
                <c:pt idx="37">
                  <c:v>69.576098925956515</c:v>
                </c:pt>
                <c:pt idx="38">
                  <c:v>70.033741560863746</c:v>
                </c:pt>
                <c:pt idx="39">
                  <c:v>69.572687594914186</c:v>
                </c:pt>
                <c:pt idx="40">
                  <c:v>69.000997788530128</c:v>
                </c:pt>
                <c:pt idx="41">
                  <c:v>70.047879818090053</c:v>
                </c:pt>
                <c:pt idx="42">
                  <c:v>70.660075454606897</c:v>
                </c:pt>
                <c:pt idx="43">
                  <c:v>70.480370513627037</c:v>
                </c:pt>
                <c:pt idx="44">
                  <c:v>72.874178340727681</c:v>
                </c:pt>
                <c:pt idx="45">
                  <c:v>72.724376282126528</c:v>
                </c:pt>
                <c:pt idx="46">
                  <c:v>72.579256057297627</c:v>
                </c:pt>
                <c:pt idx="47">
                  <c:v>71.78740548577737</c:v>
                </c:pt>
                <c:pt idx="48">
                  <c:v>70.978907779060506</c:v>
                </c:pt>
                <c:pt idx="49">
                  <c:v>71.747440782543308</c:v>
                </c:pt>
                <c:pt idx="50">
                  <c:v>72.297883780899156</c:v>
                </c:pt>
                <c:pt idx="51">
                  <c:v>72.477035531874677</c:v>
                </c:pt>
                <c:pt idx="52">
                  <c:v>72.632709620775657</c:v>
                </c:pt>
                <c:pt idx="53">
                  <c:v>72.919685497360717</c:v>
                </c:pt>
                <c:pt idx="54">
                  <c:v>72.341671347612291</c:v>
                </c:pt>
                <c:pt idx="55">
                  <c:v>72.530297196981209</c:v>
                </c:pt>
                <c:pt idx="56">
                  <c:v>73.510703982636528</c:v>
                </c:pt>
                <c:pt idx="57">
                  <c:v>75.627814864702813</c:v>
                </c:pt>
                <c:pt idx="58">
                  <c:v>75.737934166545813</c:v>
                </c:pt>
                <c:pt idx="59">
                  <c:v>74.350853898281258</c:v>
                </c:pt>
                <c:pt idx="60">
                  <c:v>72.861364583640508</c:v>
                </c:pt>
                <c:pt idx="61">
                  <c:v>74.462466482014165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24EA-417D-9FEF-816D9F694639}"/>
            </c:ext>
          </c:extLst>
        </c:ser>
        <c:ser>
          <c:idx val="52"/>
          <c:order val="51"/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Carlo'!$E$53:$BN$53</c:f>
              <c:numCache>
                <c:formatCode>General</c:formatCode>
                <c:ptCount val="62"/>
                <c:pt idx="1">
                  <c:v>60.99</c:v>
                </c:pt>
                <c:pt idx="2">
                  <c:v>60.559454655624499</c:v>
                </c:pt>
                <c:pt idx="3">
                  <c:v>57.630166170546786</c:v>
                </c:pt>
                <c:pt idx="4">
                  <c:v>57.589079890606975</c:v>
                </c:pt>
                <c:pt idx="5">
                  <c:v>56.664323912263306</c:v>
                </c:pt>
                <c:pt idx="6">
                  <c:v>55.630471328335091</c:v>
                </c:pt>
                <c:pt idx="7">
                  <c:v>56.98075819021691</c:v>
                </c:pt>
                <c:pt idx="8">
                  <c:v>56.730315163622777</c:v>
                </c:pt>
                <c:pt idx="9">
                  <c:v>56.211457138858094</c:v>
                </c:pt>
                <c:pt idx="10">
                  <c:v>56.039478421242286</c:v>
                </c:pt>
                <c:pt idx="11">
                  <c:v>56.762914147167855</c:v>
                </c:pt>
                <c:pt idx="12">
                  <c:v>56.453902551172803</c:v>
                </c:pt>
                <c:pt idx="13">
                  <c:v>56.642506398149223</c:v>
                </c:pt>
                <c:pt idx="14">
                  <c:v>55.51831559836095</c:v>
                </c:pt>
                <c:pt idx="15">
                  <c:v>56.708064518711787</c:v>
                </c:pt>
                <c:pt idx="16">
                  <c:v>56.015120510453841</c:v>
                </c:pt>
                <c:pt idx="17">
                  <c:v>57.294349269870366</c:v>
                </c:pt>
                <c:pt idx="18">
                  <c:v>58.214893932830435</c:v>
                </c:pt>
                <c:pt idx="19">
                  <c:v>58.80323654879102</c:v>
                </c:pt>
                <c:pt idx="20">
                  <c:v>57.274134439918065</c:v>
                </c:pt>
                <c:pt idx="21">
                  <c:v>57.468631923701359</c:v>
                </c:pt>
                <c:pt idx="22">
                  <c:v>58.402540180506762</c:v>
                </c:pt>
                <c:pt idx="23">
                  <c:v>56.278144395989742</c:v>
                </c:pt>
                <c:pt idx="24">
                  <c:v>56.941223016147113</c:v>
                </c:pt>
                <c:pt idx="25">
                  <c:v>57.668398438459839</c:v>
                </c:pt>
                <c:pt idx="26">
                  <c:v>56.45444861861548</c:v>
                </c:pt>
                <c:pt idx="27">
                  <c:v>56.481807606475151</c:v>
                </c:pt>
                <c:pt idx="28">
                  <c:v>57.544645412941968</c:v>
                </c:pt>
                <c:pt idx="29">
                  <c:v>59.339794842990507</c:v>
                </c:pt>
                <c:pt idx="30">
                  <c:v>60.471607902864221</c:v>
                </c:pt>
                <c:pt idx="31">
                  <c:v>59.122366343324053</c:v>
                </c:pt>
                <c:pt idx="32">
                  <c:v>58.266642707541365</c:v>
                </c:pt>
                <c:pt idx="33">
                  <c:v>59.203382973990216</c:v>
                </c:pt>
                <c:pt idx="34">
                  <c:v>59.62225016249122</c:v>
                </c:pt>
                <c:pt idx="35">
                  <c:v>60.436079092445858</c:v>
                </c:pt>
                <c:pt idx="36">
                  <c:v>58.579902400779545</c:v>
                </c:pt>
                <c:pt idx="37">
                  <c:v>57.858540022132424</c:v>
                </c:pt>
                <c:pt idx="38">
                  <c:v>58.848344977170413</c:v>
                </c:pt>
                <c:pt idx="39">
                  <c:v>60.218824856752576</c:v>
                </c:pt>
                <c:pt idx="40">
                  <c:v>59.519704413449595</c:v>
                </c:pt>
                <c:pt idx="41">
                  <c:v>59.682880219586508</c:v>
                </c:pt>
                <c:pt idx="42">
                  <c:v>59.946938360768037</c:v>
                </c:pt>
                <c:pt idx="43">
                  <c:v>58.282141788008232</c:v>
                </c:pt>
                <c:pt idx="44">
                  <c:v>58.927837037013163</c:v>
                </c:pt>
                <c:pt idx="45">
                  <c:v>59.335466550094594</c:v>
                </c:pt>
                <c:pt idx="46">
                  <c:v>59.362564748247941</c:v>
                </c:pt>
                <c:pt idx="47">
                  <c:v>61.039326847410727</c:v>
                </c:pt>
                <c:pt idx="48">
                  <c:v>62.520157132631269</c:v>
                </c:pt>
                <c:pt idx="49">
                  <c:v>60.503119350383358</c:v>
                </c:pt>
                <c:pt idx="50">
                  <c:v>61.453605467474141</c:v>
                </c:pt>
                <c:pt idx="51">
                  <c:v>62.038068552734188</c:v>
                </c:pt>
                <c:pt idx="52">
                  <c:v>61.378371839790525</c:v>
                </c:pt>
                <c:pt idx="53">
                  <c:v>62.29535090136828</c:v>
                </c:pt>
                <c:pt idx="54">
                  <c:v>61.484216975048852</c:v>
                </c:pt>
                <c:pt idx="55">
                  <c:v>60.013994667733769</c:v>
                </c:pt>
                <c:pt idx="56">
                  <c:v>60.968455631819616</c:v>
                </c:pt>
                <c:pt idx="57">
                  <c:v>64.489173222063528</c:v>
                </c:pt>
                <c:pt idx="58">
                  <c:v>65.901565923589473</c:v>
                </c:pt>
                <c:pt idx="59">
                  <c:v>66.486049970159314</c:v>
                </c:pt>
                <c:pt idx="60">
                  <c:v>67.913862942788981</c:v>
                </c:pt>
                <c:pt idx="61">
                  <c:v>66.550568500352398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24EA-417D-9FEF-816D9F694639}"/>
            </c:ext>
          </c:extLst>
        </c:ser>
        <c:ser>
          <c:idx val="53"/>
          <c:order val="52"/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Carlo'!$E$54:$BN$54</c:f>
              <c:numCache>
                <c:formatCode>General</c:formatCode>
                <c:ptCount val="62"/>
                <c:pt idx="1">
                  <c:v>60.99</c:v>
                </c:pt>
                <c:pt idx="2">
                  <c:v>59.8284617041882</c:v>
                </c:pt>
                <c:pt idx="3">
                  <c:v>61.492875815291995</c:v>
                </c:pt>
                <c:pt idx="4">
                  <c:v>61.355488149811009</c:v>
                </c:pt>
                <c:pt idx="5">
                  <c:v>63.058296105647258</c:v>
                </c:pt>
                <c:pt idx="6">
                  <c:v>64.527739524398399</c:v>
                </c:pt>
                <c:pt idx="7">
                  <c:v>64.054055847840928</c:v>
                </c:pt>
                <c:pt idx="8">
                  <c:v>62.35584461145082</c:v>
                </c:pt>
                <c:pt idx="9">
                  <c:v>64.047566997820368</c:v>
                </c:pt>
                <c:pt idx="10">
                  <c:v>66.482305557573682</c:v>
                </c:pt>
                <c:pt idx="11">
                  <c:v>65.740345376013423</c:v>
                </c:pt>
                <c:pt idx="12">
                  <c:v>66.026622644393981</c:v>
                </c:pt>
                <c:pt idx="13">
                  <c:v>65.646150041694838</c:v>
                </c:pt>
                <c:pt idx="14">
                  <c:v>66.914584466949719</c:v>
                </c:pt>
                <c:pt idx="15">
                  <c:v>65.718785220873031</c:v>
                </c:pt>
                <c:pt idx="16">
                  <c:v>64.575778621561426</c:v>
                </c:pt>
                <c:pt idx="17">
                  <c:v>63.984078572476761</c:v>
                </c:pt>
                <c:pt idx="18">
                  <c:v>65.188189332092875</c:v>
                </c:pt>
                <c:pt idx="19">
                  <c:v>66.501425241801087</c:v>
                </c:pt>
                <c:pt idx="20">
                  <c:v>65.541740845878593</c:v>
                </c:pt>
                <c:pt idx="21">
                  <c:v>63.828918745412714</c:v>
                </c:pt>
                <c:pt idx="22">
                  <c:v>64.527805723254673</c:v>
                </c:pt>
                <c:pt idx="23">
                  <c:v>65.940331157106982</c:v>
                </c:pt>
                <c:pt idx="24">
                  <c:v>63.797007928020165</c:v>
                </c:pt>
                <c:pt idx="25">
                  <c:v>64.564993762931067</c:v>
                </c:pt>
                <c:pt idx="26">
                  <c:v>65.017489341167831</c:v>
                </c:pt>
                <c:pt idx="27">
                  <c:v>64.787505351140283</c:v>
                </c:pt>
                <c:pt idx="28">
                  <c:v>64.322759039023524</c:v>
                </c:pt>
                <c:pt idx="29">
                  <c:v>66.020981373335943</c:v>
                </c:pt>
                <c:pt idx="30">
                  <c:v>66.409960844011422</c:v>
                </c:pt>
                <c:pt idx="31">
                  <c:v>66.509901274282726</c:v>
                </c:pt>
                <c:pt idx="32">
                  <c:v>67.866076118077601</c:v>
                </c:pt>
                <c:pt idx="33">
                  <c:v>69.236875622062627</c:v>
                </c:pt>
                <c:pt idx="34">
                  <c:v>69.237762371372128</c:v>
                </c:pt>
                <c:pt idx="35">
                  <c:v>68.97900155732367</c:v>
                </c:pt>
                <c:pt idx="36">
                  <c:v>68.411618628603264</c:v>
                </c:pt>
                <c:pt idx="37">
                  <c:v>66.471434031629727</c:v>
                </c:pt>
                <c:pt idx="38">
                  <c:v>69.277145295343061</c:v>
                </c:pt>
                <c:pt idx="39">
                  <c:v>69.191275839060197</c:v>
                </c:pt>
                <c:pt idx="40">
                  <c:v>69.862049108630927</c:v>
                </c:pt>
                <c:pt idx="41">
                  <c:v>69.612727642606743</c:v>
                </c:pt>
                <c:pt idx="42">
                  <c:v>70.640312077679241</c:v>
                </c:pt>
                <c:pt idx="43">
                  <c:v>70.918166680890991</c:v>
                </c:pt>
                <c:pt idx="44">
                  <c:v>72.486976033408823</c:v>
                </c:pt>
                <c:pt idx="45">
                  <c:v>72.889877637519703</c:v>
                </c:pt>
                <c:pt idx="46">
                  <c:v>73.468284605661651</c:v>
                </c:pt>
                <c:pt idx="47">
                  <c:v>73.817736811406519</c:v>
                </c:pt>
                <c:pt idx="48">
                  <c:v>71.683498906322825</c:v>
                </c:pt>
                <c:pt idx="49">
                  <c:v>71.766358313793134</c:v>
                </c:pt>
                <c:pt idx="50">
                  <c:v>72.43998062730239</c:v>
                </c:pt>
                <c:pt idx="51">
                  <c:v>70.909590892637382</c:v>
                </c:pt>
                <c:pt idx="52">
                  <c:v>71.561792207162014</c:v>
                </c:pt>
                <c:pt idx="53">
                  <c:v>72.64724970459099</c:v>
                </c:pt>
                <c:pt idx="54">
                  <c:v>73.491653489319873</c:v>
                </c:pt>
                <c:pt idx="55">
                  <c:v>72.940742376167435</c:v>
                </c:pt>
                <c:pt idx="56">
                  <c:v>74.021595651033692</c:v>
                </c:pt>
                <c:pt idx="57">
                  <c:v>75.033115369610215</c:v>
                </c:pt>
                <c:pt idx="58">
                  <c:v>74.635661620163575</c:v>
                </c:pt>
                <c:pt idx="59">
                  <c:v>74.329515254529284</c:v>
                </c:pt>
                <c:pt idx="60">
                  <c:v>76.237418446197211</c:v>
                </c:pt>
                <c:pt idx="61">
                  <c:v>75.445601427473278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24EA-417D-9FEF-816D9F694639}"/>
            </c:ext>
          </c:extLst>
        </c:ser>
        <c:ser>
          <c:idx val="54"/>
          <c:order val="53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'Monte Carlo'!$E$55:$BN$55</c:f>
              <c:numCache>
                <c:formatCode>General</c:formatCode>
                <c:ptCount val="62"/>
                <c:pt idx="1">
                  <c:v>60.99</c:v>
                </c:pt>
                <c:pt idx="2">
                  <c:v>62.935262711293134</c:v>
                </c:pt>
                <c:pt idx="3">
                  <c:v>63.932743885021544</c:v>
                </c:pt>
                <c:pt idx="4">
                  <c:v>64.222382707275401</c:v>
                </c:pt>
                <c:pt idx="5">
                  <c:v>62.186780429293805</c:v>
                </c:pt>
                <c:pt idx="6">
                  <c:v>62.428503551790499</c:v>
                </c:pt>
                <c:pt idx="7">
                  <c:v>60.791069155998819</c:v>
                </c:pt>
                <c:pt idx="8">
                  <c:v>59.726910970245278</c:v>
                </c:pt>
                <c:pt idx="9">
                  <c:v>60.534588649548489</c:v>
                </c:pt>
                <c:pt idx="10">
                  <c:v>60.580808568051665</c:v>
                </c:pt>
                <c:pt idx="11">
                  <c:v>61.417308539725056</c:v>
                </c:pt>
                <c:pt idx="12">
                  <c:v>60.213687598664457</c:v>
                </c:pt>
                <c:pt idx="13">
                  <c:v>57.987522327154316</c:v>
                </c:pt>
                <c:pt idx="14">
                  <c:v>58.079907899914467</c:v>
                </c:pt>
                <c:pt idx="15">
                  <c:v>56.423509279882367</c:v>
                </c:pt>
                <c:pt idx="16">
                  <c:v>56.852658476030314</c:v>
                </c:pt>
                <c:pt idx="17">
                  <c:v>56.691372518462757</c:v>
                </c:pt>
                <c:pt idx="18">
                  <c:v>55.612484541658425</c:v>
                </c:pt>
                <c:pt idx="19">
                  <c:v>55.621156518236589</c:v>
                </c:pt>
                <c:pt idx="20">
                  <c:v>55.720532580015309</c:v>
                </c:pt>
                <c:pt idx="21">
                  <c:v>58.083435425236317</c:v>
                </c:pt>
                <c:pt idx="22">
                  <c:v>58.355158200548942</c:v>
                </c:pt>
                <c:pt idx="23">
                  <c:v>59.860779325100111</c:v>
                </c:pt>
                <c:pt idx="24">
                  <c:v>58.914220463491212</c:v>
                </c:pt>
                <c:pt idx="25">
                  <c:v>59.447131070642506</c:v>
                </c:pt>
                <c:pt idx="26">
                  <c:v>59.468417980148288</c:v>
                </c:pt>
                <c:pt idx="27">
                  <c:v>57.777656721705505</c:v>
                </c:pt>
                <c:pt idx="28">
                  <c:v>56.058566097121592</c:v>
                </c:pt>
                <c:pt idx="29">
                  <c:v>57.247704654628585</c:v>
                </c:pt>
                <c:pt idx="30">
                  <c:v>57.782916947378297</c:v>
                </c:pt>
                <c:pt idx="31">
                  <c:v>59.600178073121562</c:v>
                </c:pt>
                <c:pt idx="32">
                  <c:v>58.650046836074296</c:v>
                </c:pt>
                <c:pt idx="33">
                  <c:v>56.620094273116337</c:v>
                </c:pt>
                <c:pt idx="34">
                  <c:v>57.99939289588746</c:v>
                </c:pt>
                <c:pt idx="35">
                  <c:v>57.149119820812132</c:v>
                </c:pt>
                <c:pt idx="36">
                  <c:v>58.56145153924993</c:v>
                </c:pt>
                <c:pt idx="37">
                  <c:v>60.75903599844947</c:v>
                </c:pt>
                <c:pt idx="38">
                  <c:v>60.892931707634162</c:v>
                </c:pt>
                <c:pt idx="39">
                  <c:v>59.372876961660253</c:v>
                </c:pt>
                <c:pt idx="40">
                  <c:v>59.365974345083757</c:v>
                </c:pt>
                <c:pt idx="41">
                  <c:v>58.708456857749354</c:v>
                </c:pt>
                <c:pt idx="42">
                  <c:v>58.024966372650447</c:v>
                </c:pt>
                <c:pt idx="43">
                  <c:v>58.487237494470712</c:v>
                </c:pt>
                <c:pt idx="44">
                  <c:v>57.377115286522063</c:v>
                </c:pt>
                <c:pt idx="45">
                  <c:v>56.92413606422982</c:v>
                </c:pt>
                <c:pt idx="46">
                  <c:v>57.13708714302129</c:v>
                </c:pt>
                <c:pt idx="47">
                  <c:v>56.561290691056762</c:v>
                </c:pt>
                <c:pt idx="48">
                  <c:v>55.309676283190832</c:v>
                </c:pt>
                <c:pt idx="49">
                  <c:v>55.517222493728354</c:v>
                </c:pt>
                <c:pt idx="50">
                  <c:v>56.157797533596607</c:v>
                </c:pt>
                <c:pt idx="51">
                  <c:v>54.911905071116664</c:v>
                </c:pt>
                <c:pt idx="52">
                  <c:v>56.003972918036787</c:v>
                </c:pt>
                <c:pt idx="53">
                  <c:v>55.862652213623562</c:v>
                </c:pt>
                <c:pt idx="54">
                  <c:v>57.335678208371064</c:v>
                </c:pt>
                <c:pt idx="55">
                  <c:v>58.425610757152931</c:v>
                </c:pt>
                <c:pt idx="56">
                  <c:v>60.094364070759859</c:v>
                </c:pt>
                <c:pt idx="57">
                  <c:v>62.339575887605051</c:v>
                </c:pt>
                <c:pt idx="58">
                  <c:v>63.594805573039359</c:v>
                </c:pt>
                <c:pt idx="59">
                  <c:v>64.254812077758658</c:v>
                </c:pt>
                <c:pt idx="60">
                  <c:v>63.657685862571697</c:v>
                </c:pt>
                <c:pt idx="61">
                  <c:v>64.537786492887435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24EA-417D-9FEF-816D9F694639}"/>
            </c:ext>
          </c:extLst>
        </c:ser>
        <c:ser>
          <c:idx val="55"/>
          <c:order val="54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'Monte Carlo'!$E$56:$BN$56</c:f>
              <c:numCache>
                <c:formatCode>General</c:formatCode>
                <c:ptCount val="62"/>
                <c:pt idx="1">
                  <c:v>60.99</c:v>
                </c:pt>
                <c:pt idx="2">
                  <c:v>62.250894045904609</c:v>
                </c:pt>
                <c:pt idx="3">
                  <c:v>62.957754124936656</c:v>
                </c:pt>
                <c:pt idx="4">
                  <c:v>63.015306610512539</c:v>
                </c:pt>
                <c:pt idx="5">
                  <c:v>62.046062654310226</c:v>
                </c:pt>
                <c:pt idx="6">
                  <c:v>62.231040622627958</c:v>
                </c:pt>
                <c:pt idx="7">
                  <c:v>62.442794621950121</c:v>
                </c:pt>
                <c:pt idx="8">
                  <c:v>61.794705931379561</c:v>
                </c:pt>
                <c:pt idx="9">
                  <c:v>62.211720456108324</c:v>
                </c:pt>
                <c:pt idx="10">
                  <c:v>60.384836582463556</c:v>
                </c:pt>
                <c:pt idx="11">
                  <c:v>60.112382455229373</c:v>
                </c:pt>
                <c:pt idx="12">
                  <c:v>58.066597552581626</c:v>
                </c:pt>
                <c:pt idx="13">
                  <c:v>59.089435464244097</c:v>
                </c:pt>
                <c:pt idx="14">
                  <c:v>58.954358061479603</c:v>
                </c:pt>
                <c:pt idx="15">
                  <c:v>58.344046859627795</c:v>
                </c:pt>
                <c:pt idx="16">
                  <c:v>60.559302676833845</c:v>
                </c:pt>
                <c:pt idx="17">
                  <c:v>62.154569541774876</c:v>
                </c:pt>
                <c:pt idx="18">
                  <c:v>61.183385360067135</c:v>
                </c:pt>
                <c:pt idx="19">
                  <c:v>61.615607323378526</c:v>
                </c:pt>
                <c:pt idx="20">
                  <c:v>59.82102315450426</c:v>
                </c:pt>
                <c:pt idx="21">
                  <c:v>60.602859643995416</c:v>
                </c:pt>
                <c:pt idx="22">
                  <c:v>60.941236345095376</c:v>
                </c:pt>
                <c:pt idx="23">
                  <c:v>60.661757984484602</c:v>
                </c:pt>
                <c:pt idx="24">
                  <c:v>60.654172274520739</c:v>
                </c:pt>
                <c:pt idx="25">
                  <c:v>61.554253033646617</c:v>
                </c:pt>
                <c:pt idx="26">
                  <c:v>62.333441135605206</c:v>
                </c:pt>
                <c:pt idx="27">
                  <c:v>61.68169826928527</c:v>
                </c:pt>
                <c:pt idx="28">
                  <c:v>61.851717870702927</c:v>
                </c:pt>
                <c:pt idx="29">
                  <c:v>61.670210112422069</c:v>
                </c:pt>
                <c:pt idx="30">
                  <c:v>62.803130854211688</c:v>
                </c:pt>
                <c:pt idx="31">
                  <c:v>64.675168922901861</c:v>
                </c:pt>
                <c:pt idx="32">
                  <c:v>63.218775378459668</c:v>
                </c:pt>
                <c:pt idx="33">
                  <c:v>64.114007775921948</c:v>
                </c:pt>
                <c:pt idx="34">
                  <c:v>62.865740369649878</c:v>
                </c:pt>
                <c:pt idx="35">
                  <c:v>64.792320703249047</c:v>
                </c:pt>
                <c:pt idx="36">
                  <c:v>63.897438876801196</c:v>
                </c:pt>
                <c:pt idx="37">
                  <c:v>63.018677676735138</c:v>
                </c:pt>
                <c:pt idx="38">
                  <c:v>63.659810112575194</c:v>
                </c:pt>
                <c:pt idx="39">
                  <c:v>63.40537241799138</c:v>
                </c:pt>
                <c:pt idx="40">
                  <c:v>61.630081802194248</c:v>
                </c:pt>
                <c:pt idx="41">
                  <c:v>61.994689620656636</c:v>
                </c:pt>
                <c:pt idx="42">
                  <c:v>61.089360066647124</c:v>
                </c:pt>
                <c:pt idx="43">
                  <c:v>61.414969043891503</c:v>
                </c:pt>
                <c:pt idx="44">
                  <c:v>61.720270986962959</c:v>
                </c:pt>
                <c:pt idx="45">
                  <c:v>62.139939585294734</c:v>
                </c:pt>
                <c:pt idx="46">
                  <c:v>60.032132710709909</c:v>
                </c:pt>
                <c:pt idx="47">
                  <c:v>62.035230654852349</c:v>
                </c:pt>
                <c:pt idx="48">
                  <c:v>64.195600460838378</c:v>
                </c:pt>
                <c:pt idx="49">
                  <c:v>64.830721280336974</c:v>
                </c:pt>
                <c:pt idx="50">
                  <c:v>64.09756988413659</c:v>
                </c:pt>
                <c:pt idx="51">
                  <c:v>64.795098814797825</c:v>
                </c:pt>
                <c:pt idx="52">
                  <c:v>62.807919515260224</c:v>
                </c:pt>
                <c:pt idx="53">
                  <c:v>63.60268667489887</c:v>
                </c:pt>
                <c:pt idx="54">
                  <c:v>60.582625324833266</c:v>
                </c:pt>
                <c:pt idx="55">
                  <c:v>62.03854705990431</c:v>
                </c:pt>
                <c:pt idx="56">
                  <c:v>62.741456751533505</c:v>
                </c:pt>
                <c:pt idx="57">
                  <c:v>63.635872338395501</c:v>
                </c:pt>
                <c:pt idx="58">
                  <c:v>63.197034951067963</c:v>
                </c:pt>
                <c:pt idx="59">
                  <c:v>63.833126928445743</c:v>
                </c:pt>
                <c:pt idx="60">
                  <c:v>65.224820056090465</c:v>
                </c:pt>
                <c:pt idx="61">
                  <c:v>64.660965100888674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24EA-417D-9FEF-816D9F694639}"/>
            </c:ext>
          </c:extLst>
        </c:ser>
        <c:ser>
          <c:idx val="56"/>
          <c:order val="55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'Monte Carlo'!$E$57:$BN$57</c:f>
              <c:numCache>
                <c:formatCode>General</c:formatCode>
                <c:ptCount val="62"/>
                <c:pt idx="1">
                  <c:v>60.99</c:v>
                </c:pt>
                <c:pt idx="2">
                  <c:v>61.299313503480839</c:v>
                </c:pt>
                <c:pt idx="3">
                  <c:v>61.188312969377996</c:v>
                </c:pt>
                <c:pt idx="4">
                  <c:v>59.731977269467649</c:v>
                </c:pt>
                <c:pt idx="5">
                  <c:v>58.771939644217539</c:v>
                </c:pt>
                <c:pt idx="6">
                  <c:v>58.070953282074626</c:v>
                </c:pt>
                <c:pt idx="7">
                  <c:v>58.174788060251579</c:v>
                </c:pt>
                <c:pt idx="8">
                  <c:v>58.890961866246158</c:v>
                </c:pt>
                <c:pt idx="9">
                  <c:v>59.675515460761176</c:v>
                </c:pt>
                <c:pt idx="10">
                  <c:v>58.041038215622869</c:v>
                </c:pt>
                <c:pt idx="11">
                  <c:v>57.031350606894939</c:v>
                </c:pt>
                <c:pt idx="12">
                  <c:v>58.688711241907754</c:v>
                </c:pt>
                <c:pt idx="13">
                  <c:v>60.802774198903656</c:v>
                </c:pt>
                <c:pt idx="14">
                  <c:v>61.931163274572029</c:v>
                </c:pt>
                <c:pt idx="15">
                  <c:v>61.056274644352477</c:v>
                </c:pt>
                <c:pt idx="16">
                  <c:v>60.962731716596238</c:v>
                </c:pt>
                <c:pt idx="17">
                  <c:v>61.470432944640891</c:v>
                </c:pt>
                <c:pt idx="18">
                  <c:v>62.461636378826469</c:v>
                </c:pt>
                <c:pt idx="19">
                  <c:v>61.939526597984091</c:v>
                </c:pt>
                <c:pt idx="20">
                  <c:v>60.129859331484944</c:v>
                </c:pt>
                <c:pt idx="21">
                  <c:v>58.804400626705984</c:v>
                </c:pt>
                <c:pt idx="22">
                  <c:v>56.850831849695581</c:v>
                </c:pt>
                <c:pt idx="23">
                  <c:v>57.424578149091865</c:v>
                </c:pt>
                <c:pt idx="24">
                  <c:v>58.218643473046939</c:v>
                </c:pt>
                <c:pt idx="25">
                  <c:v>59.594787600794554</c:v>
                </c:pt>
                <c:pt idx="26">
                  <c:v>60.318538894722202</c:v>
                </c:pt>
                <c:pt idx="27">
                  <c:v>59.863559385583031</c:v>
                </c:pt>
                <c:pt idx="28">
                  <c:v>59.82402174813776</c:v>
                </c:pt>
                <c:pt idx="29">
                  <c:v>60.988134747683006</c:v>
                </c:pt>
                <c:pt idx="30">
                  <c:v>60.317396459142799</c:v>
                </c:pt>
                <c:pt idx="31">
                  <c:v>59.217422000545426</c:v>
                </c:pt>
                <c:pt idx="32">
                  <c:v>60.263284302717089</c:v>
                </c:pt>
                <c:pt idx="33">
                  <c:v>60.705446507388523</c:v>
                </c:pt>
                <c:pt idx="34">
                  <c:v>60.595579320224751</c:v>
                </c:pt>
                <c:pt idx="35">
                  <c:v>61.010586514949281</c:v>
                </c:pt>
                <c:pt idx="36">
                  <c:v>61.49350232477935</c:v>
                </c:pt>
                <c:pt idx="37">
                  <c:v>60.957178926214048</c:v>
                </c:pt>
                <c:pt idx="38">
                  <c:v>61.860970173679412</c:v>
                </c:pt>
                <c:pt idx="39">
                  <c:v>63.953922037564126</c:v>
                </c:pt>
                <c:pt idx="40">
                  <c:v>65.399236673335096</c:v>
                </c:pt>
                <c:pt idx="41">
                  <c:v>65.892123925911477</c:v>
                </c:pt>
                <c:pt idx="42">
                  <c:v>67.626780804910808</c:v>
                </c:pt>
                <c:pt idx="43">
                  <c:v>67.263831910535487</c:v>
                </c:pt>
                <c:pt idx="44">
                  <c:v>65.521315385546316</c:v>
                </c:pt>
                <c:pt idx="45">
                  <c:v>64.364373798795924</c:v>
                </c:pt>
                <c:pt idx="46">
                  <c:v>64.926977460322703</c:v>
                </c:pt>
                <c:pt idx="47">
                  <c:v>65.267765840633359</c:v>
                </c:pt>
                <c:pt idx="48">
                  <c:v>65.511550691543661</c:v>
                </c:pt>
                <c:pt idx="49">
                  <c:v>64.432947929681063</c:v>
                </c:pt>
                <c:pt idx="50">
                  <c:v>63.79691085968777</c:v>
                </c:pt>
                <c:pt idx="51">
                  <c:v>63.73004086368924</c:v>
                </c:pt>
                <c:pt idx="52">
                  <c:v>63.170586421093176</c:v>
                </c:pt>
                <c:pt idx="53">
                  <c:v>64.807508477859287</c:v>
                </c:pt>
                <c:pt idx="54">
                  <c:v>65.25726735401004</c:v>
                </c:pt>
                <c:pt idx="55">
                  <c:v>66.473713471429889</c:v>
                </c:pt>
                <c:pt idx="56">
                  <c:v>66.95299264607371</c:v>
                </c:pt>
                <c:pt idx="57">
                  <c:v>65.779658877102619</c:v>
                </c:pt>
                <c:pt idx="58">
                  <c:v>65.495885224785866</c:v>
                </c:pt>
                <c:pt idx="59">
                  <c:v>68.506947449986242</c:v>
                </c:pt>
                <c:pt idx="60">
                  <c:v>68.131676128993405</c:v>
                </c:pt>
                <c:pt idx="61">
                  <c:v>68.539387243968747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24EA-417D-9FEF-816D9F694639}"/>
            </c:ext>
          </c:extLst>
        </c:ser>
        <c:ser>
          <c:idx val="57"/>
          <c:order val="56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'Monte Carlo'!$E$58:$BN$58</c:f>
              <c:numCache>
                <c:formatCode>General</c:formatCode>
                <c:ptCount val="62"/>
                <c:pt idx="1">
                  <c:v>60.99</c:v>
                </c:pt>
                <c:pt idx="2">
                  <c:v>61.777867664595952</c:v>
                </c:pt>
                <c:pt idx="3">
                  <c:v>59.374556689052376</c:v>
                </c:pt>
                <c:pt idx="4">
                  <c:v>58.380759361830023</c:v>
                </c:pt>
                <c:pt idx="5">
                  <c:v>58.02347744539766</c:v>
                </c:pt>
                <c:pt idx="6">
                  <c:v>58.34180496778886</c:v>
                </c:pt>
                <c:pt idx="7">
                  <c:v>58.617177137409776</c:v>
                </c:pt>
                <c:pt idx="8">
                  <c:v>58.632480993784185</c:v>
                </c:pt>
                <c:pt idx="9">
                  <c:v>57.841914827823047</c:v>
                </c:pt>
                <c:pt idx="10">
                  <c:v>56.885010533850057</c:v>
                </c:pt>
                <c:pt idx="11">
                  <c:v>58.641328466310711</c:v>
                </c:pt>
                <c:pt idx="12">
                  <c:v>58.07758474584945</c:v>
                </c:pt>
                <c:pt idx="13">
                  <c:v>59.027677358741933</c:v>
                </c:pt>
                <c:pt idx="14">
                  <c:v>58.691335231979295</c:v>
                </c:pt>
                <c:pt idx="15">
                  <c:v>60.808469707149833</c:v>
                </c:pt>
                <c:pt idx="16">
                  <c:v>61.955610138916818</c:v>
                </c:pt>
                <c:pt idx="17">
                  <c:v>62.084279092690849</c:v>
                </c:pt>
                <c:pt idx="18">
                  <c:v>60.266216499137904</c:v>
                </c:pt>
                <c:pt idx="19">
                  <c:v>61.016510024291399</c:v>
                </c:pt>
                <c:pt idx="20">
                  <c:v>61.784695543409534</c:v>
                </c:pt>
                <c:pt idx="21">
                  <c:v>62.370193591608285</c:v>
                </c:pt>
                <c:pt idx="22">
                  <c:v>61.166073517056084</c:v>
                </c:pt>
                <c:pt idx="23">
                  <c:v>61.858851496762753</c:v>
                </c:pt>
                <c:pt idx="24">
                  <c:v>64.18605375787466</c:v>
                </c:pt>
                <c:pt idx="25">
                  <c:v>64.662635145639001</c:v>
                </c:pt>
                <c:pt idx="26">
                  <c:v>65.099226057634439</c:v>
                </c:pt>
                <c:pt idx="27">
                  <c:v>63.795389606945172</c:v>
                </c:pt>
                <c:pt idx="28">
                  <c:v>64.936218957511173</c:v>
                </c:pt>
                <c:pt idx="29">
                  <c:v>65.337558966850651</c:v>
                </c:pt>
                <c:pt idx="30">
                  <c:v>65.957645040032915</c:v>
                </c:pt>
                <c:pt idx="31">
                  <c:v>65.202467199305161</c:v>
                </c:pt>
                <c:pt idx="32">
                  <c:v>67.636338233465437</c:v>
                </c:pt>
                <c:pt idx="33">
                  <c:v>67.023402508987004</c:v>
                </c:pt>
                <c:pt idx="34">
                  <c:v>66.465233623211162</c:v>
                </c:pt>
                <c:pt idx="35">
                  <c:v>66.600074553132501</c:v>
                </c:pt>
                <c:pt idx="36">
                  <c:v>66.351772040740471</c:v>
                </c:pt>
                <c:pt idx="37">
                  <c:v>67.401168864869717</c:v>
                </c:pt>
                <c:pt idx="38">
                  <c:v>66.834048902427753</c:v>
                </c:pt>
                <c:pt idx="39">
                  <c:v>64.747583292986363</c:v>
                </c:pt>
                <c:pt idx="40">
                  <c:v>64.267169837530489</c:v>
                </c:pt>
                <c:pt idx="41">
                  <c:v>63.475354213376995</c:v>
                </c:pt>
                <c:pt idx="42">
                  <c:v>64.857137454319016</c:v>
                </c:pt>
                <c:pt idx="43">
                  <c:v>63.254613874553293</c:v>
                </c:pt>
                <c:pt idx="44">
                  <c:v>64.160391464625903</c:v>
                </c:pt>
                <c:pt idx="45">
                  <c:v>65.340099058474095</c:v>
                </c:pt>
                <c:pt idx="46">
                  <c:v>64.264911329140006</c:v>
                </c:pt>
                <c:pt idx="47">
                  <c:v>64.055155386261063</c:v>
                </c:pt>
                <c:pt idx="48">
                  <c:v>63.761832561913586</c:v>
                </c:pt>
                <c:pt idx="49">
                  <c:v>65.617760281492949</c:v>
                </c:pt>
                <c:pt idx="50">
                  <c:v>66.932961984614778</c:v>
                </c:pt>
                <c:pt idx="51">
                  <c:v>64.424336792900547</c:v>
                </c:pt>
                <c:pt idx="52">
                  <c:v>66.62358462530635</c:v>
                </c:pt>
                <c:pt idx="53">
                  <c:v>64.243446626892023</c:v>
                </c:pt>
                <c:pt idx="54">
                  <c:v>64.657303429865479</c:v>
                </c:pt>
                <c:pt idx="55">
                  <c:v>67.082810182640486</c:v>
                </c:pt>
                <c:pt idx="56">
                  <c:v>67.329326369715034</c:v>
                </c:pt>
                <c:pt idx="57">
                  <c:v>68.252531060788513</c:v>
                </c:pt>
                <c:pt idx="58">
                  <c:v>68.036039128900299</c:v>
                </c:pt>
                <c:pt idx="59">
                  <c:v>67.618550802390473</c:v>
                </c:pt>
                <c:pt idx="60">
                  <c:v>68.384542514795498</c:v>
                </c:pt>
                <c:pt idx="61">
                  <c:v>70.493347139159596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24EA-417D-9FEF-816D9F694639}"/>
            </c:ext>
          </c:extLst>
        </c:ser>
        <c:ser>
          <c:idx val="58"/>
          <c:order val="57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'Monte Carlo'!$E$59:$BN$59</c:f>
              <c:numCache>
                <c:formatCode>General</c:formatCode>
                <c:ptCount val="62"/>
                <c:pt idx="1">
                  <c:v>60.99</c:v>
                </c:pt>
                <c:pt idx="2">
                  <c:v>62.03797192589662</c:v>
                </c:pt>
                <c:pt idx="3">
                  <c:v>62.354079106411852</c:v>
                </c:pt>
                <c:pt idx="4">
                  <c:v>62.00634737796365</c:v>
                </c:pt>
                <c:pt idx="5">
                  <c:v>63.810051763930609</c:v>
                </c:pt>
                <c:pt idx="6">
                  <c:v>64.787840501255928</c:v>
                </c:pt>
                <c:pt idx="7">
                  <c:v>64.009886710142766</c:v>
                </c:pt>
                <c:pt idx="8">
                  <c:v>64.103421434676775</c:v>
                </c:pt>
                <c:pt idx="9">
                  <c:v>65.30504339380451</c:v>
                </c:pt>
                <c:pt idx="10">
                  <c:v>65.531908975190063</c:v>
                </c:pt>
                <c:pt idx="11">
                  <c:v>63.059305718620706</c:v>
                </c:pt>
                <c:pt idx="12">
                  <c:v>61.275450563461874</c:v>
                </c:pt>
                <c:pt idx="13">
                  <c:v>59.774732217892506</c:v>
                </c:pt>
                <c:pt idx="14">
                  <c:v>58.322261221115618</c:v>
                </c:pt>
                <c:pt idx="15">
                  <c:v>59.795222099167951</c:v>
                </c:pt>
                <c:pt idx="16">
                  <c:v>60.414213516752262</c:v>
                </c:pt>
                <c:pt idx="17">
                  <c:v>59.968246558626831</c:v>
                </c:pt>
                <c:pt idx="18">
                  <c:v>59.270599439818213</c:v>
                </c:pt>
                <c:pt idx="19">
                  <c:v>57.780210913009149</c:v>
                </c:pt>
                <c:pt idx="20">
                  <c:v>58.742480894712244</c:v>
                </c:pt>
                <c:pt idx="21">
                  <c:v>59.376646421250584</c:v>
                </c:pt>
                <c:pt idx="22">
                  <c:v>58.734444265517475</c:v>
                </c:pt>
                <c:pt idx="23">
                  <c:v>57.605970375577733</c:v>
                </c:pt>
                <c:pt idx="24">
                  <c:v>57.805428503192253</c:v>
                </c:pt>
                <c:pt idx="25">
                  <c:v>57.644559514619601</c:v>
                </c:pt>
                <c:pt idx="26">
                  <c:v>58.219574202640764</c:v>
                </c:pt>
                <c:pt idx="27">
                  <c:v>59.128906135168549</c:v>
                </c:pt>
                <c:pt idx="28">
                  <c:v>59.737524004119415</c:v>
                </c:pt>
                <c:pt idx="29">
                  <c:v>59.794893230512521</c:v>
                </c:pt>
                <c:pt idx="30">
                  <c:v>59.931579309819448</c:v>
                </c:pt>
                <c:pt idx="31">
                  <c:v>59.683936658261338</c:v>
                </c:pt>
                <c:pt idx="32">
                  <c:v>60.495077187546649</c:v>
                </c:pt>
                <c:pt idx="33">
                  <c:v>60.127193701415116</c:v>
                </c:pt>
                <c:pt idx="34">
                  <c:v>59.518416023725088</c:v>
                </c:pt>
                <c:pt idx="35">
                  <c:v>58.184611375274827</c:v>
                </c:pt>
                <c:pt idx="36">
                  <c:v>58.372058463135588</c:v>
                </c:pt>
                <c:pt idx="37">
                  <c:v>58.204914464143698</c:v>
                </c:pt>
                <c:pt idx="38">
                  <c:v>57.680760025136244</c:v>
                </c:pt>
                <c:pt idx="39">
                  <c:v>57.844861612326284</c:v>
                </c:pt>
                <c:pt idx="40">
                  <c:v>58.652401485171644</c:v>
                </c:pt>
                <c:pt idx="41">
                  <c:v>59.1250860556652</c:v>
                </c:pt>
                <c:pt idx="42">
                  <c:v>60.486345650587701</c:v>
                </c:pt>
                <c:pt idx="43">
                  <c:v>60.437388559361452</c:v>
                </c:pt>
                <c:pt idx="44">
                  <c:v>60.226785930204251</c:v>
                </c:pt>
                <c:pt idx="45">
                  <c:v>60.397530442739317</c:v>
                </c:pt>
                <c:pt idx="46">
                  <c:v>58.720758708755099</c:v>
                </c:pt>
                <c:pt idx="47">
                  <c:v>59.122503960906442</c:v>
                </c:pt>
                <c:pt idx="48">
                  <c:v>60.824960751324497</c:v>
                </c:pt>
                <c:pt idx="49">
                  <c:v>61.745009381230503</c:v>
                </c:pt>
                <c:pt idx="50">
                  <c:v>61.178555626232473</c:v>
                </c:pt>
                <c:pt idx="51">
                  <c:v>62.906097966302845</c:v>
                </c:pt>
                <c:pt idx="52">
                  <c:v>64.217440544668122</c:v>
                </c:pt>
                <c:pt idx="53">
                  <c:v>65.267901404188422</c:v>
                </c:pt>
                <c:pt idx="54">
                  <c:v>65.218822982277331</c:v>
                </c:pt>
                <c:pt idx="55">
                  <c:v>62.590080355458198</c:v>
                </c:pt>
                <c:pt idx="56">
                  <c:v>61.205195370547713</c:v>
                </c:pt>
                <c:pt idx="57">
                  <c:v>61.345927308784098</c:v>
                </c:pt>
                <c:pt idx="58">
                  <c:v>62.276197830759379</c:v>
                </c:pt>
                <c:pt idx="59">
                  <c:v>60.950641810285603</c:v>
                </c:pt>
                <c:pt idx="60">
                  <c:v>61.049541997984164</c:v>
                </c:pt>
                <c:pt idx="61">
                  <c:v>60.164404261713166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24EA-417D-9FEF-816D9F694639}"/>
            </c:ext>
          </c:extLst>
        </c:ser>
        <c:ser>
          <c:idx val="59"/>
          <c:order val="58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'Monte Carlo'!$E$60:$BN$60</c:f>
              <c:numCache>
                <c:formatCode>General</c:formatCode>
                <c:ptCount val="62"/>
                <c:pt idx="1">
                  <c:v>60.99</c:v>
                </c:pt>
                <c:pt idx="2">
                  <c:v>61.546956049164621</c:v>
                </c:pt>
                <c:pt idx="3">
                  <c:v>61.304186794434479</c:v>
                </c:pt>
                <c:pt idx="4">
                  <c:v>61.655250175370149</c:v>
                </c:pt>
                <c:pt idx="5">
                  <c:v>61.268522933863558</c:v>
                </c:pt>
                <c:pt idx="6">
                  <c:v>59.700333327711625</c:v>
                </c:pt>
                <c:pt idx="7">
                  <c:v>59.857971551316723</c:v>
                </c:pt>
                <c:pt idx="8">
                  <c:v>57.392880962955999</c:v>
                </c:pt>
                <c:pt idx="9">
                  <c:v>58.732111465245033</c:v>
                </c:pt>
                <c:pt idx="10">
                  <c:v>58.018097040328108</c:v>
                </c:pt>
                <c:pt idx="11">
                  <c:v>59.213862960060325</c:v>
                </c:pt>
                <c:pt idx="12">
                  <c:v>59.066565026470194</c:v>
                </c:pt>
                <c:pt idx="13">
                  <c:v>60.335762176583692</c:v>
                </c:pt>
                <c:pt idx="14">
                  <c:v>62.011328445609358</c:v>
                </c:pt>
                <c:pt idx="15">
                  <c:v>63.741568058927676</c:v>
                </c:pt>
                <c:pt idx="16">
                  <c:v>64.706440627086963</c:v>
                </c:pt>
                <c:pt idx="17">
                  <c:v>65.457351671468672</c:v>
                </c:pt>
                <c:pt idx="18">
                  <c:v>65.366871894728916</c:v>
                </c:pt>
                <c:pt idx="19">
                  <c:v>65.372748647413502</c:v>
                </c:pt>
                <c:pt idx="20">
                  <c:v>65.782852742967819</c:v>
                </c:pt>
                <c:pt idx="21">
                  <c:v>65.552222073510762</c:v>
                </c:pt>
                <c:pt idx="22">
                  <c:v>65.067358588369686</c:v>
                </c:pt>
                <c:pt idx="23">
                  <c:v>66.296567219599609</c:v>
                </c:pt>
                <c:pt idx="24">
                  <c:v>66.429242318534506</c:v>
                </c:pt>
                <c:pt idx="25">
                  <c:v>65.162124423276978</c:v>
                </c:pt>
                <c:pt idx="26">
                  <c:v>63.097262132549325</c:v>
                </c:pt>
                <c:pt idx="27">
                  <c:v>62.2429748102373</c:v>
                </c:pt>
                <c:pt idx="28">
                  <c:v>62.8523860318519</c:v>
                </c:pt>
                <c:pt idx="29">
                  <c:v>63.704738433128604</c:v>
                </c:pt>
                <c:pt idx="30">
                  <c:v>62.921594339216696</c:v>
                </c:pt>
                <c:pt idx="31">
                  <c:v>61.244827691879813</c:v>
                </c:pt>
                <c:pt idx="32">
                  <c:v>62.371352448062112</c:v>
                </c:pt>
                <c:pt idx="33">
                  <c:v>62.557079804270792</c:v>
                </c:pt>
                <c:pt idx="34">
                  <c:v>60.484756057680386</c:v>
                </c:pt>
                <c:pt idx="35">
                  <c:v>61.248310608055206</c:v>
                </c:pt>
                <c:pt idx="36">
                  <c:v>61.989737544761503</c:v>
                </c:pt>
                <c:pt idx="37">
                  <c:v>62.586048799741512</c:v>
                </c:pt>
                <c:pt idx="38">
                  <c:v>62.101905533563915</c:v>
                </c:pt>
                <c:pt idx="39">
                  <c:v>62.283622609064743</c:v>
                </c:pt>
                <c:pt idx="40">
                  <c:v>62.584124598811414</c:v>
                </c:pt>
                <c:pt idx="41">
                  <c:v>66.264859911933712</c:v>
                </c:pt>
                <c:pt idx="42">
                  <c:v>65.031492195640027</c:v>
                </c:pt>
                <c:pt idx="43">
                  <c:v>66.824121258867279</c:v>
                </c:pt>
                <c:pt idx="44">
                  <c:v>67.470586722090957</c:v>
                </c:pt>
                <c:pt idx="45">
                  <c:v>67.227040727290898</c:v>
                </c:pt>
                <c:pt idx="46">
                  <c:v>70.230703428738764</c:v>
                </c:pt>
                <c:pt idx="47">
                  <c:v>67.316310125101722</c:v>
                </c:pt>
                <c:pt idx="48">
                  <c:v>65.562970516241649</c:v>
                </c:pt>
                <c:pt idx="49">
                  <c:v>66.1633313362709</c:v>
                </c:pt>
                <c:pt idx="50">
                  <c:v>65.126421755146382</c:v>
                </c:pt>
                <c:pt idx="51">
                  <c:v>66.264099582095596</c:v>
                </c:pt>
                <c:pt idx="52">
                  <c:v>66.309643875105664</c:v>
                </c:pt>
                <c:pt idx="53">
                  <c:v>67.157818569683755</c:v>
                </c:pt>
                <c:pt idx="54">
                  <c:v>67.749351618860402</c:v>
                </c:pt>
                <c:pt idx="55">
                  <c:v>66.907377482784426</c:v>
                </c:pt>
                <c:pt idx="56">
                  <c:v>68.646991876575726</c:v>
                </c:pt>
                <c:pt idx="57">
                  <c:v>70.511982439674711</c:v>
                </c:pt>
                <c:pt idx="58">
                  <c:v>70.712812966556214</c:v>
                </c:pt>
                <c:pt idx="59">
                  <c:v>72.060728514699576</c:v>
                </c:pt>
                <c:pt idx="60">
                  <c:v>73.985276167417581</c:v>
                </c:pt>
                <c:pt idx="61">
                  <c:v>74.228920073449416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24EA-417D-9FEF-816D9F694639}"/>
            </c:ext>
          </c:extLst>
        </c:ser>
        <c:ser>
          <c:idx val="60"/>
          <c:order val="59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Carlo'!$E$61:$BN$61</c:f>
              <c:numCache>
                <c:formatCode>General</c:formatCode>
                <c:ptCount val="62"/>
                <c:pt idx="1">
                  <c:v>60.99</c:v>
                </c:pt>
                <c:pt idx="2">
                  <c:v>59.197695150777733</c:v>
                </c:pt>
                <c:pt idx="3">
                  <c:v>57.357454911900355</c:v>
                </c:pt>
                <c:pt idx="4">
                  <c:v>57.306971797179365</c:v>
                </c:pt>
                <c:pt idx="5">
                  <c:v>57.69777991441542</c:v>
                </c:pt>
                <c:pt idx="6">
                  <c:v>56.426498325126722</c:v>
                </c:pt>
                <c:pt idx="7">
                  <c:v>55.037472033807511</c:v>
                </c:pt>
                <c:pt idx="8">
                  <c:v>54.83282097661597</c:v>
                </c:pt>
                <c:pt idx="9">
                  <c:v>55.356008672330304</c:v>
                </c:pt>
                <c:pt idx="10">
                  <c:v>55.607197240037188</c:v>
                </c:pt>
                <c:pt idx="11">
                  <c:v>57.460357720574564</c:v>
                </c:pt>
                <c:pt idx="12">
                  <c:v>58.612900222174375</c:v>
                </c:pt>
                <c:pt idx="13">
                  <c:v>58.648597991684568</c:v>
                </c:pt>
                <c:pt idx="14">
                  <c:v>58.539461953539934</c:v>
                </c:pt>
                <c:pt idx="15">
                  <c:v>58.862046211650082</c:v>
                </c:pt>
                <c:pt idx="16">
                  <c:v>59.424051253751671</c:v>
                </c:pt>
                <c:pt idx="17">
                  <c:v>59.898924622750393</c:v>
                </c:pt>
                <c:pt idx="18">
                  <c:v>60.098743691214054</c:v>
                </c:pt>
                <c:pt idx="19">
                  <c:v>59.078042900171447</c:v>
                </c:pt>
                <c:pt idx="20">
                  <c:v>58.754479774294751</c:v>
                </c:pt>
                <c:pt idx="21">
                  <c:v>59.229196767499566</c:v>
                </c:pt>
                <c:pt idx="22">
                  <c:v>59.617336380952331</c:v>
                </c:pt>
                <c:pt idx="23">
                  <c:v>59.022528836248448</c:v>
                </c:pt>
                <c:pt idx="24">
                  <c:v>57.12772839878069</c:v>
                </c:pt>
                <c:pt idx="25">
                  <c:v>57.05114848729</c:v>
                </c:pt>
                <c:pt idx="26">
                  <c:v>56.457919679439605</c:v>
                </c:pt>
                <c:pt idx="27">
                  <c:v>57.372716334441421</c:v>
                </c:pt>
                <c:pt idx="28">
                  <c:v>57.845313764825974</c:v>
                </c:pt>
                <c:pt idx="29">
                  <c:v>57.539611883936843</c:v>
                </c:pt>
                <c:pt idx="30">
                  <c:v>55.715238796087874</c:v>
                </c:pt>
                <c:pt idx="31">
                  <c:v>55.095080683355107</c:v>
                </c:pt>
                <c:pt idx="32">
                  <c:v>55.98996421233084</c:v>
                </c:pt>
                <c:pt idx="33">
                  <c:v>57.246609124687993</c:v>
                </c:pt>
                <c:pt idx="34">
                  <c:v>58.007158182419332</c:v>
                </c:pt>
                <c:pt idx="35">
                  <c:v>58.511593429440587</c:v>
                </c:pt>
                <c:pt idx="36">
                  <c:v>57.606094010201303</c:v>
                </c:pt>
                <c:pt idx="37">
                  <c:v>58.137999214453941</c:v>
                </c:pt>
                <c:pt idx="38">
                  <c:v>58.730297463543764</c:v>
                </c:pt>
                <c:pt idx="39">
                  <c:v>60.263069752840771</c:v>
                </c:pt>
                <c:pt idx="40">
                  <c:v>61.505012162062215</c:v>
                </c:pt>
                <c:pt idx="41">
                  <c:v>62.312576919453342</c:v>
                </c:pt>
                <c:pt idx="42">
                  <c:v>63.591797692322025</c:v>
                </c:pt>
                <c:pt idx="43">
                  <c:v>64.154760672976806</c:v>
                </c:pt>
                <c:pt idx="44">
                  <c:v>64.548768202243863</c:v>
                </c:pt>
                <c:pt idx="45">
                  <c:v>64.692069351271087</c:v>
                </c:pt>
                <c:pt idx="46">
                  <c:v>65.475205346654249</c:v>
                </c:pt>
                <c:pt idx="47">
                  <c:v>63.88108840296961</c:v>
                </c:pt>
                <c:pt idx="48">
                  <c:v>63.899720505000623</c:v>
                </c:pt>
                <c:pt idx="49">
                  <c:v>64.635233675483519</c:v>
                </c:pt>
                <c:pt idx="50">
                  <c:v>64.995574072126345</c:v>
                </c:pt>
                <c:pt idx="51">
                  <c:v>66.136258832090206</c:v>
                </c:pt>
                <c:pt idx="52">
                  <c:v>65.30047248316869</c:v>
                </c:pt>
                <c:pt idx="53">
                  <c:v>64.895634621490871</c:v>
                </c:pt>
                <c:pt idx="54">
                  <c:v>65.567011503450232</c:v>
                </c:pt>
                <c:pt idx="55">
                  <c:v>67.097816583877346</c:v>
                </c:pt>
                <c:pt idx="56">
                  <c:v>66.168972725578939</c:v>
                </c:pt>
                <c:pt idx="57">
                  <c:v>68.274190933872489</c:v>
                </c:pt>
                <c:pt idx="58">
                  <c:v>69.783752933985369</c:v>
                </c:pt>
                <c:pt idx="59">
                  <c:v>69.880799385986577</c:v>
                </c:pt>
                <c:pt idx="60">
                  <c:v>68.587330658110204</c:v>
                </c:pt>
                <c:pt idx="61">
                  <c:v>69.693991110267575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24EA-417D-9FEF-816D9F694639}"/>
            </c:ext>
          </c:extLst>
        </c:ser>
        <c:ser>
          <c:idx val="61"/>
          <c:order val="60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Carlo'!$E$62:$BN$62</c:f>
              <c:numCache>
                <c:formatCode>General</c:formatCode>
                <c:ptCount val="62"/>
                <c:pt idx="1">
                  <c:v>60.99</c:v>
                </c:pt>
                <c:pt idx="2">
                  <c:v>60.192643282349984</c:v>
                </c:pt>
                <c:pt idx="3">
                  <c:v>60.216888860215434</c:v>
                </c:pt>
                <c:pt idx="4">
                  <c:v>59.669970843288098</c:v>
                </c:pt>
                <c:pt idx="5">
                  <c:v>60.112246021789247</c:v>
                </c:pt>
                <c:pt idx="6">
                  <c:v>59.943002947651507</c:v>
                </c:pt>
                <c:pt idx="7">
                  <c:v>59.709661982765532</c:v>
                </c:pt>
                <c:pt idx="8">
                  <c:v>59.476864524724547</c:v>
                </c:pt>
                <c:pt idx="9">
                  <c:v>57.552369030175377</c:v>
                </c:pt>
                <c:pt idx="10">
                  <c:v>56.633782591124721</c:v>
                </c:pt>
                <c:pt idx="11">
                  <c:v>55.94869846151343</c:v>
                </c:pt>
                <c:pt idx="12">
                  <c:v>56.356076165595972</c:v>
                </c:pt>
                <c:pt idx="13">
                  <c:v>54.773626978428254</c:v>
                </c:pt>
                <c:pt idx="14">
                  <c:v>55.06277808145348</c:v>
                </c:pt>
                <c:pt idx="15">
                  <c:v>54.942816757660822</c:v>
                </c:pt>
                <c:pt idx="16">
                  <c:v>54.529085207669176</c:v>
                </c:pt>
                <c:pt idx="17">
                  <c:v>54.4653213773408</c:v>
                </c:pt>
                <c:pt idx="18">
                  <c:v>53.976819057367123</c:v>
                </c:pt>
                <c:pt idx="19">
                  <c:v>53.676965367208247</c:v>
                </c:pt>
                <c:pt idx="20">
                  <c:v>56.538890725211928</c:v>
                </c:pt>
                <c:pt idx="21">
                  <c:v>56.2244987212393</c:v>
                </c:pt>
                <c:pt idx="22">
                  <c:v>56.847518320803779</c:v>
                </c:pt>
                <c:pt idx="23">
                  <c:v>56.419254285133036</c:v>
                </c:pt>
                <c:pt idx="24">
                  <c:v>55.818151552454466</c:v>
                </c:pt>
                <c:pt idx="25">
                  <c:v>56.363324122408009</c:v>
                </c:pt>
                <c:pt idx="26">
                  <c:v>56.474484620376714</c:v>
                </c:pt>
                <c:pt idx="27">
                  <c:v>55.475342760715094</c:v>
                </c:pt>
                <c:pt idx="28">
                  <c:v>56.381479592788587</c:v>
                </c:pt>
                <c:pt idx="29">
                  <c:v>56.731835347981935</c:v>
                </c:pt>
                <c:pt idx="30">
                  <c:v>54.974050259258775</c:v>
                </c:pt>
                <c:pt idx="31">
                  <c:v>53.159697552495331</c:v>
                </c:pt>
                <c:pt idx="32">
                  <c:v>53.488986982561372</c:v>
                </c:pt>
                <c:pt idx="33">
                  <c:v>53.29162607591897</c:v>
                </c:pt>
                <c:pt idx="34">
                  <c:v>53.101373182554624</c:v>
                </c:pt>
                <c:pt idx="35">
                  <c:v>53.31034538593515</c:v>
                </c:pt>
                <c:pt idx="36">
                  <c:v>53.604765041820883</c:v>
                </c:pt>
                <c:pt idx="37">
                  <c:v>51.943377502897249</c:v>
                </c:pt>
                <c:pt idx="38">
                  <c:v>52.587588171875886</c:v>
                </c:pt>
                <c:pt idx="39">
                  <c:v>53.112026811679975</c:v>
                </c:pt>
                <c:pt idx="40">
                  <c:v>54.067596154320505</c:v>
                </c:pt>
                <c:pt idx="41">
                  <c:v>52.834781776412584</c:v>
                </c:pt>
                <c:pt idx="42">
                  <c:v>53.772858783745299</c:v>
                </c:pt>
                <c:pt idx="43">
                  <c:v>53.320160830524678</c:v>
                </c:pt>
                <c:pt idx="44">
                  <c:v>54.132807889219123</c:v>
                </c:pt>
                <c:pt idx="45">
                  <c:v>53.966294857485323</c:v>
                </c:pt>
                <c:pt idx="46">
                  <c:v>54.335322033780137</c:v>
                </c:pt>
                <c:pt idx="47">
                  <c:v>55.100174738540801</c:v>
                </c:pt>
                <c:pt idx="48">
                  <c:v>55.50174233561102</c:v>
                </c:pt>
                <c:pt idx="49">
                  <c:v>55.464291215269064</c:v>
                </c:pt>
                <c:pt idx="50">
                  <c:v>54.858515143352008</c:v>
                </c:pt>
                <c:pt idx="51">
                  <c:v>54.312743114974758</c:v>
                </c:pt>
                <c:pt idx="52">
                  <c:v>53.716511851385562</c:v>
                </c:pt>
                <c:pt idx="53">
                  <c:v>55.173025143903047</c:v>
                </c:pt>
                <c:pt idx="54">
                  <c:v>55.564824453865448</c:v>
                </c:pt>
                <c:pt idx="55">
                  <c:v>56.403388938325627</c:v>
                </c:pt>
                <c:pt idx="56">
                  <c:v>57.732171645989716</c:v>
                </c:pt>
                <c:pt idx="57">
                  <c:v>57.104644757412842</c:v>
                </c:pt>
                <c:pt idx="58">
                  <c:v>56.783809658505767</c:v>
                </c:pt>
                <c:pt idx="59">
                  <c:v>56.219416055079634</c:v>
                </c:pt>
                <c:pt idx="60">
                  <c:v>58.037553921634597</c:v>
                </c:pt>
                <c:pt idx="61">
                  <c:v>58.329827748146208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24EA-417D-9FEF-816D9F694639}"/>
            </c:ext>
          </c:extLst>
        </c:ser>
        <c:ser>
          <c:idx val="62"/>
          <c:order val="61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Carlo'!$E$63:$BN$63</c:f>
              <c:numCache>
                <c:formatCode>General</c:formatCode>
                <c:ptCount val="62"/>
                <c:pt idx="1">
                  <c:v>60.99</c:v>
                </c:pt>
                <c:pt idx="2">
                  <c:v>61.426757388865546</c:v>
                </c:pt>
                <c:pt idx="3">
                  <c:v>60.363398256870767</c:v>
                </c:pt>
                <c:pt idx="4">
                  <c:v>60.334032313449605</c:v>
                </c:pt>
                <c:pt idx="5">
                  <c:v>61.434633579495483</c:v>
                </c:pt>
                <c:pt idx="6">
                  <c:v>59.534691792639777</c:v>
                </c:pt>
                <c:pt idx="7">
                  <c:v>59.978892119015448</c:v>
                </c:pt>
                <c:pt idx="8">
                  <c:v>59.816442047028929</c:v>
                </c:pt>
                <c:pt idx="9">
                  <c:v>61.05459294542397</c:v>
                </c:pt>
                <c:pt idx="10">
                  <c:v>60.988752675707836</c:v>
                </c:pt>
                <c:pt idx="11">
                  <c:v>59.946442503157272</c:v>
                </c:pt>
                <c:pt idx="12">
                  <c:v>60.622536121458495</c:v>
                </c:pt>
                <c:pt idx="13">
                  <c:v>61.270873129689114</c:v>
                </c:pt>
                <c:pt idx="14">
                  <c:v>62.452575614893099</c:v>
                </c:pt>
                <c:pt idx="15">
                  <c:v>63.609031188313757</c:v>
                </c:pt>
                <c:pt idx="16">
                  <c:v>63.832299276407412</c:v>
                </c:pt>
                <c:pt idx="17">
                  <c:v>63.497869099566856</c:v>
                </c:pt>
                <c:pt idx="18">
                  <c:v>63.151122611217673</c:v>
                </c:pt>
                <c:pt idx="19">
                  <c:v>63.888027243934729</c:v>
                </c:pt>
                <c:pt idx="20">
                  <c:v>62.307095393494578</c:v>
                </c:pt>
                <c:pt idx="21">
                  <c:v>61.629877750348037</c:v>
                </c:pt>
                <c:pt idx="22">
                  <c:v>61.884451203960808</c:v>
                </c:pt>
                <c:pt idx="23">
                  <c:v>59.540711039958808</c:v>
                </c:pt>
                <c:pt idx="24">
                  <c:v>60.629767909021822</c:v>
                </c:pt>
                <c:pt idx="25">
                  <c:v>63.265458715651953</c:v>
                </c:pt>
                <c:pt idx="26">
                  <c:v>63.514729962534467</c:v>
                </c:pt>
                <c:pt idx="27">
                  <c:v>62.4831625581878</c:v>
                </c:pt>
                <c:pt idx="28">
                  <c:v>62.753952359624655</c:v>
                </c:pt>
                <c:pt idx="29">
                  <c:v>62.269650540724733</c:v>
                </c:pt>
                <c:pt idx="30">
                  <c:v>64.268318778343556</c:v>
                </c:pt>
                <c:pt idx="31">
                  <c:v>64.198782357704559</c:v>
                </c:pt>
                <c:pt idx="32">
                  <c:v>64.006544949972948</c:v>
                </c:pt>
                <c:pt idx="33">
                  <c:v>65.093887448992831</c:v>
                </c:pt>
                <c:pt idx="34">
                  <c:v>66.766791519578675</c:v>
                </c:pt>
                <c:pt idx="35">
                  <c:v>67.511090840881266</c:v>
                </c:pt>
                <c:pt idx="36">
                  <c:v>68.032863649078678</c:v>
                </c:pt>
                <c:pt idx="37">
                  <c:v>67.870469346187562</c:v>
                </c:pt>
                <c:pt idx="38">
                  <c:v>66.88985660786193</c:v>
                </c:pt>
                <c:pt idx="39">
                  <c:v>65.62546211914092</c:v>
                </c:pt>
                <c:pt idx="40">
                  <c:v>64.986160234121854</c:v>
                </c:pt>
                <c:pt idx="41">
                  <c:v>64.236164450010591</c:v>
                </c:pt>
                <c:pt idx="42">
                  <c:v>65.119131634531058</c:v>
                </c:pt>
                <c:pt idx="43">
                  <c:v>64.759971451111355</c:v>
                </c:pt>
                <c:pt idx="44">
                  <c:v>64.979396409027345</c:v>
                </c:pt>
                <c:pt idx="45">
                  <c:v>63.436702513544375</c:v>
                </c:pt>
                <c:pt idx="46">
                  <c:v>62.123646024390688</c:v>
                </c:pt>
                <c:pt idx="47">
                  <c:v>60.304371487315194</c:v>
                </c:pt>
                <c:pt idx="48">
                  <c:v>60.389868394998928</c:v>
                </c:pt>
                <c:pt idx="49">
                  <c:v>60.31620706724614</c:v>
                </c:pt>
                <c:pt idx="50">
                  <c:v>61.180233546651259</c:v>
                </c:pt>
                <c:pt idx="51">
                  <c:v>61.146804200949191</c:v>
                </c:pt>
                <c:pt idx="52">
                  <c:v>61.041267555422074</c:v>
                </c:pt>
                <c:pt idx="53">
                  <c:v>61.652344352921652</c:v>
                </c:pt>
                <c:pt idx="54">
                  <c:v>60.004695933865449</c:v>
                </c:pt>
                <c:pt idx="55">
                  <c:v>58.163931765841895</c:v>
                </c:pt>
                <c:pt idx="56">
                  <c:v>58.779502531475032</c:v>
                </c:pt>
                <c:pt idx="57">
                  <c:v>61.70619408259013</c:v>
                </c:pt>
                <c:pt idx="58">
                  <c:v>61.257404289339618</c:v>
                </c:pt>
                <c:pt idx="59">
                  <c:v>62.88009991858334</c:v>
                </c:pt>
                <c:pt idx="60">
                  <c:v>62.727253960403544</c:v>
                </c:pt>
                <c:pt idx="61">
                  <c:v>60.890840704173684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5A39-4566-8EE6-6D0A89D219EA}"/>
            </c:ext>
          </c:extLst>
        </c:ser>
        <c:ser>
          <c:idx val="63"/>
          <c:order val="62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Carlo'!$E$64:$BN$64</c:f>
              <c:numCache>
                <c:formatCode>General</c:formatCode>
                <c:ptCount val="62"/>
                <c:pt idx="1">
                  <c:v>60.99</c:v>
                </c:pt>
                <c:pt idx="2">
                  <c:v>60.759730224747081</c:v>
                </c:pt>
                <c:pt idx="3">
                  <c:v>59.264404590439234</c:v>
                </c:pt>
                <c:pt idx="4">
                  <c:v>58.707666483625921</c:v>
                </c:pt>
                <c:pt idx="5">
                  <c:v>57.68951724069273</c:v>
                </c:pt>
                <c:pt idx="6">
                  <c:v>58.417954652087637</c:v>
                </c:pt>
                <c:pt idx="7">
                  <c:v>58.718945305572504</c:v>
                </c:pt>
                <c:pt idx="8">
                  <c:v>60.038078435849663</c:v>
                </c:pt>
                <c:pt idx="9">
                  <c:v>59.947036162451042</c:v>
                </c:pt>
                <c:pt idx="10">
                  <c:v>61.255067484710573</c:v>
                </c:pt>
                <c:pt idx="11">
                  <c:v>59.9256934723482</c:v>
                </c:pt>
                <c:pt idx="12">
                  <c:v>60.413469205036549</c:v>
                </c:pt>
                <c:pt idx="13">
                  <c:v>59.01278390614609</c:v>
                </c:pt>
                <c:pt idx="14">
                  <c:v>58.727229916205786</c:v>
                </c:pt>
                <c:pt idx="15">
                  <c:v>59.21333584042295</c:v>
                </c:pt>
                <c:pt idx="16">
                  <c:v>59.826645825044267</c:v>
                </c:pt>
                <c:pt idx="17">
                  <c:v>60.407732696950823</c:v>
                </c:pt>
                <c:pt idx="18">
                  <c:v>61.323758579492242</c:v>
                </c:pt>
                <c:pt idx="19">
                  <c:v>61.911634258091318</c:v>
                </c:pt>
                <c:pt idx="20">
                  <c:v>62.962065340732849</c:v>
                </c:pt>
                <c:pt idx="21">
                  <c:v>62.860070052008567</c:v>
                </c:pt>
                <c:pt idx="22">
                  <c:v>63.916760320007604</c:v>
                </c:pt>
                <c:pt idx="23">
                  <c:v>63.979189993056231</c:v>
                </c:pt>
                <c:pt idx="24">
                  <c:v>63.53879996593637</c:v>
                </c:pt>
                <c:pt idx="25">
                  <c:v>65.589750033560023</c:v>
                </c:pt>
                <c:pt idx="26">
                  <c:v>64.802275301150033</c:v>
                </c:pt>
                <c:pt idx="27">
                  <c:v>64.850202178809994</c:v>
                </c:pt>
                <c:pt idx="28">
                  <c:v>65.701854552167887</c:v>
                </c:pt>
                <c:pt idx="29">
                  <c:v>63.212858660863496</c:v>
                </c:pt>
                <c:pt idx="30">
                  <c:v>62.357787958426456</c:v>
                </c:pt>
                <c:pt idx="31">
                  <c:v>62.44172632448462</c:v>
                </c:pt>
                <c:pt idx="32">
                  <c:v>61.984771704259465</c:v>
                </c:pt>
                <c:pt idx="33">
                  <c:v>61.644994551796145</c:v>
                </c:pt>
                <c:pt idx="34">
                  <c:v>62.163547992702568</c:v>
                </c:pt>
                <c:pt idx="35">
                  <c:v>63.595675374577006</c:v>
                </c:pt>
                <c:pt idx="36">
                  <c:v>64.571326552144967</c:v>
                </c:pt>
                <c:pt idx="37">
                  <c:v>63.436780263014377</c:v>
                </c:pt>
                <c:pt idx="38">
                  <c:v>66.058883542882</c:v>
                </c:pt>
                <c:pt idx="39">
                  <c:v>65.938337172755439</c:v>
                </c:pt>
                <c:pt idx="40">
                  <c:v>65.966058774559372</c:v>
                </c:pt>
                <c:pt idx="41">
                  <c:v>68.195538688091105</c:v>
                </c:pt>
                <c:pt idx="42">
                  <c:v>67.622842565005001</c:v>
                </c:pt>
                <c:pt idx="43">
                  <c:v>67.499135894512037</c:v>
                </c:pt>
                <c:pt idx="44">
                  <c:v>66.89605564975075</c:v>
                </c:pt>
                <c:pt idx="45">
                  <c:v>67.894142012523062</c:v>
                </c:pt>
                <c:pt idx="46">
                  <c:v>67.945268100081677</c:v>
                </c:pt>
                <c:pt idx="47">
                  <c:v>68.427145809819223</c:v>
                </c:pt>
                <c:pt idx="48">
                  <c:v>68.440076115199943</c:v>
                </c:pt>
                <c:pt idx="49">
                  <c:v>69.608896828190183</c:v>
                </c:pt>
                <c:pt idx="50">
                  <c:v>70.209412997591883</c:v>
                </c:pt>
                <c:pt idx="51">
                  <c:v>73.227843048134901</c:v>
                </c:pt>
                <c:pt idx="52">
                  <c:v>73.541887418490745</c:v>
                </c:pt>
                <c:pt idx="53">
                  <c:v>72.259871708196897</c:v>
                </c:pt>
                <c:pt idx="54">
                  <c:v>71.882711076584684</c:v>
                </c:pt>
                <c:pt idx="55">
                  <c:v>69.1650011899915</c:v>
                </c:pt>
                <c:pt idx="56">
                  <c:v>69.008932383054997</c:v>
                </c:pt>
                <c:pt idx="57">
                  <c:v>69.698143430114698</c:v>
                </c:pt>
                <c:pt idx="58">
                  <c:v>68.749385369634297</c:v>
                </c:pt>
                <c:pt idx="59">
                  <c:v>69.301476474213402</c:v>
                </c:pt>
                <c:pt idx="60">
                  <c:v>68.726937213137703</c:v>
                </c:pt>
                <c:pt idx="61">
                  <c:v>69.321770054824739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5A39-4566-8EE6-6D0A89D219EA}"/>
            </c:ext>
          </c:extLst>
        </c:ser>
        <c:ser>
          <c:idx val="64"/>
          <c:order val="63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Carlo'!$E$65:$BN$65</c:f>
              <c:numCache>
                <c:formatCode>General</c:formatCode>
                <c:ptCount val="62"/>
                <c:pt idx="1">
                  <c:v>60.99</c:v>
                </c:pt>
                <c:pt idx="2">
                  <c:v>61.904411784116398</c:v>
                </c:pt>
                <c:pt idx="3">
                  <c:v>62.032481394177225</c:v>
                </c:pt>
                <c:pt idx="4">
                  <c:v>63.125109447513843</c:v>
                </c:pt>
                <c:pt idx="5">
                  <c:v>63.67968548192318</c:v>
                </c:pt>
                <c:pt idx="6">
                  <c:v>62.600755126103543</c:v>
                </c:pt>
                <c:pt idx="7">
                  <c:v>60.88483395647981</c:v>
                </c:pt>
                <c:pt idx="8">
                  <c:v>60.906326240063457</c:v>
                </c:pt>
                <c:pt idx="9">
                  <c:v>60.182314580321794</c:v>
                </c:pt>
                <c:pt idx="10">
                  <c:v>59.472164797210468</c:v>
                </c:pt>
                <c:pt idx="11">
                  <c:v>60.134424162031088</c:v>
                </c:pt>
                <c:pt idx="12">
                  <c:v>60.777846473095849</c:v>
                </c:pt>
                <c:pt idx="13">
                  <c:v>60.928414026668982</c:v>
                </c:pt>
                <c:pt idx="14">
                  <c:v>63.126899638652013</c:v>
                </c:pt>
                <c:pt idx="15">
                  <c:v>61.218718336831742</c:v>
                </c:pt>
                <c:pt idx="16">
                  <c:v>60.693960509839371</c:v>
                </c:pt>
                <c:pt idx="17">
                  <c:v>57.310133011861993</c:v>
                </c:pt>
                <c:pt idx="18">
                  <c:v>56.733747648240659</c:v>
                </c:pt>
                <c:pt idx="19">
                  <c:v>58.138563910082254</c:v>
                </c:pt>
                <c:pt idx="20">
                  <c:v>55.881870487130655</c:v>
                </c:pt>
                <c:pt idx="21">
                  <c:v>56.063992485438469</c:v>
                </c:pt>
                <c:pt idx="22">
                  <c:v>57.059441357415423</c:v>
                </c:pt>
                <c:pt idx="23">
                  <c:v>56.992890261986879</c:v>
                </c:pt>
                <c:pt idx="24">
                  <c:v>56.765762371182099</c:v>
                </c:pt>
                <c:pt idx="25">
                  <c:v>56.810389471010254</c:v>
                </c:pt>
                <c:pt idx="26">
                  <c:v>57.132348372293869</c:v>
                </c:pt>
                <c:pt idx="27">
                  <c:v>56.57215496063651</c:v>
                </c:pt>
                <c:pt idx="28">
                  <c:v>56.172716392585045</c:v>
                </c:pt>
                <c:pt idx="29">
                  <c:v>56.78386414289406</c:v>
                </c:pt>
                <c:pt idx="30">
                  <c:v>56.169680274570425</c:v>
                </c:pt>
                <c:pt idx="31">
                  <c:v>55.230094335789339</c:v>
                </c:pt>
                <c:pt idx="32">
                  <c:v>55.223034489240995</c:v>
                </c:pt>
                <c:pt idx="33">
                  <c:v>55.2997182544729</c:v>
                </c:pt>
                <c:pt idx="34">
                  <c:v>57.061232503678937</c:v>
                </c:pt>
                <c:pt idx="35">
                  <c:v>56.290071836690835</c:v>
                </c:pt>
                <c:pt idx="36">
                  <c:v>55.490257504918951</c:v>
                </c:pt>
                <c:pt idx="37">
                  <c:v>56.324551437520604</c:v>
                </c:pt>
                <c:pt idx="38">
                  <c:v>54.300928619500581</c:v>
                </c:pt>
                <c:pt idx="39">
                  <c:v>54.70067993286743</c:v>
                </c:pt>
                <c:pt idx="40">
                  <c:v>54.282377478208218</c:v>
                </c:pt>
                <c:pt idx="41">
                  <c:v>56.538302896519696</c:v>
                </c:pt>
                <c:pt idx="42">
                  <c:v>54.504465503470314</c:v>
                </c:pt>
                <c:pt idx="43">
                  <c:v>55.162764953767578</c:v>
                </c:pt>
                <c:pt idx="44">
                  <c:v>54.327374806898199</c:v>
                </c:pt>
                <c:pt idx="45">
                  <c:v>56.757615024873921</c:v>
                </c:pt>
                <c:pt idx="46">
                  <c:v>56.261662019456551</c:v>
                </c:pt>
                <c:pt idx="47">
                  <c:v>55.922992338752792</c:v>
                </c:pt>
                <c:pt idx="48">
                  <c:v>54.511228783177039</c:v>
                </c:pt>
                <c:pt idx="49">
                  <c:v>54.935842150733372</c:v>
                </c:pt>
                <c:pt idx="50">
                  <c:v>56.375640864103616</c:v>
                </c:pt>
                <c:pt idx="51">
                  <c:v>58.0289507777604</c:v>
                </c:pt>
                <c:pt idx="52">
                  <c:v>58.708600753921196</c:v>
                </c:pt>
                <c:pt idx="53">
                  <c:v>59.837533559839407</c:v>
                </c:pt>
                <c:pt idx="54">
                  <c:v>60.067400945961353</c:v>
                </c:pt>
                <c:pt idx="55">
                  <c:v>59.438237723577814</c:v>
                </c:pt>
                <c:pt idx="56">
                  <c:v>58.005238286804634</c:v>
                </c:pt>
                <c:pt idx="57">
                  <c:v>58.634653530407661</c:v>
                </c:pt>
                <c:pt idx="58">
                  <c:v>58.362100630892684</c:v>
                </c:pt>
                <c:pt idx="59">
                  <c:v>58.571286096950182</c:v>
                </c:pt>
                <c:pt idx="60">
                  <c:v>58.448682945935424</c:v>
                </c:pt>
                <c:pt idx="61">
                  <c:v>60.079362682984616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5A39-4566-8EE6-6D0A89D219EA}"/>
            </c:ext>
          </c:extLst>
        </c:ser>
        <c:ser>
          <c:idx val="65"/>
          <c:order val="64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Carlo'!$E$66:$BN$66</c:f>
              <c:numCache>
                <c:formatCode>General</c:formatCode>
                <c:ptCount val="62"/>
                <c:pt idx="1">
                  <c:v>60.99</c:v>
                </c:pt>
                <c:pt idx="2">
                  <c:v>63.603226837009878</c:v>
                </c:pt>
                <c:pt idx="3">
                  <c:v>63.746995339080229</c:v>
                </c:pt>
                <c:pt idx="4">
                  <c:v>63.4431071079878</c:v>
                </c:pt>
                <c:pt idx="5">
                  <c:v>63.238697368793616</c:v>
                </c:pt>
                <c:pt idx="6">
                  <c:v>61.96938870173171</c:v>
                </c:pt>
                <c:pt idx="7">
                  <c:v>62.425007138487501</c:v>
                </c:pt>
                <c:pt idx="8">
                  <c:v>62.002415593740096</c:v>
                </c:pt>
                <c:pt idx="9">
                  <c:v>62.599699292237688</c:v>
                </c:pt>
                <c:pt idx="10">
                  <c:v>62.749746569106478</c:v>
                </c:pt>
                <c:pt idx="11">
                  <c:v>62.700607735947152</c:v>
                </c:pt>
                <c:pt idx="12">
                  <c:v>63.620948412633794</c:v>
                </c:pt>
                <c:pt idx="13">
                  <c:v>65.399031529589848</c:v>
                </c:pt>
                <c:pt idx="14">
                  <c:v>66.728121547276004</c:v>
                </c:pt>
                <c:pt idx="15">
                  <c:v>67.930509632940826</c:v>
                </c:pt>
                <c:pt idx="16">
                  <c:v>67.518502590977505</c:v>
                </c:pt>
                <c:pt idx="17">
                  <c:v>69.284841049806801</c:v>
                </c:pt>
                <c:pt idx="18">
                  <c:v>68.066798157550252</c:v>
                </c:pt>
                <c:pt idx="19">
                  <c:v>67.154957919330855</c:v>
                </c:pt>
                <c:pt idx="20">
                  <c:v>68.224561984052983</c:v>
                </c:pt>
                <c:pt idx="21">
                  <c:v>67.776165900957395</c:v>
                </c:pt>
                <c:pt idx="22">
                  <c:v>67.364717969350636</c:v>
                </c:pt>
                <c:pt idx="23">
                  <c:v>70.196471938478339</c:v>
                </c:pt>
                <c:pt idx="24">
                  <c:v>68.379401347010102</c:v>
                </c:pt>
                <c:pt idx="25">
                  <c:v>68.426500220068377</c:v>
                </c:pt>
                <c:pt idx="26">
                  <c:v>68.790700016248962</c:v>
                </c:pt>
                <c:pt idx="27">
                  <c:v>69.113323617358731</c:v>
                </c:pt>
                <c:pt idx="28">
                  <c:v>69.843479938569828</c:v>
                </c:pt>
                <c:pt idx="29">
                  <c:v>70.775365804155257</c:v>
                </c:pt>
                <c:pt idx="30">
                  <c:v>70.074163177494469</c:v>
                </c:pt>
                <c:pt idx="31">
                  <c:v>70.07421492573279</c:v>
                </c:pt>
                <c:pt idx="32">
                  <c:v>71.339190701935749</c:v>
                </c:pt>
                <c:pt idx="33">
                  <c:v>73.186650897848125</c:v>
                </c:pt>
                <c:pt idx="34">
                  <c:v>72.278395143060635</c:v>
                </c:pt>
                <c:pt idx="35">
                  <c:v>71.842571963856486</c:v>
                </c:pt>
                <c:pt idx="36">
                  <c:v>71.176344612809956</c:v>
                </c:pt>
                <c:pt idx="37">
                  <c:v>71.517000941803474</c:v>
                </c:pt>
                <c:pt idx="38">
                  <c:v>73.405123208657514</c:v>
                </c:pt>
                <c:pt idx="39">
                  <c:v>73.912301252428009</c:v>
                </c:pt>
                <c:pt idx="40">
                  <c:v>74.563303527603836</c:v>
                </c:pt>
                <c:pt idx="41">
                  <c:v>74.808550339276479</c:v>
                </c:pt>
                <c:pt idx="42">
                  <c:v>73.783283704335787</c:v>
                </c:pt>
                <c:pt idx="43">
                  <c:v>72.431931425542274</c:v>
                </c:pt>
                <c:pt idx="44">
                  <c:v>70.707217008497196</c:v>
                </c:pt>
                <c:pt idx="45">
                  <c:v>72.144179592583967</c:v>
                </c:pt>
                <c:pt idx="46">
                  <c:v>74.057710606143928</c:v>
                </c:pt>
                <c:pt idx="47">
                  <c:v>72.4327844756274</c:v>
                </c:pt>
                <c:pt idx="48">
                  <c:v>72.0180156985965</c:v>
                </c:pt>
                <c:pt idx="49">
                  <c:v>73.151047172257449</c:v>
                </c:pt>
                <c:pt idx="50">
                  <c:v>74.044747340370122</c:v>
                </c:pt>
                <c:pt idx="51">
                  <c:v>72.082561124210969</c:v>
                </c:pt>
                <c:pt idx="52">
                  <c:v>72.773426658483942</c:v>
                </c:pt>
                <c:pt idx="53">
                  <c:v>72.981768551215353</c:v>
                </c:pt>
                <c:pt idx="54">
                  <c:v>71.954279472104844</c:v>
                </c:pt>
                <c:pt idx="55">
                  <c:v>70.82231340219559</c:v>
                </c:pt>
                <c:pt idx="56">
                  <c:v>70.54939457997807</c:v>
                </c:pt>
                <c:pt idx="57">
                  <c:v>71.445858126999923</c:v>
                </c:pt>
                <c:pt idx="58">
                  <c:v>73.906845110649641</c:v>
                </c:pt>
                <c:pt idx="59">
                  <c:v>74.60156348964334</c:v>
                </c:pt>
                <c:pt idx="60">
                  <c:v>75.3237317244227</c:v>
                </c:pt>
                <c:pt idx="61">
                  <c:v>76.437937860182515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5A39-4566-8EE6-6D0A89D219EA}"/>
            </c:ext>
          </c:extLst>
        </c:ser>
        <c:ser>
          <c:idx val="66"/>
          <c:order val="65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Carlo'!$E$67:$BN$67</c:f>
              <c:numCache>
                <c:formatCode>General</c:formatCode>
                <c:ptCount val="62"/>
                <c:pt idx="1">
                  <c:v>60.99</c:v>
                </c:pt>
                <c:pt idx="2">
                  <c:v>60.09608002335812</c:v>
                </c:pt>
                <c:pt idx="3">
                  <c:v>58.683622824199283</c:v>
                </c:pt>
                <c:pt idx="4">
                  <c:v>59.233336696445498</c:v>
                </c:pt>
                <c:pt idx="5">
                  <c:v>60.236221379985651</c:v>
                </c:pt>
                <c:pt idx="6">
                  <c:v>60.87155785087289</c:v>
                </c:pt>
                <c:pt idx="7">
                  <c:v>60.210007401769964</c:v>
                </c:pt>
                <c:pt idx="8">
                  <c:v>61.361274890170463</c:v>
                </c:pt>
                <c:pt idx="9">
                  <c:v>63.244186484719513</c:v>
                </c:pt>
                <c:pt idx="10">
                  <c:v>61.532378247059583</c:v>
                </c:pt>
                <c:pt idx="11">
                  <c:v>62.295863450875117</c:v>
                </c:pt>
                <c:pt idx="12">
                  <c:v>60.363507137182168</c:v>
                </c:pt>
                <c:pt idx="13">
                  <c:v>59.309899634732432</c:v>
                </c:pt>
                <c:pt idx="14">
                  <c:v>58.21108080186027</c:v>
                </c:pt>
                <c:pt idx="15">
                  <c:v>58.791289013835083</c:v>
                </c:pt>
                <c:pt idx="16">
                  <c:v>58.618178816206594</c:v>
                </c:pt>
                <c:pt idx="17">
                  <c:v>57.360686245428923</c:v>
                </c:pt>
                <c:pt idx="18">
                  <c:v>57.350903876130268</c:v>
                </c:pt>
                <c:pt idx="19">
                  <c:v>55.900708763613103</c:v>
                </c:pt>
                <c:pt idx="20">
                  <c:v>55.159050275432271</c:v>
                </c:pt>
                <c:pt idx="21">
                  <c:v>56.587391400242218</c:v>
                </c:pt>
                <c:pt idx="22">
                  <c:v>57.127158433107709</c:v>
                </c:pt>
                <c:pt idx="23">
                  <c:v>57.123616349287332</c:v>
                </c:pt>
                <c:pt idx="24">
                  <c:v>56.030254598312233</c:v>
                </c:pt>
                <c:pt idx="25">
                  <c:v>55.347596618851945</c:v>
                </c:pt>
                <c:pt idx="26">
                  <c:v>55.517965564169636</c:v>
                </c:pt>
                <c:pt idx="27">
                  <c:v>56.25782687199554</c:v>
                </c:pt>
                <c:pt idx="28">
                  <c:v>55.243020832016462</c:v>
                </c:pt>
                <c:pt idx="29">
                  <c:v>54.145681960788501</c:v>
                </c:pt>
                <c:pt idx="30">
                  <c:v>53.137739811588986</c:v>
                </c:pt>
                <c:pt idx="31">
                  <c:v>53.80920903995726</c:v>
                </c:pt>
                <c:pt idx="32">
                  <c:v>53.317632623006332</c:v>
                </c:pt>
                <c:pt idx="33">
                  <c:v>52.171339784457757</c:v>
                </c:pt>
                <c:pt idx="34">
                  <c:v>51.548963615384999</c:v>
                </c:pt>
                <c:pt idx="35">
                  <c:v>51.993525960794514</c:v>
                </c:pt>
                <c:pt idx="36">
                  <c:v>52.553540098963985</c:v>
                </c:pt>
                <c:pt idx="37">
                  <c:v>51.914889195311162</c:v>
                </c:pt>
                <c:pt idx="38">
                  <c:v>51.507564255758439</c:v>
                </c:pt>
                <c:pt idx="39">
                  <c:v>52.514560841764741</c:v>
                </c:pt>
                <c:pt idx="40">
                  <c:v>52.624071134468572</c:v>
                </c:pt>
                <c:pt idx="41">
                  <c:v>54.026676398374924</c:v>
                </c:pt>
                <c:pt idx="42">
                  <c:v>54.179360271975689</c:v>
                </c:pt>
                <c:pt idx="43">
                  <c:v>54.790857792529721</c:v>
                </c:pt>
                <c:pt idx="44">
                  <c:v>56.478099480835468</c:v>
                </c:pt>
                <c:pt idx="45">
                  <c:v>57.880785953241578</c:v>
                </c:pt>
                <c:pt idx="46">
                  <c:v>55.904784098546735</c:v>
                </c:pt>
                <c:pt idx="47">
                  <c:v>57.172346054072527</c:v>
                </c:pt>
                <c:pt idx="48">
                  <c:v>56.8976951611264</c:v>
                </c:pt>
                <c:pt idx="49">
                  <c:v>55.980072251095564</c:v>
                </c:pt>
                <c:pt idx="50">
                  <c:v>56.121482328230798</c:v>
                </c:pt>
                <c:pt idx="51">
                  <c:v>55.320305313956844</c:v>
                </c:pt>
                <c:pt idx="52">
                  <c:v>54.184370446345881</c:v>
                </c:pt>
                <c:pt idx="53">
                  <c:v>54.447915284040825</c:v>
                </c:pt>
                <c:pt idx="54">
                  <c:v>54.430841226853843</c:v>
                </c:pt>
                <c:pt idx="55">
                  <c:v>54.818316316266483</c:v>
                </c:pt>
                <c:pt idx="56">
                  <c:v>54.158139050695453</c:v>
                </c:pt>
                <c:pt idx="57">
                  <c:v>54.007205089608327</c:v>
                </c:pt>
                <c:pt idx="58">
                  <c:v>55.406251739134909</c:v>
                </c:pt>
                <c:pt idx="59">
                  <c:v>54.570357225243676</c:v>
                </c:pt>
                <c:pt idx="60">
                  <c:v>55.903086596065975</c:v>
                </c:pt>
                <c:pt idx="61">
                  <c:v>55.099401011982145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5A39-4566-8EE6-6D0A89D219EA}"/>
            </c:ext>
          </c:extLst>
        </c:ser>
        <c:ser>
          <c:idx val="67"/>
          <c:order val="66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Carlo'!$E$68:$BN$68</c:f>
              <c:numCache>
                <c:formatCode>General</c:formatCode>
                <c:ptCount val="62"/>
                <c:pt idx="1">
                  <c:v>60.99</c:v>
                </c:pt>
                <c:pt idx="2">
                  <c:v>61.468496539566239</c:v>
                </c:pt>
                <c:pt idx="3">
                  <c:v>61.502426531326691</c:v>
                </c:pt>
                <c:pt idx="4">
                  <c:v>63.711535107011471</c:v>
                </c:pt>
                <c:pt idx="5">
                  <c:v>63.763557711672995</c:v>
                </c:pt>
                <c:pt idx="6">
                  <c:v>64.662487094488498</c:v>
                </c:pt>
                <c:pt idx="7">
                  <c:v>65.505244889615284</c:v>
                </c:pt>
                <c:pt idx="8">
                  <c:v>64.647782782401919</c:v>
                </c:pt>
                <c:pt idx="9">
                  <c:v>64.629976154036086</c:v>
                </c:pt>
                <c:pt idx="10">
                  <c:v>64.205947427372138</c:v>
                </c:pt>
                <c:pt idx="11">
                  <c:v>64.358736291963083</c:v>
                </c:pt>
                <c:pt idx="12">
                  <c:v>64.014858947861327</c:v>
                </c:pt>
                <c:pt idx="13">
                  <c:v>64.187126884546714</c:v>
                </c:pt>
                <c:pt idx="14">
                  <c:v>65.442222097653072</c:v>
                </c:pt>
                <c:pt idx="15">
                  <c:v>66.989230058725795</c:v>
                </c:pt>
                <c:pt idx="16">
                  <c:v>68.545983082062705</c:v>
                </c:pt>
                <c:pt idx="17">
                  <c:v>69.143773047749065</c:v>
                </c:pt>
                <c:pt idx="18">
                  <c:v>67.175614615195968</c:v>
                </c:pt>
                <c:pt idx="19">
                  <c:v>67.670373187477892</c:v>
                </c:pt>
                <c:pt idx="20">
                  <c:v>66.826921162510615</c:v>
                </c:pt>
                <c:pt idx="21">
                  <c:v>68.553942257896409</c:v>
                </c:pt>
                <c:pt idx="22">
                  <c:v>69.299945331426571</c:v>
                </c:pt>
                <c:pt idx="23">
                  <c:v>70.905147444809117</c:v>
                </c:pt>
                <c:pt idx="24">
                  <c:v>71.82867063578243</c:v>
                </c:pt>
                <c:pt idx="25">
                  <c:v>71.826147704467814</c:v>
                </c:pt>
                <c:pt idx="26">
                  <c:v>71.29077344284859</c:v>
                </c:pt>
                <c:pt idx="27">
                  <c:v>71.092615590788867</c:v>
                </c:pt>
                <c:pt idx="28">
                  <c:v>70.845779187046986</c:v>
                </c:pt>
                <c:pt idx="29">
                  <c:v>70.949579167166192</c:v>
                </c:pt>
                <c:pt idx="30">
                  <c:v>71.358426126780643</c:v>
                </c:pt>
                <c:pt idx="31">
                  <c:v>71.756028077925421</c:v>
                </c:pt>
                <c:pt idx="32">
                  <c:v>71.355033862803523</c:v>
                </c:pt>
                <c:pt idx="33">
                  <c:v>72.513899444682593</c:v>
                </c:pt>
                <c:pt idx="34">
                  <c:v>74.058654212081677</c:v>
                </c:pt>
                <c:pt idx="35">
                  <c:v>76.779133988384331</c:v>
                </c:pt>
                <c:pt idx="36">
                  <c:v>75.329464151979565</c:v>
                </c:pt>
                <c:pt idx="37">
                  <c:v>73.754108454634391</c:v>
                </c:pt>
                <c:pt idx="38">
                  <c:v>72.26967299524344</c:v>
                </c:pt>
                <c:pt idx="39">
                  <c:v>72.104766104851961</c:v>
                </c:pt>
                <c:pt idx="40">
                  <c:v>69.962990586566889</c:v>
                </c:pt>
                <c:pt idx="41">
                  <c:v>69.481313538307532</c:v>
                </c:pt>
                <c:pt idx="42">
                  <c:v>70.163961986927291</c:v>
                </c:pt>
                <c:pt idx="43">
                  <c:v>69.303921925278644</c:v>
                </c:pt>
                <c:pt idx="44">
                  <c:v>70.514670755113016</c:v>
                </c:pt>
                <c:pt idx="45">
                  <c:v>71.280104681564026</c:v>
                </c:pt>
                <c:pt idx="46">
                  <c:v>68.761237663589768</c:v>
                </c:pt>
                <c:pt idx="47">
                  <c:v>69.858430947270776</c:v>
                </c:pt>
                <c:pt idx="48">
                  <c:v>69.677829228004398</c:v>
                </c:pt>
                <c:pt idx="49">
                  <c:v>70.867481064719541</c:v>
                </c:pt>
                <c:pt idx="50">
                  <c:v>71.842126692535672</c:v>
                </c:pt>
                <c:pt idx="51">
                  <c:v>72.336188107584533</c:v>
                </c:pt>
                <c:pt idx="52">
                  <c:v>70.913625934695574</c:v>
                </c:pt>
                <c:pt idx="53">
                  <c:v>68.907590117118886</c:v>
                </c:pt>
                <c:pt idx="54">
                  <c:v>70.940464853293037</c:v>
                </c:pt>
                <c:pt idx="55">
                  <c:v>72.539813567531439</c:v>
                </c:pt>
                <c:pt idx="56">
                  <c:v>71.90462339384581</c:v>
                </c:pt>
                <c:pt idx="57">
                  <c:v>72.306941223118287</c:v>
                </c:pt>
                <c:pt idx="58">
                  <c:v>73.335778638601511</c:v>
                </c:pt>
                <c:pt idx="59">
                  <c:v>72.510785449626553</c:v>
                </c:pt>
                <c:pt idx="60">
                  <c:v>69.584332851415169</c:v>
                </c:pt>
                <c:pt idx="61">
                  <c:v>72.568148958433412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5A39-4566-8EE6-6D0A89D219EA}"/>
            </c:ext>
          </c:extLst>
        </c:ser>
        <c:ser>
          <c:idx val="68"/>
          <c:order val="67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Carlo'!$E$69:$BN$69</c:f>
              <c:numCache>
                <c:formatCode>General</c:formatCode>
                <c:ptCount val="62"/>
                <c:pt idx="1">
                  <c:v>60.99</c:v>
                </c:pt>
                <c:pt idx="2">
                  <c:v>61.844209669879731</c:v>
                </c:pt>
                <c:pt idx="3">
                  <c:v>60.316989685300527</c:v>
                </c:pt>
                <c:pt idx="4">
                  <c:v>60.787038162653516</c:v>
                </c:pt>
                <c:pt idx="5">
                  <c:v>59.477101214188622</c:v>
                </c:pt>
                <c:pt idx="6">
                  <c:v>59.661021422081994</c:v>
                </c:pt>
                <c:pt idx="7">
                  <c:v>62.676179149490764</c:v>
                </c:pt>
                <c:pt idx="8">
                  <c:v>63.455455474991879</c:v>
                </c:pt>
                <c:pt idx="9">
                  <c:v>62.61070230778823</c:v>
                </c:pt>
                <c:pt idx="10">
                  <c:v>63.107209484577474</c:v>
                </c:pt>
                <c:pt idx="11">
                  <c:v>64.099262363906405</c:v>
                </c:pt>
                <c:pt idx="12">
                  <c:v>64.142605824404455</c:v>
                </c:pt>
                <c:pt idx="13">
                  <c:v>63.382548596425181</c:v>
                </c:pt>
                <c:pt idx="14">
                  <c:v>63.049950594048454</c:v>
                </c:pt>
                <c:pt idx="15">
                  <c:v>63.170658252393068</c:v>
                </c:pt>
                <c:pt idx="16">
                  <c:v>62.234343350166817</c:v>
                </c:pt>
                <c:pt idx="17">
                  <c:v>62.224543873128539</c:v>
                </c:pt>
                <c:pt idx="18">
                  <c:v>63.297519243365294</c:v>
                </c:pt>
                <c:pt idx="19">
                  <c:v>65.278951397518469</c:v>
                </c:pt>
                <c:pt idx="20">
                  <c:v>64.611589853814124</c:v>
                </c:pt>
                <c:pt idx="21">
                  <c:v>62.148256785350839</c:v>
                </c:pt>
                <c:pt idx="22">
                  <c:v>61.383176387077405</c:v>
                </c:pt>
                <c:pt idx="23">
                  <c:v>61.545392397609568</c:v>
                </c:pt>
                <c:pt idx="24">
                  <c:v>62.927979136702582</c:v>
                </c:pt>
                <c:pt idx="25">
                  <c:v>61.557663223332277</c:v>
                </c:pt>
                <c:pt idx="26">
                  <c:v>61.940122420495854</c:v>
                </c:pt>
                <c:pt idx="27">
                  <c:v>61.560042714081554</c:v>
                </c:pt>
                <c:pt idx="28">
                  <c:v>62.89394057250091</c:v>
                </c:pt>
                <c:pt idx="29">
                  <c:v>62.711050762465831</c:v>
                </c:pt>
                <c:pt idx="30">
                  <c:v>62.654216599848027</c:v>
                </c:pt>
                <c:pt idx="31">
                  <c:v>62.281560949862914</c:v>
                </c:pt>
                <c:pt idx="32">
                  <c:v>63.736394514461082</c:v>
                </c:pt>
                <c:pt idx="33">
                  <c:v>63.192743185626888</c:v>
                </c:pt>
                <c:pt idx="34">
                  <c:v>64.225187727656163</c:v>
                </c:pt>
                <c:pt idx="35">
                  <c:v>63.667021313878863</c:v>
                </c:pt>
                <c:pt idx="36">
                  <c:v>64.450715386322742</c:v>
                </c:pt>
                <c:pt idx="37">
                  <c:v>64.952898851373106</c:v>
                </c:pt>
                <c:pt idx="38">
                  <c:v>67.14952003305639</c:v>
                </c:pt>
                <c:pt idx="39">
                  <c:v>67.222474634056553</c:v>
                </c:pt>
                <c:pt idx="40">
                  <c:v>67.95117051931534</c:v>
                </c:pt>
                <c:pt idx="41">
                  <c:v>67.703070800079331</c:v>
                </c:pt>
                <c:pt idx="42">
                  <c:v>68.028636114375203</c:v>
                </c:pt>
                <c:pt idx="43">
                  <c:v>70.079795276028833</c:v>
                </c:pt>
                <c:pt idx="44">
                  <c:v>68.988769931372246</c:v>
                </c:pt>
                <c:pt idx="45">
                  <c:v>68.915213124241276</c:v>
                </c:pt>
                <c:pt idx="46">
                  <c:v>67.999151189825994</c:v>
                </c:pt>
                <c:pt idx="47">
                  <c:v>70.739913686613235</c:v>
                </c:pt>
                <c:pt idx="48">
                  <c:v>70.91408649948356</c:v>
                </c:pt>
                <c:pt idx="49">
                  <c:v>70.652342721605166</c:v>
                </c:pt>
                <c:pt idx="50">
                  <c:v>71.123446346951212</c:v>
                </c:pt>
                <c:pt idx="51">
                  <c:v>71.577261229504472</c:v>
                </c:pt>
                <c:pt idx="52">
                  <c:v>70.370207437793979</c:v>
                </c:pt>
                <c:pt idx="53">
                  <c:v>69.617979179447119</c:v>
                </c:pt>
                <c:pt idx="54">
                  <c:v>68.853324594787409</c:v>
                </c:pt>
                <c:pt idx="55">
                  <c:v>66.738890141963694</c:v>
                </c:pt>
                <c:pt idx="56">
                  <c:v>66.62299655907789</c:v>
                </c:pt>
                <c:pt idx="57">
                  <c:v>65.776317685898945</c:v>
                </c:pt>
                <c:pt idx="58">
                  <c:v>66.862336926301623</c:v>
                </c:pt>
                <c:pt idx="59">
                  <c:v>70.099595481504991</c:v>
                </c:pt>
                <c:pt idx="60">
                  <c:v>68.297006988554969</c:v>
                </c:pt>
                <c:pt idx="61">
                  <c:v>67.740172026478916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5A39-4566-8EE6-6D0A89D219EA}"/>
            </c:ext>
          </c:extLst>
        </c:ser>
        <c:ser>
          <c:idx val="69"/>
          <c:order val="68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Carlo'!$E$70:$BN$70</c:f>
              <c:numCache>
                <c:formatCode>General</c:formatCode>
                <c:ptCount val="62"/>
                <c:pt idx="1">
                  <c:v>60.99</c:v>
                </c:pt>
                <c:pt idx="2">
                  <c:v>60.543460002121527</c:v>
                </c:pt>
                <c:pt idx="3">
                  <c:v>61.033527563473704</c:v>
                </c:pt>
                <c:pt idx="4">
                  <c:v>59.930727874294924</c:v>
                </c:pt>
                <c:pt idx="5">
                  <c:v>59.518061115450358</c:v>
                </c:pt>
                <c:pt idx="6">
                  <c:v>61.065616635192889</c:v>
                </c:pt>
                <c:pt idx="7">
                  <c:v>60.496380439859649</c:v>
                </c:pt>
                <c:pt idx="8">
                  <c:v>59.642393590579843</c:v>
                </c:pt>
                <c:pt idx="9">
                  <c:v>58.276440351924741</c:v>
                </c:pt>
                <c:pt idx="10">
                  <c:v>58.804261425501402</c:v>
                </c:pt>
                <c:pt idx="11">
                  <c:v>60.092564936640571</c:v>
                </c:pt>
                <c:pt idx="12">
                  <c:v>61.156063610741938</c:v>
                </c:pt>
                <c:pt idx="13">
                  <c:v>60.43587652760651</c:v>
                </c:pt>
                <c:pt idx="14">
                  <c:v>62.246672025823955</c:v>
                </c:pt>
                <c:pt idx="15">
                  <c:v>63.166343724078956</c:v>
                </c:pt>
                <c:pt idx="16">
                  <c:v>62.234926548506749</c:v>
                </c:pt>
                <c:pt idx="17">
                  <c:v>63.152865857252237</c:v>
                </c:pt>
                <c:pt idx="18">
                  <c:v>64.365134940798185</c:v>
                </c:pt>
                <c:pt idx="19">
                  <c:v>66.958991634399027</c:v>
                </c:pt>
                <c:pt idx="20">
                  <c:v>66.289027344839752</c:v>
                </c:pt>
                <c:pt idx="21">
                  <c:v>65.699865634556971</c:v>
                </c:pt>
                <c:pt idx="22">
                  <c:v>64.871425606641125</c:v>
                </c:pt>
                <c:pt idx="23">
                  <c:v>64.90890055157378</c:v>
                </c:pt>
                <c:pt idx="24">
                  <c:v>65.747901380777648</c:v>
                </c:pt>
                <c:pt idx="25">
                  <c:v>66.08504372985179</c:v>
                </c:pt>
                <c:pt idx="26">
                  <c:v>66.037637269666646</c:v>
                </c:pt>
                <c:pt idx="27">
                  <c:v>66.628331843462348</c:v>
                </c:pt>
                <c:pt idx="28">
                  <c:v>67.05421599793776</c:v>
                </c:pt>
                <c:pt idx="29">
                  <c:v>67.976572275339791</c:v>
                </c:pt>
                <c:pt idx="30">
                  <c:v>67.190413720547312</c:v>
                </c:pt>
                <c:pt idx="31">
                  <c:v>66.530871120349403</c:v>
                </c:pt>
                <c:pt idx="32">
                  <c:v>68.335629437348757</c:v>
                </c:pt>
                <c:pt idx="33">
                  <c:v>71.467570329045472</c:v>
                </c:pt>
                <c:pt idx="34">
                  <c:v>69.881351683132507</c:v>
                </c:pt>
                <c:pt idx="35">
                  <c:v>71.89404292122488</c:v>
                </c:pt>
                <c:pt idx="36">
                  <c:v>71.991050223272609</c:v>
                </c:pt>
                <c:pt idx="37">
                  <c:v>71.464825277428687</c:v>
                </c:pt>
                <c:pt idx="38">
                  <c:v>73.134032678577</c:v>
                </c:pt>
                <c:pt idx="39">
                  <c:v>74.320915277713709</c:v>
                </c:pt>
                <c:pt idx="40">
                  <c:v>74.149391226702761</c:v>
                </c:pt>
                <c:pt idx="41">
                  <c:v>71.954289118703272</c:v>
                </c:pt>
                <c:pt idx="42">
                  <c:v>73.529210115636971</c:v>
                </c:pt>
                <c:pt idx="43">
                  <c:v>71.848451699262</c:v>
                </c:pt>
                <c:pt idx="44">
                  <c:v>69.910581699708231</c:v>
                </c:pt>
                <c:pt idx="45">
                  <c:v>71.771241860006214</c:v>
                </c:pt>
                <c:pt idx="46">
                  <c:v>70.323013117933243</c:v>
                </c:pt>
                <c:pt idx="47">
                  <c:v>70.930778297280042</c:v>
                </c:pt>
                <c:pt idx="48">
                  <c:v>70.75807202604804</c:v>
                </c:pt>
                <c:pt idx="49">
                  <c:v>71.704583011686651</c:v>
                </c:pt>
                <c:pt idx="50">
                  <c:v>72.717371475743704</c:v>
                </c:pt>
                <c:pt idx="51">
                  <c:v>75.60634946027929</c:v>
                </c:pt>
                <c:pt idx="52">
                  <c:v>79.367856356935448</c:v>
                </c:pt>
                <c:pt idx="53">
                  <c:v>79.576837127978735</c:v>
                </c:pt>
                <c:pt idx="54">
                  <c:v>78.668980812715375</c:v>
                </c:pt>
                <c:pt idx="55">
                  <c:v>78.967028151708405</c:v>
                </c:pt>
                <c:pt idx="56">
                  <c:v>77.706726903868656</c:v>
                </c:pt>
                <c:pt idx="57">
                  <c:v>78.009322173624867</c:v>
                </c:pt>
                <c:pt idx="58">
                  <c:v>78.12946604390676</c:v>
                </c:pt>
                <c:pt idx="59">
                  <c:v>79.97766224976202</c:v>
                </c:pt>
                <c:pt idx="60">
                  <c:v>77.513021060106325</c:v>
                </c:pt>
                <c:pt idx="61">
                  <c:v>75.777650161987367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5A39-4566-8EE6-6D0A89D219EA}"/>
            </c:ext>
          </c:extLst>
        </c:ser>
        <c:ser>
          <c:idx val="70"/>
          <c:order val="69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Carlo'!$E$71:$BN$71</c:f>
              <c:numCache>
                <c:formatCode>General</c:formatCode>
                <c:ptCount val="62"/>
                <c:pt idx="1">
                  <c:v>60.99</c:v>
                </c:pt>
                <c:pt idx="2">
                  <c:v>60.195507839160236</c:v>
                </c:pt>
                <c:pt idx="3">
                  <c:v>60.486496176704847</c:v>
                </c:pt>
                <c:pt idx="4">
                  <c:v>60.668353540614454</c:v>
                </c:pt>
                <c:pt idx="5">
                  <c:v>62.142988214813968</c:v>
                </c:pt>
                <c:pt idx="6">
                  <c:v>60.301993257061135</c:v>
                </c:pt>
                <c:pt idx="7">
                  <c:v>60.825598316704259</c:v>
                </c:pt>
                <c:pt idx="8">
                  <c:v>60.158263203960615</c:v>
                </c:pt>
                <c:pt idx="9">
                  <c:v>63.353337032407758</c:v>
                </c:pt>
                <c:pt idx="10">
                  <c:v>63.61852904343489</c:v>
                </c:pt>
                <c:pt idx="11">
                  <c:v>62.69094141827005</c:v>
                </c:pt>
                <c:pt idx="12">
                  <c:v>64.342971291337307</c:v>
                </c:pt>
                <c:pt idx="13">
                  <c:v>64.669764435073986</c:v>
                </c:pt>
                <c:pt idx="14">
                  <c:v>66.57001172618105</c:v>
                </c:pt>
                <c:pt idx="15">
                  <c:v>67.329763441808225</c:v>
                </c:pt>
                <c:pt idx="16">
                  <c:v>67.730186356622269</c:v>
                </c:pt>
                <c:pt idx="17">
                  <c:v>67.056849837687722</c:v>
                </c:pt>
                <c:pt idx="18">
                  <c:v>67.409111399553808</c:v>
                </c:pt>
                <c:pt idx="19">
                  <c:v>67.536462797024399</c:v>
                </c:pt>
                <c:pt idx="20">
                  <c:v>67.52082232725347</c:v>
                </c:pt>
                <c:pt idx="21">
                  <c:v>65.930621341793639</c:v>
                </c:pt>
                <c:pt idx="22">
                  <c:v>65.501875291436917</c:v>
                </c:pt>
                <c:pt idx="23">
                  <c:v>68.131021496907607</c:v>
                </c:pt>
                <c:pt idx="24">
                  <c:v>65.856252311918439</c:v>
                </c:pt>
                <c:pt idx="25">
                  <c:v>65.899189950478018</c:v>
                </c:pt>
                <c:pt idx="26">
                  <c:v>67.274632312224199</c:v>
                </c:pt>
                <c:pt idx="27">
                  <c:v>69.415318559066037</c:v>
                </c:pt>
                <c:pt idx="28">
                  <c:v>69.790456728903621</c:v>
                </c:pt>
                <c:pt idx="29">
                  <c:v>67.480202395537873</c:v>
                </c:pt>
                <c:pt idx="30">
                  <c:v>68.872875115707188</c:v>
                </c:pt>
                <c:pt idx="31">
                  <c:v>69.724654571662896</c:v>
                </c:pt>
                <c:pt idx="32">
                  <c:v>70.58935205437777</c:v>
                </c:pt>
                <c:pt idx="33">
                  <c:v>70.535119711184251</c:v>
                </c:pt>
                <c:pt idx="34">
                  <c:v>69.294730902693843</c:v>
                </c:pt>
                <c:pt idx="35">
                  <c:v>68.667173137314705</c:v>
                </c:pt>
                <c:pt idx="36">
                  <c:v>69.476100194856514</c:v>
                </c:pt>
                <c:pt idx="37">
                  <c:v>67.776930768393726</c:v>
                </c:pt>
                <c:pt idx="38">
                  <c:v>68.363026331831662</c:v>
                </c:pt>
                <c:pt idx="39">
                  <c:v>68.570029214218479</c:v>
                </c:pt>
                <c:pt idx="40">
                  <c:v>68.053798053848283</c:v>
                </c:pt>
                <c:pt idx="41">
                  <c:v>68.70250543543537</c:v>
                </c:pt>
                <c:pt idx="42">
                  <c:v>68.910894035977378</c:v>
                </c:pt>
                <c:pt idx="43">
                  <c:v>69.653993018340003</c:v>
                </c:pt>
                <c:pt idx="44">
                  <c:v>68.153210506293505</c:v>
                </c:pt>
                <c:pt idx="45">
                  <c:v>66.640707649281424</c:v>
                </c:pt>
                <c:pt idx="46">
                  <c:v>68.09795560690597</c:v>
                </c:pt>
                <c:pt idx="47">
                  <c:v>66.288538937797</c:v>
                </c:pt>
                <c:pt idx="48">
                  <c:v>66.654750698702586</c:v>
                </c:pt>
                <c:pt idx="49">
                  <c:v>66.360471451911891</c:v>
                </c:pt>
                <c:pt idx="50">
                  <c:v>65.024209647338907</c:v>
                </c:pt>
                <c:pt idx="51">
                  <c:v>64.614880446054741</c:v>
                </c:pt>
                <c:pt idx="52">
                  <c:v>66.401460945253234</c:v>
                </c:pt>
                <c:pt idx="53">
                  <c:v>67.875953170489836</c:v>
                </c:pt>
                <c:pt idx="54">
                  <c:v>66.965575784970156</c:v>
                </c:pt>
                <c:pt idx="55">
                  <c:v>66.329856668204613</c:v>
                </c:pt>
                <c:pt idx="56">
                  <c:v>67.513513291940143</c:v>
                </c:pt>
                <c:pt idx="57">
                  <c:v>68.477691260936339</c:v>
                </c:pt>
                <c:pt idx="58">
                  <c:v>66.889035838386889</c:v>
                </c:pt>
                <c:pt idx="59">
                  <c:v>67.736495050528745</c:v>
                </c:pt>
                <c:pt idx="60">
                  <c:v>66.801472829473894</c:v>
                </c:pt>
                <c:pt idx="61">
                  <c:v>68.080092993778138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5A39-4566-8EE6-6D0A89D219EA}"/>
            </c:ext>
          </c:extLst>
        </c:ser>
        <c:ser>
          <c:idx val="71"/>
          <c:order val="70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Carlo'!$E$72:$BN$72</c:f>
              <c:numCache>
                <c:formatCode>General</c:formatCode>
                <c:ptCount val="62"/>
                <c:pt idx="1">
                  <c:v>60.99</c:v>
                </c:pt>
                <c:pt idx="2">
                  <c:v>62.159317118025442</c:v>
                </c:pt>
                <c:pt idx="3">
                  <c:v>64.328471396753685</c:v>
                </c:pt>
                <c:pt idx="4">
                  <c:v>65.612876677511622</c:v>
                </c:pt>
                <c:pt idx="5">
                  <c:v>65.430729607791974</c:v>
                </c:pt>
                <c:pt idx="6">
                  <c:v>65.30215953247783</c:v>
                </c:pt>
                <c:pt idx="7">
                  <c:v>65.632965171944392</c:v>
                </c:pt>
                <c:pt idx="8">
                  <c:v>64.663061773017944</c:v>
                </c:pt>
                <c:pt idx="9">
                  <c:v>64.002676123814268</c:v>
                </c:pt>
                <c:pt idx="10">
                  <c:v>64.782282397996227</c:v>
                </c:pt>
                <c:pt idx="11">
                  <c:v>65.88578166524681</c:v>
                </c:pt>
                <c:pt idx="12">
                  <c:v>65.569540233205217</c:v>
                </c:pt>
                <c:pt idx="13">
                  <c:v>66.211402314600477</c:v>
                </c:pt>
                <c:pt idx="14">
                  <c:v>66.035515337016747</c:v>
                </c:pt>
                <c:pt idx="15">
                  <c:v>67.576598966986808</c:v>
                </c:pt>
                <c:pt idx="16">
                  <c:v>68.392800127405039</c:v>
                </c:pt>
                <c:pt idx="17">
                  <c:v>70.6890612152676</c:v>
                </c:pt>
                <c:pt idx="18">
                  <c:v>70.667463171032722</c:v>
                </c:pt>
                <c:pt idx="19">
                  <c:v>68.470899832143445</c:v>
                </c:pt>
                <c:pt idx="20">
                  <c:v>70.066713558013376</c:v>
                </c:pt>
                <c:pt idx="21">
                  <c:v>71.230513206116441</c:v>
                </c:pt>
                <c:pt idx="22">
                  <c:v>70.481419916621718</c:v>
                </c:pt>
                <c:pt idx="23">
                  <c:v>71.720984580846903</c:v>
                </c:pt>
                <c:pt idx="24">
                  <c:v>71.848617561113002</c:v>
                </c:pt>
                <c:pt idx="25">
                  <c:v>70.569656526801822</c:v>
                </c:pt>
                <c:pt idx="26">
                  <c:v>73.238624379235873</c:v>
                </c:pt>
                <c:pt idx="27">
                  <c:v>72.107346674072389</c:v>
                </c:pt>
                <c:pt idx="28">
                  <c:v>72.102820953420746</c:v>
                </c:pt>
                <c:pt idx="29">
                  <c:v>70.968707323464244</c:v>
                </c:pt>
                <c:pt idx="30">
                  <c:v>69.547754727794199</c:v>
                </c:pt>
                <c:pt idx="31">
                  <c:v>69.329800925401159</c:v>
                </c:pt>
                <c:pt idx="32">
                  <c:v>67.818111795193218</c:v>
                </c:pt>
                <c:pt idx="33">
                  <c:v>69.833898204538016</c:v>
                </c:pt>
                <c:pt idx="34">
                  <c:v>66.401539726179863</c:v>
                </c:pt>
                <c:pt idx="35">
                  <c:v>66.671256693662798</c:v>
                </c:pt>
                <c:pt idx="36">
                  <c:v>66.438845700385727</c:v>
                </c:pt>
                <c:pt idx="37">
                  <c:v>65.488339970102587</c:v>
                </c:pt>
                <c:pt idx="38">
                  <c:v>63.692339827948274</c:v>
                </c:pt>
                <c:pt idx="39">
                  <c:v>64.518572876179562</c:v>
                </c:pt>
                <c:pt idx="40">
                  <c:v>63.688704699192257</c:v>
                </c:pt>
                <c:pt idx="41">
                  <c:v>63.627117546179271</c:v>
                </c:pt>
                <c:pt idx="42">
                  <c:v>62.804700968263461</c:v>
                </c:pt>
                <c:pt idx="43">
                  <c:v>62.869335542796016</c:v>
                </c:pt>
                <c:pt idx="44">
                  <c:v>63.127951998781597</c:v>
                </c:pt>
                <c:pt idx="45">
                  <c:v>61.984639294988831</c:v>
                </c:pt>
                <c:pt idx="46">
                  <c:v>63.124812634049015</c:v>
                </c:pt>
                <c:pt idx="47">
                  <c:v>63.191162292143929</c:v>
                </c:pt>
                <c:pt idx="48">
                  <c:v>64.300082200765374</c:v>
                </c:pt>
                <c:pt idx="49">
                  <c:v>63.851349183253738</c:v>
                </c:pt>
                <c:pt idx="50">
                  <c:v>63.511557904224844</c:v>
                </c:pt>
                <c:pt idx="51">
                  <c:v>62.913879843206296</c:v>
                </c:pt>
                <c:pt idx="52">
                  <c:v>61.230287700494685</c:v>
                </c:pt>
                <c:pt idx="53">
                  <c:v>60.67929223287689</c:v>
                </c:pt>
                <c:pt idx="54">
                  <c:v>58.886868583603913</c:v>
                </c:pt>
                <c:pt idx="55">
                  <c:v>58.202074300405542</c:v>
                </c:pt>
                <c:pt idx="56">
                  <c:v>60.933207802860153</c:v>
                </c:pt>
                <c:pt idx="57">
                  <c:v>59.519629489352681</c:v>
                </c:pt>
                <c:pt idx="58">
                  <c:v>59.428809099145155</c:v>
                </c:pt>
                <c:pt idx="59">
                  <c:v>59.367230508183603</c:v>
                </c:pt>
                <c:pt idx="60">
                  <c:v>60.021826996769718</c:v>
                </c:pt>
                <c:pt idx="61">
                  <c:v>60.540490031705595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5A39-4566-8EE6-6D0A89D219EA}"/>
            </c:ext>
          </c:extLst>
        </c:ser>
        <c:ser>
          <c:idx val="72"/>
          <c:order val="71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Carlo'!$E$73:$BN$73</c:f>
              <c:numCache>
                <c:formatCode>General</c:formatCode>
                <c:ptCount val="62"/>
                <c:pt idx="1">
                  <c:v>60.99</c:v>
                </c:pt>
                <c:pt idx="2">
                  <c:v>61.098825761423925</c:v>
                </c:pt>
                <c:pt idx="3">
                  <c:v>62.102928956250935</c:v>
                </c:pt>
                <c:pt idx="4">
                  <c:v>61.256622861250875</c:v>
                </c:pt>
                <c:pt idx="5">
                  <c:v>59.489044934252256</c:v>
                </c:pt>
                <c:pt idx="6">
                  <c:v>61.095263021903314</c:v>
                </c:pt>
                <c:pt idx="7">
                  <c:v>60.240186443532046</c:v>
                </c:pt>
                <c:pt idx="8">
                  <c:v>60.612481522248032</c:v>
                </c:pt>
                <c:pt idx="9">
                  <c:v>60.643638994235587</c:v>
                </c:pt>
                <c:pt idx="10">
                  <c:v>61.764763159587702</c:v>
                </c:pt>
                <c:pt idx="11">
                  <c:v>64.072104350831324</c:v>
                </c:pt>
                <c:pt idx="12">
                  <c:v>64.283399021960207</c:v>
                </c:pt>
                <c:pt idx="13">
                  <c:v>64.328478395849785</c:v>
                </c:pt>
                <c:pt idx="14">
                  <c:v>66.974650568238388</c:v>
                </c:pt>
                <c:pt idx="15">
                  <c:v>68.066015710363843</c:v>
                </c:pt>
                <c:pt idx="16">
                  <c:v>70.295034410824925</c:v>
                </c:pt>
                <c:pt idx="17">
                  <c:v>71.957889541153108</c:v>
                </c:pt>
                <c:pt idx="18">
                  <c:v>72.824967555733664</c:v>
                </c:pt>
                <c:pt idx="19">
                  <c:v>73.058958752054778</c:v>
                </c:pt>
                <c:pt idx="20">
                  <c:v>75.389443087026478</c:v>
                </c:pt>
                <c:pt idx="21">
                  <c:v>74.134274415378073</c:v>
                </c:pt>
                <c:pt idx="22">
                  <c:v>74.950973055118226</c:v>
                </c:pt>
                <c:pt idx="23">
                  <c:v>75.35248953042921</c:v>
                </c:pt>
                <c:pt idx="24">
                  <c:v>73.921162390219067</c:v>
                </c:pt>
                <c:pt idx="25">
                  <c:v>72.054367149086147</c:v>
                </c:pt>
                <c:pt idx="26">
                  <c:v>69.826631249145805</c:v>
                </c:pt>
                <c:pt idx="27">
                  <c:v>71.056321354493647</c:v>
                </c:pt>
                <c:pt idx="28">
                  <c:v>71.875932912452029</c:v>
                </c:pt>
                <c:pt idx="29">
                  <c:v>69.870565355586322</c:v>
                </c:pt>
                <c:pt idx="30">
                  <c:v>71.717427304653285</c:v>
                </c:pt>
                <c:pt idx="31">
                  <c:v>71.750703579645219</c:v>
                </c:pt>
                <c:pt idx="32">
                  <c:v>71.150179329226873</c:v>
                </c:pt>
                <c:pt idx="33">
                  <c:v>68.92434829179119</c:v>
                </c:pt>
                <c:pt idx="34">
                  <c:v>67.079695037015625</c:v>
                </c:pt>
                <c:pt idx="35">
                  <c:v>67.223609402544824</c:v>
                </c:pt>
                <c:pt idx="36">
                  <c:v>67.349068873503342</c:v>
                </c:pt>
                <c:pt idx="37">
                  <c:v>68.348420994473614</c:v>
                </c:pt>
                <c:pt idx="38">
                  <c:v>67.521619542474767</c:v>
                </c:pt>
                <c:pt idx="39">
                  <c:v>66.052971884964933</c:v>
                </c:pt>
                <c:pt idx="40">
                  <c:v>62.497801918625427</c:v>
                </c:pt>
                <c:pt idx="41">
                  <c:v>61.565764244357467</c:v>
                </c:pt>
                <c:pt idx="42">
                  <c:v>60.847954908839881</c:v>
                </c:pt>
                <c:pt idx="43">
                  <c:v>61.292915434059864</c:v>
                </c:pt>
                <c:pt idx="44">
                  <c:v>62.266143867621018</c:v>
                </c:pt>
                <c:pt idx="45">
                  <c:v>63.841108800666063</c:v>
                </c:pt>
                <c:pt idx="46">
                  <c:v>62.793648803641318</c:v>
                </c:pt>
                <c:pt idx="47">
                  <c:v>62.851527835783742</c:v>
                </c:pt>
                <c:pt idx="48">
                  <c:v>62.685916471972341</c:v>
                </c:pt>
                <c:pt idx="49">
                  <c:v>61.431506072475997</c:v>
                </c:pt>
                <c:pt idx="50">
                  <c:v>60.530964127959884</c:v>
                </c:pt>
                <c:pt idx="51">
                  <c:v>64.069035675926045</c:v>
                </c:pt>
                <c:pt idx="52">
                  <c:v>65.775153860678131</c:v>
                </c:pt>
                <c:pt idx="53">
                  <c:v>64.953413859689491</c:v>
                </c:pt>
                <c:pt idx="54">
                  <c:v>65.030474031832526</c:v>
                </c:pt>
                <c:pt idx="55">
                  <c:v>65.184918797602435</c:v>
                </c:pt>
                <c:pt idx="56">
                  <c:v>66.612898064017074</c:v>
                </c:pt>
                <c:pt idx="57">
                  <c:v>66.152733966053574</c:v>
                </c:pt>
                <c:pt idx="58">
                  <c:v>67.130668514423292</c:v>
                </c:pt>
                <c:pt idx="59">
                  <c:v>67.156400133588065</c:v>
                </c:pt>
                <c:pt idx="60">
                  <c:v>66.657336497564046</c:v>
                </c:pt>
                <c:pt idx="61">
                  <c:v>67.03481555788035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5A39-4566-8EE6-6D0A89D219EA}"/>
            </c:ext>
          </c:extLst>
        </c:ser>
        <c:ser>
          <c:idx val="73"/>
          <c:order val="72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Carlo'!$E$74:$BN$74</c:f>
              <c:numCache>
                <c:formatCode>General</c:formatCode>
                <c:ptCount val="62"/>
                <c:pt idx="1">
                  <c:v>60.99</c:v>
                </c:pt>
                <c:pt idx="2">
                  <c:v>61.965245446277819</c:v>
                </c:pt>
                <c:pt idx="3">
                  <c:v>62.259096634279977</c:v>
                </c:pt>
                <c:pt idx="4">
                  <c:v>64.032662710250122</c:v>
                </c:pt>
                <c:pt idx="5">
                  <c:v>62.862704815280416</c:v>
                </c:pt>
                <c:pt idx="6">
                  <c:v>63.74306511472367</c:v>
                </c:pt>
                <c:pt idx="7">
                  <c:v>64.412927490157401</c:v>
                </c:pt>
                <c:pt idx="8">
                  <c:v>65.80155895665925</c:v>
                </c:pt>
                <c:pt idx="9">
                  <c:v>66.00498397877962</c:v>
                </c:pt>
                <c:pt idx="10">
                  <c:v>66.139764105692365</c:v>
                </c:pt>
                <c:pt idx="11">
                  <c:v>65.352844102081221</c:v>
                </c:pt>
                <c:pt idx="12">
                  <c:v>63.347249527245523</c:v>
                </c:pt>
                <c:pt idx="13">
                  <c:v>63.155026182340187</c:v>
                </c:pt>
                <c:pt idx="14">
                  <c:v>62.077707769134811</c:v>
                </c:pt>
                <c:pt idx="15">
                  <c:v>63.524020288564707</c:v>
                </c:pt>
                <c:pt idx="16">
                  <c:v>65.68404482602736</c:v>
                </c:pt>
                <c:pt idx="17">
                  <c:v>67.629451497991866</c:v>
                </c:pt>
                <c:pt idx="18">
                  <c:v>69.32238034822457</c:v>
                </c:pt>
                <c:pt idx="19">
                  <c:v>69.175223496601532</c:v>
                </c:pt>
                <c:pt idx="20">
                  <c:v>69.783505796100613</c:v>
                </c:pt>
                <c:pt idx="21">
                  <c:v>70.540934424545199</c:v>
                </c:pt>
                <c:pt idx="22">
                  <c:v>71.009577483985836</c:v>
                </c:pt>
                <c:pt idx="23">
                  <c:v>71.296056785129338</c:v>
                </c:pt>
                <c:pt idx="24">
                  <c:v>71.531765449419339</c:v>
                </c:pt>
                <c:pt idx="25">
                  <c:v>72.35719426658477</c:v>
                </c:pt>
                <c:pt idx="26">
                  <c:v>72.807259913333922</c:v>
                </c:pt>
                <c:pt idx="27">
                  <c:v>74.794837370411003</c:v>
                </c:pt>
                <c:pt idx="28">
                  <c:v>75.676365260201024</c:v>
                </c:pt>
                <c:pt idx="29">
                  <c:v>77.673852799378594</c:v>
                </c:pt>
                <c:pt idx="30">
                  <c:v>79.252672843374057</c:v>
                </c:pt>
                <c:pt idx="31">
                  <c:v>81.015957210852122</c:v>
                </c:pt>
                <c:pt idx="32">
                  <c:v>80.631531414422014</c:v>
                </c:pt>
                <c:pt idx="33">
                  <c:v>76.319026835109042</c:v>
                </c:pt>
                <c:pt idx="34">
                  <c:v>79.774957595324153</c:v>
                </c:pt>
                <c:pt idx="35">
                  <c:v>78.696716740295869</c:v>
                </c:pt>
                <c:pt idx="36">
                  <c:v>76.63246312187195</c:v>
                </c:pt>
                <c:pt idx="37">
                  <c:v>76.159560324211427</c:v>
                </c:pt>
                <c:pt idx="38">
                  <c:v>78.728044571794868</c:v>
                </c:pt>
                <c:pt idx="39">
                  <c:v>78.442633960194428</c:v>
                </c:pt>
                <c:pt idx="40">
                  <c:v>79.68297387627527</c:v>
                </c:pt>
                <c:pt idx="41">
                  <c:v>79.637703745863377</c:v>
                </c:pt>
                <c:pt idx="42">
                  <c:v>77.890113015037784</c:v>
                </c:pt>
                <c:pt idx="43">
                  <c:v>77.820007742627197</c:v>
                </c:pt>
                <c:pt idx="44">
                  <c:v>79.466201792974488</c:v>
                </c:pt>
                <c:pt idx="45">
                  <c:v>79.335241564176215</c:v>
                </c:pt>
                <c:pt idx="46">
                  <c:v>79.020082523883787</c:v>
                </c:pt>
                <c:pt idx="47">
                  <c:v>80.882290145784907</c:v>
                </c:pt>
                <c:pt idx="48">
                  <c:v>84.323418348745534</c:v>
                </c:pt>
                <c:pt idx="49">
                  <c:v>86.648594185025516</c:v>
                </c:pt>
                <c:pt idx="50">
                  <c:v>88.457885216794068</c:v>
                </c:pt>
                <c:pt idx="51">
                  <c:v>88.409149857789174</c:v>
                </c:pt>
                <c:pt idx="52">
                  <c:v>89.209010114313656</c:v>
                </c:pt>
                <c:pt idx="53">
                  <c:v>83.311580707314121</c:v>
                </c:pt>
                <c:pt idx="54">
                  <c:v>84.940334114974249</c:v>
                </c:pt>
                <c:pt idx="55">
                  <c:v>84.086413943007415</c:v>
                </c:pt>
                <c:pt idx="56">
                  <c:v>82.977913961799331</c:v>
                </c:pt>
                <c:pt idx="57">
                  <c:v>84.71156256345229</c:v>
                </c:pt>
                <c:pt idx="58">
                  <c:v>87.837513302978024</c:v>
                </c:pt>
                <c:pt idx="59">
                  <c:v>85.893457722315574</c:v>
                </c:pt>
                <c:pt idx="60">
                  <c:v>82.731191031925263</c:v>
                </c:pt>
                <c:pt idx="61">
                  <c:v>84.731223610325586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5A39-4566-8EE6-6D0A89D219EA}"/>
            </c:ext>
          </c:extLst>
        </c:ser>
        <c:ser>
          <c:idx val="74"/>
          <c:order val="73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Carlo'!$E$75:$BN$75</c:f>
              <c:numCache>
                <c:formatCode>General</c:formatCode>
                <c:ptCount val="62"/>
                <c:pt idx="1">
                  <c:v>60.99</c:v>
                </c:pt>
                <c:pt idx="2">
                  <c:v>62.076071823871985</c:v>
                </c:pt>
                <c:pt idx="3">
                  <c:v>62.809132566382182</c:v>
                </c:pt>
                <c:pt idx="4">
                  <c:v>63.328757494388626</c:v>
                </c:pt>
                <c:pt idx="5">
                  <c:v>63.541791690399819</c:v>
                </c:pt>
                <c:pt idx="6">
                  <c:v>63.96700716224688</c:v>
                </c:pt>
                <c:pt idx="7">
                  <c:v>63.999899884585595</c:v>
                </c:pt>
                <c:pt idx="8">
                  <c:v>62.792453491602998</c:v>
                </c:pt>
                <c:pt idx="9">
                  <c:v>61.748019437769763</c:v>
                </c:pt>
                <c:pt idx="10">
                  <c:v>60.835188987727115</c:v>
                </c:pt>
                <c:pt idx="11">
                  <c:v>58.82859784259027</c:v>
                </c:pt>
                <c:pt idx="12">
                  <c:v>60.131172377356137</c:v>
                </c:pt>
                <c:pt idx="13">
                  <c:v>56.683638344660764</c:v>
                </c:pt>
                <c:pt idx="14">
                  <c:v>56.101140202611376</c:v>
                </c:pt>
                <c:pt idx="15">
                  <c:v>56.40538556220195</c:v>
                </c:pt>
                <c:pt idx="16">
                  <c:v>56.082883814494899</c:v>
                </c:pt>
                <c:pt idx="17">
                  <c:v>55.54001279746511</c:v>
                </c:pt>
                <c:pt idx="18">
                  <c:v>54.799917834645989</c:v>
                </c:pt>
                <c:pt idx="19">
                  <c:v>54.773606403267237</c:v>
                </c:pt>
                <c:pt idx="20">
                  <c:v>54.906916837244857</c:v>
                </c:pt>
                <c:pt idx="21">
                  <c:v>55.512681995988999</c:v>
                </c:pt>
                <c:pt idx="22">
                  <c:v>55.078561075649567</c:v>
                </c:pt>
                <c:pt idx="23">
                  <c:v>55.749613873680822</c:v>
                </c:pt>
                <c:pt idx="24">
                  <c:v>55.744094653164765</c:v>
                </c:pt>
                <c:pt idx="25">
                  <c:v>56.85596169265493</c:v>
                </c:pt>
                <c:pt idx="26">
                  <c:v>57.152715708251712</c:v>
                </c:pt>
                <c:pt idx="27">
                  <c:v>57.677265642298536</c:v>
                </c:pt>
                <c:pt idx="28">
                  <c:v>54.648064732818362</c:v>
                </c:pt>
                <c:pt idx="29">
                  <c:v>55.195821021712334</c:v>
                </c:pt>
                <c:pt idx="30">
                  <c:v>54.876547642793774</c:v>
                </c:pt>
                <c:pt idx="31">
                  <c:v>55.120892553830224</c:v>
                </c:pt>
                <c:pt idx="32">
                  <c:v>56.22679537853314</c:v>
                </c:pt>
                <c:pt idx="33">
                  <c:v>56.396602787718436</c:v>
                </c:pt>
                <c:pt idx="34">
                  <c:v>55.562098150838487</c:v>
                </c:pt>
                <c:pt idx="35">
                  <c:v>55.572482637869307</c:v>
                </c:pt>
                <c:pt idx="36">
                  <c:v>54.945118765384755</c:v>
                </c:pt>
                <c:pt idx="37">
                  <c:v>54.73351520075304</c:v>
                </c:pt>
                <c:pt idx="38">
                  <c:v>56.761092151730956</c:v>
                </c:pt>
                <c:pt idx="39">
                  <c:v>56.85011597262541</c:v>
                </c:pt>
                <c:pt idx="40">
                  <c:v>55.728152382627854</c:v>
                </c:pt>
                <c:pt idx="41">
                  <c:v>56.55136334040165</c:v>
                </c:pt>
                <c:pt idx="42">
                  <c:v>55.328963782411378</c:v>
                </c:pt>
                <c:pt idx="43">
                  <c:v>55.709773597135182</c:v>
                </c:pt>
                <c:pt idx="44">
                  <c:v>54.976573340541499</c:v>
                </c:pt>
                <c:pt idx="45">
                  <c:v>55.99907418870206</c:v>
                </c:pt>
                <c:pt idx="46">
                  <c:v>55.598016186702075</c:v>
                </c:pt>
                <c:pt idx="47">
                  <c:v>55.586061679434636</c:v>
                </c:pt>
                <c:pt idx="48">
                  <c:v>57.016879689837012</c:v>
                </c:pt>
                <c:pt idx="49">
                  <c:v>58.165159150015349</c:v>
                </c:pt>
                <c:pt idx="50">
                  <c:v>57.654456335541227</c:v>
                </c:pt>
                <c:pt idx="51">
                  <c:v>55.978778004002919</c:v>
                </c:pt>
                <c:pt idx="52">
                  <c:v>55.699133924841512</c:v>
                </c:pt>
                <c:pt idx="53">
                  <c:v>54.778682343475417</c:v>
                </c:pt>
                <c:pt idx="54">
                  <c:v>54.961037961126621</c:v>
                </c:pt>
                <c:pt idx="55">
                  <c:v>56.536469437722182</c:v>
                </c:pt>
                <c:pt idx="56">
                  <c:v>56.492227678363626</c:v>
                </c:pt>
                <c:pt idx="57">
                  <c:v>54.469048959656654</c:v>
                </c:pt>
                <c:pt idx="58">
                  <c:v>54.150645030462094</c:v>
                </c:pt>
                <c:pt idx="59">
                  <c:v>54.329460798971056</c:v>
                </c:pt>
                <c:pt idx="60">
                  <c:v>54.676293750677978</c:v>
                </c:pt>
                <c:pt idx="61">
                  <c:v>53.231643681203494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5A39-4566-8EE6-6D0A89D219EA}"/>
            </c:ext>
          </c:extLst>
        </c:ser>
        <c:ser>
          <c:idx val="75"/>
          <c:order val="74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Carlo'!$E$76:$BN$76</c:f>
              <c:numCache>
                <c:formatCode>General</c:formatCode>
                <c:ptCount val="62"/>
                <c:pt idx="1">
                  <c:v>60.99</c:v>
                </c:pt>
                <c:pt idx="2">
                  <c:v>63.035950468402156</c:v>
                </c:pt>
                <c:pt idx="3">
                  <c:v>63.923526473899194</c:v>
                </c:pt>
                <c:pt idx="4">
                  <c:v>64.612451973036229</c:v>
                </c:pt>
                <c:pt idx="5">
                  <c:v>64.734941364472192</c:v>
                </c:pt>
                <c:pt idx="6">
                  <c:v>63.448102352816385</c:v>
                </c:pt>
                <c:pt idx="7">
                  <c:v>61.869592065586346</c:v>
                </c:pt>
                <c:pt idx="8">
                  <c:v>60.214986097465356</c:v>
                </c:pt>
                <c:pt idx="9">
                  <c:v>60.850489982576832</c:v>
                </c:pt>
                <c:pt idx="10">
                  <c:v>62.121309247304374</c:v>
                </c:pt>
                <c:pt idx="11">
                  <c:v>61.930265082369289</c:v>
                </c:pt>
                <c:pt idx="12">
                  <c:v>65.066821142049761</c:v>
                </c:pt>
                <c:pt idx="13">
                  <c:v>65.691306271885921</c:v>
                </c:pt>
                <c:pt idx="14">
                  <c:v>66.42295811319066</c:v>
                </c:pt>
                <c:pt idx="15">
                  <c:v>67.233665432651577</c:v>
                </c:pt>
                <c:pt idx="16">
                  <c:v>65.36315035151236</c:v>
                </c:pt>
                <c:pt idx="17">
                  <c:v>65.69910450640883</c:v>
                </c:pt>
                <c:pt idx="18">
                  <c:v>64.295487386955557</c:v>
                </c:pt>
                <c:pt idx="19">
                  <c:v>64.304298917673421</c:v>
                </c:pt>
                <c:pt idx="20">
                  <c:v>63.722217464310035</c:v>
                </c:pt>
                <c:pt idx="21">
                  <c:v>65.45709355521754</c:v>
                </c:pt>
                <c:pt idx="22">
                  <c:v>63.620990102687934</c:v>
                </c:pt>
                <c:pt idx="23">
                  <c:v>63.531913450137523</c:v>
                </c:pt>
                <c:pt idx="24">
                  <c:v>62.661660307058611</c:v>
                </c:pt>
                <c:pt idx="25">
                  <c:v>61.125850762316517</c:v>
                </c:pt>
                <c:pt idx="26">
                  <c:v>60.49969079907622</c:v>
                </c:pt>
                <c:pt idx="27">
                  <c:v>59.917177453307104</c:v>
                </c:pt>
                <c:pt idx="28">
                  <c:v>60.88203489577878</c:v>
                </c:pt>
                <c:pt idx="29">
                  <c:v>61.400450287983269</c:v>
                </c:pt>
                <c:pt idx="30">
                  <c:v>59.87650739818973</c:v>
                </c:pt>
                <c:pt idx="31">
                  <c:v>60.90940481144245</c:v>
                </c:pt>
                <c:pt idx="32">
                  <c:v>59.886968759926212</c:v>
                </c:pt>
                <c:pt idx="33">
                  <c:v>58.394589967858131</c:v>
                </c:pt>
                <c:pt idx="34">
                  <c:v>57.860734515637034</c:v>
                </c:pt>
                <c:pt idx="35">
                  <c:v>56.674568598442541</c:v>
                </c:pt>
                <c:pt idx="36">
                  <c:v>58.031433028825653</c:v>
                </c:pt>
                <c:pt idx="37">
                  <c:v>57.807453598055204</c:v>
                </c:pt>
                <c:pt idx="38">
                  <c:v>57.406718227032194</c:v>
                </c:pt>
                <c:pt idx="39">
                  <c:v>60.548349223122344</c:v>
                </c:pt>
                <c:pt idx="40">
                  <c:v>61.313168991824114</c:v>
                </c:pt>
                <c:pt idx="41">
                  <c:v>63.099345917071389</c:v>
                </c:pt>
                <c:pt idx="42">
                  <c:v>62.033954071211149</c:v>
                </c:pt>
                <c:pt idx="43">
                  <c:v>61.035902589045897</c:v>
                </c:pt>
                <c:pt idx="44">
                  <c:v>61.140735288078289</c:v>
                </c:pt>
                <c:pt idx="45">
                  <c:v>62.071893192226689</c:v>
                </c:pt>
                <c:pt idx="46">
                  <c:v>60.773418847100729</c:v>
                </c:pt>
                <c:pt idx="47">
                  <c:v>60.847502018321237</c:v>
                </c:pt>
                <c:pt idx="48">
                  <c:v>62.241313026058364</c:v>
                </c:pt>
                <c:pt idx="49">
                  <c:v>62.582000903787346</c:v>
                </c:pt>
                <c:pt idx="50">
                  <c:v>64.83761327884919</c:v>
                </c:pt>
                <c:pt idx="51">
                  <c:v>64.021497391460628</c:v>
                </c:pt>
                <c:pt idx="52">
                  <c:v>63.567904802044396</c:v>
                </c:pt>
                <c:pt idx="53">
                  <c:v>63.811261692495044</c:v>
                </c:pt>
                <c:pt idx="54">
                  <c:v>63.432769585757583</c:v>
                </c:pt>
                <c:pt idx="55">
                  <c:v>63.309472107973477</c:v>
                </c:pt>
                <c:pt idx="56">
                  <c:v>61.700141350172672</c:v>
                </c:pt>
                <c:pt idx="57">
                  <c:v>61.110312133176215</c:v>
                </c:pt>
                <c:pt idx="58">
                  <c:v>61.789247966449516</c:v>
                </c:pt>
                <c:pt idx="59">
                  <c:v>61.649929717095731</c:v>
                </c:pt>
                <c:pt idx="60">
                  <c:v>61.763955374936501</c:v>
                </c:pt>
                <c:pt idx="61">
                  <c:v>59.947794560574174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5A39-4566-8EE6-6D0A89D219EA}"/>
            </c:ext>
          </c:extLst>
        </c:ser>
        <c:ser>
          <c:idx val="76"/>
          <c:order val="75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Carlo'!$E$77:$BN$77</c:f>
              <c:numCache>
                <c:formatCode>General</c:formatCode>
                <c:ptCount val="62"/>
                <c:pt idx="1">
                  <c:v>60.99</c:v>
                </c:pt>
                <c:pt idx="2">
                  <c:v>61.874043567046812</c:v>
                </c:pt>
                <c:pt idx="3">
                  <c:v>62.921289662398564</c:v>
                </c:pt>
                <c:pt idx="4">
                  <c:v>63.522122604347402</c:v>
                </c:pt>
                <c:pt idx="5">
                  <c:v>64.274860876148836</c:v>
                </c:pt>
                <c:pt idx="6">
                  <c:v>63.112916094346382</c:v>
                </c:pt>
                <c:pt idx="7">
                  <c:v>60.767097783581846</c:v>
                </c:pt>
                <c:pt idx="8">
                  <c:v>61.762304209014864</c:v>
                </c:pt>
                <c:pt idx="9">
                  <c:v>60.307765083368054</c:v>
                </c:pt>
                <c:pt idx="10">
                  <c:v>59.490239735742094</c:v>
                </c:pt>
                <c:pt idx="11">
                  <c:v>58.626025003298302</c:v>
                </c:pt>
                <c:pt idx="12">
                  <c:v>58.052808673973537</c:v>
                </c:pt>
                <c:pt idx="13">
                  <c:v>55.209056003517794</c:v>
                </c:pt>
                <c:pt idx="14">
                  <c:v>55.637609499298115</c:v>
                </c:pt>
                <c:pt idx="15">
                  <c:v>57.8081318918656</c:v>
                </c:pt>
                <c:pt idx="16">
                  <c:v>56.477384317429284</c:v>
                </c:pt>
                <c:pt idx="17">
                  <c:v>58.309297438430043</c:v>
                </c:pt>
                <c:pt idx="18">
                  <c:v>59.647455031552681</c:v>
                </c:pt>
                <c:pt idx="19">
                  <c:v>60.627832748051503</c:v>
                </c:pt>
                <c:pt idx="20">
                  <c:v>59.81209902504591</c:v>
                </c:pt>
                <c:pt idx="21">
                  <c:v>61.791478527037178</c:v>
                </c:pt>
                <c:pt idx="22">
                  <c:v>61.789156969137359</c:v>
                </c:pt>
                <c:pt idx="23">
                  <c:v>62.633932578047784</c:v>
                </c:pt>
                <c:pt idx="24">
                  <c:v>63.087517846959344</c:v>
                </c:pt>
                <c:pt idx="25">
                  <c:v>64.751939374616953</c:v>
                </c:pt>
                <c:pt idx="26">
                  <c:v>63.148653760775787</c:v>
                </c:pt>
                <c:pt idx="27">
                  <c:v>62.966938812149458</c:v>
                </c:pt>
                <c:pt idx="28">
                  <c:v>62.544495027495266</c:v>
                </c:pt>
                <c:pt idx="29">
                  <c:v>61.902322914299177</c:v>
                </c:pt>
                <c:pt idx="30">
                  <c:v>62.887629069269941</c:v>
                </c:pt>
                <c:pt idx="31">
                  <c:v>64.409129586518887</c:v>
                </c:pt>
                <c:pt idx="32">
                  <c:v>62.364910949417116</c:v>
                </c:pt>
                <c:pt idx="33">
                  <c:v>59.591170601030264</c:v>
                </c:pt>
                <c:pt idx="34">
                  <c:v>58.197122362847587</c:v>
                </c:pt>
                <c:pt idx="35">
                  <c:v>59.313208182348639</c:v>
                </c:pt>
                <c:pt idx="36">
                  <c:v>58.479661757381606</c:v>
                </c:pt>
                <c:pt idx="37">
                  <c:v>60.533138703460565</c:v>
                </c:pt>
                <c:pt idx="38">
                  <c:v>63.147317447561257</c:v>
                </c:pt>
                <c:pt idx="39">
                  <c:v>64.054162882387999</c:v>
                </c:pt>
                <c:pt idx="40">
                  <c:v>64.88867480292231</c:v>
                </c:pt>
                <c:pt idx="41">
                  <c:v>64.433558039009682</c:v>
                </c:pt>
                <c:pt idx="42">
                  <c:v>65.14045592961412</c:v>
                </c:pt>
                <c:pt idx="43">
                  <c:v>65.522475452488294</c:v>
                </c:pt>
                <c:pt idx="44">
                  <c:v>64.969897208697319</c:v>
                </c:pt>
                <c:pt idx="45">
                  <c:v>65.536637442229861</c:v>
                </c:pt>
                <c:pt idx="46">
                  <c:v>65.409226335189516</c:v>
                </c:pt>
                <c:pt idx="47">
                  <c:v>66.617536517146789</c:v>
                </c:pt>
                <c:pt idx="48">
                  <c:v>67.084342109242527</c:v>
                </c:pt>
                <c:pt idx="49">
                  <c:v>67.11098849089413</c:v>
                </c:pt>
                <c:pt idx="50">
                  <c:v>67.265966684890159</c:v>
                </c:pt>
                <c:pt idx="51">
                  <c:v>70.129137790322844</c:v>
                </c:pt>
                <c:pt idx="52">
                  <c:v>70.805775279496473</c:v>
                </c:pt>
                <c:pt idx="53">
                  <c:v>73.266602258147202</c:v>
                </c:pt>
                <c:pt idx="54">
                  <c:v>73.494773237170833</c:v>
                </c:pt>
                <c:pt idx="55">
                  <c:v>75.199790688817487</c:v>
                </c:pt>
                <c:pt idx="56">
                  <c:v>74.034667773243015</c:v>
                </c:pt>
                <c:pt idx="57">
                  <c:v>75.547486988207609</c:v>
                </c:pt>
                <c:pt idx="58">
                  <c:v>75.684768851943289</c:v>
                </c:pt>
                <c:pt idx="59">
                  <c:v>77.736851758134534</c:v>
                </c:pt>
                <c:pt idx="60">
                  <c:v>78.679716983211833</c:v>
                </c:pt>
                <c:pt idx="61">
                  <c:v>78.028716125267181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5A39-4566-8EE6-6D0A89D219EA}"/>
            </c:ext>
          </c:extLst>
        </c:ser>
        <c:ser>
          <c:idx val="77"/>
          <c:order val="76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Carlo'!$E$78:$BN$78</c:f>
              <c:numCache>
                <c:formatCode>General</c:formatCode>
                <c:ptCount val="62"/>
                <c:pt idx="1">
                  <c:v>60.99</c:v>
                </c:pt>
                <c:pt idx="2">
                  <c:v>59.769580675221995</c:v>
                </c:pt>
                <c:pt idx="3">
                  <c:v>59.738169982031224</c:v>
                </c:pt>
                <c:pt idx="4">
                  <c:v>61.760723952398514</c:v>
                </c:pt>
                <c:pt idx="5">
                  <c:v>60.858070403019909</c:v>
                </c:pt>
                <c:pt idx="6">
                  <c:v>60.2987682790421</c:v>
                </c:pt>
                <c:pt idx="7">
                  <c:v>61.4224743838111</c:v>
                </c:pt>
                <c:pt idx="8">
                  <c:v>62.949643108475264</c:v>
                </c:pt>
                <c:pt idx="9">
                  <c:v>63.545770604189272</c:v>
                </c:pt>
                <c:pt idx="10">
                  <c:v>64.026628671661285</c:v>
                </c:pt>
                <c:pt idx="11">
                  <c:v>62.540660559163626</c:v>
                </c:pt>
                <c:pt idx="12">
                  <c:v>61.662124428798464</c:v>
                </c:pt>
                <c:pt idx="13">
                  <c:v>62.698025715366214</c:v>
                </c:pt>
                <c:pt idx="14">
                  <c:v>61.800244135705206</c:v>
                </c:pt>
                <c:pt idx="15">
                  <c:v>61.360345217796443</c:v>
                </c:pt>
                <c:pt idx="16">
                  <c:v>61.101863199950181</c:v>
                </c:pt>
                <c:pt idx="17">
                  <c:v>60.780686813465529</c:v>
                </c:pt>
                <c:pt idx="18">
                  <c:v>62.048749761638113</c:v>
                </c:pt>
                <c:pt idx="19">
                  <c:v>64.534417001469478</c:v>
                </c:pt>
                <c:pt idx="20">
                  <c:v>64.374942543503892</c:v>
                </c:pt>
                <c:pt idx="21">
                  <c:v>64.282862659645559</c:v>
                </c:pt>
                <c:pt idx="22">
                  <c:v>63.047162371214817</c:v>
                </c:pt>
                <c:pt idx="23">
                  <c:v>62.81328494974953</c:v>
                </c:pt>
                <c:pt idx="24">
                  <c:v>62.75340376102654</c:v>
                </c:pt>
                <c:pt idx="25">
                  <c:v>61.697670701886203</c:v>
                </c:pt>
                <c:pt idx="26">
                  <c:v>63.685395435574407</c:v>
                </c:pt>
                <c:pt idx="27">
                  <c:v>61.931649154055961</c:v>
                </c:pt>
                <c:pt idx="28">
                  <c:v>61.733501145219201</c:v>
                </c:pt>
                <c:pt idx="29">
                  <c:v>61.25373005265272</c:v>
                </c:pt>
                <c:pt idx="30">
                  <c:v>59.608852648852512</c:v>
                </c:pt>
                <c:pt idx="31">
                  <c:v>60.415952503545988</c:v>
                </c:pt>
                <c:pt idx="32">
                  <c:v>59.062432499737859</c:v>
                </c:pt>
                <c:pt idx="33">
                  <c:v>57.861839108447427</c:v>
                </c:pt>
                <c:pt idx="34">
                  <c:v>59.280799047836481</c:v>
                </c:pt>
                <c:pt idx="35">
                  <c:v>60.018574177489612</c:v>
                </c:pt>
                <c:pt idx="36">
                  <c:v>60.143742065413932</c:v>
                </c:pt>
                <c:pt idx="37">
                  <c:v>60.294757603742987</c:v>
                </c:pt>
                <c:pt idx="38">
                  <c:v>60.859594297273212</c:v>
                </c:pt>
                <c:pt idx="39">
                  <c:v>62.344404298824635</c:v>
                </c:pt>
                <c:pt idx="40">
                  <c:v>62.328681528245539</c:v>
                </c:pt>
                <c:pt idx="41">
                  <c:v>62.545164646853223</c:v>
                </c:pt>
                <c:pt idx="42">
                  <c:v>63.194600313539027</c:v>
                </c:pt>
                <c:pt idx="43">
                  <c:v>61.460968646284186</c:v>
                </c:pt>
                <c:pt idx="44">
                  <c:v>60.673631676287734</c:v>
                </c:pt>
                <c:pt idx="45">
                  <c:v>61.034913203586846</c:v>
                </c:pt>
                <c:pt idx="46">
                  <c:v>60.501288721180941</c:v>
                </c:pt>
                <c:pt idx="47">
                  <c:v>58.511093127909064</c:v>
                </c:pt>
                <c:pt idx="48">
                  <c:v>59.598048260563296</c:v>
                </c:pt>
                <c:pt idx="49">
                  <c:v>58.302640180819338</c:v>
                </c:pt>
                <c:pt idx="50">
                  <c:v>56.477442388974815</c:v>
                </c:pt>
                <c:pt idx="51">
                  <c:v>56.663270472153478</c:v>
                </c:pt>
                <c:pt idx="52">
                  <c:v>57.228813010968992</c:v>
                </c:pt>
                <c:pt idx="53">
                  <c:v>56.859713501642524</c:v>
                </c:pt>
                <c:pt idx="54">
                  <c:v>57.352672297353635</c:v>
                </c:pt>
                <c:pt idx="55">
                  <c:v>55.703091395725586</c:v>
                </c:pt>
                <c:pt idx="56">
                  <c:v>56.230675035220393</c:v>
                </c:pt>
                <c:pt idx="57">
                  <c:v>56.205566007257495</c:v>
                </c:pt>
                <c:pt idx="58">
                  <c:v>54.650035274772186</c:v>
                </c:pt>
                <c:pt idx="59">
                  <c:v>56.464548335122451</c:v>
                </c:pt>
                <c:pt idx="60">
                  <c:v>56.920643755287081</c:v>
                </c:pt>
                <c:pt idx="61">
                  <c:v>56.653357215541632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5A39-4566-8EE6-6D0A89D219EA}"/>
            </c:ext>
          </c:extLst>
        </c:ser>
        <c:ser>
          <c:idx val="78"/>
          <c:order val="77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Carlo'!$E$79:$BN$79</c:f>
              <c:numCache>
                <c:formatCode>General</c:formatCode>
                <c:ptCount val="62"/>
                <c:pt idx="1">
                  <c:v>60.99</c:v>
                </c:pt>
                <c:pt idx="2">
                  <c:v>60.949074446917543</c:v>
                </c:pt>
                <c:pt idx="3">
                  <c:v>60.13191867924025</c:v>
                </c:pt>
                <c:pt idx="4">
                  <c:v>59.841816348205079</c:v>
                </c:pt>
                <c:pt idx="5">
                  <c:v>61.621831520913403</c:v>
                </c:pt>
                <c:pt idx="6">
                  <c:v>61.870802024386776</c:v>
                </c:pt>
                <c:pt idx="7">
                  <c:v>61.725912157413219</c:v>
                </c:pt>
                <c:pt idx="8">
                  <c:v>62.55055523927745</c:v>
                </c:pt>
                <c:pt idx="9">
                  <c:v>62.500590536799372</c:v>
                </c:pt>
                <c:pt idx="10">
                  <c:v>62.655319074548387</c:v>
                </c:pt>
                <c:pt idx="11">
                  <c:v>61.477217537337538</c:v>
                </c:pt>
                <c:pt idx="12">
                  <c:v>62.586011182096669</c:v>
                </c:pt>
                <c:pt idx="13">
                  <c:v>61.8889958254235</c:v>
                </c:pt>
                <c:pt idx="14">
                  <c:v>63.105087431385833</c:v>
                </c:pt>
                <c:pt idx="15">
                  <c:v>62.807355095399195</c:v>
                </c:pt>
                <c:pt idx="16">
                  <c:v>61.046252526339735</c:v>
                </c:pt>
                <c:pt idx="17">
                  <c:v>61.831775239436283</c:v>
                </c:pt>
                <c:pt idx="18">
                  <c:v>62.417696017928691</c:v>
                </c:pt>
                <c:pt idx="19">
                  <c:v>63.044630715891223</c:v>
                </c:pt>
                <c:pt idx="20">
                  <c:v>63.056060919075136</c:v>
                </c:pt>
                <c:pt idx="21">
                  <c:v>62.475862271355659</c:v>
                </c:pt>
                <c:pt idx="22">
                  <c:v>62.499727894175102</c:v>
                </c:pt>
                <c:pt idx="23">
                  <c:v>61.817563975648689</c:v>
                </c:pt>
                <c:pt idx="24">
                  <c:v>64.119255696059525</c:v>
                </c:pt>
                <c:pt idx="25">
                  <c:v>64.579502937808911</c:v>
                </c:pt>
                <c:pt idx="26">
                  <c:v>65.841255844851446</c:v>
                </c:pt>
                <c:pt idx="27">
                  <c:v>65.42004457056882</c:v>
                </c:pt>
                <c:pt idx="28">
                  <c:v>66.570216816762212</c:v>
                </c:pt>
                <c:pt idx="29">
                  <c:v>64.953831999802375</c:v>
                </c:pt>
                <c:pt idx="30">
                  <c:v>64.631077436226605</c:v>
                </c:pt>
                <c:pt idx="31">
                  <c:v>64.75536260988784</c:v>
                </c:pt>
                <c:pt idx="32">
                  <c:v>65.495870029243179</c:v>
                </c:pt>
                <c:pt idx="33">
                  <c:v>65.959223978903168</c:v>
                </c:pt>
                <c:pt idx="34">
                  <c:v>66.793121568424183</c:v>
                </c:pt>
                <c:pt idx="35">
                  <c:v>66.669969066697078</c:v>
                </c:pt>
                <c:pt idx="36">
                  <c:v>66.902368866974342</c:v>
                </c:pt>
                <c:pt idx="37">
                  <c:v>66.914660518989621</c:v>
                </c:pt>
                <c:pt idx="38">
                  <c:v>69.044650867428459</c:v>
                </c:pt>
                <c:pt idx="39">
                  <c:v>68.531183675727291</c:v>
                </c:pt>
                <c:pt idx="40">
                  <c:v>68.724425639806057</c:v>
                </c:pt>
                <c:pt idx="41">
                  <c:v>66.831905733929119</c:v>
                </c:pt>
                <c:pt idx="42">
                  <c:v>69.576332340131486</c:v>
                </c:pt>
                <c:pt idx="43">
                  <c:v>68.101955238331769</c:v>
                </c:pt>
                <c:pt idx="44">
                  <c:v>68.126930472988334</c:v>
                </c:pt>
                <c:pt idx="45">
                  <c:v>67.463307773191332</c:v>
                </c:pt>
                <c:pt idx="46">
                  <c:v>66.934888320527378</c:v>
                </c:pt>
                <c:pt idx="47">
                  <c:v>67.786221831330124</c:v>
                </c:pt>
                <c:pt idx="48">
                  <c:v>66.705191935228214</c:v>
                </c:pt>
                <c:pt idx="49">
                  <c:v>66.399956206536913</c:v>
                </c:pt>
                <c:pt idx="50">
                  <c:v>66.949152012821557</c:v>
                </c:pt>
                <c:pt idx="51">
                  <c:v>66.869849621534158</c:v>
                </c:pt>
                <c:pt idx="52">
                  <c:v>66.098633379784886</c:v>
                </c:pt>
                <c:pt idx="53">
                  <c:v>65.78021107584928</c:v>
                </c:pt>
                <c:pt idx="54">
                  <c:v>65.034196102458637</c:v>
                </c:pt>
                <c:pt idx="55">
                  <c:v>65.049283820480298</c:v>
                </c:pt>
                <c:pt idx="56">
                  <c:v>68.010902106326483</c:v>
                </c:pt>
                <c:pt idx="57">
                  <c:v>68.773931719355545</c:v>
                </c:pt>
                <c:pt idx="58">
                  <c:v>68.813235284225826</c:v>
                </c:pt>
                <c:pt idx="59">
                  <c:v>66.162604818134184</c:v>
                </c:pt>
                <c:pt idx="60">
                  <c:v>65.749622210437153</c:v>
                </c:pt>
                <c:pt idx="61">
                  <c:v>65.728629493748699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5A39-4566-8EE6-6D0A89D219EA}"/>
            </c:ext>
          </c:extLst>
        </c:ser>
        <c:ser>
          <c:idx val="79"/>
          <c:order val="78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Carlo'!$E$80:$BN$80</c:f>
              <c:numCache>
                <c:formatCode>General</c:formatCode>
                <c:ptCount val="62"/>
                <c:pt idx="1">
                  <c:v>60.99</c:v>
                </c:pt>
                <c:pt idx="2">
                  <c:v>61.594242507113144</c:v>
                </c:pt>
                <c:pt idx="3">
                  <c:v>63.484083747770256</c:v>
                </c:pt>
                <c:pt idx="4">
                  <c:v>61.633956767209625</c:v>
                </c:pt>
                <c:pt idx="5">
                  <c:v>62.050410506563061</c:v>
                </c:pt>
                <c:pt idx="6">
                  <c:v>60.932752665611716</c:v>
                </c:pt>
                <c:pt idx="7">
                  <c:v>60.480003238713174</c:v>
                </c:pt>
                <c:pt idx="8">
                  <c:v>60.63531604711045</c:v>
                </c:pt>
                <c:pt idx="9">
                  <c:v>60.943060919897341</c:v>
                </c:pt>
                <c:pt idx="10">
                  <c:v>62.015194639669154</c:v>
                </c:pt>
                <c:pt idx="11">
                  <c:v>61.707448713969143</c:v>
                </c:pt>
                <c:pt idx="12">
                  <c:v>60.565580180924471</c:v>
                </c:pt>
                <c:pt idx="13">
                  <c:v>62.226247776030078</c:v>
                </c:pt>
                <c:pt idx="14">
                  <c:v>63.777714106375413</c:v>
                </c:pt>
                <c:pt idx="15">
                  <c:v>64.067417412801618</c:v>
                </c:pt>
                <c:pt idx="16">
                  <c:v>62.996729215108594</c:v>
                </c:pt>
                <c:pt idx="17">
                  <c:v>64.768545616262543</c:v>
                </c:pt>
                <c:pt idx="18">
                  <c:v>66.005350642203908</c:v>
                </c:pt>
                <c:pt idx="19">
                  <c:v>65.894900118874617</c:v>
                </c:pt>
                <c:pt idx="20">
                  <c:v>64.819008437044431</c:v>
                </c:pt>
                <c:pt idx="21">
                  <c:v>63.655563165973554</c:v>
                </c:pt>
                <c:pt idx="22">
                  <c:v>63.695731608035722</c:v>
                </c:pt>
                <c:pt idx="23">
                  <c:v>63.748182282865343</c:v>
                </c:pt>
                <c:pt idx="24">
                  <c:v>63.040072188585768</c:v>
                </c:pt>
                <c:pt idx="25">
                  <c:v>62.699821246228971</c:v>
                </c:pt>
                <c:pt idx="26">
                  <c:v>63.756867152315188</c:v>
                </c:pt>
                <c:pt idx="27">
                  <c:v>65.329735133103469</c:v>
                </c:pt>
                <c:pt idx="28">
                  <c:v>66.185701619017593</c:v>
                </c:pt>
                <c:pt idx="29">
                  <c:v>65.597512555135097</c:v>
                </c:pt>
                <c:pt idx="30">
                  <c:v>67.453475194610391</c:v>
                </c:pt>
                <c:pt idx="31">
                  <c:v>66.555688429902673</c:v>
                </c:pt>
                <c:pt idx="32">
                  <c:v>66.082021498513768</c:v>
                </c:pt>
                <c:pt idx="33">
                  <c:v>64.624020072797393</c:v>
                </c:pt>
                <c:pt idx="34">
                  <c:v>65.427990879829039</c:v>
                </c:pt>
                <c:pt idx="35">
                  <c:v>65.317852116596328</c:v>
                </c:pt>
                <c:pt idx="36">
                  <c:v>65.387882030519322</c:v>
                </c:pt>
                <c:pt idx="37">
                  <c:v>66.878076152924052</c:v>
                </c:pt>
                <c:pt idx="38">
                  <c:v>67.435944701705765</c:v>
                </c:pt>
                <c:pt idx="39">
                  <c:v>67.264330765716508</c:v>
                </c:pt>
                <c:pt idx="40">
                  <c:v>68.362360738044288</c:v>
                </c:pt>
                <c:pt idx="41">
                  <c:v>69.042001106976912</c:v>
                </c:pt>
                <c:pt idx="42">
                  <c:v>69.317955399018686</c:v>
                </c:pt>
                <c:pt idx="43">
                  <c:v>68.783466502475633</c:v>
                </c:pt>
                <c:pt idx="44">
                  <c:v>69.948243504089845</c:v>
                </c:pt>
                <c:pt idx="45">
                  <c:v>71.465907304302917</c:v>
                </c:pt>
                <c:pt idx="46">
                  <c:v>71.616159097866699</c:v>
                </c:pt>
                <c:pt idx="47">
                  <c:v>70.141207288135149</c:v>
                </c:pt>
                <c:pt idx="48">
                  <c:v>68.499872186600925</c:v>
                </c:pt>
                <c:pt idx="49">
                  <c:v>66.005350664722656</c:v>
                </c:pt>
                <c:pt idx="50">
                  <c:v>66.139854513020396</c:v>
                </c:pt>
                <c:pt idx="51">
                  <c:v>66.853564772404113</c:v>
                </c:pt>
                <c:pt idx="52">
                  <c:v>67.350343419562805</c:v>
                </c:pt>
                <c:pt idx="53">
                  <c:v>66.097761767367714</c:v>
                </c:pt>
                <c:pt idx="54">
                  <c:v>67.058367733981058</c:v>
                </c:pt>
                <c:pt idx="55">
                  <c:v>66.967027007727992</c:v>
                </c:pt>
                <c:pt idx="56">
                  <c:v>68.058858997364112</c:v>
                </c:pt>
                <c:pt idx="57">
                  <c:v>68.743623629432193</c:v>
                </c:pt>
                <c:pt idx="58">
                  <c:v>67.921660424213954</c:v>
                </c:pt>
                <c:pt idx="59">
                  <c:v>69.120712994963526</c:v>
                </c:pt>
                <c:pt idx="60">
                  <c:v>69.021860375409943</c:v>
                </c:pt>
                <c:pt idx="61">
                  <c:v>68.547971196201786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5A39-4566-8EE6-6D0A89D219EA}"/>
            </c:ext>
          </c:extLst>
        </c:ser>
        <c:ser>
          <c:idx val="80"/>
          <c:order val="79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Carlo'!$E$81:$BN$81</c:f>
              <c:numCache>
                <c:formatCode>General</c:formatCode>
                <c:ptCount val="62"/>
                <c:pt idx="1">
                  <c:v>60.99</c:v>
                </c:pt>
                <c:pt idx="2">
                  <c:v>60.456498917791073</c:v>
                </c:pt>
                <c:pt idx="3">
                  <c:v>61.579345242445214</c:v>
                </c:pt>
                <c:pt idx="4">
                  <c:v>61.041568492052221</c:v>
                </c:pt>
                <c:pt idx="5">
                  <c:v>61.346579724656237</c:v>
                </c:pt>
                <c:pt idx="6">
                  <c:v>60.316433851614782</c:v>
                </c:pt>
                <c:pt idx="7">
                  <c:v>58.93790919549734</c:v>
                </c:pt>
                <c:pt idx="8">
                  <c:v>57.805248958727084</c:v>
                </c:pt>
                <c:pt idx="9">
                  <c:v>57.658208785447762</c:v>
                </c:pt>
                <c:pt idx="10">
                  <c:v>56.926889871562764</c:v>
                </c:pt>
                <c:pt idx="11">
                  <c:v>57.093222032379003</c:v>
                </c:pt>
                <c:pt idx="12">
                  <c:v>56.898617456131056</c:v>
                </c:pt>
                <c:pt idx="13">
                  <c:v>57.730667511434625</c:v>
                </c:pt>
                <c:pt idx="14">
                  <c:v>58.68454599615486</c:v>
                </c:pt>
                <c:pt idx="15">
                  <c:v>60.249916036702153</c:v>
                </c:pt>
                <c:pt idx="16">
                  <c:v>61.5749924499274</c:v>
                </c:pt>
                <c:pt idx="17">
                  <c:v>61.195379233568566</c:v>
                </c:pt>
                <c:pt idx="18">
                  <c:v>59.608739728081417</c:v>
                </c:pt>
                <c:pt idx="19">
                  <c:v>60.735154227120169</c:v>
                </c:pt>
                <c:pt idx="20">
                  <c:v>60.111673314063189</c:v>
                </c:pt>
                <c:pt idx="21">
                  <c:v>62.297292934960247</c:v>
                </c:pt>
                <c:pt idx="22">
                  <c:v>64.589472761568771</c:v>
                </c:pt>
                <c:pt idx="23">
                  <c:v>66.222323008370836</c:v>
                </c:pt>
                <c:pt idx="24">
                  <c:v>66.910769505194082</c:v>
                </c:pt>
                <c:pt idx="25">
                  <c:v>65.218558494917417</c:v>
                </c:pt>
                <c:pt idx="26">
                  <c:v>64.638872487079851</c:v>
                </c:pt>
                <c:pt idx="27">
                  <c:v>66.643117794641512</c:v>
                </c:pt>
                <c:pt idx="28">
                  <c:v>67.889419425710116</c:v>
                </c:pt>
                <c:pt idx="29">
                  <c:v>69.386461441024935</c:v>
                </c:pt>
                <c:pt idx="30">
                  <c:v>69.68948605234732</c:v>
                </c:pt>
                <c:pt idx="31">
                  <c:v>69.448293138366409</c:v>
                </c:pt>
                <c:pt idx="32">
                  <c:v>72.778820514246206</c:v>
                </c:pt>
                <c:pt idx="33">
                  <c:v>70.994690614432201</c:v>
                </c:pt>
                <c:pt idx="34">
                  <c:v>70.43007079949021</c:v>
                </c:pt>
                <c:pt idx="35">
                  <c:v>69.966136476025071</c:v>
                </c:pt>
                <c:pt idx="36">
                  <c:v>68.879980807823983</c:v>
                </c:pt>
                <c:pt idx="37">
                  <c:v>66.387530196852026</c:v>
                </c:pt>
                <c:pt idx="38">
                  <c:v>65.782149371544449</c:v>
                </c:pt>
                <c:pt idx="39">
                  <c:v>63.82565195823971</c:v>
                </c:pt>
                <c:pt idx="40">
                  <c:v>65.816644498023294</c:v>
                </c:pt>
                <c:pt idx="41">
                  <c:v>64.5297381321339</c:v>
                </c:pt>
                <c:pt idx="42">
                  <c:v>64.042761172097499</c:v>
                </c:pt>
                <c:pt idx="43">
                  <c:v>65.846205594076039</c:v>
                </c:pt>
                <c:pt idx="44">
                  <c:v>65.975246203022778</c:v>
                </c:pt>
                <c:pt idx="45">
                  <c:v>64.973112045008662</c:v>
                </c:pt>
                <c:pt idx="46">
                  <c:v>65.211433631550776</c:v>
                </c:pt>
                <c:pt idx="47">
                  <c:v>64.64634979918948</c:v>
                </c:pt>
                <c:pt idx="48">
                  <c:v>65.146132151537671</c:v>
                </c:pt>
                <c:pt idx="49">
                  <c:v>65.405075505682646</c:v>
                </c:pt>
                <c:pt idx="50">
                  <c:v>66.895634810121152</c:v>
                </c:pt>
                <c:pt idx="51">
                  <c:v>64.540615597374156</c:v>
                </c:pt>
                <c:pt idx="52">
                  <c:v>63.554401385317071</c:v>
                </c:pt>
                <c:pt idx="53">
                  <c:v>62.530081442056883</c:v>
                </c:pt>
                <c:pt idx="54">
                  <c:v>61.974975836360677</c:v>
                </c:pt>
                <c:pt idx="55">
                  <c:v>60.434792695092561</c:v>
                </c:pt>
                <c:pt idx="56">
                  <c:v>60.308408419671757</c:v>
                </c:pt>
                <c:pt idx="57">
                  <c:v>60.95356926125843</c:v>
                </c:pt>
                <c:pt idx="58">
                  <c:v>61.339110351531048</c:v>
                </c:pt>
                <c:pt idx="59">
                  <c:v>62.465626748000929</c:v>
                </c:pt>
                <c:pt idx="60">
                  <c:v>62.174892156392772</c:v>
                </c:pt>
                <c:pt idx="61">
                  <c:v>61.929912177470499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5A39-4566-8EE6-6D0A89D219EA}"/>
            </c:ext>
          </c:extLst>
        </c:ser>
        <c:ser>
          <c:idx val="81"/>
          <c:order val="80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Carlo'!$E$82:$BN$82</c:f>
              <c:numCache>
                <c:formatCode>General</c:formatCode>
                <c:ptCount val="62"/>
                <c:pt idx="1">
                  <c:v>60.99</c:v>
                </c:pt>
                <c:pt idx="2">
                  <c:v>61.545169391477998</c:v>
                </c:pt>
                <c:pt idx="3">
                  <c:v>62.587684128259504</c:v>
                </c:pt>
                <c:pt idx="4">
                  <c:v>61.457903410158458</c:v>
                </c:pt>
                <c:pt idx="5">
                  <c:v>64.23150102673678</c:v>
                </c:pt>
                <c:pt idx="6">
                  <c:v>65.650977321045104</c:v>
                </c:pt>
                <c:pt idx="7">
                  <c:v>64.026628640699712</c:v>
                </c:pt>
                <c:pt idx="8">
                  <c:v>65.88933615686966</c:v>
                </c:pt>
                <c:pt idx="9">
                  <c:v>65.9095480794916</c:v>
                </c:pt>
                <c:pt idx="10">
                  <c:v>65.313005992187215</c:v>
                </c:pt>
                <c:pt idx="11">
                  <c:v>65.662218379461009</c:v>
                </c:pt>
                <c:pt idx="12">
                  <c:v>64.824173628154497</c:v>
                </c:pt>
                <c:pt idx="13">
                  <c:v>65.424284342507192</c:v>
                </c:pt>
                <c:pt idx="14">
                  <c:v>67.276066935648331</c:v>
                </c:pt>
                <c:pt idx="15">
                  <c:v>65.983925499597504</c:v>
                </c:pt>
                <c:pt idx="16">
                  <c:v>65.221361311500914</c:v>
                </c:pt>
                <c:pt idx="17">
                  <c:v>66.327416900419209</c:v>
                </c:pt>
                <c:pt idx="18">
                  <c:v>66.556428111884898</c:v>
                </c:pt>
                <c:pt idx="19">
                  <c:v>67.585805294203553</c:v>
                </c:pt>
                <c:pt idx="20">
                  <c:v>67.701661930442597</c:v>
                </c:pt>
                <c:pt idx="21">
                  <c:v>65.88757260324347</c:v>
                </c:pt>
                <c:pt idx="22">
                  <c:v>67.788131742952544</c:v>
                </c:pt>
                <c:pt idx="23">
                  <c:v>68.368840030655534</c:v>
                </c:pt>
                <c:pt idx="24">
                  <c:v>65.754955207827436</c:v>
                </c:pt>
                <c:pt idx="25">
                  <c:v>64.603899912074041</c:v>
                </c:pt>
                <c:pt idx="26">
                  <c:v>64.48922927090193</c:v>
                </c:pt>
                <c:pt idx="27">
                  <c:v>63.715191969178321</c:v>
                </c:pt>
                <c:pt idx="28">
                  <c:v>62.437601072069178</c:v>
                </c:pt>
                <c:pt idx="29">
                  <c:v>62.092606159488433</c:v>
                </c:pt>
                <c:pt idx="30">
                  <c:v>61.472683079097642</c:v>
                </c:pt>
                <c:pt idx="31">
                  <c:v>62.797448557112659</c:v>
                </c:pt>
                <c:pt idx="32">
                  <c:v>63.515364672715826</c:v>
                </c:pt>
                <c:pt idx="33">
                  <c:v>61.446735767497799</c:v>
                </c:pt>
                <c:pt idx="34">
                  <c:v>60.284751911056574</c:v>
                </c:pt>
                <c:pt idx="35">
                  <c:v>60.891462821409867</c:v>
                </c:pt>
                <c:pt idx="36">
                  <c:v>63.40055247496943</c:v>
                </c:pt>
                <c:pt idx="37">
                  <c:v>61.381117168884614</c:v>
                </c:pt>
                <c:pt idx="38">
                  <c:v>62.755132427587</c:v>
                </c:pt>
                <c:pt idx="39">
                  <c:v>62.655633315017973</c:v>
                </c:pt>
                <c:pt idx="40">
                  <c:v>63.560132914277951</c:v>
                </c:pt>
                <c:pt idx="41">
                  <c:v>64.378101954824473</c:v>
                </c:pt>
                <c:pt idx="42">
                  <c:v>64.763341007704071</c:v>
                </c:pt>
                <c:pt idx="43">
                  <c:v>65.226220890562473</c:v>
                </c:pt>
                <c:pt idx="44">
                  <c:v>63.149158109197622</c:v>
                </c:pt>
                <c:pt idx="45">
                  <c:v>61.617770262348039</c:v>
                </c:pt>
                <c:pt idx="46">
                  <c:v>60.898481277453314</c:v>
                </c:pt>
                <c:pt idx="47">
                  <c:v>60.306595285678831</c:v>
                </c:pt>
                <c:pt idx="48">
                  <c:v>60.733489580310504</c:v>
                </c:pt>
                <c:pt idx="49">
                  <c:v>59.67864421440072</c:v>
                </c:pt>
                <c:pt idx="50">
                  <c:v>58.018401122755826</c:v>
                </c:pt>
                <c:pt idx="51">
                  <c:v>57.718732262046267</c:v>
                </c:pt>
                <c:pt idx="52">
                  <c:v>56.918466869141064</c:v>
                </c:pt>
                <c:pt idx="53">
                  <c:v>57.007874685882172</c:v>
                </c:pt>
                <c:pt idx="54">
                  <c:v>57.34467130394939</c:v>
                </c:pt>
                <c:pt idx="55">
                  <c:v>58.852354750451084</c:v>
                </c:pt>
                <c:pt idx="56">
                  <c:v>59.230496285611729</c:v>
                </c:pt>
                <c:pt idx="57">
                  <c:v>58.721554618025394</c:v>
                </c:pt>
                <c:pt idx="58">
                  <c:v>59.300800293140966</c:v>
                </c:pt>
                <c:pt idx="59">
                  <c:v>61.010268955417942</c:v>
                </c:pt>
                <c:pt idx="60">
                  <c:v>60.161154109639995</c:v>
                </c:pt>
                <c:pt idx="61">
                  <c:v>62.368963112825362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5A39-4566-8EE6-6D0A89D219EA}"/>
            </c:ext>
          </c:extLst>
        </c:ser>
        <c:ser>
          <c:idx val="82"/>
          <c:order val="81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Carlo'!$E$83:$BN$83</c:f>
              <c:numCache>
                <c:formatCode>General</c:formatCode>
                <c:ptCount val="62"/>
                <c:pt idx="1">
                  <c:v>60.99</c:v>
                </c:pt>
                <c:pt idx="2">
                  <c:v>60.53348956791119</c:v>
                </c:pt>
                <c:pt idx="3">
                  <c:v>62.420824147253242</c:v>
                </c:pt>
                <c:pt idx="4">
                  <c:v>60.967736733715832</c:v>
                </c:pt>
                <c:pt idx="5">
                  <c:v>63.525304503529107</c:v>
                </c:pt>
                <c:pt idx="6">
                  <c:v>65.087381324159338</c:v>
                </c:pt>
                <c:pt idx="7">
                  <c:v>65.241426473049827</c:v>
                </c:pt>
                <c:pt idx="8">
                  <c:v>64.952659484497062</c:v>
                </c:pt>
                <c:pt idx="9">
                  <c:v>65.141371536995393</c:v>
                </c:pt>
                <c:pt idx="10">
                  <c:v>65.928679012546439</c:v>
                </c:pt>
                <c:pt idx="11">
                  <c:v>66.422366409915995</c:v>
                </c:pt>
                <c:pt idx="12">
                  <c:v>68.589442465008318</c:v>
                </c:pt>
                <c:pt idx="13">
                  <c:v>66.254431222104742</c:v>
                </c:pt>
                <c:pt idx="14">
                  <c:v>66.17142927778788</c:v>
                </c:pt>
                <c:pt idx="15">
                  <c:v>65.536185976229135</c:v>
                </c:pt>
                <c:pt idx="16">
                  <c:v>67.49191526654586</c:v>
                </c:pt>
                <c:pt idx="17">
                  <c:v>65.922302575276703</c:v>
                </c:pt>
                <c:pt idx="18">
                  <c:v>65.211111103839897</c:v>
                </c:pt>
                <c:pt idx="19">
                  <c:v>65.397284094419334</c:v>
                </c:pt>
                <c:pt idx="20">
                  <c:v>65.703555516390651</c:v>
                </c:pt>
                <c:pt idx="21">
                  <c:v>65.829653239282905</c:v>
                </c:pt>
                <c:pt idx="22">
                  <c:v>65.824662423801499</c:v>
                </c:pt>
                <c:pt idx="23">
                  <c:v>65.814578198998035</c:v>
                </c:pt>
                <c:pt idx="24">
                  <c:v>64.997171483223468</c:v>
                </c:pt>
                <c:pt idx="25">
                  <c:v>64.477543010495893</c:v>
                </c:pt>
                <c:pt idx="26">
                  <c:v>63.452525867375918</c:v>
                </c:pt>
                <c:pt idx="27">
                  <c:v>62.457103232978433</c:v>
                </c:pt>
                <c:pt idx="28">
                  <c:v>60.1424367005067</c:v>
                </c:pt>
                <c:pt idx="29">
                  <c:v>58.747844960180416</c:v>
                </c:pt>
                <c:pt idx="30">
                  <c:v>60.330462092721142</c:v>
                </c:pt>
                <c:pt idx="31">
                  <c:v>62.778460609954791</c:v>
                </c:pt>
                <c:pt idx="32">
                  <c:v>63.619604846432217</c:v>
                </c:pt>
                <c:pt idx="33">
                  <c:v>63.308143027247979</c:v>
                </c:pt>
                <c:pt idx="34">
                  <c:v>61.676669596833506</c:v>
                </c:pt>
                <c:pt idx="35">
                  <c:v>62.502636041283289</c:v>
                </c:pt>
                <c:pt idx="36">
                  <c:v>62.365064001702365</c:v>
                </c:pt>
                <c:pt idx="37">
                  <c:v>64.043422497709841</c:v>
                </c:pt>
                <c:pt idx="38">
                  <c:v>65.795466438627415</c:v>
                </c:pt>
                <c:pt idx="39">
                  <c:v>66.04390150393796</c:v>
                </c:pt>
                <c:pt idx="40">
                  <c:v>67.280591389472633</c:v>
                </c:pt>
                <c:pt idx="41">
                  <c:v>65.506221203134658</c:v>
                </c:pt>
                <c:pt idx="42">
                  <c:v>66.687482377550111</c:v>
                </c:pt>
                <c:pt idx="43">
                  <c:v>65.770733278830093</c:v>
                </c:pt>
                <c:pt idx="44">
                  <c:v>65.656393147415841</c:v>
                </c:pt>
                <c:pt idx="45">
                  <c:v>64.989368474158468</c:v>
                </c:pt>
                <c:pt idx="46">
                  <c:v>64.507867019914997</c:v>
                </c:pt>
                <c:pt idx="47">
                  <c:v>64.011987341783041</c:v>
                </c:pt>
                <c:pt idx="48">
                  <c:v>65.141790748577975</c:v>
                </c:pt>
                <c:pt idx="49">
                  <c:v>65.40804213958269</c:v>
                </c:pt>
                <c:pt idx="50">
                  <c:v>66.0388347274464</c:v>
                </c:pt>
                <c:pt idx="51">
                  <c:v>68.092338954962571</c:v>
                </c:pt>
                <c:pt idx="52">
                  <c:v>67.49471835206424</c:v>
                </c:pt>
                <c:pt idx="53">
                  <c:v>67.68341408230593</c:v>
                </c:pt>
                <c:pt idx="54">
                  <c:v>65.620519651722674</c:v>
                </c:pt>
                <c:pt idx="55">
                  <c:v>64.65538306297492</c:v>
                </c:pt>
                <c:pt idx="56">
                  <c:v>65.396662197555742</c:v>
                </c:pt>
                <c:pt idx="57">
                  <c:v>66.71002298651878</c:v>
                </c:pt>
                <c:pt idx="58">
                  <c:v>65.53314691392589</c:v>
                </c:pt>
                <c:pt idx="59">
                  <c:v>67.013290081598129</c:v>
                </c:pt>
                <c:pt idx="60">
                  <c:v>66.52343473707505</c:v>
                </c:pt>
                <c:pt idx="61">
                  <c:v>67.767081632673879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5A39-4566-8EE6-6D0A89D219EA}"/>
            </c:ext>
          </c:extLst>
        </c:ser>
        <c:ser>
          <c:idx val="83"/>
          <c:order val="82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Carlo'!$E$84:$BN$84</c:f>
              <c:numCache>
                <c:formatCode>General</c:formatCode>
                <c:ptCount val="62"/>
                <c:pt idx="1">
                  <c:v>60.99</c:v>
                </c:pt>
                <c:pt idx="2">
                  <c:v>61.741829433692139</c:v>
                </c:pt>
                <c:pt idx="3">
                  <c:v>61.24171650703088</c:v>
                </c:pt>
                <c:pt idx="4">
                  <c:v>60.812370529122866</c:v>
                </c:pt>
                <c:pt idx="5">
                  <c:v>60.361201263235493</c:v>
                </c:pt>
                <c:pt idx="6">
                  <c:v>62.936760151690386</c:v>
                </c:pt>
                <c:pt idx="7">
                  <c:v>63.695317243573463</c:v>
                </c:pt>
                <c:pt idx="8">
                  <c:v>65.326917352123758</c:v>
                </c:pt>
                <c:pt idx="9">
                  <c:v>65.881644528278358</c:v>
                </c:pt>
                <c:pt idx="10">
                  <c:v>67.015977273219704</c:v>
                </c:pt>
                <c:pt idx="11">
                  <c:v>68.641652276367168</c:v>
                </c:pt>
                <c:pt idx="12">
                  <c:v>67.588810965570985</c:v>
                </c:pt>
                <c:pt idx="13">
                  <c:v>66.715300530034426</c:v>
                </c:pt>
                <c:pt idx="14">
                  <c:v>67.379184849205785</c:v>
                </c:pt>
                <c:pt idx="15">
                  <c:v>66.713828064743524</c:v>
                </c:pt>
                <c:pt idx="16">
                  <c:v>69.398194995092339</c:v>
                </c:pt>
                <c:pt idx="17">
                  <c:v>71.083348003270842</c:v>
                </c:pt>
                <c:pt idx="18">
                  <c:v>73.450466155165287</c:v>
                </c:pt>
                <c:pt idx="19">
                  <c:v>70.921048369652652</c:v>
                </c:pt>
                <c:pt idx="20">
                  <c:v>69.772158004050667</c:v>
                </c:pt>
                <c:pt idx="21">
                  <c:v>67.772798747348602</c:v>
                </c:pt>
                <c:pt idx="22">
                  <c:v>69.798461016261825</c:v>
                </c:pt>
                <c:pt idx="23">
                  <c:v>69.73927177802824</c:v>
                </c:pt>
                <c:pt idx="24">
                  <c:v>69.058507368064852</c:v>
                </c:pt>
                <c:pt idx="25">
                  <c:v>70.017101803106414</c:v>
                </c:pt>
                <c:pt idx="26">
                  <c:v>68.704809276197622</c:v>
                </c:pt>
                <c:pt idx="27">
                  <c:v>70.326427138733351</c:v>
                </c:pt>
                <c:pt idx="28">
                  <c:v>71.287114543608723</c:v>
                </c:pt>
                <c:pt idx="29">
                  <c:v>72.461310652353831</c:v>
                </c:pt>
                <c:pt idx="30">
                  <c:v>72.037121985682006</c:v>
                </c:pt>
                <c:pt idx="31">
                  <c:v>70.314075835165681</c:v>
                </c:pt>
                <c:pt idx="32">
                  <c:v>70.753717481014277</c:v>
                </c:pt>
                <c:pt idx="33">
                  <c:v>69.358076146239696</c:v>
                </c:pt>
                <c:pt idx="34">
                  <c:v>72.364835142859391</c:v>
                </c:pt>
                <c:pt idx="35">
                  <c:v>73.055188689474264</c:v>
                </c:pt>
                <c:pt idx="36">
                  <c:v>73.585968646524179</c:v>
                </c:pt>
                <c:pt idx="37">
                  <c:v>74.562680737928517</c:v>
                </c:pt>
                <c:pt idx="38">
                  <c:v>75.064266723890725</c:v>
                </c:pt>
                <c:pt idx="39">
                  <c:v>76.480683273259629</c:v>
                </c:pt>
                <c:pt idx="40">
                  <c:v>76.19635721685755</c:v>
                </c:pt>
                <c:pt idx="41">
                  <c:v>78.412330423343903</c:v>
                </c:pt>
                <c:pt idx="42">
                  <c:v>76.844798139497769</c:v>
                </c:pt>
                <c:pt idx="43">
                  <c:v>75.93246509654719</c:v>
                </c:pt>
                <c:pt idx="44">
                  <c:v>74.804124346172514</c:v>
                </c:pt>
                <c:pt idx="45">
                  <c:v>72.97620334570756</c:v>
                </c:pt>
                <c:pt idx="46">
                  <c:v>73.123798046382987</c:v>
                </c:pt>
                <c:pt idx="47">
                  <c:v>72.31269472084368</c:v>
                </c:pt>
                <c:pt idx="48">
                  <c:v>71.450034027963781</c:v>
                </c:pt>
                <c:pt idx="49">
                  <c:v>71.20268252259001</c:v>
                </c:pt>
                <c:pt idx="50">
                  <c:v>73.418400153332612</c:v>
                </c:pt>
                <c:pt idx="51">
                  <c:v>72.330344395003394</c:v>
                </c:pt>
                <c:pt idx="52">
                  <c:v>72.446835072824271</c:v>
                </c:pt>
                <c:pt idx="53">
                  <c:v>72.13232003634478</c:v>
                </c:pt>
                <c:pt idx="54">
                  <c:v>72.056738026535513</c:v>
                </c:pt>
                <c:pt idx="55">
                  <c:v>72.42460327763105</c:v>
                </c:pt>
                <c:pt idx="56">
                  <c:v>72.37623684851593</c:v>
                </c:pt>
                <c:pt idx="57">
                  <c:v>73.40226789490255</c:v>
                </c:pt>
                <c:pt idx="58">
                  <c:v>73.945224550737763</c:v>
                </c:pt>
                <c:pt idx="59">
                  <c:v>74.021639576527036</c:v>
                </c:pt>
                <c:pt idx="60">
                  <c:v>76.481020927904112</c:v>
                </c:pt>
                <c:pt idx="61">
                  <c:v>80.93575204311955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5A39-4566-8EE6-6D0A89D219EA}"/>
            </c:ext>
          </c:extLst>
        </c:ser>
        <c:ser>
          <c:idx val="84"/>
          <c:order val="83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Carlo'!$E$85:$BN$85</c:f>
              <c:numCache>
                <c:formatCode>General</c:formatCode>
                <c:ptCount val="62"/>
                <c:pt idx="1">
                  <c:v>60.99</c:v>
                </c:pt>
                <c:pt idx="2">
                  <c:v>59.531933680334262</c:v>
                </c:pt>
                <c:pt idx="3">
                  <c:v>59.449807707682098</c:v>
                </c:pt>
                <c:pt idx="4">
                  <c:v>61.63357737826675</c:v>
                </c:pt>
                <c:pt idx="5">
                  <c:v>61.374556937546878</c:v>
                </c:pt>
                <c:pt idx="6">
                  <c:v>61.27828520153767</c:v>
                </c:pt>
                <c:pt idx="7">
                  <c:v>62.081993977647024</c:v>
                </c:pt>
                <c:pt idx="8">
                  <c:v>62.701828916015749</c:v>
                </c:pt>
                <c:pt idx="9">
                  <c:v>66.109279367214327</c:v>
                </c:pt>
                <c:pt idx="10">
                  <c:v>63.717231286348827</c:v>
                </c:pt>
                <c:pt idx="11">
                  <c:v>64.497975528014834</c:v>
                </c:pt>
                <c:pt idx="12">
                  <c:v>66.501770336315985</c:v>
                </c:pt>
                <c:pt idx="13">
                  <c:v>67.256942205406418</c:v>
                </c:pt>
                <c:pt idx="14">
                  <c:v>66.738932491097856</c:v>
                </c:pt>
                <c:pt idx="15">
                  <c:v>65.301756033424908</c:v>
                </c:pt>
                <c:pt idx="16">
                  <c:v>65.373003897045479</c:v>
                </c:pt>
                <c:pt idx="17">
                  <c:v>64.693877765368683</c:v>
                </c:pt>
                <c:pt idx="18">
                  <c:v>66.297814932934145</c:v>
                </c:pt>
                <c:pt idx="19">
                  <c:v>64.067757353720623</c:v>
                </c:pt>
                <c:pt idx="20">
                  <c:v>63.809257444043929</c:v>
                </c:pt>
                <c:pt idx="21">
                  <c:v>64.972446007488742</c:v>
                </c:pt>
                <c:pt idx="22">
                  <c:v>65.12527098843195</c:v>
                </c:pt>
                <c:pt idx="23">
                  <c:v>65.002295410209669</c:v>
                </c:pt>
                <c:pt idx="24">
                  <c:v>65.840387772212466</c:v>
                </c:pt>
                <c:pt idx="25">
                  <c:v>65.9218900122072</c:v>
                </c:pt>
                <c:pt idx="26">
                  <c:v>66.387077057579944</c:v>
                </c:pt>
                <c:pt idx="27">
                  <c:v>66.941477349829924</c:v>
                </c:pt>
                <c:pt idx="28">
                  <c:v>66.837403297374095</c:v>
                </c:pt>
                <c:pt idx="29">
                  <c:v>67.086982839746867</c:v>
                </c:pt>
                <c:pt idx="30">
                  <c:v>69.388119387386638</c:v>
                </c:pt>
                <c:pt idx="31">
                  <c:v>69.485923116399277</c:v>
                </c:pt>
                <c:pt idx="32">
                  <c:v>70.750061971378145</c:v>
                </c:pt>
                <c:pt idx="33">
                  <c:v>69.068183714231324</c:v>
                </c:pt>
                <c:pt idx="34">
                  <c:v>68.609880091770464</c:v>
                </c:pt>
                <c:pt idx="35">
                  <c:v>70.890191671438572</c:v>
                </c:pt>
                <c:pt idx="36">
                  <c:v>70.435341854747364</c:v>
                </c:pt>
                <c:pt idx="37">
                  <c:v>72.388532173005828</c:v>
                </c:pt>
                <c:pt idx="38">
                  <c:v>72.825739701541394</c:v>
                </c:pt>
                <c:pt idx="39">
                  <c:v>70.748883743929568</c:v>
                </c:pt>
                <c:pt idx="40">
                  <c:v>72.15795736703177</c:v>
                </c:pt>
                <c:pt idx="41">
                  <c:v>73.273857829846193</c:v>
                </c:pt>
                <c:pt idx="42">
                  <c:v>72.304660581334005</c:v>
                </c:pt>
                <c:pt idx="43">
                  <c:v>72.733628630621482</c:v>
                </c:pt>
                <c:pt idx="44">
                  <c:v>74.095541023967584</c:v>
                </c:pt>
                <c:pt idx="45">
                  <c:v>73.918562186384904</c:v>
                </c:pt>
                <c:pt idx="46">
                  <c:v>72.46880533844687</c:v>
                </c:pt>
                <c:pt idx="47">
                  <c:v>72.457585359501593</c:v>
                </c:pt>
                <c:pt idx="48">
                  <c:v>72.130029130486221</c:v>
                </c:pt>
                <c:pt idx="49">
                  <c:v>71.965798706858493</c:v>
                </c:pt>
                <c:pt idx="50">
                  <c:v>71.084170625004575</c:v>
                </c:pt>
                <c:pt idx="51">
                  <c:v>69.583110623579941</c:v>
                </c:pt>
                <c:pt idx="52">
                  <c:v>68.856644811886014</c:v>
                </c:pt>
                <c:pt idx="53">
                  <c:v>68.589835995090525</c:v>
                </c:pt>
                <c:pt idx="54">
                  <c:v>69.76702749447108</c:v>
                </c:pt>
                <c:pt idx="55">
                  <c:v>68.877873995846571</c:v>
                </c:pt>
                <c:pt idx="56">
                  <c:v>67.894213812355005</c:v>
                </c:pt>
                <c:pt idx="57">
                  <c:v>68.955198691237555</c:v>
                </c:pt>
                <c:pt idx="58">
                  <c:v>70.246546281362896</c:v>
                </c:pt>
                <c:pt idx="59">
                  <c:v>69.886773337919166</c:v>
                </c:pt>
                <c:pt idx="60">
                  <c:v>68.67869877370444</c:v>
                </c:pt>
                <c:pt idx="61">
                  <c:v>66.534439398552905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5A39-4566-8EE6-6D0A89D219EA}"/>
            </c:ext>
          </c:extLst>
        </c:ser>
        <c:ser>
          <c:idx val="85"/>
          <c:order val="84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Carlo'!$E$86:$BN$86</c:f>
              <c:numCache>
                <c:formatCode>General</c:formatCode>
                <c:ptCount val="62"/>
                <c:pt idx="1">
                  <c:v>60.99</c:v>
                </c:pt>
                <c:pt idx="2">
                  <c:v>60.035500666382291</c:v>
                </c:pt>
                <c:pt idx="3">
                  <c:v>58.661425544741235</c:v>
                </c:pt>
                <c:pt idx="4">
                  <c:v>58.751766648071694</c:v>
                </c:pt>
                <c:pt idx="5">
                  <c:v>59.404371703976061</c:v>
                </c:pt>
                <c:pt idx="6">
                  <c:v>61.190485390370888</c:v>
                </c:pt>
                <c:pt idx="7">
                  <c:v>61.922714916017519</c:v>
                </c:pt>
                <c:pt idx="8">
                  <c:v>61.291453243168938</c:v>
                </c:pt>
                <c:pt idx="9">
                  <c:v>62.94570916543141</c:v>
                </c:pt>
                <c:pt idx="10">
                  <c:v>62.145893778689427</c:v>
                </c:pt>
                <c:pt idx="11">
                  <c:v>63.03644054057122</c:v>
                </c:pt>
                <c:pt idx="12">
                  <c:v>61.885848271827733</c:v>
                </c:pt>
                <c:pt idx="13">
                  <c:v>62.300173249822407</c:v>
                </c:pt>
                <c:pt idx="14">
                  <c:v>62.386279091724369</c:v>
                </c:pt>
                <c:pt idx="15">
                  <c:v>65.105589946755572</c:v>
                </c:pt>
                <c:pt idx="16">
                  <c:v>63.842309969842731</c:v>
                </c:pt>
                <c:pt idx="17">
                  <c:v>65.633071801093863</c:v>
                </c:pt>
                <c:pt idx="18">
                  <c:v>64.124455812704284</c:v>
                </c:pt>
                <c:pt idx="19">
                  <c:v>64.409081644587516</c:v>
                </c:pt>
                <c:pt idx="20">
                  <c:v>67.623214833010991</c:v>
                </c:pt>
                <c:pt idx="21">
                  <c:v>66.927832412705598</c:v>
                </c:pt>
                <c:pt idx="22">
                  <c:v>66.714653663194255</c:v>
                </c:pt>
                <c:pt idx="23">
                  <c:v>66.422168141432394</c:v>
                </c:pt>
                <c:pt idx="24">
                  <c:v>67.731177536013249</c:v>
                </c:pt>
                <c:pt idx="25">
                  <c:v>69.623974824690393</c:v>
                </c:pt>
                <c:pt idx="26">
                  <c:v>69.964824008506071</c:v>
                </c:pt>
                <c:pt idx="27">
                  <c:v>70.608261325424948</c:v>
                </c:pt>
                <c:pt idx="28">
                  <c:v>70.430988728498548</c:v>
                </c:pt>
                <c:pt idx="29">
                  <c:v>68.51058189915355</c:v>
                </c:pt>
                <c:pt idx="30">
                  <c:v>66.652467855043184</c:v>
                </c:pt>
                <c:pt idx="31">
                  <c:v>68.106830925867342</c:v>
                </c:pt>
                <c:pt idx="32">
                  <c:v>66.625071977354196</c:v>
                </c:pt>
                <c:pt idx="33">
                  <c:v>67.476652331328296</c:v>
                </c:pt>
                <c:pt idx="34">
                  <c:v>68.566519695574016</c:v>
                </c:pt>
                <c:pt idx="35">
                  <c:v>69.978971992116982</c:v>
                </c:pt>
                <c:pt idx="36">
                  <c:v>70.644858157978206</c:v>
                </c:pt>
                <c:pt idx="37">
                  <c:v>72.962002494240323</c:v>
                </c:pt>
                <c:pt idx="38">
                  <c:v>73.5203431239282</c:v>
                </c:pt>
                <c:pt idx="39">
                  <c:v>71.074661599711604</c:v>
                </c:pt>
                <c:pt idx="40">
                  <c:v>71.786667780354279</c:v>
                </c:pt>
                <c:pt idx="41">
                  <c:v>71.069105274933918</c:v>
                </c:pt>
                <c:pt idx="42">
                  <c:v>71.109630477728729</c:v>
                </c:pt>
                <c:pt idx="43">
                  <c:v>72.552221513688551</c:v>
                </c:pt>
                <c:pt idx="44">
                  <c:v>75.935927940112791</c:v>
                </c:pt>
                <c:pt idx="45">
                  <c:v>74.580664076326983</c:v>
                </c:pt>
                <c:pt idx="46">
                  <c:v>76.061006249789912</c:v>
                </c:pt>
                <c:pt idx="47">
                  <c:v>72.486483137487255</c:v>
                </c:pt>
                <c:pt idx="48">
                  <c:v>74.596943908545924</c:v>
                </c:pt>
                <c:pt idx="49">
                  <c:v>74.434595585192724</c:v>
                </c:pt>
                <c:pt idx="50">
                  <c:v>74.764867756292986</c:v>
                </c:pt>
                <c:pt idx="51">
                  <c:v>75.51020784434067</c:v>
                </c:pt>
                <c:pt idx="52">
                  <c:v>77.486533565672545</c:v>
                </c:pt>
                <c:pt idx="53">
                  <c:v>79.073320610349356</c:v>
                </c:pt>
                <c:pt idx="54">
                  <c:v>79.227727892878903</c:v>
                </c:pt>
                <c:pt idx="55">
                  <c:v>81.250315515799784</c:v>
                </c:pt>
                <c:pt idx="56">
                  <c:v>79.05874716497047</c:v>
                </c:pt>
                <c:pt idx="57">
                  <c:v>78.322927844504918</c:v>
                </c:pt>
                <c:pt idx="58">
                  <c:v>80.431918583863293</c:v>
                </c:pt>
                <c:pt idx="59">
                  <c:v>83.416870824714422</c:v>
                </c:pt>
                <c:pt idx="60">
                  <c:v>84.954006566747296</c:v>
                </c:pt>
                <c:pt idx="61">
                  <c:v>84.657001272141827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5A39-4566-8EE6-6D0A89D219EA}"/>
            </c:ext>
          </c:extLst>
        </c:ser>
        <c:ser>
          <c:idx val="86"/>
          <c:order val="85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Carlo'!$E$87:$BN$87</c:f>
              <c:numCache>
                <c:formatCode>General</c:formatCode>
                <c:ptCount val="62"/>
                <c:pt idx="1">
                  <c:v>60.99</c:v>
                </c:pt>
                <c:pt idx="2">
                  <c:v>60.020114174519406</c:v>
                </c:pt>
                <c:pt idx="3">
                  <c:v>60.974369001671853</c:v>
                </c:pt>
                <c:pt idx="4">
                  <c:v>61.507860906067393</c:v>
                </c:pt>
                <c:pt idx="5">
                  <c:v>61.871101160917064</c:v>
                </c:pt>
                <c:pt idx="6">
                  <c:v>62.506378552563334</c:v>
                </c:pt>
                <c:pt idx="7">
                  <c:v>61.781447958932347</c:v>
                </c:pt>
                <c:pt idx="8">
                  <c:v>63.686922277411718</c:v>
                </c:pt>
                <c:pt idx="9">
                  <c:v>64.377272286588365</c:v>
                </c:pt>
                <c:pt idx="10">
                  <c:v>66.0633631523297</c:v>
                </c:pt>
                <c:pt idx="11">
                  <c:v>65.462014587105799</c:v>
                </c:pt>
                <c:pt idx="12">
                  <c:v>66.914340514823806</c:v>
                </c:pt>
                <c:pt idx="13">
                  <c:v>66.09166422974684</c:v>
                </c:pt>
                <c:pt idx="14">
                  <c:v>66.449861479263546</c:v>
                </c:pt>
                <c:pt idx="15">
                  <c:v>68.402817170210383</c:v>
                </c:pt>
                <c:pt idx="16">
                  <c:v>69.915683511449089</c:v>
                </c:pt>
                <c:pt idx="17">
                  <c:v>69.159932098869561</c:v>
                </c:pt>
                <c:pt idx="18">
                  <c:v>67.786265986970321</c:v>
                </c:pt>
                <c:pt idx="19">
                  <c:v>67.266336019444566</c:v>
                </c:pt>
                <c:pt idx="20">
                  <c:v>67.349123510766788</c:v>
                </c:pt>
                <c:pt idx="21">
                  <c:v>69.198202036964858</c:v>
                </c:pt>
                <c:pt idx="22">
                  <c:v>69.580659310271002</c:v>
                </c:pt>
                <c:pt idx="23">
                  <c:v>73.372512751406674</c:v>
                </c:pt>
                <c:pt idx="24">
                  <c:v>74.995937519329956</c:v>
                </c:pt>
                <c:pt idx="25">
                  <c:v>76.564795329442688</c:v>
                </c:pt>
                <c:pt idx="26">
                  <c:v>76.974045012464941</c:v>
                </c:pt>
                <c:pt idx="27">
                  <c:v>74.364064002017216</c:v>
                </c:pt>
                <c:pt idx="28">
                  <c:v>76.13583053184125</c:v>
                </c:pt>
                <c:pt idx="29">
                  <c:v>73.721881922688681</c:v>
                </c:pt>
                <c:pt idx="30">
                  <c:v>74.644760852972624</c:v>
                </c:pt>
                <c:pt idx="31">
                  <c:v>73.166677900344027</c:v>
                </c:pt>
                <c:pt idx="32">
                  <c:v>73.765187627852455</c:v>
                </c:pt>
                <c:pt idx="33">
                  <c:v>74.521962751749186</c:v>
                </c:pt>
                <c:pt idx="34">
                  <c:v>75.967051673751655</c:v>
                </c:pt>
                <c:pt idx="35">
                  <c:v>75.536345108245939</c:v>
                </c:pt>
                <c:pt idx="36">
                  <c:v>76.006957393961727</c:v>
                </c:pt>
                <c:pt idx="37">
                  <c:v>78.57133410431814</c:v>
                </c:pt>
                <c:pt idx="38">
                  <c:v>79.278214342692578</c:v>
                </c:pt>
                <c:pt idx="39">
                  <c:v>81.591244926917014</c:v>
                </c:pt>
                <c:pt idx="40">
                  <c:v>82.125905952905995</c:v>
                </c:pt>
                <c:pt idx="41">
                  <c:v>82.999766734944913</c:v>
                </c:pt>
                <c:pt idx="42">
                  <c:v>81.009850535621666</c:v>
                </c:pt>
                <c:pt idx="43">
                  <c:v>80.648318126447634</c:v>
                </c:pt>
                <c:pt idx="44">
                  <c:v>85.060517032220417</c:v>
                </c:pt>
                <c:pt idx="45">
                  <c:v>85.514852788702115</c:v>
                </c:pt>
                <c:pt idx="46">
                  <c:v>85.949092630410973</c:v>
                </c:pt>
                <c:pt idx="47">
                  <c:v>86.101995669681202</c:v>
                </c:pt>
                <c:pt idx="48">
                  <c:v>84.739460213238146</c:v>
                </c:pt>
                <c:pt idx="49">
                  <c:v>83.812669202555725</c:v>
                </c:pt>
                <c:pt idx="50">
                  <c:v>83.039034120672383</c:v>
                </c:pt>
                <c:pt idx="51">
                  <c:v>84.912987712516866</c:v>
                </c:pt>
                <c:pt idx="52">
                  <c:v>84.704672333847896</c:v>
                </c:pt>
                <c:pt idx="53">
                  <c:v>87.012361792505956</c:v>
                </c:pt>
                <c:pt idx="54">
                  <c:v>86.018586547045231</c:v>
                </c:pt>
                <c:pt idx="55">
                  <c:v>85.666402504500894</c:v>
                </c:pt>
                <c:pt idx="56">
                  <c:v>87.317630133111834</c:v>
                </c:pt>
                <c:pt idx="57">
                  <c:v>87.781719000079235</c:v>
                </c:pt>
                <c:pt idx="58">
                  <c:v>90.209751566020955</c:v>
                </c:pt>
                <c:pt idx="59">
                  <c:v>90.870899868739116</c:v>
                </c:pt>
                <c:pt idx="60">
                  <c:v>89.282430710758618</c:v>
                </c:pt>
                <c:pt idx="61">
                  <c:v>90.58963625737654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5A39-4566-8EE6-6D0A89D219EA}"/>
            </c:ext>
          </c:extLst>
        </c:ser>
        <c:ser>
          <c:idx val="87"/>
          <c:order val="86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Carlo'!$E$88:$BN$88</c:f>
              <c:numCache>
                <c:formatCode>General</c:formatCode>
                <c:ptCount val="62"/>
                <c:pt idx="1">
                  <c:v>60.99</c:v>
                </c:pt>
                <c:pt idx="2">
                  <c:v>61.92830845736956</c:v>
                </c:pt>
                <c:pt idx="3">
                  <c:v>60.083387550993066</c:v>
                </c:pt>
                <c:pt idx="4">
                  <c:v>59.156868721681604</c:v>
                </c:pt>
                <c:pt idx="5">
                  <c:v>59.473090180070564</c:v>
                </c:pt>
                <c:pt idx="6">
                  <c:v>58.431937212240015</c:v>
                </c:pt>
                <c:pt idx="7">
                  <c:v>58.038360984451515</c:v>
                </c:pt>
                <c:pt idx="8">
                  <c:v>56.678495912210522</c:v>
                </c:pt>
                <c:pt idx="9">
                  <c:v>57.208008882077358</c:v>
                </c:pt>
                <c:pt idx="10">
                  <c:v>57.879999604159906</c:v>
                </c:pt>
                <c:pt idx="11">
                  <c:v>57.80321546450859</c:v>
                </c:pt>
                <c:pt idx="12">
                  <c:v>58.242587053068597</c:v>
                </c:pt>
                <c:pt idx="13">
                  <c:v>61.109570650145763</c:v>
                </c:pt>
                <c:pt idx="14">
                  <c:v>60.742810512160204</c:v>
                </c:pt>
                <c:pt idx="15">
                  <c:v>60.4229895991989</c:v>
                </c:pt>
                <c:pt idx="16">
                  <c:v>60.272672916397049</c:v>
                </c:pt>
                <c:pt idx="17">
                  <c:v>61.224352452121451</c:v>
                </c:pt>
                <c:pt idx="18">
                  <c:v>61.683058737684469</c:v>
                </c:pt>
                <c:pt idx="19">
                  <c:v>62.904480793244659</c:v>
                </c:pt>
                <c:pt idx="20">
                  <c:v>63.982475244087489</c:v>
                </c:pt>
                <c:pt idx="21">
                  <c:v>63.653607706216938</c:v>
                </c:pt>
                <c:pt idx="22">
                  <c:v>61.946933177202901</c:v>
                </c:pt>
                <c:pt idx="23">
                  <c:v>62.083211759023932</c:v>
                </c:pt>
                <c:pt idx="24">
                  <c:v>61.985683493759744</c:v>
                </c:pt>
                <c:pt idx="25">
                  <c:v>61.144636822587238</c:v>
                </c:pt>
                <c:pt idx="26">
                  <c:v>60.439266556051898</c:v>
                </c:pt>
                <c:pt idx="27">
                  <c:v>61.045545743246187</c:v>
                </c:pt>
                <c:pt idx="28">
                  <c:v>59.767190384906655</c:v>
                </c:pt>
                <c:pt idx="29">
                  <c:v>60.946307243044131</c:v>
                </c:pt>
                <c:pt idx="30">
                  <c:v>61.272553521647893</c:v>
                </c:pt>
                <c:pt idx="31">
                  <c:v>60.853954510491597</c:v>
                </c:pt>
                <c:pt idx="32">
                  <c:v>61.856764333041752</c:v>
                </c:pt>
                <c:pt idx="33">
                  <c:v>60.203710471660266</c:v>
                </c:pt>
                <c:pt idx="34">
                  <c:v>60.737896851173211</c:v>
                </c:pt>
                <c:pt idx="35">
                  <c:v>62.383855157986282</c:v>
                </c:pt>
                <c:pt idx="36">
                  <c:v>61.623643167315763</c:v>
                </c:pt>
                <c:pt idx="37">
                  <c:v>61.009527922295533</c:v>
                </c:pt>
                <c:pt idx="38">
                  <c:v>61.188442583075634</c:v>
                </c:pt>
                <c:pt idx="39">
                  <c:v>62.044543028222904</c:v>
                </c:pt>
                <c:pt idx="40">
                  <c:v>62.68307164539285</c:v>
                </c:pt>
                <c:pt idx="41">
                  <c:v>59.715114337622161</c:v>
                </c:pt>
                <c:pt idx="42">
                  <c:v>63.132960627403165</c:v>
                </c:pt>
                <c:pt idx="43">
                  <c:v>63.144830035107866</c:v>
                </c:pt>
                <c:pt idx="44">
                  <c:v>63.21017936670988</c:v>
                </c:pt>
                <c:pt idx="45">
                  <c:v>64.257249501302738</c:v>
                </c:pt>
                <c:pt idx="46">
                  <c:v>63.281997125105832</c:v>
                </c:pt>
                <c:pt idx="47">
                  <c:v>63.646004865101041</c:v>
                </c:pt>
                <c:pt idx="48">
                  <c:v>63.180357766362391</c:v>
                </c:pt>
                <c:pt idx="49">
                  <c:v>62.906997134937328</c:v>
                </c:pt>
                <c:pt idx="50">
                  <c:v>62.907199268708332</c:v>
                </c:pt>
                <c:pt idx="51">
                  <c:v>62.816994295494368</c:v>
                </c:pt>
                <c:pt idx="52">
                  <c:v>63.562686626693214</c:v>
                </c:pt>
                <c:pt idx="53">
                  <c:v>61.971225514826081</c:v>
                </c:pt>
                <c:pt idx="54">
                  <c:v>62.241934530834435</c:v>
                </c:pt>
                <c:pt idx="55">
                  <c:v>63.360470492031325</c:v>
                </c:pt>
                <c:pt idx="56">
                  <c:v>63.602796362859358</c:v>
                </c:pt>
                <c:pt idx="57">
                  <c:v>64.801584965591928</c:v>
                </c:pt>
                <c:pt idx="58">
                  <c:v>66.660032224511184</c:v>
                </c:pt>
                <c:pt idx="59">
                  <c:v>67.215035619765032</c:v>
                </c:pt>
                <c:pt idx="60">
                  <c:v>69.62268030065259</c:v>
                </c:pt>
                <c:pt idx="61">
                  <c:v>68.077446345732156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5A39-4566-8EE6-6D0A89D219EA}"/>
            </c:ext>
          </c:extLst>
        </c:ser>
        <c:ser>
          <c:idx val="88"/>
          <c:order val="87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Carlo'!$E$89:$BN$89</c:f>
              <c:numCache>
                <c:formatCode>General</c:formatCode>
                <c:ptCount val="62"/>
                <c:pt idx="1">
                  <c:v>60.99</c:v>
                </c:pt>
                <c:pt idx="2">
                  <c:v>62.579995908685206</c:v>
                </c:pt>
                <c:pt idx="3">
                  <c:v>61.815203272358403</c:v>
                </c:pt>
                <c:pt idx="4">
                  <c:v>61.90390440630145</c:v>
                </c:pt>
                <c:pt idx="5">
                  <c:v>66.330867114032699</c:v>
                </c:pt>
                <c:pt idx="6">
                  <c:v>65.463469217900354</c:v>
                </c:pt>
                <c:pt idx="7">
                  <c:v>65.741038511331524</c:v>
                </c:pt>
                <c:pt idx="8">
                  <c:v>65.768460384862294</c:v>
                </c:pt>
                <c:pt idx="9">
                  <c:v>65.125812570533242</c:v>
                </c:pt>
                <c:pt idx="10">
                  <c:v>65.335401272743042</c:v>
                </c:pt>
                <c:pt idx="11">
                  <c:v>65.848498322661058</c:v>
                </c:pt>
                <c:pt idx="12">
                  <c:v>64.798749600343342</c:v>
                </c:pt>
                <c:pt idx="13">
                  <c:v>64.228352533519868</c:v>
                </c:pt>
                <c:pt idx="14">
                  <c:v>62.963119504049892</c:v>
                </c:pt>
                <c:pt idx="15">
                  <c:v>64.476645316071668</c:v>
                </c:pt>
                <c:pt idx="16">
                  <c:v>65.830681123159067</c:v>
                </c:pt>
                <c:pt idx="17">
                  <c:v>64.747015700414295</c:v>
                </c:pt>
                <c:pt idx="18">
                  <c:v>65.098947191661026</c:v>
                </c:pt>
                <c:pt idx="19">
                  <c:v>63.479075231694345</c:v>
                </c:pt>
                <c:pt idx="20">
                  <c:v>62.779668566208649</c:v>
                </c:pt>
                <c:pt idx="21">
                  <c:v>63.314026736313842</c:v>
                </c:pt>
                <c:pt idx="22">
                  <c:v>62.035029523145774</c:v>
                </c:pt>
                <c:pt idx="23">
                  <c:v>62.255554042798579</c:v>
                </c:pt>
                <c:pt idx="24">
                  <c:v>64.103548951935423</c:v>
                </c:pt>
                <c:pt idx="25">
                  <c:v>65.077318281561574</c:v>
                </c:pt>
                <c:pt idx="26">
                  <c:v>65.727457505373962</c:v>
                </c:pt>
                <c:pt idx="27">
                  <c:v>63.721770363773061</c:v>
                </c:pt>
                <c:pt idx="28">
                  <c:v>64.892958210181263</c:v>
                </c:pt>
                <c:pt idx="29">
                  <c:v>66.696917774343959</c:v>
                </c:pt>
                <c:pt idx="30">
                  <c:v>66.162427464535824</c:v>
                </c:pt>
                <c:pt idx="31">
                  <c:v>66.730992833756687</c:v>
                </c:pt>
                <c:pt idx="32">
                  <c:v>64.991941254460968</c:v>
                </c:pt>
                <c:pt idx="33">
                  <c:v>66.35688536444431</c:v>
                </c:pt>
                <c:pt idx="34">
                  <c:v>67.542124207735725</c:v>
                </c:pt>
                <c:pt idx="35">
                  <c:v>66.908847897445753</c:v>
                </c:pt>
                <c:pt idx="36">
                  <c:v>66.051906793078828</c:v>
                </c:pt>
                <c:pt idx="37">
                  <c:v>65.204521594152581</c:v>
                </c:pt>
                <c:pt idx="38">
                  <c:v>63.703979658533335</c:v>
                </c:pt>
                <c:pt idx="39">
                  <c:v>64.001955980947628</c:v>
                </c:pt>
                <c:pt idx="40">
                  <c:v>63.36262831107927</c:v>
                </c:pt>
                <c:pt idx="41">
                  <c:v>61.374133583993114</c:v>
                </c:pt>
                <c:pt idx="42">
                  <c:v>61.443909253922726</c:v>
                </c:pt>
                <c:pt idx="43">
                  <c:v>62.598017195644864</c:v>
                </c:pt>
                <c:pt idx="44">
                  <c:v>61.616708221681677</c:v>
                </c:pt>
                <c:pt idx="45">
                  <c:v>62.060524992275965</c:v>
                </c:pt>
                <c:pt idx="46">
                  <c:v>60.76737986080424</c:v>
                </c:pt>
                <c:pt idx="47">
                  <c:v>58.228835515488839</c:v>
                </c:pt>
                <c:pt idx="48">
                  <c:v>57.904182680414578</c:v>
                </c:pt>
                <c:pt idx="49">
                  <c:v>58.819092140094867</c:v>
                </c:pt>
                <c:pt idx="50">
                  <c:v>57.572965148455438</c:v>
                </c:pt>
                <c:pt idx="51">
                  <c:v>56.22274441545985</c:v>
                </c:pt>
                <c:pt idx="52">
                  <c:v>56.330777573123719</c:v>
                </c:pt>
                <c:pt idx="53">
                  <c:v>56.374610063071323</c:v>
                </c:pt>
                <c:pt idx="54">
                  <c:v>58.052394832328737</c:v>
                </c:pt>
                <c:pt idx="55">
                  <c:v>59.853312099173273</c:v>
                </c:pt>
                <c:pt idx="56">
                  <c:v>60.166813981451874</c:v>
                </c:pt>
                <c:pt idx="57">
                  <c:v>60.458850479234236</c:v>
                </c:pt>
                <c:pt idx="58">
                  <c:v>62.388779228811174</c:v>
                </c:pt>
                <c:pt idx="59">
                  <c:v>62.317882446282745</c:v>
                </c:pt>
                <c:pt idx="60">
                  <c:v>62.500481896691909</c:v>
                </c:pt>
                <c:pt idx="61">
                  <c:v>63.112173670223456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5A39-4566-8EE6-6D0A89D219EA}"/>
            </c:ext>
          </c:extLst>
        </c:ser>
        <c:ser>
          <c:idx val="89"/>
          <c:order val="88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Carlo'!$E$90:$BN$90</c:f>
              <c:numCache>
                <c:formatCode>General</c:formatCode>
                <c:ptCount val="62"/>
                <c:pt idx="1">
                  <c:v>60.99</c:v>
                </c:pt>
                <c:pt idx="2">
                  <c:v>59.55327785284716</c:v>
                </c:pt>
                <c:pt idx="3">
                  <c:v>58.899523457358441</c:v>
                </c:pt>
                <c:pt idx="4">
                  <c:v>60.929187782698733</c:v>
                </c:pt>
                <c:pt idx="5">
                  <c:v>60.613683473323</c:v>
                </c:pt>
                <c:pt idx="6">
                  <c:v>59.572711203456393</c:v>
                </c:pt>
                <c:pt idx="7">
                  <c:v>59.345591679777591</c:v>
                </c:pt>
                <c:pt idx="8">
                  <c:v>57.740548385257704</c:v>
                </c:pt>
                <c:pt idx="9">
                  <c:v>58.339653516648852</c:v>
                </c:pt>
                <c:pt idx="10">
                  <c:v>57.76393247673748</c:v>
                </c:pt>
                <c:pt idx="11">
                  <c:v>58.623514671963726</c:v>
                </c:pt>
                <c:pt idx="12">
                  <c:v>58.534033855334641</c:v>
                </c:pt>
                <c:pt idx="13">
                  <c:v>57.32368020267608</c:v>
                </c:pt>
                <c:pt idx="14">
                  <c:v>57.281976673536924</c:v>
                </c:pt>
                <c:pt idx="15">
                  <c:v>56.922875819082364</c:v>
                </c:pt>
                <c:pt idx="16">
                  <c:v>55.828146843103994</c:v>
                </c:pt>
                <c:pt idx="17">
                  <c:v>55.149071283162343</c:v>
                </c:pt>
                <c:pt idx="18">
                  <c:v>55.536290656043349</c:v>
                </c:pt>
                <c:pt idx="19">
                  <c:v>55.995524219351061</c:v>
                </c:pt>
                <c:pt idx="20">
                  <c:v>54.761711603411747</c:v>
                </c:pt>
                <c:pt idx="21">
                  <c:v>52.652938187973007</c:v>
                </c:pt>
                <c:pt idx="22">
                  <c:v>52.669011780213104</c:v>
                </c:pt>
                <c:pt idx="23">
                  <c:v>50.157654977508855</c:v>
                </c:pt>
                <c:pt idx="24">
                  <c:v>50.893934981886247</c:v>
                </c:pt>
                <c:pt idx="25">
                  <c:v>51.022614797722099</c:v>
                </c:pt>
                <c:pt idx="26">
                  <c:v>52.127441768760747</c:v>
                </c:pt>
                <c:pt idx="27">
                  <c:v>52.086917521717645</c:v>
                </c:pt>
                <c:pt idx="28">
                  <c:v>52.660832974405523</c:v>
                </c:pt>
                <c:pt idx="29">
                  <c:v>52.749624598262265</c:v>
                </c:pt>
                <c:pt idx="30">
                  <c:v>52.368615453504056</c:v>
                </c:pt>
                <c:pt idx="31">
                  <c:v>53.259602607478541</c:v>
                </c:pt>
                <c:pt idx="32">
                  <c:v>54.433035736008399</c:v>
                </c:pt>
                <c:pt idx="33">
                  <c:v>54.003509556380919</c:v>
                </c:pt>
                <c:pt idx="34">
                  <c:v>53.024376505957676</c:v>
                </c:pt>
                <c:pt idx="35">
                  <c:v>52.530266133289921</c:v>
                </c:pt>
                <c:pt idx="36">
                  <c:v>53.706122860666078</c:v>
                </c:pt>
                <c:pt idx="37">
                  <c:v>55.369084865205188</c:v>
                </c:pt>
                <c:pt idx="38">
                  <c:v>55.681082575790477</c:v>
                </c:pt>
                <c:pt idx="39">
                  <c:v>57.26776938567874</c:v>
                </c:pt>
                <c:pt idx="40">
                  <c:v>57.637520452563997</c:v>
                </c:pt>
                <c:pt idx="41">
                  <c:v>56.858719052243877</c:v>
                </c:pt>
                <c:pt idx="42">
                  <c:v>56.152683519156142</c:v>
                </c:pt>
                <c:pt idx="43">
                  <c:v>55.277159673854676</c:v>
                </c:pt>
                <c:pt idx="44">
                  <c:v>56.672451624736794</c:v>
                </c:pt>
                <c:pt idx="45">
                  <c:v>56.892325873203767</c:v>
                </c:pt>
                <c:pt idx="46">
                  <c:v>55.651477892558532</c:v>
                </c:pt>
                <c:pt idx="47">
                  <c:v>54.258163189540085</c:v>
                </c:pt>
                <c:pt idx="48">
                  <c:v>54.955266180302992</c:v>
                </c:pt>
                <c:pt idx="49">
                  <c:v>55.023912399450147</c:v>
                </c:pt>
                <c:pt idx="50">
                  <c:v>55.65238517550128</c:v>
                </c:pt>
                <c:pt idx="51">
                  <c:v>56.532458011239179</c:v>
                </c:pt>
                <c:pt idx="52">
                  <c:v>55.906185232663624</c:v>
                </c:pt>
                <c:pt idx="53">
                  <c:v>56.867822405286859</c:v>
                </c:pt>
                <c:pt idx="54">
                  <c:v>58.367933428757041</c:v>
                </c:pt>
                <c:pt idx="55">
                  <c:v>57.302733636848636</c:v>
                </c:pt>
                <c:pt idx="56">
                  <c:v>57.941246901700609</c:v>
                </c:pt>
                <c:pt idx="57">
                  <c:v>57.249804818187009</c:v>
                </c:pt>
                <c:pt idx="58">
                  <c:v>56.558471616373396</c:v>
                </c:pt>
                <c:pt idx="59">
                  <c:v>55.245877107435838</c:v>
                </c:pt>
                <c:pt idx="60">
                  <c:v>56.680007938824431</c:v>
                </c:pt>
                <c:pt idx="61">
                  <c:v>57.015048112596538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5A39-4566-8EE6-6D0A89D219EA}"/>
            </c:ext>
          </c:extLst>
        </c:ser>
        <c:ser>
          <c:idx val="90"/>
          <c:order val="89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Carlo'!$E$91:$BN$91</c:f>
              <c:numCache>
                <c:formatCode>General</c:formatCode>
                <c:ptCount val="62"/>
                <c:pt idx="1">
                  <c:v>60.99</c:v>
                </c:pt>
                <c:pt idx="2">
                  <c:v>61.576634591646382</c:v>
                </c:pt>
                <c:pt idx="3">
                  <c:v>62.476261170182319</c:v>
                </c:pt>
                <c:pt idx="4">
                  <c:v>61.064101364083598</c:v>
                </c:pt>
                <c:pt idx="5">
                  <c:v>61.804046830208968</c:v>
                </c:pt>
                <c:pt idx="6">
                  <c:v>60.972105517029853</c:v>
                </c:pt>
                <c:pt idx="7">
                  <c:v>62.623496657317496</c:v>
                </c:pt>
                <c:pt idx="8">
                  <c:v>62.799603719577149</c:v>
                </c:pt>
                <c:pt idx="9">
                  <c:v>62.914132611266233</c:v>
                </c:pt>
                <c:pt idx="10">
                  <c:v>62.581054111203215</c:v>
                </c:pt>
                <c:pt idx="11">
                  <c:v>63.728220619560005</c:v>
                </c:pt>
                <c:pt idx="12">
                  <c:v>62.591747434998041</c:v>
                </c:pt>
                <c:pt idx="13">
                  <c:v>62.341652726675498</c:v>
                </c:pt>
                <c:pt idx="14">
                  <c:v>61.93970958909798</c:v>
                </c:pt>
                <c:pt idx="15">
                  <c:v>62.919938109241293</c:v>
                </c:pt>
                <c:pt idx="16">
                  <c:v>61.513686699921649</c:v>
                </c:pt>
                <c:pt idx="17">
                  <c:v>62.721576250242649</c:v>
                </c:pt>
                <c:pt idx="18">
                  <c:v>61.974532292693276</c:v>
                </c:pt>
                <c:pt idx="19">
                  <c:v>61.305243393945517</c:v>
                </c:pt>
                <c:pt idx="20">
                  <c:v>59.311637448875096</c:v>
                </c:pt>
                <c:pt idx="21">
                  <c:v>58.088079957304082</c:v>
                </c:pt>
                <c:pt idx="22">
                  <c:v>59.133346329489513</c:v>
                </c:pt>
                <c:pt idx="23">
                  <c:v>61.278588318115681</c:v>
                </c:pt>
                <c:pt idx="24">
                  <c:v>60.757336155619868</c:v>
                </c:pt>
                <c:pt idx="25">
                  <c:v>59.616991274896698</c:v>
                </c:pt>
                <c:pt idx="26">
                  <c:v>59.223923920767916</c:v>
                </c:pt>
                <c:pt idx="27">
                  <c:v>58.472098064675791</c:v>
                </c:pt>
                <c:pt idx="28">
                  <c:v>59.768855037205078</c:v>
                </c:pt>
                <c:pt idx="29">
                  <c:v>61.022723992319591</c:v>
                </c:pt>
                <c:pt idx="30">
                  <c:v>59.8461889112289</c:v>
                </c:pt>
                <c:pt idx="31">
                  <c:v>58.450789102569871</c:v>
                </c:pt>
                <c:pt idx="32">
                  <c:v>58.032330486486529</c:v>
                </c:pt>
                <c:pt idx="33">
                  <c:v>58.246292532371839</c:v>
                </c:pt>
                <c:pt idx="34">
                  <c:v>60.703054316633647</c:v>
                </c:pt>
                <c:pt idx="35">
                  <c:v>60.522596403660053</c:v>
                </c:pt>
                <c:pt idx="36">
                  <c:v>61.196952503610611</c:v>
                </c:pt>
                <c:pt idx="37">
                  <c:v>61.020762524215478</c:v>
                </c:pt>
                <c:pt idx="38">
                  <c:v>60.8996581402128</c:v>
                </c:pt>
                <c:pt idx="39">
                  <c:v>60.417328650529157</c:v>
                </c:pt>
                <c:pt idx="40">
                  <c:v>61.203275967764561</c:v>
                </c:pt>
                <c:pt idx="41">
                  <c:v>61.091828955411337</c:v>
                </c:pt>
                <c:pt idx="42">
                  <c:v>61.948368620856179</c:v>
                </c:pt>
                <c:pt idx="43">
                  <c:v>65.404720779339613</c:v>
                </c:pt>
                <c:pt idx="44">
                  <c:v>65.56919267582164</c:v>
                </c:pt>
                <c:pt idx="45">
                  <c:v>64.90279885909429</c:v>
                </c:pt>
                <c:pt idx="46">
                  <c:v>66.695037035294263</c:v>
                </c:pt>
                <c:pt idx="47">
                  <c:v>68.511353540091321</c:v>
                </c:pt>
                <c:pt idx="48">
                  <c:v>70.50618447243842</c:v>
                </c:pt>
                <c:pt idx="49">
                  <c:v>70.265104610421716</c:v>
                </c:pt>
                <c:pt idx="50">
                  <c:v>71.051186100348502</c:v>
                </c:pt>
                <c:pt idx="51">
                  <c:v>71.665074928354031</c:v>
                </c:pt>
                <c:pt idx="52">
                  <c:v>72.039870204714035</c:v>
                </c:pt>
                <c:pt idx="53">
                  <c:v>74.491110237659768</c:v>
                </c:pt>
                <c:pt idx="54">
                  <c:v>74.171619425884685</c:v>
                </c:pt>
                <c:pt idx="55">
                  <c:v>71.120482305822051</c:v>
                </c:pt>
                <c:pt idx="56">
                  <c:v>71.105527796500837</c:v>
                </c:pt>
                <c:pt idx="57">
                  <c:v>70.882032226411425</c:v>
                </c:pt>
                <c:pt idx="58">
                  <c:v>72.782718284662977</c:v>
                </c:pt>
                <c:pt idx="59">
                  <c:v>71.546559928060248</c:v>
                </c:pt>
                <c:pt idx="60">
                  <c:v>70.793405707308963</c:v>
                </c:pt>
                <c:pt idx="61">
                  <c:v>69.658552077740111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5A39-4566-8EE6-6D0A89D219EA}"/>
            </c:ext>
          </c:extLst>
        </c:ser>
        <c:ser>
          <c:idx val="91"/>
          <c:order val="90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Carlo'!$E$92:$BN$92</c:f>
              <c:numCache>
                <c:formatCode>General</c:formatCode>
                <c:ptCount val="62"/>
                <c:pt idx="1">
                  <c:v>60.99</c:v>
                </c:pt>
                <c:pt idx="2">
                  <c:v>60.796014926381091</c:v>
                </c:pt>
                <c:pt idx="3">
                  <c:v>62.157724027304923</c:v>
                </c:pt>
                <c:pt idx="4">
                  <c:v>62.520828492062066</c:v>
                </c:pt>
                <c:pt idx="5">
                  <c:v>62.543579912425642</c:v>
                </c:pt>
                <c:pt idx="6">
                  <c:v>61.141388655569436</c:v>
                </c:pt>
                <c:pt idx="7">
                  <c:v>61.846274695651495</c:v>
                </c:pt>
                <c:pt idx="8">
                  <c:v>63.529118890234621</c:v>
                </c:pt>
                <c:pt idx="9">
                  <c:v>62.860726324790861</c:v>
                </c:pt>
                <c:pt idx="10">
                  <c:v>63.643739291230425</c:v>
                </c:pt>
                <c:pt idx="11">
                  <c:v>64.346202807001035</c:v>
                </c:pt>
                <c:pt idx="12">
                  <c:v>65.202440567767596</c:v>
                </c:pt>
                <c:pt idx="13">
                  <c:v>65.133809555251219</c:v>
                </c:pt>
                <c:pt idx="14">
                  <c:v>65.952938682810114</c:v>
                </c:pt>
                <c:pt idx="15">
                  <c:v>66.983088484411965</c:v>
                </c:pt>
                <c:pt idx="16">
                  <c:v>67.386181407402631</c:v>
                </c:pt>
                <c:pt idx="17">
                  <c:v>66.948609244215106</c:v>
                </c:pt>
                <c:pt idx="18">
                  <c:v>66.722760972922046</c:v>
                </c:pt>
                <c:pt idx="19">
                  <c:v>65.943496441473883</c:v>
                </c:pt>
                <c:pt idx="20">
                  <c:v>68.224325112830783</c:v>
                </c:pt>
                <c:pt idx="21">
                  <c:v>67.722442883750062</c:v>
                </c:pt>
                <c:pt idx="22">
                  <c:v>68.294793585326289</c:v>
                </c:pt>
                <c:pt idx="23">
                  <c:v>67.594531768360923</c:v>
                </c:pt>
                <c:pt idx="24">
                  <c:v>66.84158313603055</c:v>
                </c:pt>
                <c:pt idx="25">
                  <c:v>66.448238802171772</c:v>
                </c:pt>
                <c:pt idx="26">
                  <c:v>67.124937762105773</c:v>
                </c:pt>
                <c:pt idx="27">
                  <c:v>68.216193065256974</c:v>
                </c:pt>
                <c:pt idx="28">
                  <c:v>69.574438661890866</c:v>
                </c:pt>
                <c:pt idx="29">
                  <c:v>69.638204562023105</c:v>
                </c:pt>
                <c:pt idx="30">
                  <c:v>70.152937807322871</c:v>
                </c:pt>
                <c:pt idx="31">
                  <c:v>70.393969569355733</c:v>
                </c:pt>
                <c:pt idx="32">
                  <c:v>69.032072326840492</c:v>
                </c:pt>
                <c:pt idx="33">
                  <c:v>67.756839675140796</c:v>
                </c:pt>
                <c:pt idx="34">
                  <c:v>67.922768960358368</c:v>
                </c:pt>
                <c:pt idx="35">
                  <c:v>66.528229486568705</c:v>
                </c:pt>
                <c:pt idx="36">
                  <c:v>65.868679108199103</c:v>
                </c:pt>
                <c:pt idx="37">
                  <c:v>67.583334531799821</c:v>
                </c:pt>
                <c:pt idx="38">
                  <c:v>66.455944381289143</c:v>
                </c:pt>
                <c:pt idx="39">
                  <c:v>66.566343626432982</c:v>
                </c:pt>
                <c:pt idx="40">
                  <c:v>66.77195984844613</c:v>
                </c:pt>
                <c:pt idx="41">
                  <c:v>67.593983583853671</c:v>
                </c:pt>
                <c:pt idx="42">
                  <c:v>68.274800330673173</c:v>
                </c:pt>
                <c:pt idx="43">
                  <c:v>69.273801812922372</c:v>
                </c:pt>
                <c:pt idx="44">
                  <c:v>68.939534495877965</c:v>
                </c:pt>
                <c:pt idx="45">
                  <c:v>68.909455986808766</c:v>
                </c:pt>
                <c:pt idx="46">
                  <c:v>69.602527008666215</c:v>
                </c:pt>
                <c:pt idx="47">
                  <c:v>68.816847047881197</c:v>
                </c:pt>
                <c:pt idx="48">
                  <c:v>67.973016041853924</c:v>
                </c:pt>
                <c:pt idx="49">
                  <c:v>67.176139968823165</c:v>
                </c:pt>
                <c:pt idx="50">
                  <c:v>67.076559577770396</c:v>
                </c:pt>
                <c:pt idx="51">
                  <c:v>68.360365800275119</c:v>
                </c:pt>
                <c:pt idx="52">
                  <c:v>69.557086968878892</c:v>
                </c:pt>
                <c:pt idx="53">
                  <c:v>70.256846694598394</c:v>
                </c:pt>
                <c:pt idx="54">
                  <c:v>70.263204383822782</c:v>
                </c:pt>
                <c:pt idx="55">
                  <c:v>72.430499402316684</c:v>
                </c:pt>
                <c:pt idx="56">
                  <c:v>72.644385900258357</c:v>
                </c:pt>
                <c:pt idx="57">
                  <c:v>71.808608585809139</c:v>
                </c:pt>
                <c:pt idx="58">
                  <c:v>74.285283702161067</c:v>
                </c:pt>
                <c:pt idx="59">
                  <c:v>75.651892500463347</c:v>
                </c:pt>
                <c:pt idx="60">
                  <c:v>74.451408706095151</c:v>
                </c:pt>
                <c:pt idx="61">
                  <c:v>75.240890638264659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5A39-4566-8EE6-6D0A89D219EA}"/>
            </c:ext>
          </c:extLst>
        </c:ser>
        <c:ser>
          <c:idx val="92"/>
          <c:order val="91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Carlo'!$E$93:$BN$93</c:f>
              <c:numCache>
                <c:formatCode>General</c:formatCode>
                <c:ptCount val="62"/>
                <c:pt idx="1">
                  <c:v>60.99</c:v>
                </c:pt>
                <c:pt idx="2">
                  <c:v>59.386922158048975</c:v>
                </c:pt>
                <c:pt idx="3">
                  <c:v>60.244809820419633</c:v>
                </c:pt>
                <c:pt idx="4">
                  <c:v>60.11053598851224</c:v>
                </c:pt>
                <c:pt idx="5">
                  <c:v>59.197765307745193</c:v>
                </c:pt>
                <c:pt idx="6">
                  <c:v>58.796932193026095</c:v>
                </c:pt>
                <c:pt idx="7">
                  <c:v>61.260965404033271</c:v>
                </c:pt>
                <c:pt idx="8">
                  <c:v>60.997283016719372</c:v>
                </c:pt>
                <c:pt idx="9">
                  <c:v>61.372544987787919</c:v>
                </c:pt>
                <c:pt idx="10">
                  <c:v>60.566857602587682</c:v>
                </c:pt>
                <c:pt idx="11">
                  <c:v>62.727494768000284</c:v>
                </c:pt>
                <c:pt idx="12">
                  <c:v>61.819495581338728</c:v>
                </c:pt>
                <c:pt idx="13">
                  <c:v>63.891284321952476</c:v>
                </c:pt>
                <c:pt idx="14">
                  <c:v>61.569419667897158</c:v>
                </c:pt>
                <c:pt idx="15">
                  <c:v>61.629725524601461</c:v>
                </c:pt>
                <c:pt idx="16">
                  <c:v>62.59069187048182</c:v>
                </c:pt>
                <c:pt idx="17">
                  <c:v>62.67024036717995</c:v>
                </c:pt>
                <c:pt idx="18">
                  <c:v>62.766242909796908</c:v>
                </c:pt>
                <c:pt idx="19">
                  <c:v>61.811788098745239</c:v>
                </c:pt>
                <c:pt idx="20">
                  <c:v>61.913512378392156</c:v>
                </c:pt>
                <c:pt idx="21">
                  <c:v>61.970210969140354</c:v>
                </c:pt>
                <c:pt idx="22">
                  <c:v>62.928662492346419</c:v>
                </c:pt>
                <c:pt idx="23">
                  <c:v>64.177320134532366</c:v>
                </c:pt>
                <c:pt idx="24">
                  <c:v>63.645037337163863</c:v>
                </c:pt>
                <c:pt idx="25">
                  <c:v>63.446754591240015</c:v>
                </c:pt>
                <c:pt idx="26">
                  <c:v>64.580766636097962</c:v>
                </c:pt>
                <c:pt idx="27">
                  <c:v>67.689809076226837</c:v>
                </c:pt>
                <c:pt idx="28">
                  <c:v>68.237346684215353</c:v>
                </c:pt>
                <c:pt idx="29">
                  <c:v>68.465868009618859</c:v>
                </c:pt>
                <c:pt idx="30">
                  <c:v>68.590672383266565</c:v>
                </c:pt>
                <c:pt idx="31">
                  <c:v>66.482606268099644</c:v>
                </c:pt>
                <c:pt idx="32">
                  <c:v>68.657738369203912</c:v>
                </c:pt>
                <c:pt idx="33">
                  <c:v>65.869125418804359</c:v>
                </c:pt>
                <c:pt idx="34">
                  <c:v>65.603440565882551</c:v>
                </c:pt>
                <c:pt idx="35">
                  <c:v>66.997166794700902</c:v>
                </c:pt>
                <c:pt idx="36">
                  <c:v>67.479935055733307</c:v>
                </c:pt>
                <c:pt idx="37">
                  <c:v>68.990565942132875</c:v>
                </c:pt>
                <c:pt idx="38">
                  <c:v>69.722398929573529</c:v>
                </c:pt>
                <c:pt idx="39">
                  <c:v>70.175360801732936</c:v>
                </c:pt>
                <c:pt idx="40">
                  <c:v>71.682979336385955</c:v>
                </c:pt>
                <c:pt idx="41">
                  <c:v>70.833347404411668</c:v>
                </c:pt>
                <c:pt idx="42">
                  <c:v>72.200944712034598</c:v>
                </c:pt>
                <c:pt idx="43">
                  <c:v>74.624332218837921</c:v>
                </c:pt>
                <c:pt idx="44">
                  <c:v>74.747084472268895</c:v>
                </c:pt>
                <c:pt idx="45">
                  <c:v>74.888840061130921</c:v>
                </c:pt>
                <c:pt idx="46">
                  <c:v>75.325125232770574</c:v>
                </c:pt>
                <c:pt idx="47">
                  <c:v>73.500259637468986</c:v>
                </c:pt>
                <c:pt idx="48">
                  <c:v>73.020895790647913</c:v>
                </c:pt>
                <c:pt idx="49">
                  <c:v>73.623471457921625</c:v>
                </c:pt>
                <c:pt idx="50">
                  <c:v>76.37689418431259</c:v>
                </c:pt>
                <c:pt idx="51">
                  <c:v>76.192464223484762</c:v>
                </c:pt>
                <c:pt idx="52">
                  <c:v>76.957735238725334</c:v>
                </c:pt>
                <c:pt idx="53">
                  <c:v>79.933909818377131</c:v>
                </c:pt>
                <c:pt idx="54">
                  <c:v>81.003355320885916</c:v>
                </c:pt>
                <c:pt idx="55">
                  <c:v>82.144306891251418</c:v>
                </c:pt>
                <c:pt idx="56">
                  <c:v>82.479132563080185</c:v>
                </c:pt>
                <c:pt idx="57">
                  <c:v>82.424674534098372</c:v>
                </c:pt>
                <c:pt idx="58">
                  <c:v>84.134928491025832</c:v>
                </c:pt>
                <c:pt idx="59">
                  <c:v>83.734460080665585</c:v>
                </c:pt>
                <c:pt idx="60">
                  <c:v>84.453493297601995</c:v>
                </c:pt>
                <c:pt idx="61">
                  <c:v>84.36599966440869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5A39-4566-8EE6-6D0A89D219EA}"/>
            </c:ext>
          </c:extLst>
        </c:ser>
        <c:ser>
          <c:idx val="93"/>
          <c:order val="92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Carlo'!$E$94:$BN$94</c:f>
              <c:numCache>
                <c:formatCode>General</c:formatCode>
                <c:ptCount val="62"/>
                <c:pt idx="1">
                  <c:v>60.99</c:v>
                </c:pt>
                <c:pt idx="2">
                  <c:v>60.372848018727566</c:v>
                </c:pt>
                <c:pt idx="3">
                  <c:v>60.162100640461333</c:v>
                </c:pt>
                <c:pt idx="4">
                  <c:v>59.648981363910416</c:v>
                </c:pt>
                <c:pt idx="5">
                  <c:v>58.913727017622449</c:v>
                </c:pt>
                <c:pt idx="6">
                  <c:v>60.379724659346593</c:v>
                </c:pt>
                <c:pt idx="7">
                  <c:v>61.032397201944718</c:v>
                </c:pt>
                <c:pt idx="8">
                  <c:v>61.864766033857471</c:v>
                </c:pt>
                <c:pt idx="9">
                  <c:v>63.919605702123448</c:v>
                </c:pt>
                <c:pt idx="10">
                  <c:v>64.098080094829086</c:v>
                </c:pt>
                <c:pt idx="11">
                  <c:v>63.950774110442126</c:v>
                </c:pt>
                <c:pt idx="12">
                  <c:v>61.882471664686094</c:v>
                </c:pt>
                <c:pt idx="13">
                  <c:v>62.270282079706078</c:v>
                </c:pt>
                <c:pt idx="14">
                  <c:v>60.841814140481262</c:v>
                </c:pt>
                <c:pt idx="15">
                  <c:v>61.205229418568102</c:v>
                </c:pt>
                <c:pt idx="16">
                  <c:v>60.810444356684904</c:v>
                </c:pt>
                <c:pt idx="17">
                  <c:v>62.833295810903032</c:v>
                </c:pt>
                <c:pt idx="18">
                  <c:v>62.586554518869285</c:v>
                </c:pt>
                <c:pt idx="19">
                  <c:v>63.309243098972054</c:v>
                </c:pt>
                <c:pt idx="20">
                  <c:v>64.263887729791136</c:v>
                </c:pt>
                <c:pt idx="21">
                  <c:v>63.3021041450464</c:v>
                </c:pt>
                <c:pt idx="22">
                  <c:v>63.598997888289723</c:v>
                </c:pt>
                <c:pt idx="23">
                  <c:v>65.834645794048015</c:v>
                </c:pt>
                <c:pt idx="24">
                  <c:v>66.48716876907838</c:v>
                </c:pt>
                <c:pt idx="25">
                  <c:v>67.089930822038994</c:v>
                </c:pt>
                <c:pt idx="26">
                  <c:v>68.565460816785617</c:v>
                </c:pt>
                <c:pt idx="27">
                  <c:v>70.107300882095203</c:v>
                </c:pt>
                <c:pt idx="28">
                  <c:v>70.682465228735765</c:v>
                </c:pt>
                <c:pt idx="29">
                  <c:v>69.855945731297695</c:v>
                </c:pt>
                <c:pt idx="30">
                  <c:v>68.78003107249738</c:v>
                </c:pt>
                <c:pt idx="31">
                  <c:v>68.475202537902277</c:v>
                </c:pt>
                <c:pt idx="32">
                  <c:v>67.851688487245497</c:v>
                </c:pt>
                <c:pt idx="33">
                  <c:v>67.964345609765786</c:v>
                </c:pt>
                <c:pt idx="34">
                  <c:v>69.005642191992166</c:v>
                </c:pt>
                <c:pt idx="35">
                  <c:v>70.603990665088062</c:v>
                </c:pt>
                <c:pt idx="36">
                  <c:v>70.05628103610951</c:v>
                </c:pt>
                <c:pt idx="37">
                  <c:v>70.052398372058235</c:v>
                </c:pt>
                <c:pt idx="38">
                  <c:v>69.603556442679036</c:v>
                </c:pt>
                <c:pt idx="39">
                  <c:v>69.122120845372933</c:v>
                </c:pt>
                <c:pt idx="40">
                  <c:v>71.498642710601786</c:v>
                </c:pt>
                <c:pt idx="41">
                  <c:v>72.421560627474932</c:v>
                </c:pt>
                <c:pt idx="42">
                  <c:v>72.937220747808396</c:v>
                </c:pt>
                <c:pt idx="43">
                  <c:v>73.063483260925949</c:v>
                </c:pt>
                <c:pt idx="44">
                  <c:v>72.739312910967456</c:v>
                </c:pt>
                <c:pt idx="45">
                  <c:v>73.762519119628308</c:v>
                </c:pt>
                <c:pt idx="46">
                  <c:v>75.078947417938394</c:v>
                </c:pt>
                <c:pt idx="47">
                  <c:v>75.665056128289876</c:v>
                </c:pt>
                <c:pt idx="48">
                  <c:v>76.814953772820047</c:v>
                </c:pt>
                <c:pt idx="49">
                  <c:v>75.393617309432926</c:v>
                </c:pt>
                <c:pt idx="50">
                  <c:v>74.697290136874614</c:v>
                </c:pt>
                <c:pt idx="51">
                  <c:v>74.017026340580415</c:v>
                </c:pt>
                <c:pt idx="52">
                  <c:v>73.756282206002169</c:v>
                </c:pt>
                <c:pt idx="53">
                  <c:v>71.694727637598007</c:v>
                </c:pt>
                <c:pt idx="54">
                  <c:v>72.556964663043289</c:v>
                </c:pt>
                <c:pt idx="55">
                  <c:v>74.768896145583611</c:v>
                </c:pt>
                <c:pt idx="56">
                  <c:v>73.535258617275773</c:v>
                </c:pt>
                <c:pt idx="57">
                  <c:v>74.851435463784583</c:v>
                </c:pt>
                <c:pt idx="58">
                  <c:v>73.574580000584618</c:v>
                </c:pt>
                <c:pt idx="59">
                  <c:v>74.418628045027035</c:v>
                </c:pt>
                <c:pt idx="60">
                  <c:v>76.738394174801613</c:v>
                </c:pt>
                <c:pt idx="61">
                  <c:v>76.897859550044899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7-5A39-4566-8EE6-6D0A89D219EA}"/>
            </c:ext>
          </c:extLst>
        </c:ser>
        <c:ser>
          <c:idx val="94"/>
          <c:order val="93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Carlo'!$E$95:$BN$95</c:f>
              <c:numCache>
                <c:formatCode>General</c:formatCode>
                <c:ptCount val="62"/>
                <c:pt idx="1">
                  <c:v>60.99</c:v>
                </c:pt>
                <c:pt idx="2">
                  <c:v>60.362471431250349</c:v>
                </c:pt>
                <c:pt idx="3">
                  <c:v>58.406634048710956</c:v>
                </c:pt>
                <c:pt idx="4">
                  <c:v>59.228899164572354</c:v>
                </c:pt>
                <c:pt idx="5">
                  <c:v>58.858283026436631</c:v>
                </c:pt>
                <c:pt idx="6">
                  <c:v>58.44226041063574</c:v>
                </c:pt>
                <c:pt idx="7">
                  <c:v>59.828876472375669</c:v>
                </c:pt>
                <c:pt idx="8">
                  <c:v>59.868612994888224</c:v>
                </c:pt>
                <c:pt idx="9">
                  <c:v>60.180375889284655</c:v>
                </c:pt>
                <c:pt idx="10">
                  <c:v>60.523362099478199</c:v>
                </c:pt>
                <c:pt idx="11">
                  <c:v>59.841876554628989</c:v>
                </c:pt>
                <c:pt idx="12">
                  <c:v>58.770622207612718</c:v>
                </c:pt>
                <c:pt idx="13">
                  <c:v>57.992565440736662</c:v>
                </c:pt>
                <c:pt idx="14">
                  <c:v>57.844181721198289</c:v>
                </c:pt>
                <c:pt idx="15">
                  <c:v>58.869560472099394</c:v>
                </c:pt>
                <c:pt idx="16">
                  <c:v>60.1943063964994</c:v>
                </c:pt>
                <c:pt idx="17">
                  <c:v>60.945234701263665</c:v>
                </c:pt>
                <c:pt idx="18">
                  <c:v>59.040173254912936</c:v>
                </c:pt>
                <c:pt idx="19">
                  <c:v>60.167156123548921</c:v>
                </c:pt>
                <c:pt idx="20">
                  <c:v>61.076823294665424</c:v>
                </c:pt>
                <c:pt idx="21">
                  <c:v>60.099425148851218</c:v>
                </c:pt>
                <c:pt idx="22">
                  <c:v>61.761305657148711</c:v>
                </c:pt>
                <c:pt idx="23">
                  <c:v>59.678332066294494</c:v>
                </c:pt>
                <c:pt idx="24">
                  <c:v>59.258338750687152</c:v>
                </c:pt>
                <c:pt idx="25">
                  <c:v>59.287142972739026</c:v>
                </c:pt>
                <c:pt idx="26">
                  <c:v>60.732240700477405</c:v>
                </c:pt>
                <c:pt idx="27">
                  <c:v>61.656322194446084</c:v>
                </c:pt>
                <c:pt idx="28">
                  <c:v>63.122109767075813</c:v>
                </c:pt>
                <c:pt idx="29">
                  <c:v>64.753222054357437</c:v>
                </c:pt>
                <c:pt idx="30">
                  <c:v>63.208562033698328</c:v>
                </c:pt>
                <c:pt idx="31">
                  <c:v>63.252361452650838</c:v>
                </c:pt>
                <c:pt idx="32">
                  <c:v>64.740655000907921</c:v>
                </c:pt>
                <c:pt idx="33">
                  <c:v>63.502559920701778</c:v>
                </c:pt>
                <c:pt idx="34">
                  <c:v>64.696276111476564</c:v>
                </c:pt>
                <c:pt idx="35">
                  <c:v>62.803499489026649</c:v>
                </c:pt>
                <c:pt idx="36">
                  <c:v>63.54312403305029</c:v>
                </c:pt>
                <c:pt idx="37">
                  <c:v>62.979159732295486</c:v>
                </c:pt>
                <c:pt idx="38">
                  <c:v>62.63118415664956</c:v>
                </c:pt>
                <c:pt idx="39">
                  <c:v>62.18620636399708</c:v>
                </c:pt>
                <c:pt idx="40">
                  <c:v>62.731904243492927</c:v>
                </c:pt>
                <c:pt idx="41">
                  <c:v>63.03761773864656</c:v>
                </c:pt>
                <c:pt idx="42">
                  <c:v>61.912885495139008</c:v>
                </c:pt>
                <c:pt idx="43">
                  <c:v>60.748175066933648</c:v>
                </c:pt>
                <c:pt idx="44">
                  <c:v>60.723292395521369</c:v>
                </c:pt>
                <c:pt idx="45">
                  <c:v>62.934194784382441</c:v>
                </c:pt>
                <c:pt idx="46">
                  <c:v>61.332944979927042</c:v>
                </c:pt>
                <c:pt idx="47">
                  <c:v>58.812809421706767</c:v>
                </c:pt>
                <c:pt idx="48">
                  <c:v>58.610642823792411</c:v>
                </c:pt>
                <c:pt idx="49">
                  <c:v>59.00393800343528</c:v>
                </c:pt>
                <c:pt idx="50">
                  <c:v>57.67619955323152</c:v>
                </c:pt>
                <c:pt idx="51">
                  <c:v>57.240344558353264</c:v>
                </c:pt>
                <c:pt idx="52">
                  <c:v>57.11003063910438</c:v>
                </c:pt>
                <c:pt idx="53">
                  <c:v>56.221708434669047</c:v>
                </c:pt>
                <c:pt idx="54">
                  <c:v>56.262210483339359</c:v>
                </c:pt>
                <c:pt idx="55">
                  <c:v>55.31206957528682</c:v>
                </c:pt>
                <c:pt idx="56">
                  <c:v>54.625641663673072</c:v>
                </c:pt>
                <c:pt idx="57">
                  <c:v>55.216828631551188</c:v>
                </c:pt>
                <c:pt idx="58">
                  <c:v>55.019591954634876</c:v>
                </c:pt>
                <c:pt idx="59">
                  <c:v>54.234470251711862</c:v>
                </c:pt>
                <c:pt idx="60">
                  <c:v>54.000890767187286</c:v>
                </c:pt>
                <c:pt idx="61">
                  <c:v>54.882295176416612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8-5A39-4566-8EE6-6D0A89D219EA}"/>
            </c:ext>
          </c:extLst>
        </c:ser>
        <c:ser>
          <c:idx val="95"/>
          <c:order val="94"/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Carlo'!$E$96:$BN$96</c:f>
              <c:numCache>
                <c:formatCode>General</c:formatCode>
                <c:ptCount val="62"/>
                <c:pt idx="1">
                  <c:v>60.99</c:v>
                </c:pt>
                <c:pt idx="2">
                  <c:v>61.310891598147819</c:v>
                </c:pt>
                <c:pt idx="3">
                  <c:v>59.632907263204359</c:v>
                </c:pt>
                <c:pt idx="4">
                  <c:v>59.457491971290345</c:v>
                </c:pt>
                <c:pt idx="5">
                  <c:v>59.53111850541422</c:v>
                </c:pt>
                <c:pt idx="6">
                  <c:v>60.508345328217459</c:v>
                </c:pt>
                <c:pt idx="7">
                  <c:v>59.491506660667483</c:v>
                </c:pt>
                <c:pt idx="8">
                  <c:v>59.292762660146607</c:v>
                </c:pt>
                <c:pt idx="9">
                  <c:v>56.974662503294468</c:v>
                </c:pt>
                <c:pt idx="10">
                  <c:v>57.331438521036993</c:v>
                </c:pt>
                <c:pt idx="11">
                  <c:v>56.027622933686395</c:v>
                </c:pt>
                <c:pt idx="12">
                  <c:v>54.275381813086184</c:v>
                </c:pt>
                <c:pt idx="13">
                  <c:v>55.247826598409723</c:v>
                </c:pt>
                <c:pt idx="14">
                  <c:v>54.064119611430527</c:v>
                </c:pt>
                <c:pt idx="15">
                  <c:v>53.038236774818046</c:v>
                </c:pt>
                <c:pt idx="16">
                  <c:v>52.114300761176665</c:v>
                </c:pt>
                <c:pt idx="17">
                  <c:v>53.432177531661388</c:v>
                </c:pt>
                <c:pt idx="18">
                  <c:v>53.886799303511538</c:v>
                </c:pt>
                <c:pt idx="19">
                  <c:v>54.408204478256458</c:v>
                </c:pt>
                <c:pt idx="20">
                  <c:v>54.758151878542378</c:v>
                </c:pt>
                <c:pt idx="21">
                  <c:v>55.691891466881067</c:v>
                </c:pt>
                <c:pt idx="22">
                  <c:v>57.156593604019605</c:v>
                </c:pt>
                <c:pt idx="23">
                  <c:v>57.505178012659307</c:v>
                </c:pt>
                <c:pt idx="24">
                  <c:v>58.535262696230198</c:v>
                </c:pt>
                <c:pt idx="25">
                  <c:v>57.53742023083872</c:v>
                </c:pt>
                <c:pt idx="26">
                  <c:v>57.398039068948691</c:v>
                </c:pt>
                <c:pt idx="27">
                  <c:v>56.779541819329125</c:v>
                </c:pt>
                <c:pt idx="28">
                  <c:v>58.008675795716641</c:v>
                </c:pt>
                <c:pt idx="29">
                  <c:v>57.64060050786243</c:v>
                </c:pt>
                <c:pt idx="30">
                  <c:v>56.33682871177966</c:v>
                </c:pt>
                <c:pt idx="31">
                  <c:v>56.298437243621883</c:v>
                </c:pt>
                <c:pt idx="32">
                  <c:v>56.423829865422903</c:v>
                </c:pt>
                <c:pt idx="33">
                  <c:v>58.57162990196494</c:v>
                </c:pt>
                <c:pt idx="34">
                  <c:v>59.515140201664828</c:v>
                </c:pt>
                <c:pt idx="35">
                  <c:v>58.703820835898966</c:v>
                </c:pt>
                <c:pt idx="36">
                  <c:v>57.133884395623326</c:v>
                </c:pt>
                <c:pt idx="37">
                  <c:v>59.523439476956838</c:v>
                </c:pt>
                <c:pt idx="38">
                  <c:v>61.178872285197123</c:v>
                </c:pt>
                <c:pt idx="39">
                  <c:v>62.060580979006168</c:v>
                </c:pt>
                <c:pt idx="40">
                  <c:v>60.618229268569451</c:v>
                </c:pt>
                <c:pt idx="41">
                  <c:v>62.924110142792657</c:v>
                </c:pt>
                <c:pt idx="42">
                  <c:v>62.407930263706639</c:v>
                </c:pt>
                <c:pt idx="43">
                  <c:v>63.267068489835033</c:v>
                </c:pt>
                <c:pt idx="44">
                  <c:v>62.992238837092394</c:v>
                </c:pt>
                <c:pt idx="45">
                  <c:v>62.265483244869195</c:v>
                </c:pt>
                <c:pt idx="46">
                  <c:v>60.912721156875342</c:v>
                </c:pt>
                <c:pt idx="47">
                  <c:v>60.317017364694387</c:v>
                </c:pt>
                <c:pt idx="48">
                  <c:v>59.348098148214525</c:v>
                </c:pt>
                <c:pt idx="49">
                  <c:v>59.000242211496641</c:v>
                </c:pt>
                <c:pt idx="50">
                  <c:v>59.113893165361304</c:v>
                </c:pt>
                <c:pt idx="51">
                  <c:v>58.373707351502858</c:v>
                </c:pt>
                <c:pt idx="52">
                  <c:v>58.297825362138269</c:v>
                </c:pt>
                <c:pt idx="53">
                  <c:v>56.910528040921371</c:v>
                </c:pt>
                <c:pt idx="54">
                  <c:v>57.416379727245825</c:v>
                </c:pt>
                <c:pt idx="55">
                  <c:v>57.335718955380983</c:v>
                </c:pt>
                <c:pt idx="56">
                  <c:v>57.409335587348316</c:v>
                </c:pt>
                <c:pt idx="57">
                  <c:v>57.250960026175932</c:v>
                </c:pt>
                <c:pt idx="58">
                  <c:v>57.167135601041025</c:v>
                </c:pt>
                <c:pt idx="59">
                  <c:v>55.523611952330157</c:v>
                </c:pt>
                <c:pt idx="60">
                  <c:v>55.465253212865733</c:v>
                </c:pt>
                <c:pt idx="61">
                  <c:v>56.322582778568695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9-5A39-4566-8EE6-6D0A89D219EA}"/>
            </c:ext>
          </c:extLst>
        </c:ser>
        <c:ser>
          <c:idx val="96"/>
          <c:order val="95"/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Carlo'!$E$97:$BN$97</c:f>
              <c:numCache>
                <c:formatCode>General</c:formatCode>
                <c:ptCount val="62"/>
                <c:pt idx="1">
                  <c:v>60.99</c:v>
                </c:pt>
                <c:pt idx="2">
                  <c:v>59.696539161326015</c:v>
                </c:pt>
                <c:pt idx="3">
                  <c:v>60.893217092540972</c:v>
                </c:pt>
                <c:pt idx="4">
                  <c:v>60.348977855328137</c:v>
                </c:pt>
                <c:pt idx="5">
                  <c:v>58.396528638388638</c:v>
                </c:pt>
                <c:pt idx="6">
                  <c:v>57.967519774174676</c:v>
                </c:pt>
                <c:pt idx="7">
                  <c:v>59.834712501460793</c:v>
                </c:pt>
                <c:pt idx="8">
                  <c:v>59.081270209022591</c:v>
                </c:pt>
                <c:pt idx="9">
                  <c:v>57.733392589091423</c:v>
                </c:pt>
                <c:pt idx="10">
                  <c:v>58.163738233110685</c:v>
                </c:pt>
                <c:pt idx="11">
                  <c:v>59.906253638212128</c:v>
                </c:pt>
                <c:pt idx="12">
                  <c:v>61.670507569860469</c:v>
                </c:pt>
                <c:pt idx="13">
                  <c:v>62.875027937256974</c:v>
                </c:pt>
                <c:pt idx="14">
                  <c:v>60.51651797235553</c:v>
                </c:pt>
                <c:pt idx="15">
                  <c:v>61.352977412994967</c:v>
                </c:pt>
                <c:pt idx="16">
                  <c:v>61.778158233360209</c:v>
                </c:pt>
                <c:pt idx="17">
                  <c:v>61.304966103079813</c:v>
                </c:pt>
                <c:pt idx="18">
                  <c:v>60.056593163868591</c:v>
                </c:pt>
                <c:pt idx="19">
                  <c:v>60.109779066980693</c:v>
                </c:pt>
                <c:pt idx="20">
                  <c:v>62.239323683989305</c:v>
                </c:pt>
                <c:pt idx="21">
                  <c:v>61.939670228064458</c:v>
                </c:pt>
                <c:pt idx="22">
                  <c:v>60.227731645397704</c:v>
                </c:pt>
                <c:pt idx="23">
                  <c:v>61.768898624558823</c:v>
                </c:pt>
                <c:pt idx="24">
                  <c:v>61.349738037998165</c:v>
                </c:pt>
                <c:pt idx="25">
                  <c:v>61.507848176763382</c:v>
                </c:pt>
                <c:pt idx="26">
                  <c:v>62.189793763203809</c:v>
                </c:pt>
                <c:pt idx="27">
                  <c:v>61.928981168339398</c:v>
                </c:pt>
                <c:pt idx="28">
                  <c:v>60.658913221196265</c:v>
                </c:pt>
                <c:pt idx="29">
                  <c:v>60.776425524316807</c:v>
                </c:pt>
                <c:pt idx="30">
                  <c:v>62.897821500976839</c:v>
                </c:pt>
                <c:pt idx="31">
                  <c:v>63.644817008917421</c:v>
                </c:pt>
                <c:pt idx="32">
                  <c:v>63.81332311031278</c:v>
                </c:pt>
                <c:pt idx="33">
                  <c:v>63.881147415318679</c:v>
                </c:pt>
                <c:pt idx="34">
                  <c:v>62.826935425989241</c:v>
                </c:pt>
                <c:pt idx="35">
                  <c:v>64.397576481499101</c:v>
                </c:pt>
                <c:pt idx="36">
                  <c:v>63.127500265517853</c:v>
                </c:pt>
                <c:pt idx="37">
                  <c:v>63.494996662693985</c:v>
                </c:pt>
                <c:pt idx="38">
                  <c:v>62.370480067142523</c:v>
                </c:pt>
                <c:pt idx="39">
                  <c:v>63.200954833446481</c:v>
                </c:pt>
                <c:pt idx="40">
                  <c:v>64.211719370133437</c:v>
                </c:pt>
                <c:pt idx="41">
                  <c:v>63.018045010518172</c:v>
                </c:pt>
                <c:pt idx="42">
                  <c:v>61.798377558248134</c:v>
                </c:pt>
                <c:pt idx="43">
                  <c:v>59.847522575999776</c:v>
                </c:pt>
                <c:pt idx="44">
                  <c:v>58.511650656859473</c:v>
                </c:pt>
                <c:pt idx="45">
                  <c:v>59.766929356266004</c:v>
                </c:pt>
                <c:pt idx="46">
                  <c:v>58.773361425300422</c:v>
                </c:pt>
                <c:pt idx="47">
                  <c:v>60.006502237800326</c:v>
                </c:pt>
                <c:pt idx="48">
                  <c:v>59.210853808484103</c:v>
                </c:pt>
                <c:pt idx="49">
                  <c:v>56.244479330684676</c:v>
                </c:pt>
                <c:pt idx="50">
                  <c:v>56.311545569416175</c:v>
                </c:pt>
                <c:pt idx="51">
                  <c:v>57.76989434578303</c:v>
                </c:pt>
                <c:pt idx="52">
                  <c:v>57.957032323442611</c:v>
                </c:pt>
                <c:pt idx="53">
                  <c:v>59.547636623702068</c:v>
                </c:pt>
                <c:pt idx="54">
                  <c:v>61.915421535361986</c:v>
                </c:pt>
                <c:pt idx="55">
                  <c:v>60.665228151486659</c:v>
                </c:pt>
                <c:pt idx="56">
                  <c:v>61.402282520996913</c:v>
                </c:pt>
                <c:pt idx="57">
                  <c:v>62.747882057034325</c:v>
                </c:pt>
                <c:pt idx="58">
                  <c:v>64.647094503379321</c:v>
                </c:pt>
                <c:pt idx="59">
                  <c:v>62.652955145243958</c:v>
                </c:pt>
                <c:pt idx="60">
                  <c:v>63.454974582927711</c:v>
                </c:pt>
                <c:pt idx="61">
                  <c:v>64.293676324130431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5A39-4566-8EE6-6D0A89D219EA}"/>
            </c:ext>
          </c:extLst>
        </c:ser>
        <c:ser>
          <c:idx val="97"/>
          <c:order val="96"/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Carlo'!$E$98:$BN$98</c:f>
              <c:numCache>
                <c:formatCode>General</c:formatCode>
                <c:ptCount val="62"/>
                <c:pt idx="1">
                  <c:v>60.99</c:v>
                </c:pt>
                <c:pt idx="2">
                  <c:v>62.17397514859185</c:v>
                </c:pt>
                <c:pt idx="3">
                  <c:v>60.777062906924385</c:v>
                </c:pt>
                <c:pt idx="4">
                  <c:v>61.582424527625804</c:v>
                </c:pt>
                <c:pt idx="5">
                  <c:v>62.438389834471465</c:v>
                </c:pt>
                <c:pt idx="6">
                  <c:v>60.691825156194405</c:v>
                </c:pt>
                <c:pt idx="7">
                  <c:v>60.516580333945491</c:v>
                </c:pt>
                <c:pt idx="8">
                  <c:v>60.406152898769285</c:v>
                </c:pt>
                <c:pt idx="9">
                  <c:v>61.613171775084261</c:v>
                </c:pt>
                <c:pt idx="10">
                  <c:v>62.497973675879912</c:v>
                </c:pt>
                <c:pt idx="11">
                  <c:v>63.17987656409494</c:v>
                </c:pt>
                <c:pt idx="12">
                  <c:v>64.912533079379457</c:v>
                </c:pt>
                <c:pt idx="13">
                  <c:v>65.66883018084269</c:v>
                </c:pt>
                <c:pt idx="14">
                  <c:v>63.894821577500927</c:v>
                </c:pt>
                <c:pt idx="15">
                  <c:v>62.740888945405771</c:v>
                </c:pt>
                <c:pt idx="16">
                  <c:v>63.916231493761003</c:v>
                </c:pt>
                <c:pt idx="17">
                  <c:v>64.072509543349099</c:v>
                </c:pt>
                <c:pt idx="18">
                  <c:v>62.031786061970372</c:v>
                </c:pt>
                <c:pt idx="19">
                  <c:v>62.664901514741977</c:v>
                </c:pt>
                <c:pt idx="20">
                  <c:v>63.176582399544792</c:v>
                </c:pt>
                <c:pt idx="21">
                  <c:v>64.135692828070745</c:v>
                </c:pt>
                <c:pt idx="22">
                  <c:v>65.336319558687592</c:v>
                </c:pt>
                <c:pt idx="23">
                  <c:v>66.007764228949242</c:v>
                </c:pt>
                <c:pt idx="24">
                  <c:v>65.104989050030412</c:v>
                </c:pt>
                <c:pt idx="25">
                  <c:v>62.735374709410642</c:v>
                </c:pt>
                <c:pt idx="26">
                  <c:v>63.107036550048782</c:v>
                </c:pt>
                <c:pt idx="27">
                  <c:v>63.014573232293074</c:v>
                </c:pt>
                <c:pt idx="28">
                  <c:v>63.891344913913336</c:v>
                </c:pt>
                <c:pt idx="29">
                  <c:v>64.688419859625043</c:v>
                </c:pt>
                <c:pt idx="30">
                  <c:v>63.989942832543818</c:v>
                </c:pt>
                <c:pt idx="31">
                  <c:v>65.516634267694002</c:v>
                </c:pt>
                <c:pt idx="32">
                  <c:v>64.796327733030495</c:v>
                </c:pt>
                <c:pt idx="33">
                  <c:v>65.0081810271287</c:v>
                </c:pt>
                <c:pt idx="34">
                  <c:v>65.707803847587599</c:v>
                </c:pt>
                <c:pt idx="35">
                  <c:v>65.942392182158244</c:v>
                </c:pt>
                <c:pt idx="36">
                  <c:v>68.386486175743784</c:v>
                </c:pt>
                <c:pt idx="37">
                  <c:v>67.728076392398705</c:v>
                </c:pt>
                <c:pt idx="38">
                  <c:v>66.415302307660525</c:v>
                </c:pt>
                <c:pt idx="39">
                  <c:v>65.883287277330069</c:v>
                </c:pt>
                <c:pt idx="40">
                  <c:v>66.45911081673205</c:v>
                </c:pt>
                <c:pt idx="41">
                  <c:v>67.909229984397015</c:v>
                </c:pt>
                <c:pt idx="42">
                  <c:v>69.415489422549001</c:v>
                </c:pt>
                <c:pt idx="43">
                  <c:v>69.981446921278007</c:v>
                </c:pt>
                <c:pt idx="44">
                  <c:v>71.031876744909113</c:v>
                </c:pt>
                <c:pt idx="45">
                  <c:v>71.600546370750791</c:v>
                </c:pt>
                <c:pt idx="46">
                  <c:v>72.09585362016864</c:v>
                </c:pt>
                <c:pt idx="47">
                  <c:v>72.147401320382556</c:v>
                </c:pt>
                <c:pt idx="48">
                  <c:v>72.585111325509715</c:v>
                </c:pt>
                <c:pt idx="49">
                  <c:v>73.86679332850845</c:v>
                </c:pt>
                <c:pt idx="50">
                  <c:v>74.375519373423003</c:v>
                </c:pt>
                <c:pt idx="51">
                  <c:v>72.903243127262002</c:v>
                </c:pt>
                <c:pt idx="52">
                  <c:v>73.420919540386564</c:v>
                </c:pt>
                <c:pt idx="53">
                  <c:v>77.460911557851702</c:v>
                </c:pt>
                <c:pt idx="54">
                  <c:v>77.141546227589657</c:v>
                </c:pt>
                <c:pt idx="55">
                  <c:v>79.10932695348464</c:v>
                </c:pt>
                <c:pt idx="56">
                  <c:v>80.484220580381177</c:v>
                </c:pt>
                <c:pt idx="57">
                  <c:v>83.271866158240968</c:v>
                </c:pt>
                <c:pt idx="58">
                  <c:v>83.914242445482515</c:v>
                </c:pt>
                <c:pt idx="59">
                  <c:v>85.252694078760186</c:v>
                </c:pt>
                <c:pt idx="60">
                  <c:v>84.002435533742698</c:v>
                </c:pt>
                <c:pt idx="61">
                  <c:v>87.066623044081567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B-5A39-4566-8EE6-6D0A89D219EA}"/>
            </c:ext>
          </c:extLst>
        </c:ser>
        <c:ser>
          <c:idx val="98"/>
          <c:order val="97"/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Carlo'!$E$99:$BN$99</c:f>
              <c:numCache>
                <c:formatCode>General</c:formatCode>
                <c:ptCount val="62"/>
                <c:pt idx="1">
                  <c:v>60.99</c:v>
                </c:pt>
                <c:pt idx="2">
                  <c:v>59.491683851886982</c:v>
                </c:pt>
                <c:pt idx="3">
                  <c:v>60.508165015168821</c:v>
                </c:pt>
                <c:pt idx="4">
                  <c:v>62.750711980976476</c:v>
                </c:pt>
                <c:pt idx="5">
                  <c:v>63.036264639174341</c:v>
                </c:pt>
                <c:pt idx="6">
                  <c:v>62.88104142764076</c:v>
                </c:pt>
                <c:pt idx="7">
                  <c:v>62.587250629444078</c:v>
                </c:pt>
                <c:pt idx="8">
                  <c:v>63.245830998946531</c:v>
                </c:pt>
                <c:pt idx="9">
                  <c:v>64.187952574058542</c:v>
                </c:pt>
                <c:pt idx="10">
                  <c:v>64.257129827776367</c:v>
                </c:pt>
                <c:pt idx="11">
                  <c:v>63.899180140046063</c:v>
                </c:pt>
                <c:pt idx="12">
                  <c:v>63.455004075438978</c:v>
                </c:pt>
                <c:pt idx="13">
                  <c:v>64.587532107026206</c:v>
                </c:pt>
                <c:pt idx="14">
                  <c:v>65.243901544154198</c:v>
                </c:pt>
                <c:pt idx="15">
                  <c:v>64.364125233092622</c:v>
                </c:pt>
                <c:pt idx="16">
                  <c:v>64.142443062100085</c:v>
                </c:pt>
                <c:pt idx="17">
                  <c:v>65.08541834567346</c:v>
                </c:pt>
                <c:pt idx="18">
                  <c:v>64.110205793037863</c:v>
                </c:pt>
                <c:pt idx="19">
                  <c:v>63.351841761791029</c:v>
                </c:pt>
                <c:pt idx="20">
                  <c:v>63.0017891163928</c:v>
                </c:pt>
                <c:pt idx="21">
                  <c:v>65.038012177482472</c:v>
                </c:pt>
                <c:pt idx="22">
                  <c:v>62.696920777193647</c:v>
                </c:pt>
                <c:pt idx="23">
                  <c:v>62.718578834906069</c:v>
                </c:pt>
                <c:pt idx="24">
                  <c:v>62.449698017357214</c:v>
                </c:pt>
                <c:pt idx="25">
                  <c:v>63.467635263712701</c:v>
                </c:pt>
                <c:pt idx="26">
                  <c:v>63.771627829671054</c:v>
                </c:pt>
                <c:pt idx="27">
                  <c:v>64.848433329783603</c:v>
                </c:pt>
                <c:pt idx="28">
                  <c:v>66.575533157973254</c:v>
                </c:pt>
                <c:pt idx="29">
                  <c:v>67.268827708584524</c:v>
                </c:pt>
                <c:pt idx="30">
                  <c:v>66.136523701055609</c:v>
                </c:pt>
                <c:pt idx="31">
                  <c:v>65.785225924965303</c:v>
                </c:pt>
                <c:pt idx="32">
                  <c:v>69.008840681257013</c:v>
                </c:pt>
                <c:pt idx="33">
                  <c:v>70.2854571507185</c:v>
                </c:pt>
                <c:pt idx="34">
                  <c:v>69.326391019852949</c:v>
                </c:pt>
                <c:pt idx="35">
                  <c:v>68.162569890885479</c:v>
                </c:pt>
                <c:pt idx="36">
                  <c:v>70.051687901606087</c:v>
                </c:pt>
                <c:pt idx="37">
                  <c:v>70.394951057977835</c:v>
                </c:pt>
                <c:pt idx="38">
                  <c:v>69.118295230079127</c:v>
                </c:pt>
                <c:pt idx="39">
                  <c:v>68.467307585951744</c:v>
                </c:pt>
                <c:pt idx="40">
                  <c:v>67.555701632826654</c:v>
                </c:pt>
                <c:pt idx="41">
                  <c:v>69.053534048099436</c:v>
                </c:pt>
                <c:pt idx="42">
                  <c:v>68.068987784219104</c:v>
                </c:pt>
                <c:pt idx="43">
                  <c:v>65.222938633042006</c:v>
                </c:pt>
                <c:pt idx="44">
                  <c:v>65.578663262181792</c:v>
                </c:pt>
                <c:pt idx="45">
                  <c:v>65.832894783830369</c:v>
                </c:pt>
                <c:pt idx="46">
                  <c:v>65.651716628118407</c:v>
                </c:pt>
                <c:pt idx="47">
                  <c:v>64.745609922855124</c:v>
                </c:pt>
                <c:pt idx="48">
                  <c:v>64.944358912912634</c:v>
                </c:pt>
                <c:pt idx="49">
                  <c:v>64.377681668217406</c:v>
                </c:pt>
                <c:pt idx="50">
                  <c:v>64.713557336612496</c:v>
                </c:pt>
                <c:pt idx="51">
                  <c:v>66.408355358855843</c:v>
                </c:pt>
                <c:pt idx="52">
                  <c:v>67.189958302194427</c:v>
                </c:pt>
                <c:pt idx="53">
                  <c:v>67.625286162660572</c:v>
                </c:pt>
                <c:pt idx="54">
                  <c:v>67.104722733309984</c:v>
                </c:pt>
                <c:pt idx="55">
                  <c:v>68.545572568707115</c:v>
                </c:pt>
                <c:pt idx="56">
                  <c:v>67.525575488936994</c:v>
                </c:pt>
                <c:pt idx="57">
                  <c:v>68.096542929764809</c:v>
                </c:pt>
                <c:pt idx="58">
                  <c:v>68.001022124211019</c:v>
                </c:pt>
                <c:pt idx="59">
                  <c:v>69.051912337271787</c:v>
                </c:pt>
                <c:pt idx="60">
                  <c:v>67.890427097350681</c:v>
                </c:pt>
                <c:pt idx="61">
                  <c:v>65.779295797678671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5A39-4566-8EE6-6D0A89D219EA}"/>
            </c:ext>
          </c:extLst>
        </c:ser>
        <c:ser>
          <c:idx val="99"/>
          <c:order val="98"/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Carlo'!$E$100:$BN$100</c:f>
              <c:numCache>
                <c:formatCode>General</c:formatCode>
                <c:ptCount val="62"/>
                <c:pt idx="1">
                  <c:v>60.99</c:v>
                </c:pt>
                <c:pt idx="2">
                  <c:v>59.662827681455376</c:v>
                </c:pt>
                <c:pt idx="3">
                  <c:v>58.587606553145172</c:v>
                </c:pt>
                <c:pt idx="4">
                  <c:v>59.047148193506189</c:v>
                </c:pt>
                <c:pt idx="5">
                  <c:v>58.73355374248883</c:v>
                </c:pt>
                <c:pt idx="6">
                  <c:v>59.250219286699526</c:v>
                </c:pt>
                <c:pt idx="7">
                  <c:v>56.832848560971058</c:v>
                </c:pt>
                <c:pt idx="8">
                  <c:v>57.650754708072064</c:v>
                </c:pt>
                <c:pt idx="9">
                  <c:v>57.793707558107208</c:v>
                </c:pt>
                <c:pt idx="10">
                  <c:v>57.888921481037904</c:v>
                </c:pt>
                <c:pt idx="11">
                  <c:v>59.361264030869926</c:v>
                </c:pt>
                <c:pt idx="12">
                  <c:v>58.741775445778458</c:v>
                </c:pt>
                <c:pt idx="13">
                  <c:v>56.722329873714131</c:v>
                </c:pt>
                <c:pt idx="14">
                  <c:v>56.818406844646702</c:v>
                </c:pt>
                <c:pt idx="15">
                  <c:v>55.184622515857839</c:v>
                </c:pt>
                <c:pt idx="16">
                  <c:v>56.177482691187819</c:v>
                </c:pt>
                <c:pt idx="17">
                  <c:v>56.096768835151835</c:v>
                </c:pt>
                <c:pt idx="18">
                  <c:v>55.149101125468057</c:v>
                </c:pt>
                <c:pt idx="19">
                  <c:v>56.034183271103828</c:v>
                </c:pt>
                <c:pt idx="20">
                  <c:v>55.9163918845694</c:v>
                </c:pt>
                <c:pt idx="21">
                  <c:v>56.106916174536217</c:v>
                </c:pt>
                <c:pt idx="22">
                  <c:v>56.994884777610004</c:v>
                </c:pt>
                <c:pt idx="23">
                  <c:v>58.901657239086703</c:v>
                </c:pt>
                <c:pt idx="24">
                  <c:v>58.174135472948684</c:v>
                </c:pt>
                <c:pt idx="25">
                  <c:v>56.940158535202421</c:v>
                </c:pt>
                <c:pt idx="26">
                  <c:v>57.20567736270776</c:v>
                </c:pt>
                <c:pt idx="27">
                  <c:v>57.590023780625835</c:v>
                </c:pt>
                <c:pt idx="28">
                  <c:v>56.774964760383369</c:v>
                </c:pt>
                <c:pt idx="29">
                  <c:v>59.518462728911146</c:v>
                </c:pt>
                <c:pt idx="30">
                  <c:v>61.685275521866977</c:v>
                </c:pt>
                <c:pt idx="31">
                  <c:v>62.241468197942702</c:v>
                </c:pt>
                <c:pt idx="32">
                  <c:v>62.319111430046995</c:v>
                </c:pt>
                <c:pt idx="33">
                  <c:v>62.862479341484466</c:v>
                </c:pt>
                <c:pt idx="34">
                  <c:v>62.659449945589166</c:v>
                </c:pt>
                <c:pt idx="35">
                  <c:v>60.881113471947586</c:v>
                </c:pt>
                <c:pt idx="36">
                  <c:v>60.155912556169874</c:v>
                </c:pt>
                <c:pt idx="37">
                  <c:v>59.064428418679228</c:v>
                </c:pt>
                <c:pt idx="38">
                  <c:v>60.356932309308021</c:v>
                </c:pt>
                <c:pt idx="39">
                  <c:v>60.745777942353577</c:v>
                </c:pt>
                <c:pt idx="40">
                  <c:v>59.625146114581014</c:v>
                </c:pt>
                <c:pt idx="41">
                  <c:v>59.137295156786017</c:v>
                </c:pt>
                <c:pt idx="42">
                  <c:v>59.223046221726172</c:v>
                </c:pt>
                <c:pt idx="43">
                  <c:v>60.80122364978952</c:v>
                </c:pt>
                <c:pt idx="44">
                  <c:v>61.113240552799766</c:v>
                </c:pt>
                <c:pt idx="45">
                  <c:v>62.309335533703411</c:v>
                </c:pt>
                <c:pt idx="46">
                  <c:v>62.810626606662446</c:v>
                </c:pt>
                <c:pt idx="47">
                  <c:v>62.490917884415005</c:v>
                </c:pt>
                <c:pt idx="48">
                  <c:v>63.581016377903829</c:v>
                </c:pt>
                <c:pt idx="49">
                  <c:v>61.754691762228646</c:v>
                </c:pt>
                <c:pt idx="50">
                  <c:v>61.724647087281767</c:v>
                </c:pt>
                <c:pt idx="51">
                  <c:v>63.212693591830188</c:v>
                </c:pt>
                <c:pt idx="52">
                  <c:v>62.218342177746187</c:v>
                </c:pt>
                <c:pt idx="53">
                  <c:v>61.88877604012216</c:v>
                </c:pt>
                <c:pt idx="54">
                  <c:v>61.342664471771783</c:v>
                </c:pt>
                <c:pt idx="55">
                  <c:v>62.916801596195143</c:v>
                </c:pt>
                <c:pt idx="56">
                  <c:v>63.516101039344697</c:v>
                </c:pt>
                <c:pt idx="57">
                  <c:v>64.362178605691824</c:v>
                </c:pt>
                <c:pt idx="58">
                  <c:v>63.654511798910463</c:v>
                </c:pt>
                <c:pt idx="59">
                  <c:v>64.630553957272724</c:v>
                </c:pt>
                <c:pt idx="60">
                  <c:v>65.23457726613637</c:v>
                </c:pt>
                <c:pt idx="61">
                  <c:v>63.008346901168423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5A39-4566-8EE6-6D0A89D219EA}"/>
            </c:ext>
          </c:extLst>
        </c:ser>
        <c:ser>
          <c:idx val="100"/>
          <c:order val="99"/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Carlo'!$E$101:$BN$101</c:f>
              <c:numCache>
                <c:formatCode>General</c:formatCode>
                <c:ptCount val="62"/>
                <c:pt idx="1">
                  <c:v>60.99</c:v>
                </c:pt>
                <c:pt idx="2">
                  <c:v>61.230505349952814</c:v>
                </c:pt>
                <c:pt idx="3">
                  <c:v>60.981384190006253</c:v>
                </c:pt>
                <c:pt idx="4">
                  <c:v>61.422418869723572</c:v>
                </c:pt>
                <c:pt idx="5">
                  <c:v>61.000354817737339</c:v>
                </c:pt>
                <c:pt idx="6">
                  <c:v>59.610812368977875</c:v>
                </c:pt>
                <c:pt idx="7">
                  <c:v>59.488375035579018</c:v>
                </c:pt>
                <c:pt idx="8">
                  <c:v>61.191053278772664</c:v>
                </c:pt>
                <c:pt idx="9">
                  <c:v>61.140969595064888</c:v>
                </c:pt>
                <c:pt idx="10">
                  <c:v>62.849849106167312</c:v>
                </c:pt>
                <c:pt idx="11">
                  <c:v>64.248784847731415</c:v>
                </c:pt>
                <c:pt idx="12">
                  <c:v>64.332079009850858</c:v>
                </c:pt>
                <c:pt idx="13">
                  <c:v>64.589150507056118</c:v>
                </c:pt>
                <c:pt idx="14">
                  <c:v>65.173165421711602</c:v>
                </c:pt>
                <c:pt idx="15">
                  <c:v>65.474830436257477</c:v>
                </c:pt>
                <c:pt idx="16">
                  <c:v>65.176301669496695</c:v>
                </c:pt>
                <c:pt idx="17">
                  <c:v>65.836276143339205</c:v>
                </c:pt>
                <c:pt idx="18">
                  <c:v>65.320394042743459</c:v>
                </c:pt>
                <c:pt idx="19">
                  <c:v>63.288875046110356</c:v>
                </c:pt>
                <c:pt idx="20">
                  <c:v>63.848716244342413</c:v>
                </c:pt>
                <c:pt idx="21">
                  <c:v>63.709409806254008</c:v>
                </c:pt>
                <c:pt idx="22">
                  <c:v>61.400176971623935</c:v>
                </c:pt>
                <c:pt idx="23">
                  <c:v>64.567058231080821</c:v>
                </c:pt>
                <c:pt idx="24">
                  <c:v>65.070188740402713</c:v>
                </c:pt>
                <c:pt idx="25">
                  <c:v>65.771472335650358</c:v>
                </c:pt>
                <c:pt idx="26">
                  <c:v>66.620504525679252</c:v>
                </c:pt>
                <c:pt idx="27">
                  <c:v>65.913943841686802</c:v>
                </c:pt>
                <c:pt idx="28">
                  <c:v>68.113881993773219</c:v>
                </c:pt>
                <c:pt idx="29">
                  <c:v>68.368169400638976</c:v>
                </c:pt>
                <c:pt idx="30">
                  <c:v>68.04382014269828</c:v>
                </c:pt>
                <c:pt idx="31">
                  <c:v>67.368283315946371</c:v>
                </c:pt>
                <c:pt idx="32">
                  <c:v>68.616694850364297</c:v>
                </c:pt>
                <c:pt idx="33">
                  <c:v>69.301630827619817</c:v>
                </c:pt>
                <c:pt idx="34">
                  <c:v>71.770941756087197</c:v>
                </c:pt>
                <c:pt idx="35">
                  <c:v>69.790045480333731</c:v>
                </c:pt>
                <c:pt idx="36">
                  <c:v>69.371064029117292</c:v>
                </c:pt>
                <c:pt idx="37">
                  <c:v>69.054304228640703</c:v>
                </c:pt>
                <c:pt idx="38">
                  <c:v>70.502780891038071</c:v>
                </c:pt>
                <c:pt idx="39">
                  <c:v>70.375359842846237</c:v>
                </c:pt>
                <c:pt idx="40">
                  <c:v>71.768273651384234</c:v>
                </c:pt>
                <c:pt idx="41">
                  <c:v>73.444030955561175</c:v>
                </c:pt>
                <c:pt idx="42">
                  <c:v>73.631038260265598</c:v>
                </c:pt>
                <c:pt idx="43">
                  <c:v>76.368782253109316</c:v>
                </c:pt>
                <c:pt idx="44">
                  <c:v>78.743662912758708</c:v>
                </c:pt>
                <c:pt idx="45">
                  <c:v>79.971606858513681</c:v>
                </c:pt>
                <c:pt idx="46">
                  <c:v>79.383310678923408</c:v>
                </c:pt>
                <c:pt idx="47">
                  <c:v>78.831446908939867</c:v>
                </c:pt>
                <c:pt idx="48">
                  <c:v>76.903118191982742</c:v>
                </c:pt>
                <c:pt idx="49">
                  <c:v>76.438991591467527</c:v>
                </c:pt>
                <c:pt idx="50">
                  <c:v>76.77983528561677</c:v>
                </c:pt>
                <c:pt idx="51">
                  <c:v>79.06571215354667</c:v>
                </c:pt>
                <c:pt idx="52">
                  <c:v>81.318511029276038</c:v>
                </c:pt>
                <c:pt idx="53">
                  <c:v>81.391836423867076</c:v>
                </c:pt>
                <c:pt idx="54">
                  <c:v>84.466230958369763</c:v>
                </c:pt>
                <c:pt idx="55">
                  <c:v>84.707378538493401</c:v>
                </c:pt>
                <c:pt idx="56">
                  <c:v>84.796059731141369</c:v>
                </c:pt>
                <c:pt idx="57">
                  <c:v>84.213830670608402</c:v>
                </c:pt>
                <c:pt idx="58">
                  <c:v>84.302827908555642</c:v>
                </c:pt>
                <c:pt idx="59">
                  <c:v>83.677433282885801</c:v>
                </c:pt>
                <c:pt idx="60">
                  <c:v>81.146437160294909</c:v>
                </c:pt>
                <c:pt idx="61">
                  <c:v>82.41285400680971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5A39-4566-8EE6-6D0A89D219EA}"/>
            </c:ext>
          </c:extLst>
        </c:ser>
        <c:ser>
          <c:idx val="101"/>
          <c:order val="100"/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'Monte Carlo'!$E$102:$BN$102</c:f>
              <c:numCache>
                <c:formatCode>General</c:formatCode>
                <c:ptCount val="62"/>
                <c:pt idx="1">
                  <c:v>60.99</c:v>
                </c:pt>
                <c:pt idx="2">
                  <c:v>63.966057943610522</c:v>
                </c:pt>
                <c:pt idx="3">
                  <c:v>64.102276948398767</c:v>
                </c:pt>
                <c:pt idx="4">
                  <c:v>64.077281533888282</c:v>
                </c:pt>
                <c:pt idx="5">
                  <c:v>65.140495947495765</c:v>
                </c:pt>
                <c:pt idx="6">
                  <c:v>64.476110323736776</c:v>
                </c:pt>
                <c:pt idx="7">
                  <c:v>62.642219975993484</c:v>
                </c:pt>
                <c:pt idx="8">
                  <c:v>62.105536421456321</c:v>
                </c:pt>
                <c:pt idx="9">
                  <c:v>63.427816538792861</c:v>
                </c:pt>
                <c:pt idx="10">
                  <c:v>62.253138165692711</c:v>
                </c:pt>
                <c:pt idx="11">
                  <c:v>64.959892744134081</c:v>
                </c:pt>
                <c:pt idx="12">
                  <c:v>67.24688287168523</c:v>
                </c:pt>
                <c:pt idx="13">
                  <c:v>64.525393954217492</c:v>
                </c:pt>
                <c:pt idx="14">
                  <c:v>64.337970569946563</c:v>
                </c:pt>
                <c:pt idx="15">
                  <c:v>64.707810687708943</c:v>
                </c:pt>
                <c:pt idx="16">
                  <c:v>64.72140302395367</c:v>
                </c:pt>
                <c:pt idx="17">
                  <c:v>63.390077745657038</c:v>
                </c:pt>
                <c:pt idx="18">
                  <c:v>65.774203543923122</c:v>
                </c:pt>
                <c:pt idx="19">
                  <c:v>64.749992622890346</c:v>
                </c:pt>
                <c:pt idx="20">
                  <c:v>64.941069679255548</c:v>
                </c:pt>
                <c:pt idx="21">
                  <c:v>64.039103455552834</c:v>
                </c:pt>
                <c:pt idx="22">
                  <c:v>63.651446870097992</c:v>
                </c:pt>
                <c:pt idx="23">
                  <c:v>65.852514748361315</c:v>
                </c:pt>
                <c:pt idx="24">
                  <c:v>67.538814683275604</c:v>
                </c:pt>
                <c:pt idx="25">
                  <c:v>66.582044487769593</c:v>
                </c:pt>
                <c:pt idx="26">
                  <c:v>66.487856749526955</c:v>
                </c:pt>
                <c:pt idx="27">
                  <c:v>67.022726612945362</c:v>
                </c:pt>
                <c:pt idx="28">
                  <c:v>68.183914579377245</c:v>
                </c:pt>
                <c:pt idx="29">
                  <c:v>67.09843176528085</c:v>
                </c:pt>
                <c:pt idx="30">
                  <c:v>69.222485079122393</c:v>
                </c:pt>
                <c:pt idx="31">
                  <c:v>70.377047520578998</c:v>
                </c:pt>
                <c:pt idx="32">
                  <c:v>70.139935220396197</c:v>
                </c:pt>
                <c:pt idx="33">
                  <c:v>69.089588734899522</c:v>
                </c:pt>
                <c:pt idx="34">
                  <c:v>68.527346624037364</c:v>
                </c:pt>
                <c:pt idx="35">
                  <c:v>69.653281415091641</c:v>
                </c:pt>
                <c:pt idx="36">
                  <c:v>70.751801396543513</c:v>
                </c:pt>
                <c:pt idx="37">
                  <c:v>70.346088735103478</c:v>
                </c:pt>
                <c:pt idx="38">
                  <c:v>70.972546795728249</c:v>
                </c:pt>
                <c:pt idx="39">
                  <c:v>74.407480736928605</c:v>
                </c:pt>
                <c:pt idx="40">
                  <c:v>71.625681776505445</c:v>
                </c:pt>
                <c:pt idx="41">
                  <c:v>71.794607543584561</c:v>
                </c:pt>
                <c:pt idx="42">
                  <c:v>72.903966064139254</c:v>
                </c:pt>
                <c:pt idx="43">
                  <c:v>77.384221683546428</c:v>
                </c:pt>
                <c:pt idx="44">
                  <c:v>78.06384444074088</c:v>
                </c:pt>
                <c:pt idx="45">
                  <c:v>81.13676361842208</c:v>
                </c:pt>
                <c:pt idx="46">
                  <c:v>81.227460751689463</c:v>
                </c:pt>
                <c:pt idx="47">
                  <c:v>79.937620189701761</c:v>
                </c:pt>
                <c:pt idx="48">
                  <c:v>79.033076711530953</c:v>
                </c:pt>
                <c:pt idx="49">
                  <c:v>80.153986782393233</c:v>
                </c:pt>
                <c:pt idx="50">
                  <c:v>80.338740930288836</c:v>
                </c:pt>
                <c:pt idx="51">
                  <c:v>80.323980507606976</c:v>
                </c:pt>
                <c:pt idx="52">
                  <c:v>78.854988273004281</c:v>
                </c:pt>
                <c:pt idx="53">
                  <c:v>78.899281174409822</c:v>
                </c:pt>
                <c:pt idx="54">
                  <c:v>80.062759709043505</c:v>
                </c:pt>
                <c:pt idx="55">
                  <c:v>76.915232401150035</c:v>
                </c:pt>
                <c:pt idx="56">
                  <c:v>79.707888818191137</c:v>
                </c:pt>
                <c:pt idx="57">
                  <c:v>81.931904889939986</c:v>
                </c:pt>
                <c:pt idx="58">
                  <c:v>79.238948615474925</c:v>
                </c:pt>
                <c:pt idx="59">
                  <c:v>81.47135852766128</c:v>
                </c:pt>
                <c:pt idx="60">
                  <c:v>81.79866907696622</c:v>
                </c:pt>
                <c:pt idx="61">
                  <c:v>82.523880850908697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F-5A39-4566-8EE6-6D0A89D21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901071"/>
        <c:axId val="1945922191"/>
      </c:lineChart>
      <c:catAx>
        <c:axId val="194590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922191"/>
        <c:crosses val="autoZero"/>
        <c:auto val="1"/>
        <c:lblAlgn val="ctr"/>
        <c:lblOffset val="100"/>
        <c:noMultiLvlLbl val="0"/>
      </c:catAx>
      <c:valAx>
        <c:axId val="194592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90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3BE2B9-18DC-41AD-B18C-2425DB605680}">
  <sheetPr/>
  <sheetViews>
    <sheetView zoomScale="11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209</xdr:row>
      <xdr:rowOff>57150</xdr:rowOff>
    </xdr:from>
    <xdr:to>
      <xdr:col>11</xdr:col>
      <xdr:colOff>370336</xdr:colOff>
      <xdr:row>248</xdr:row>
      <xdr:rowOff>180077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972A2B-D2EE-7EB6-824F-AF5CED397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75" y="37880925"/>
          <a:ext cx="9114286" cy="71809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8983" cy="607824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EE27B2-CBBD-038F-A1FF-C605F70F7F5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27016</xdr:colOff>
      <xdr:row>0</xdr:row>
      <xdr:rowOff>0</xdr:rowOff>
    </xdr:from>
    <xdr:to>
      <xdr:col>26</xdr:col>
      <xdr:colOff>31779</xdr:colOff>
      <xdr:row>36</xdr:row>
      <xdr:rowOff>169070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25A81C-1DB4-8E9B-D299-2B549575F5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169861</xdr:colOff>
      <xdr:row>37</xdr:row>
      <xdr:rowOff>157160</xdr:rowOff>
    </xdr:from>
    <xdr:to>
      <xdr:col>24</xdr:col>
      <xdr:colOff>415130</xdr:colOff>
      <xdr:row>73</xdr:row>
      <xdr:rowOff>16668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915D71-B92A-6221-7B2F-86F535EE1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80961</xdr:colOff>
      <xdr:row>6</xdr:row>
      <xdr:rowOff>161923</xdr:rowOff>
    </xdr:from>
    <xdr:to>
      <xdr:col>24</xdr:col>
      <xdr:colOff>466725</xdr:colOff>
      <xdr:row>34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7A9C11-5196-3106-9A84-DDC8E50B4B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638174</xdr:colOff>
      <xdr:row>2</xdr:row>
      <xdr:rowOff>123825</xdr:rowOff>
    </xdr:from>
    <xdr:to>
      <xdr:col>18</xdr:col>
      <xdr:colOff>247649</xdr:colOff>
      <xdr:row>33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9FC7D7-73BE-5901-C832-A71295740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542924</xdr:colOff>
      <xdr:row>4</xdr:row>
      <xdr:rowOff>142875</xdr:rowOff>
    </xdr:from>
    <xdr:to>
      <xdr:col>19</xdr:col>
      <xdr:colOff>257175</xdr:colOff>
      <xdr:row>34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534B27-3CBF-C86A-9509-F3C7F06262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571119</xdr:colOff>
      <xdr:row>98</xdr:row>
      <xdr:rowOff>53402</xdr:rowOff>
    </xdr:from>
    <xdr:to>
      <xdr:col>34</xdr:col>
      <xdr:colOff>81996</xdr:colOff>
      <xdr:row>158</xdr:row>
      <xdr:rowOff>38776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9FA6A9-E0C1-C7FD-6EFF-048EF383B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eidi Luong" id="{A565C2A2-E17E-4A9A-A581-036214EBB91B}" userId="S::w1982156@westminster.ac.uk::9cdb7287-63a6-4fde-99e3-7adaa928dd0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5-04-08T11:43:36.28" personId="{A565C2A2-E17E-4A9A-A581-036214EBB91B}" id="{24E61288-A05B-4415-AC5F-9F4F87BA746F}">
    <text>BRISTOL-MYERS SQUIBB CO</text>
  </threadedComment>
  <threadedComment ref="D1" dT="2025-04-08T11:48:58.53" personId="{A565C2A2-E17E-4A9A-A581-036214EBB91B}" id="{62984D9C-D9EE-4E68-8517-7479F75A98CD}">
    <text xml:space="preserve"> NETFLIX INC</text>
  </threadedComment>
  <threadedComment ref="E1" dT="2025-04-08T11:55:57.55" personId="{A565C2A2-E17E-4A9A-A581-036214EBB91B}" id="{080B9AF8-31C9-46A9-8FCB-79360F785379}">
    <text>S&amp;P 500 INDEX</text>
  </threadedComment>
  <threadedComment ref="B184" dT="2025-03-21T15:37:30.44" personId="{A565C2A2-E17E-4A9A-A581-036214EBB91B}" id="{9F08842F-1328-44B5-B76F-507AC488C9CE}">
    <text>Don’t have the remainder of the data till 31 of March 2025</text>
  </threadedComment>
  <threadedComment ref="E192" dT="2025-03-26T12:55:34.85" personId="{A565C2A2-E17E-4A9A-A581-036214EBB91B}" id="{8DD0012D-81F8-4422-A839-FD6126BE03F7}">
    <text xml:space="preserve">Found on Bloomberg on 26 March 2025, 12:55 10 year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5-04-08T11:43:36.28" personId="{A565C2A2-E17E-4A9A-A581-036214EBB91B}" id="{3AACACB0-C02C-4CE2-9218-B2390A9FC022}">
    <text>BRISTOL-MYERS SQUIBB CO</text>
  </threadedComment>
  <threadedComment ref="C1" dT="2025-04-08T11:55:57.55" personId="{A565C2A2-E17E-4A9A-A581-036214EBB91B}" id="{AEEC41BB-E16B-4F9A-ABE7-072A08C926D2}">
    <text>S&amp;P 500 INDEX</text>
  </threadedComment>
  <threadedComment ref="A184" dT="2025-03-21T15:37:30.44" personId="{A565C2A2-E17E-4A9A-A581-036214EBB91B}" id="{4163330B-9EDA-4A56-B4C7-4B66EA9B47DF}">
    <text>Don’t have the remainder of the data till 31 of March 2025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4-08T11:43:36.28" personId="{A565C2A2-E17E-4A9A-A581-036214EBB91B}" id="{48B24D5A-D624-4DA7-A7F6-52B823268AA7}">
    <text>BRISTOL-MYERS SQUIBB CO</text>
  </threadedComment>
  <threadedComment ref="C14" dT="2025-04-08T12:50:28.65" personId="{A565C2A2-E17E-4A9A-A581-036214EBB91B}" id="{F7607D63-BB2B-4014-BE5D-56D343AFA6D3}">
    <text>9th day stops here</text>
  </threadedComment>
  <threadedComment ref="D17" dT="2025-04-08T12:50:47.63" personId="{A565C2A2-E17E-4A9A-A581-036214EBB91B}" id="{9578CE7F-DA84-465D-9581-0D25AE1EE71F}">
    <text>12th day stops here</text>
  </threadedComment>
  <threadedComment ref="E31" dT="2025-04-08T12:57:49.85" personId="{A565C2A2-E17E-4A9A-A581-036214EBB91B}" id="{6C2D5754-F5B7-4B63-8983-85BE822D6C89}">
    <text>26th day ends here</text>
  </threadedComment>
  <threadedComment ref="A186" dT="2025-03-21T15:37:30.44" personId="{A565C2A2-E17E-4A9A-A581-036214EBB91B}" id="{F502FE10-4A9F-4F95-85F5-2CBD58457B11}">
    <text>Don’t have the remainder of the data till 31 of March 2025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dT="2025-04-08T11:43:36.28" personId="{A565C2A2-E17E-4A9A-A581-036214EBB91B}" id="{8503D5CB-6532-4FD3-A627-30CB9A2C11BE}">
    <text>BRISTOL-MYERS SQUIBB CO</text>
  </threadedComment>
  <threadedComment ref="F16" dT="2025-04-08T14:12:15.84" personId="{A565C2A2-E17E-4A9A-A581-036214EBB91B}" id="{08A34376-14FD-44F0-B85F-E72DE2D56879}">
    <text>Ask him why he used the first 10 cells</text>
  </threadedComment>
  <threadedComment ref="F17" dT="2025-04-08T14:15:20.69" personId="{A565C2A2-E17E-4A9A-A581-036214EBB91B}" id="{3FC0FB44-624E-462B-A18F-7757C3D7FC91}">
    <text xml:space="preserve">Ask him why he used the smoothing formula </text>
  </threadedComment>
  <threadedComment ref="A183" dT="2025-03-21T15:37:30.44" personId="{A565C2A2-E17E-4A9A-A581-036214EBB91B}" id="{9D6E72B4-DBA0-4F99-9192-238BBA5631C4}">
    <text>Don’t have the remainder of the data till 31 of March 2025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" dT="2025-04-08T11:43:36.28" personId="{A565C2A2-E17E-4A9A-A581-036214EBB91B}" id="{1E384016-80D5-467E-9F04-C632E25E3A61}">
    <text>BRISTOL-MYERS SQUIBB CO</text>
  </threadedComment>
  <threadedComment ref="A183" dT="2025-03-21T15:37:30.44" personId="{A565C2A2-E17E-4A9A-A581-036214EBB91B}" id="{8C43DEAE-A3BC-4124-816E-0360ED873356}">
    <text>Don’t have the remainder of the data till 31 of March 2025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" dT="2025-04-08T11:43:36.28" personId="{A565C2A2-E17E-4A9A-A581-036214EBB91B}" id="{D3BD89B1-5A99-497E-B5F4-29B17B4D5F64}">
    <text>BRISTOL-MYERS SQUIBB CO</text>
  </threadedComment>
  <threadedComment ref="A183" dT="2025-03-21T15:37:30.44" personId="{A565C2A2-E17E-4A9A-A581-036214EBB91B}" id="{7CC274F1-2EE9-4001-8D68-9AF1E0B447EC}">
    <text>Don’t have the remainder of the data till 31 of March 2025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1" dT="2025-04-09T15:13:06.00" personId="{A565C2A2-E17E-4A9A-A581-036214EBB91B}" id="{83B365BC-983E-4B38-BA27-DA19B8C5A85B}">
    <text xml:space="preserve">Design one according to the data of your stock </text>
  </threadedComment>
  <threadedComment ref="C1" dT="2025-04-09T15:13:58.61" personId="{A565C2A2-E17E-4A9A-A581-036214EBB91B}" id="{AF04A69D-AE31-4C8D-BBC1-01E3946B98A1}">
    <text xml:space="preserve">What is the difference between question 4 and 5 </text>
  </threadedComment>
  <threadedComment ref="A4" dT="2025-04-08T11:43:36.28" personId="{A565C2A2-E17E-4A9A-A581-036214EBB91B}" id="{8B042BE1-6F5F-4620-8D4A-D26E0BD25A77}">
    <text>BRISTOL-MYERS SQUIBB CO</text>
  </threadedComment>
  <threadedComment ref="B4" dT="2025-04-09T12:35:45.39" personId="{A565C2A2-E17E-4A9A-A581-036214EBB91B}" id="{A3218517-7A8F-4F8F-93C6-5E5C5F849B65}">
    <text>31/03/2025</text>
  </threadedComment>
  <threadedComment ref="B12" dT="2025-04-09T15:16:32.74" personId="{A565C2A2-E17E-4A9A-A581-036214EBB91B}" id="{0AC2BE53-0A66-4B69-B45F-D1831029E3D0}">
    <text>Ask him what type of normal standard distribution we use</text>
  </threadedComment>
  <threadedComment ref="B12" dT="2025-04-09T15:17:20.33" personId="{A565C2A2-E17E-4A9A-A581-036214EBB91B}" id="{8647B5D2-38B9-44F6-9C1C-55F1DEB79434}" parentId="{0AC2BE53-0A66-4B69-B45F-D1831029E3D0}">
    <text>Do we used normal standard or normal dis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5-04-08T11:43:36.28" personId="{A565C2A2-E17E-4A9A-A581-036214EBB91B}" id="{89859E04-E631-4606-82DA-34EE41153C0A}">
    <text>BRISTOL-MYERS SQUIBB CO</text>
  </threadedComment>
  <threadedComment ref="B6" dT="2025-04-09T16:01:16.68" personId="{A565C2A2-E17E-4A9A-A581-036214EBB91B}" id="{4FB8E336-E44C-47DB-B557-D04FA15585BA}">
    <text xml:space="preserve">60 days </text>
  </threadedComment>
  <threadedComment ref="B6" dT="2025-04-10T13:06:49.40" personId="{A565C2A2-E17E-4A9A-A581-036214EBB91B}" id="{DF14ACFD-0C03-4E1C-A00D-B3360FDCDE09}" parentId="{4FB8E336-E44C-47DB-B557-D04FA15585BA}">
    <text xml:space="preserve">3 months </text>
  </threadedComment>
  <threadedComment ref="B6" dT="2025-04-10T13:07:30.61" personId="{A565C2A2-E17E-4A9A-A581-036214EBB91B}" id="{171BF873-7423-448A-A05F-6874F4875716}" parentId="{4FB8E336-E44C-47DB-B557-D04FA15585BA}">
    <text>T</text>
  </threadedComment>
  <threadedComment ref="J31" dT="2025-04-09T16:06:14.38" personId="{A565C2A2-E17E-4A9A-A581-036214EBB91B}" id="{B9E4688B-58AE-41D7-A049-837B6E8B798E}">
    <text xml:space="preserve">Might need to rewind the lecture a bit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6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A6FC-6B38-44EC-B56D-CAF3ACCCD70B}">
  <dimension ref="B1:O203"/>
  <sheetViews>
    <sheetView topLeftCell="C169" workbookViewId="0">
      <selection activeCell="L1" sqref="L1"/>
    </sheetView>
  </sheetViews>
  <sheetFormatPr defaultRowHeight="14.25"/>
  <cols>
    <col min="2" max="2" width="9.85546875" bestFit="1" customWidth="1"/>
    <col min="4" max="4" width="15.42578125" bestFit="1" customWidth="1"/>
    <col min="5" max="5" width="15.42578125" customWidth="1"/>
    <col min="6" max="6" width="20.28515625" bestFit="1" customWidth="1"/>
    <col min="7" max="7" width="12.5703125" bestFit="1" customWidth="1"/>
    <col min="9" max="9" width="9.85546875" bestFit="1" customWidth="1"/>
    <col min="10" max="10" width="9.5703125" bestFit="1" customWidth="1"/>
    <col min="11" max="11" width="9.5703125" customWidth="1"/>
    <col min="15" max="15" width="9.85546875" bestFit="1" customWidth="1"/>
  </cols>
  <sheetData>
    <row r="1" spans="2:14">
      <c r="C1" t="s">
        <v>0</v>
      </c>
      <c r="D1" t="s">
        <v>1</v>
      </c>
      <c r="E1" t="s">
        <v>2</v>
      </c>
      <c r="F1" t="s">
        <v>0</v>
      </c>
      <c r="G1" t="s">
        <v>1</v>
      </c>
      <c r="H1" t="s">
        <v>2</v>
      </c>
      <c r="I1" t="s">
        <v>0</v>
      </c>
      <c r="J1" t="s">
        <v>1</v>
      </c>
      <c r="K1" t="s">
        <v>2</v>
      </c>
      <c r="L1" t="s">
        <v>3</v>
      </c>
      <c r="M1" t="s">
        <v>1</v>
      </c>
      <c r="N1" t="s">
        <v>2</v>
      </c>
    </row>
    <row r="2" spans="2:14">
      <c r="B2" t="s">
        <v>4</v>
      </c>
      <c r="C2" t="s">
        <v>5</v>
      </c>
      <c r="D2" t="s">
        <v>5</v>
      </c>
      <c r="E2" t="s">
        <v>5</v>
      </c>
      <c r="F2" t="s">
        <v>6</v>
      </c>
      <c r="I2" t="s">
        <v>7</v>
      </c>
      <c r="L2" t="s">
        <v>8</v>
      </c>
    </row>
    <row r="3" spans="2:14">
      <c r="B3" s="1">
        <v>45474</v>
      </c>
      <c r="C3">
        <v>41.3</v>
      </c>
      <c r="D3">
        <v>673.61</v>
      </c>
      <c r="E3">
        <v>5475.09</v>
      </c>
      <c r="F3">
        <f t="shared" ref="F3:F34" si="0">LN(C4/C3)</f>
        <v>-2.0795856462486256E-2</v>
      </c>
      <c r="G3">
        <f t="shared" ref="G3:H66" si="1">LN(D4/D3)</f>
        <v>8.8236518651834753E-3</v>
      </c>
      <c r="H3">
        <f t="shared" si="1"/>
        <v>6.1762197767835335E-3</v>
      </c>
      <c r="I3" s="4">
        <f t="shared" ref="I3:I34" si="2">F3-$F$194</f>
        <v>-2.288060200441875E-2</v>
      </c>
      <c r="J3" s="4">
        <f t="shared" ref="J3:J34" si="3">G3-$G$194</f>
        <v>7.084346976634689E-3</v>
      </c>
      <c r="K3" s="4">
        <f t="shared" ref="K3:K34" si="4">H3-$H$194</f>
        <v>6.0442854477978491E-3</v>
      </c>
      <c r="L3">
        <f>I3^2</f>
        <v>5.2352194808461135E-4</v>
      </c>
      <c r="M3">
        <f t="shared" ref="M3:N66" si="5">J3^2</f>
        <v>5.0187972085353055E-5</v>
      </c>
      <c r="N3">
        <f t="shared" si="5"/>
        <v>3.6533386574460848E-5</v>
      </c>
    </row>
    <row r="4" spans="2:14">
      <c r="B4" s="1">
        <v>45475</v>
      </c>
      <c r="C4">
        <v>40.450000000000003</v>
      </c>
      <c r="D4">
        <v>679.58</v>
      </c>
      <c r="E4">
        <v>5509.01</v>
      </c>
      <c r="F4">
        <f t="shared" si="0"/>
        <v>-9.688313266828499E-3</v>
      </c>
      <c r="G4">
        <f t="shared" si="1"/>
        <v>4.3022186776209073E-3</v>
      </c>
      <c r="H4">
        <f t="shared" si="1"/>
        <v>5.0715161981972666E-3</v>
      </c>
      <c r="I4" s="4">
        <f t="shared" si="2"/>
        <v>-1.1773058808760995E-2</v>
      </c>
      <c r="J4" s="4">
        <f t="shared" si="3"/>
        <v>2.562913789072121E-3</v>
      </c>
      <c r="K4" s="4">
        <f t="shared" si="4"/>
        <v>4.9395818692115822E-3</v>
      </c>
      <c r="L4">
        <f t="shared" ref="L4:L67" si="6">I4^2</f>
        <v>1.3860491371454485E-4</v>
      </c>
      <c r="M4">
        <f t="shared" si="5"/>
        <v>6.5685270902160168E-6</v>
      </c>
      <c r="N4">
        <f t="shared" si="5"/>
        <v>2.439946904264379E-5</v>
      </c>
    </row>
    <row r="5" spans="2:14">
      <c r="B5" s="1">
        <v>45476</v>
      </c>
      <c r="C5">
        <v>40.06</v>
      </c>
      <c r="D5">
        <v>682.51</v>
      </c>
      <c r="E5">
        <v>5537.02</v>
      </c>
      <c r="F5">
        <f t="shared" si="0"/>
        <v>-1.0035207146022459E-2</v>
      </c>
      <c r="G5">
        <f t="shared" si="1"/>
        <v>1.1856004179541635E-2</v>
      </c>
      <c r="H5">
        <f t="shared" si="1"/>
        <v>5.4339884131971751E-3</v>
      </c>
      <c r="I5" s="4">
        <f t="shared" si="2"/>
        <v>-1.2119952687954953E-2</v>
      </c>
      <c r="J5" s="4">
        <f t="shared" si="3"/>
        <v>1.0116699290992848E-2</v>
      </c>
      <c r="K5" s="4">
        <f t="shared" si="4"/>
        <v>5.3020540842114907E-3</v>
      </c>
      <c r="L5">
        <f t="shared" si="6"/>
        <v>1.468932531582665E-4</v>
      </c>
      <c r="M5">
        <f t="shared" si="5"/>
        <v>1.0234760454437519E-4</v>
      </c>
      <c r="N5">
        <f t="shared" si="5"/>
        <v>2.811177751190375E-5</v>
      </c>
    </row>
    <row r="6" spans="2:14">
      <c r="B6" s="1">
        <v>45478</v>
      </c>
      <c r="C6">
        <v>39.659999999999997</v>
      </c>
      <c r="D6">
        <v>690.65</v>
      </c>
      <c r="E6">
        <v>5567.19</v>
      </c>
      <c r="F6">
        <f>LN(C7/C6)</f>
        <v>8.286299767077154E-3</v>
      </c>
      <c r="G6">
        <f t="shared" si="1"/>
        <v>-7.1346360084071775E-3</v>
      </c>
      <c r="H6">
        <f t="shared" si="1"/>
        <v>1.0161544279964853E-3</v>
      </c>
      <c r="I6" s="4">
        <f t="shared" si="2"/>
        <v>6.2015542251446587E-3</v>
      </c>
      <c r="J6" s="4">
        <f t="shared" si="3"/>
        <v>-8.8739408969559647E-3</v>
      </c>
      <c r="K6" s="4">
        <f t="shared" si="4"/>
        <v>8.8422009901080098E-4</v>
      </c>
      <c r="L6">
        <f t="shared" si="6"/>
        <v>3.8459274807409568E-5</v>
      </c>
      <c r="M6">
        <f t="shared" si="5"/>
        <v>7.8746827042667635E-5</v>
      </c>
      <c r="N6">
        <f t="shared" si="5"/>
        <v>7.8184518349467071E-7</v>
      </c>
    </row>
    <row r="7" spans="2:14">
      <c r="B7" s="1">
        <v>45481</v>
      </c>
      <c r="C7">
        <v>39.99</v>
      </c>
      <c r="D7">
        <v>685.74</v>
      </c>
      <c r="E7">
        <v>5572.85</v>
      </c>
      <c r="F7">
        <f t="shared" si="0"/>
        <v>2.152216653074884E-2</v>
      </c>
      <c r="G7" s="2">
        <f t="shared" si="1"/>
        <v>0</v>
      </c>
      <c r="H7">
        <f t="shared" si="1"/>
        <v>7.4081850375864739E-4</v>
      </c>
      <c r="I7" s="4">
        <f t="shared" si="2"/>
        <v>1.9437420988816345E-2</v>
      </c>
      <c r="J7" s="4">
        <f t="shared" si="3"/>
        <v>-1.7393048885487863E-3</v>
      </c>
      <c r="K7" s="4">
        <f t="shared" si="4"/>
        <v>6.088841747729631E-4</v>
      </c>
      <c r="L7">
        <f t="shared" si="6"/>
        <v>3.7781333469647817E-4</v>
      </c>
      <c r="M7">
        <f t="shared" si="5"/>
        <v>3.0251814953297061E-6</v>
      </c>
      <c r="N7">
        <f t="shared" si="5"/>
        <v>3.707399382889523E-7</v>
      </c>
    </row>
    <row r="8" spans="2:14">
      <c r="B8" s="1">
        <v>45482</v>
      </c>
      <c r="C8">
        <v>40.86</v>
      </c>
      <c r="D8">
        <v>685.74</v>
      </c>
      <c r="E8">
        <v>5576.98</v>
      </c>
      <c r="F8">
        <f t="shared" si="0"/>
        <v>6.3430317574336443E-3</v>
      </c>
      <c r="G8">
        <f t="shared" si="1"/>
        <v>-1.1867616675536643E-2</v>
      </c>
      <c r="H8">
        <f t="shared" si="1"/>
        <v>1.0156283642139425E-2</v>
      </c>
      <c r="I8" s="4">
        <f t="shared" si="2"/>
        <v>4.2582862155011491E-3</v>
      </c>
      <c r="J8" s="4">
        <f t="shared" si="3"/>
        <v>-1.3606921564085429E-2</v>
      </c>
      <c r="K8" s="4">
        <f t="shared" si="4"/>
        <v>1.0024349313153741E-2</v>
      </c>
      <c r="L8">
        <f t="shared" si="6"/>
        <v>1.8133001493127098E-5</v>
      </c>
      <c r="M8">
        <f t="shared" si="5"/>
        <v>1.8514831445117305E-4</v>
      </c>
      <c r="N8">
        <f t="shared" si="5"/>
        <v>1.0048757915212588E-4</v>
      </c>
    </row>
    <row r="9" spans="2:14">
      <c r="B9" s="1">
        <v>45483</v>
      </c>
      <c r="C9">
        <v>41.12</v>
      </c>
      <c r="D9">
        <v>677.65</v>
      </c>
      <c r="E9">
        <v>5633.91</v>
      </c>
      <c r="F9">
        <f t="shared" si="0"/>
        <v>-9.0387814600379202E-3</v>
      </c>
      <c r="G9">
        <f t="shared" si="1"/>
        <v>-3.7436722882786676E-2</v>
      </c>
      <c r="H9">
        <f t="shared" si="1"/>
        <v>-8.8016292301766504E-3</v>
      </c>
      <c r="I9" s="4">
        <f t="shared" si="2"/>
        <v>-1.1123527001970415E-2</v>
      </c>
      <c r="J9" s="4">
        <f t="shared" si="3"/>
        <v>-3.9176027771335463E-2</v>
      </c>
      <c r="K9" s="4">
        <f t="shared" si="4"/>
        <v>-8.9335635591623348E-3</v>
      </c>
      <c r="L9">
        <f t="shared" si="6"/>
        <v>1.2373285296356492E-4</v>
      </c>
      <c r="M9">
        <f t="shared" si="5"/>
        <v>1.5347611519404474E-3</v>
      </c>
      <c r="N9">
        <f t="shared" si="5"/>
        <v>7.9808557865593204E-5</v>
      </c>
    </row>
    <row r="10" spans="2:14">
      <c r="B10" s="1">
        <v>45484</v>
      </c>
      <c r="C10">
        <v>40.75</v>
      </c>
      <c r="D10">
        <v>652.75</v>
      </c>
      <c r="E10">
        <v>5584.54</v>
      </c>
      <c r="F10">
        <f t="shared" si="0"/>
        <v>-7.142007947272289E-3</v>
      </c>
      <c r="G10">
        <f t="shared" si="1"/>
        <v>-7.9209857757581107E-3</v>
      </c>
      <c r="H10">
        <f t="shared" si="1"/>
        <v>5.5018536287759819E-3</v>
      </c>
      <c r="I10" s="4">
        <f t="shared" si="2"/>
        <v>-9.2267534892047851E-3</v>
      </c>
      <c r="J10" s="4">
        <f t="shared" si="3"/>
        <v>-9.6602906643068961E-3</v>
      </c>
      <c r="K10" s="4">
        <f t="shared" si="4"/>
        <v>5.3699192997902975E-3</v>
      </c>
      <c r="L10">
        <f t="shared" si="6"/>
        <v>8.5132979950552681E-5</v>
      </c>
      <c r="M10">
        <f t="shared" si="5"/>
        <v>9.3321215718894973E-5</v>
      </c>
      <c r="N10">
        <f t="shared" si="5"/>
        <v>2.8836033286260321E-5</v>
      </c>
    </row>
    <row r="11" spans="2:14">
      <c r="B11" s="1">
        <v>45485</v>
      </c>
      <c r="C11">
        <v>40.46</v>
      </c>
      <c r="D11">
        <v>647.6</v>
      </c>
      <c r="E11">
        <v>5615.35</v>
      </c>
      <c r="F11">
        <f t="shared" si="0"/>
        <v>-7.6913913468287659E-3</v>
      </c>
      <c r="G11">
        <f t="shared" si="1"/>
        <v>1.3573307576639323E-2</v>
      </c>
      <c r="H11">
        <f t="shared" si="1"/>
        <v>2.822195662042845E-3</v>
      </c>
      <c r="I11" s="4">
        <f t="shared" si="2"/>
        <v>-9.7761368887612603E-3</v>
      </c>
      <c r="J11" s="4">
        <f t="shared" si="3"/>
        <v>1.1834002688090536E-2</v>
      </c>
      <c r="K11" s="4">
        <f t="shared" si="4"/>
        <v>2.6902613330571606E-3</v>
      </c>
      <c r="L11">
        <f t="shared" si="6"/>
        <v>9.5572852467798688E-5</v>
      </c>
      <c r="M11">
        <f t="shared" si="5"/>
        <v>1.4004361962173404E-4</v>
      </c>
      <c r="N11">
        <f t="shared" si="5"/>
        <v>7.2375060401424909E-6</v>
      </c>
    </row>
    <row r="12" spans="2:14">
      <c r="B12" s="1">
        <v>45488</v>
      </c>
      <c r="C12">
        <v>40.15</v>
      </c>
      <c r="D12">
        <v>656.45</v>
      </c>
      <c r="E12">
        <v>5631.22</v>
      </c>
      <c r="F12">
        <f t="shared" si="0"/>
        <v>2.5815815962710129E-2</v>
      </c>
      <c r="G12">
        <f t="shared" si="1"/>
        <v>-1.9805449610354526E-4</v>
      </c>
      <c r="H12">
        <f t="shared" si="1"/>
        <v>6.3690536600414091E-3</v>
      </c>
      <c r="I12" s="4">
        <f t="shared" si="2"/>
        <v>2.3731070420777635E-2</v>
      </c>
      <c r="J12" s="4">
        <f t="shared" si="3"/>
        <v>-1.9373593846523315E-3</v>
      </c>
      <c r="K12" s="4">
        <f t="shared" si="4"/>
        <v>6.2371193310557247E-3</v>
      </c>
      <c r="L12">
        <f t="shared" si="6"/>
        <v>5.6316370331590724E-4</v>
      </c>
      <c r="M12">
        <f t="shared" si="5"/>
        <v>3.7533613853004607E-6</v>
      </c>
      <c r="N12">
        <f t="shared" si="5"/>
        <v>3.8901657549829011E-5</v>
      </c>
    </row>
    <row r="13" spans="2:14">
      <c r="B13" s="1">
        <v>45489</v>
      </c>
      <c r="C13">
        <v>41.2</v>
      </c>
      <c r="D13">
        <v>656.32</v>
      </c>
      <c r="E13">
        <v>5667.2</v>
      </c>
      <c r="F13">
        <f t="shared" si="0"/>
        <v>4.6244161173956071E-2</v>
      </c>
      <c r="G13">
        <f t="shared" si="1"/>
        <v>-1.3591459280318546E-2</v>
      </c>
      <c r="H13">
        <f t="shared" si="1"/>
        <v>-1.4025410555021933E-2</v>
      </c>
      <c r="I13" s="4">
        <f t="shared" si="2"/>
        <v>4.4159415632023573E-2</v>
      </c>
      <c r="J13" s="4">
        <f t="shared" si="3"/>
        <v>-1.5330764168867334E-2</v>
      </c>
      <c r="K13" s="4">
        <f t="shared" si="4"/>
        <v>-1.4157344884007618E-2</v>
      </c>
      <c r="L13">
        <f t="shared" si="6"/>
        <v>1.9500539889618078E-3</v>
      </c>
      <c r="M13">
        <f t="shared" si="5"/>
        <v>2.350323300014265E-4</v>
      </c>
      <c r="N13">
        <f t="shared" si="5"/>
        <v>2.0043041416473666E-4</v>
      </c>
    </row>
    <row r="14" spans="2:14">
      <c r="B14" s="1">
        <v>45490</v>
      </c>
      <c r="C14">
        <v>43.15</v>
      </c>
      <c r="D14">
        <v>647.46</v>
      </c>
      <c r="E14">
        <v>5588.27</v>
      </c>
      <c r="F14">
        <f t="shared" si="0"/>
        <v>-1.7769932164891145E-2</v>
      </c>
      <c r="G14">
        <f t="shared" si="1"/>
        <v>-6.8500849028063967E-3</v>
      </c>
      <c r="H14">
        <f t="shared" si="1"/>
        <v>-7.8470804696827295E-3</v>
      </c>
      <c r="I14" s="4">
        <f t="shared" si="2"/>
        <v>-1.9854677706823639E-2</v>
      </c>
      <c r="J14" s="4">
        <f t="shared" si="3"/>
        <v>-8.5893897913551821E-3</v>
      </c>
      <c r="K14" s="4">
        <f t="shared" si="4"/>
        <v>-7.9790147986684139E-3</v>
      </c>
      <c r="L14">
        <f t="shared" si="6"/>
        <v>3.9420822684183959E-4</v>
      </c>
      <c r="M14">
        <f t="shared" si="5"/>
        <v>7.3777616987836617E-5</v>
      </c>
      <c r="N14">
        <f t="shared" si="5"/>
        <v>6.3664677157369544E-5</v>
      </c>
    </row>
    <row r="15" spans="2:14">
      <c r="B15" s="1">
        <v>45491</v>
      </c>
      <c r="C15">
        <v>42.39</v>
      </c>
      <c r="D15">
        <v>643.04</v>
      </c>
      <c r="E15">
        <v>5544.59</v>
      </c>
      <c r="F15">
        <f t="shared" si="0"/>
        <v>5.8802944930433599E-3</v>
      </c>
      <c r="G15">
        <f t="shared" si="1"/>
        <v>-1.5199527954080538E-2</v>
      </c>
      <c r="H15">
        <f t="shared" si="1"/>
        <v>-7.1659074070294041E-3</v>
      </c>
      <c r="I15" s="4">
        <f t="shared" si="2"/>
        <v>3.7955489511108647E-3</v>
      </c>
      <c r="J15" s="4">
        <f t="shared" si="3"/>
        <v>-1.6938832842629325E-2</v>
      </c>
      <c r="K15" s="4">
        <f t="shared" si="4"/>
        <v>-7.2978417360150885E-3</v>
      </c>
      <c r="L15">
        <f t="shared" si="6"/>
        <v>1.4406191840278786E-5</v>
      </c>
      <c r="M15">
        <f t="shared" si="5"/>
        <v>2.8692405807053783E-4</v>
      </c>
      <c r="N15">
        <f t="shared" si="5"/>
        <v>5.3258494003923723E-5</v>
      </c>
    </row>
    <row r="16" spans="2:14">
      <c r="B16" s="1">
        <v>45492</v>
      </c>
      <c r="C16">
        <v>42.64</v>
      </c>
      <c r="D16">
        <v>633.34</v>
      </c>
      <c r="E16">
        <v>5505</v>
      </c>
      <c r="F16">
        <f t="shared" si="0"/>
        <v>7.0331734231949042E-4</v>
      </c>
      <c r="G16">
        <f t="shared" si="1"/>
        <v>2.211139082688246E-2</v>
      </c>
      <c r="H16">
        <f t="shared" si="1"/>
        <v>1.0734189165974961E-2</v>
      </c>
      <c r="I16" s="4">
        <f t="shared" si="2"/>
        <v>-1.3814281996130048E-3</v>
      </c>
      <c r="J16" s="4">
        <f t="shared" si="3"/>
        <v>2.0372085938333673E-2</v>
      </c>
      <c r="K16" s="4">
        <f t="shared" si="4"/>
        <v>1.0602254836989277E-2</v>
      </c>
      <c r="L16">
        <f t="shared" si="6"/>
        <v>1.9083438706860278E-6</v>
      </c>
      <c r="M16">
        <f t="shared" si="5"/>
        <v>4.1502188547885258E-4</v>
      </c>
      <c r="N16">
        <f t="shared" si="5"/>
        <v>1.1240780762846252E-4</v>
      </c>
    </row>
    <row r="17" spans="2:14">
      <c r="B17" s="1">
        <v>45495</v>
      </c>
      <c r="C17">
        <v>42.67</v>
      </c>
      <c r="D17">
        <v>647.5</v>
      </c>
      <c r="E17">
        <v>5564.41</v>
      </c>
      <c r="F17">
        <f t="shared" si="0"/>
        <v>7.2387940144556786E-3</v>
      </c>
      <c r="G17">
        <f t="shared" si="1"/>
        <v>-7.3473894001403733E-3</v>
      </c>
      <c r="H17">
        <f t="shared" si="1"/>
        <v>-1.5593317997995005E-3</v>
      </c>
      <c r="I17" s="4">
        <f t="shared" si="2"/>
        <v>5.1540484725231834E-3</v>
      </c>
      <c r="J17" s="4">
        <f t="shared" si="3"/>
        <v>-9.0866942886891587E-3</v>
      </c>
      <c r="K17" s="4">
        <f t="shared" si="4"/>
        <v>-1.6912661287851846E-3</v>
      </c>
      <c r="L17">
        <f t="shared" si="6"/>
        <v>2.6564215657118558E-5</v>
      </c>
      <c r="M17">
        <f t="shared" si="5"/>
        <v>8.2568013096096174E-5</v>
      </c>
      <c r="N17">
        <f t="shared" si="5"/>
        <v>2.8603811183760247E-6</v>
      </c>
    </row>
    <row r="18" spans="2:14">
      <c r="B18" s="1">
        <v>45496</v>
      </c>
      <c r="C18">
        <v>42.98</v>
      </c>
      <c r="D18">
        <v>642.76</v>
      </c>
      <c r="E18">
        <v>5555.74</v>
      </c>
      <c r="F18">
        <f t="shared" si="0"/>
        <v>3.8343355197647436E-2</v>
      </c>
      <c r="G18">
        <f t="shared" si="1"/>
        <v>-1.0588564227482403E-2</v>
      </c>
      <c r="H18">
        <f t="shared" si="1"/>
        <v>-2.3421178443889513E-2</v>
      </c>
      <c r="I18" s="4">
        <f t="shared" si="2"/>
        <v>3.6258609655714938E-2</v>
      </c>
      <c r="J18" s="4">
        <f t="shared" si="3"/>
        <v>-1.232786911603119E-2</v>
      </c>
      <c r="K18" s="4">
        <f t="shared" si="4"/>
        <v>-2.3553112772875195E-2</v>
      </c>
      <c r="L18">
        <f t="shared" si="6"/>
        <v>1.3146867741655045E-3</v>
      </c>
      <c r="M18">
        <f t="shared" si="5"/>
        <v>1.5197635694199564E-4</v>
      </c>
      <c r="N18">
        <f t="shared" si="5"/>
        <v>5.5474912129177664E-4</v>
      </c>
    </row>
    <row r="19" spans="2:14">
      <c r="B19" s="1">
        <v>45497</v>
      </c>
      <c r="C19">
        <v>44.66</v>
      </c>
      <c r="D19">
        <v>635.99</v>
      </c>
      <c r="E19">
        <v>5427.13</v>
      </c>
      <c r="F19">
        <f t="shared" si="0"/>
        <v>1.3566315035855592E-2</v>
      </c>
      <c r="G19">
        <f t="shared" si="1"/>
        <v>-2.9919397476580656E-3</v>
      </c>
      <c r="H19">
        <f t="shared" si="1"/>
        <v>-5.1559504042484414E-3</v>
      </c>
      <c r="I19" s="4">
        <f t="shared" si="2"/>
        <v>1.1481569493923097E-2</v>
      </c>
      <c r="J19" s="4">
        <f t="shared" si="3"/>
        <v>-4.7312446362068519E-3</v>
      </c>
      <c r="K19" s="4">
        <f t="shared" si="4"/>
        <v>-5.2878847332341258E-3</v>
      </c>
      <c r="L19">
        <f t="shared" si="6"/>
        <v>1.318264380437855E-4</v>
      </c>
      <c r="M19">
        <f t="shared" si="5"/>
        <v>2.2384675807636108E-5</v>
      </c>
      <c r="N19">
        <f t="shared" si="5"/>
        <v>2.7961724951970544E-5</v>
      </c>
    </row>
    <row r="20" spans="2:14">
      <c r="B20" s="1">
        <v>45498</v>
      </c>
      <c r="C20">
        <v>45.27</v>
      </c>
      <c r="D20">
        <v>634.09</v>
      </c>
      <c r="E20">
        <v>5399.22</v>
      </c>
      <c r="F20">
        <f t="shared" si="0"/>
        <v>0.10833818535175073</v>
      </c>
      <c r="G20">
        <f t="shared" si="1"/>
        <v>-4.298838665468532E-3</v>
      </c>
      <c r="H20">
        <f t="shared" si="1"/>
        <v>1.1029442312488889E-2</v>
      </c>
      <c r="I20" s="4">
        <f t="shared" si="2"/>
        <v>0.10625343980981823</v>
      </c>
      <c r="J20" s="4">
        <f t="shared" si="3"/>
        <v>-6.0381435540173183E-3</v>
      </c>
      <c r="K20" s="4">
        <f t="shared" si="4"/>
        <v>1.0897507983503205E-2</v>
      </c>
      <c r="L20">
        <f t="shared" si="6"/>
        <v>1.1289793471418666E-2</v>
      </c>
      <c r="M20">
        <f t="shared" si="5"/>
        <v>3.6459177578920892E-5</v>
      </c>
      <c r="N20">
        <f t="shared" si="5"/>
        <v>1.1875568025051608E-4</v>
      </c>
    </row>
    <row r="21" spans="2:14">
      <c r="B21" s="1">
        <v>45499</v>
      </c>
      <c r="C21">
        <v>50.45</v>
      </c>
      <c r="D21">
        <v>631.37</v>
      </c>
      <c r="E21">
        <v>5459.1</v>
      </c>
      <c r="F21">
        <f t="shared" si="0"/>
        <v>-2.9570695275596387E-2</v>
      </c>
      <c r="G21">
        <f t="shared" si="1"/>
        <v>-7.0093187883341328E-3</v>
      </c>
      <c r="H21">
        <f t="shared" si="1"/>
        <v>8.129903108684501E-4</v>
      </c>
      <c r="I21" s="4">
        <f t="shared" si="2"/>
        <v>-3.1655440817528885E-2</v>
      </c>
      <c r="J21" s="4">
        <f t="shared" si="3"/>
        <v>-8.7486236768829183E-3</v>
      </c>
      <c r="K21" s="4">
        <f t="shared" si="4"/>
        <v>6.8105598188276581E-4</v>
      </c>
      <c r="L21">
        <f t="shared" si="6"/>
        <v>1.0020669333520738E-3</v>
      </c>
      <c r="M21">
        <f t="shared" si="5"/>
        <v>7.6538416239716392E-5</v>
      </c>
      <c r="N21">
        <f t="shared" si="5"/>
        <v>4.6383725045829822E-7</v>
      </c>
    </row>
    <row r="22" spans="2:14">
      <c r="B22" s="1">
        <v>45502</v>
      </c>
      <c r="C22">
        <v>48.98</v>
      </c>
      <c r="D22">
        <v>626.96</v>
      </c>
      <c r="E22">
        <v>5463.54</v>
      </c>
      <c r="F22">
        <f t="shared" si="0"/>
        <v>1.4281344873504659E-3</v>
      </c>
      <c r="G22">
        <f t="shared" si="1"/>
        <v>-7.0106086067454644E-3</v>
      </c>
      <c r="H22">
        <f t="shared" si="1"/>
        <v>-4.9724964337360253E-3</v>
      </c>
      <c r="I22" s="4">
        <f t="shared" si="2"/>
        <v>-6.566110545820293E-4</v>
      </c>
      <c r="J22" s="4">
        <f t="shared" si="3"/>
        <v>-8.7499134952942516E-3</v>
      </c>
      <c r="K22" s="4">
        <f t="shared" si="4"/>
        <v>-5.1044307627217097E-3</v>
      </c>
      <c r="L22">
        <f t="shared" si="6"/>
        <v>4.3113807699932464E-7</v>
      </c>
      <c r="M22">
        <f t="shared" si="5"/>
        <v>7.6560986175132467E-5</v>
      </c>
      <c r="N22">
        <f t="shared" si="5"/>
        <v>2.6055213411419735E-5</v>
      </c>
    </row>
    <row r="23" spans="2:14">
      <c r="B23" s="1">
        <v>45503</v>
      </c>
      <c r="C23">
        <v>49.05</v>
      </c>
      <c r="D23">
        <v>622.58000000000004</v>
      </c>
      <c r="E23">
        <v>5436.44</v>
      </c>
      <c r="F23">
        <f t="shared" si="0"/>
        <v>-3.0848114188790941E-2</v>
      </c>
      <c r="G23">
        <f t="shared" si="1"/>
        <v>9.2252019232898445E-3</v>
      </c>
      <c r="H23">
        <f t="shared" si="1"/>
        <v>1.567000529191805E-2</v>
      </c>
      <c r="I23" s="4">
        <f t="shared" si="2"/>
        <v>-3.2932859730723435E-2</v>
      </c>
      <c r="J23" s="4">
        <f t="shared" si="3"/>
        <v>7.4858970347410582E-3</v>
      </c>
      <c r="K23" s="4">
        <f t="shared" si="4"/>
        <v>1.5538070962932365E-2</v>
      </c>
      <c r="L23">
        <f t="shared" si="6"/>
        <v>1.0845732500435051E-3</v>
      </c>
      <c r="M23">
        <f t="shared" si="5"/>
        <v>5.603865441474497E-5</v>
      </c>
      <c r="N23">
        <f t="shared" si="5"/>
        <v>2.4143164924912193E-4</v>
      </c>
    </row>
    <row r="24" spans="2:14">
      <c r="B24" s="1">
        <v>45504</v>
      </c>
      <c r="C24">
        <v>47.56</v>
      </c>
      <c r="D24">
        <v>628.35</v>
      </c>
      <c r="E24">
        <v>5522.3</v>
      </c>
      <c r="F24">
        <f t="shared" si="0"/>
        <v>1.274434881954823E-2</v>
      </c>
      <c r="G24">
        <f t="shared" si="1"/>
        <v>-5.5857151293608491E-3</v>
      </c>
      <c r="H24">
        <f t="shared" si="1"/>
        <v>-1.3788191433053192E-2</v>
      </c>
      <c r="I24" s="4">
        <f t="shared" si="2"/>
        <v>1.0659603277615736E-2</v>
      </c>
      <c r="J24" s="4">
        <f t="shared" si="3"/>
        <v>-7.3250200179096354E-3</v>
      </c>
      <c r="K24" s="4">
        <f t="shared" si="4"/>
        <v>-1.3920125762038877E-2</v>
      </c>
      <c r="L24">
        <f t="shared" si="6"/>
        <v>1.1362714203615614E-4</v>
      </c>
      <c r="M24">
        <f t="shared" si="5"/>
        <v>5.3655918262776873E-5</v>
      </c>
      <c r="N24">
        <f t="shared" si="5"/>
        <v>1.9376990123097843E-4</v>
      </c>
    </row>
    <row r="25" spans="2:14">
      <c r="B25" s="1">
        <v>45505</v>
      </c>
      <c r="C25">
        <v>48.17</v>
      </c>
      <c r="D25">
        <v>624.85</v>
      </c>
      <c r="E25">
        <v>5446.68</v>
      </c>
      <c r="F25">
        <f t="shared" si="0"/>
        <v>1.2378949079831838E-2</v>
      </c>
      <c r="G25">
        <f t="shared" si="1"/>
        <v>-1.8103183955220092E-2</v>
      </c>
      <c r="H25">
        <f t="shared" si="1"/>
        <v>-1.8552885294602865E-2</v>
      </c>
      <c r="I25" s="4">
        <f t="shared" si="2"/>
        <v>1.0294203537899341E-2</v>
      </c>
      <c r="J25" s="4">
        <f t="shared" si="3"/>
        <v>-1.984248884376888E-2</v>
      </c>
      <c r="K25" s="4">
        <f t="shared" si="4"/>
        <v>-1.8684819623588547E-2</v>
      </c>
      <c r="L25">
        <f t="shared" si="6"/>
        <v>1.0597062647969931E-4</v>
      </c>
      <c r="M25">
        <f t="shared" si="5"/>
        <v>3.9372436351509246E-4</v>
      </c>
      <c r="N25">
        <f t="shared" si="5"/>
        <v>3.4912248436603968E-4</v>
      </c>
    </row>
    <row r="26" spans="2:14">
      <c r="B26" s="1">
        <v>45506</v>
      </c>
      <c r="C26">
        <v>48.77</v>
      </c>
      <c r="D26">
        <v>613.64</v>
      </c>
      <c r="E26">
        <v>5346.56</v>
      </c>
      <c r="F26">
        <f t="shared" si="0"/>
        <v>-2.4492714588942102E-2</v>
      </c>
      <c r="G26">
        <f t="shared" si="1"/>
        <v>-2.4898373279193895E-2</v>
      </c>
      <c r="H26">
        <f t="shared" si="1"/>
        <v>-3.0427045496882188E-2</v>
      </c>
      <c r="I26" s="4">
        <f t="shared" si="2"/>
        <v>-2.6577460130874597E-2</v>
      </c>
      <c r="J26" s="4">
        <f t="shared" si="3"/>
        <v>-2.6637678167742682E-2</v>
      </c>
      <c r="K26" s="4">
        <f t="shared" si="4"/>
        <v>-3.0558979825867871E-2</v>
      </c>
      <c r="L26">
        <f t="shared" si="6"/>
        <v>7.0636138700822871E-4</v>
      </c>
      <c r="M26">
        <f t="shared" si="5"/>
        <v>7.095658981682351E-4</v>
      </c>
      <c r="N26">
        <f t="shared" si="5"/>
        <v>9.3385124799779946E-4</v>
      </c>
    </row>
    <row r="27" spans="2:14">
      <c r="B27" s="1">
        <v>45509</v>
      </c>
      <c r="C27">
        <v>47.59</v>
      </c>
      <c r="D27">
        <v>598.54999999999995</v>
      </c>
      <c r="E27">
        <v>5186.33</v>
      </c>
      <c r="F27">
        <f t="shared" si="0"/>
        <v>-5.9009654899624606E-3</v>
      </c>
      <c r="G27">
        <f t="shared" si="1"/>
        <v>1.8243726865653044E-2</v>
      </c>
      <c r="H27">
        <f t="shared" si="1"/>
        <v>1.0300905557719547E-2</v>
      </c>
      <c r="I27" s="4">
        <f t="shared" si="2"/>
        <v>-7.9857110318949549E-3</v>
      </c>
      <c r="J27" s="4">
        <f t="shared" si="3"/>
        <v>1.6504421977104257E-2</v>
      </c>
      <c r="K27" s="4">
        <f t="shared" si="4"/>
        <v>1.0168971228733862E-2</v>
      </c>
      <c r="L27">
        <f t="shared" si="6"/>
        <v>6.3771580684928781E-5</v>
      </c>
      <c r="M27">
        <f t="shared" si="5"/>
        <v>2.7239594479832197E-4</v>
      </c>
      <c r="N27">
        <f t="shared" si="5"/>
        <v>1.0340797585081707E-4</v>
      </c>
    </row>
    <row r="28" spans="2:14">
      <c r="B28" s="1">
        <v>45510</v>
      </c>
      <c r="C28">
        <v>47.31</v>
      </c>
      <c r="D28">
        <v>609.57000000000005</v>
      </c>
      <c r="E28">
        <v>5240.03</v>
      </c>
      <c r="F28">
        <f t="shared" si="0"/>
        <v>-1.7269377049746178E-2</v>
      </c>
      <c r="G28">
        <f t="shared" si="1"/>
        <v>3.128457569801684E-3</v>
      </c>
      <c r="H28">
        <f t="shared" si="1"/>
        <v>-7.7647563892511828E-3</v>
      </c>
      <c r="I28" s="4">
        <f t="shared" si="2"/>
        <v>-1.9354122591678673E-2</v>
      </c>
      <c r="J28" s="4">
        <f t="shared" si="3"/>
        <v>1.3891526812528977E-3</v>
      </c>
      <c r="K28" s="4">
        <f t="shared" si="4"/>
        <v>-7.8966907182368672E-3</v>
      </c>
      <c r="L28">
        <f t="shared" si="6"/>
        <v>3.7458206129372681E-4</v>
      </c>
      <c r="M28">
        <f t="shared" si="5"/>
        <v>1.9297451718321146E-6</v>
      </c>
      <c r="N28">
        <f t="shared" si="5"/>
        <v>6.2357724299488292E-5</v>
      </c>
    </row>
    <row r="29" spans="2:14">
      <c r="B29" s="1">
        <v>45511</v>
      </c>
      <c r="C29">
        <v>46.5</v>
      </c>
      <c r="D29">
        <v>611.48</v>
      </c>
      <c r="E29">
        <v>5199.5</v>
      </c>
      <c r="F29">
        <f t="shared" si="0"/>
        <v>7.4986960911206041E-3</v>
      </c>
      <c r="G29">
        <f t="shared" si="1"/>
        <v>3.0392972544444917E-2</v>
      </c>
      <c r="H29">
        <f t="shared" si="1"/>
        <v>2.2781128575607587E-2</v>
      </c>
      <c r="I29" s="4">
        <f t="shared" si="2"/>
        <v>5.4139505491881089E-3</v>
      </c>
      <c r="J29" s="4">
        <f t="shared" si="3"/>
        <v>2.865366765589613E-2</v>
      </c>
      <c r="K29" s="4">
        <f t="shared" si="4"/>
        <v>2.2649194246621904E-2</v>
      </c>
      <c r="L29">
        <f t="shared" si="6"/>
        <v>2.9310860549054225E-5</v>
      </c>
      <c r="M29">
        <f t="shared" si="5"/>
        <v>8.2103267013454797E-4</v>
      </c>
      <c r="N29">
        <f t="shared" si="5"/>
        <v>5.1298600002121079E-4</v>
      </c>
    </row>
    <row r="30" spans="2:14">
      <c r="B30" s="1">
        <v>45512</v>
      </c>
      <c r="C30">
        <v>46.85</v>
      </c>
      <c r="D30">
        <v>630.35</v>
      </c>
      <c r="E30">
        <v>5319.31</v>
      </c>
      <c r="F30">
        <f t="shared" si="0"/>
        <v>-2.7786701644596729E-3</v>
      </c>
      <c r="G30">
        <f t="shared" si="1"/>
        <v>5.6790920575881471E-3</v>
      </c>
      <c r="H30">
        <f t="shared" si="1"/>
        <v>4.660780212150723E-3</v>
      </c>
      <c r="I30" s="4">
        <f t="shared" si="2"/>
        <v>-4.8634157063921681E-3</v>
      </c>
      <c r="J30" s="4">
        <f t="shared" si="3"/>
        <v>3.9397871690393608E-3</v>
      </c>
      <c r="K30" s="4">
        <f t="shared" si="4"/>
        <v>4.5288458831650386E-3</v>
      </c>
      <c r="L30">
        <f t="shared" si="6"/>
        <v>2.365281233318203E-5</v>
      </c>
      <c r="M30">
        <f t="shared" si="5"/>
        <v>1.5521922937327179E-5</v>
      </c>
      <c r="N30">
        <f t="shared" si="5"/>
        <v>2.0510445033460918E-5</v>
      </c>
    </row>
    <row r="31" spans="2:14">
      <c r="B31" s="1">
        <v>45513</v>
      </c>
      <c r="C31">
        <v>46.72</v>
      </c>
      <c r="D31">
        <v>633.94000000000005</v>
      </c>
      <c r="E31">
        <v>5344.16</v>
      </c>
      <c r="F31">
        <f t="shared" si="0"/>
        <v>7.2510447792448222E-3</v>
      </c>
      <c r="G31">
        <f t="shared" si="1"/>
        <v>-1.2627460086212276E-3</v>
      </c>
      <c r="H31">
        <f t="shared" si="1"/>
        <v>4.3036707511422095E-5</v>
      </c>
      <c r="I31" s="4">
        <f t="shared" si="2"/>
        <v>5.166299237312327E-3</v>
      </c>
      <c r="J31" s="4">
        <f t="shared" si="3"/>
        <v>-3.0020508971700137E-3</v>
      </c>
      <c r="K31" s="4">
        <f t="shared" si="4"/>
        <v>-8.8897621474262189E-5</v>
      </c>
      <c r="L31">
        <f t="shared" si="6"/>
        <v>2.6690647809453931E-5</v>
      </c>
      <c r="M31">
        <f t="shared" si="5"/>
        <v>9.012309589199284E-6</v>
      </c>
      <c r="N31">
        <f t="shared" si="5"/>
        <v>7.9027871037812011E-9</v>
      </c>
    </row>
    <row r="32" spans="2:14">
      <c r="B32" s="1">
        <v>45516</v>
      </c>
      <c r="C32">
        <v>47.06</v>
      </c>
      <c r="D32">
        <v>633.14</v>
      </c>
      <c r="E32">
        <v>5344.39</v>
      </c>
      <c r="F32">
        <f t="shared" si="0"/>
        <v>4.1620655531126843E-2</v>
      </c>
      <c r="G32">
        <f t="shared" si="1"/>
        <v>2.3229993347270668E-2</v>
      </c>
      <c r="H32">
        <f t="shared" si="1"/>
        <v>1.6707226654933075E-2</v>
      </c>
      <c r="I32" s="4">
        <f t="shared" si="2"/>
        <v>3.9535909989194346E-2</v>
      </c>
      <c r="J32" s="4">
        <f t="shared" si="3"/>
        <v>2.1490688458721881E-2</v>
      </c>
      <c r="K32" s="4">
        <f t="shared" si="4"/>
        <v>1.6575292325947392E-2</v>
      </c>
      <c r="L32">
        <f t="shared" si="6"/>
        <v>1.5630881786736772E-3</v>
      </c>
      <c r="M32">
        <f t="shared" si="5"/>
        <v>4.6184969042984184E-4</v>
      </c>
      <c r="N32">
        <f t="shared" si="5"/>
        <v>2.7474031569061052E-4</v>
      </c>
    </row>
    <row r="33" spans="2:14">
      <c r="B33" s="1">
        <v>45517</v>
      </c>
      <c r="C33">
        <v>49.06</v>
      </c>
      <c r="D33">
        <v>648.02</v>
      </c>
      <c r="E33">
        <v>5434.43</v>
      </c>
      <c r="F33">
        <f t="shared" si="0"/>
        <v>-1.3337634878740427E-2</v>
      </c>
      <c r="G33">
        <f t="shared" si="1"/>
        <v>2.0860495310134855E-2</v>
      </c>
      <c r="H33">
        <f t="shared" si="1"/>
        <v>3.816476067632372E-3</v>
      </c>
      <c r="I33" s="4">
        <f t="shared" si="2"/>
        <v>-1.5422380420672923E-2</v>
      </c>
      <c r="J33" s="4">
        <f t="shared" si="3"/>
        <v>1.9121190421586068E-2</v>
      </c>
      <c r="K33" s="4">
        <f t="shared" si="4"/>
        <v>3.6845417386466876E-3</v>
      </c>
      <c r="L33">
        <f t="shared" si="6"/>
        <v>2.3784981783995553E-4</v>
      </c>
      <c r="M33">
        <f t="shared" si="5"/>
        <v>3.6561992313855477E-4</v>
      </c>
      <c r="N33">
        <f t="shared" si="5"/>
        <v>1.3575847823829555E-5</v>
      </c>
    </row>
    <row r="34" spans="2:14">
      <c r="B34" s="1">
        <v>45518</v>
      </c>
      <c r="C34">
        <v>48.41</v>
      </c>
      <c r="D34">
        <v>661.68</v>
      </c>
      <c r="E34">
        <v>5455.21</v>
      </c>
      <c r="F34">
        <f t="shared" si="0"/>
        <v>1.4356276099550197E-2</v>
      </c>
      <c r="G34">
        <f t="shared" si="1"/>
        <v>2.3247047981671157E-3</v>
      </c>
      <c r="H34">
        <f t="shared" si="1"/>
        <v>1.6004444012785939E-2</v>
      </c>
      <c r="I34" s="4">
        <f t="shared" si="2"/>
        <v>1.2271530557617701E-2</v>
      </c>
      <c r="J34" s="4">
        <f t="shared" si="3"/>
        <v>5.8539990961832935E-4</v>
      </c>
      <c r="K34" s="4">
        <f t="shared" si="4"/>
        <v>1.5872509683800256E-2</v>
      </c>
      <c r="L34">
        <f t="shared" si="6"/>
        <v>1.5059046222654502E-4</v>
      </c>
      <c r="M34">
        <f t="shared" si="5"/>
        <v>3.4269305418114818E-7</v>
      </c>
      <c r="N34">
        <f t="shared" si="5"/>
        <v>2.5193656366233292E-4</v>
      </c>
    </row>
    <row r="35" spans="2:14">
      <c r="B35" s="1">
        <v>45519</v>
      </c>
      <c r="C35">
        <v>49.11</v>
      </c>
      <c r="D35">
        <v>663.22</v>
      </c>
      <c r="E35">
        <v>5543.22</v>
      </c>
      <c r="F35">
        <f t="shared" ref="F35:F66" si="7">LN(C36/C35)</f>
        <v>5.0776995459790985E-3</v>
      </c>
      <c r="G35">
        <f t="shared" si="1"/>
        <v>1.6227202904431044E-2</v>
      </c>
      <c r="H35">
        <f t="shared" si="1"/>
        <v>1.9878411263283945E-3</v>
      </c>
      <c r="I35" s="4">
        <f t="shared" ref="I35:I66" si="8">F35-$F$194</f>
        <v>2.9929540040466033E-3</v>
      </c>
      <c r="J35" s="4">
        <f t="shared" ref="J35:J66" si="9">G35-$G$194</f>
        <v>1.4487898015882256E-2</v>
      </c>
      <c r="K35" s="4">
        <f t="shared" ref="K35:K66" si="10">H35-$H$194</f>
        <v>1.8559067973427101E-3</v>
      </c>
      <c r="L35">
        <f t="shared" si="6"/>
        <v>8.9577736703385951E-6</v>
      </c>
      <c r="M35">
        <f t="shared" si="5"/>
        <v>2.0989918891860503E-4</v>
      </c>
      <c r="N35">
        <f t="shared" si="5"/>
        <v>3.4443900404228751E-6</v>
      </c>
    </row>
    <row r="36" spans="2:14">
      <c r="B36" s="1">
        <v>45520</v>
      </c>
      <c r="C36">
        <v>49.36</v>
      </c>
      <c r="D36">
        <v>674.07</v>
      </c>
      <c r="E36">
        <v>5554.25</v>
      </c>
      <c r="F36">
        <f t="shared" si="7"/>
        <v>-1.2162985484880202E-3</v>
      </c>
      <c r="G36">
        <f t="shared" si="1"/>
        <v>2.1224927117935138E-2</v>
      </c>
      <c r="H36">
        <f t="shared" si="1"/>
        <v>9.6753274361777754E-3</v>
      </c>
      <c r="I36" s="4">
        <f t="shared" si="8"/>
        <v>-3.3010440904205152E-3</v>
      </c>
      <c r="J36" s="4">
        <f t="shared" si="9"/>
        <v>1.9485622229386351E-2</v>
      </c>
      <c r="K36" s="4">
        <f t="shared" si="10"/>
        <v>9.543393107192091E-3</v>
      </c>
      <c r="L36">
        <f t="shared" si="6"/>
        <v>1.0896892086900207E-5</v>
      </c>
      <c r="M36">
        <f t="shared" si="5"/>
        <v>3.7968947366635549E-4</v>
      </c>
      <c r="N36">
        <f t="shared" si="5"/>
        <v>9.1076351998401516E-5</v>
      </c>
    </row>
    <row r="37" spans="2:14">
      <c r="B37" s="1">
        <v>45523</v>
      </c>
      <c r="C37">
        <v>49.3</v>
      </c>
      <c r="D37">
        <v>688.53</v>
      </c>
      <c r="E37">
        <v>5608.25</v>
      </c>
      <c r="F37">
        <f t="shared" si="7"/>
        <v>-6.5120295246227419E-3</v>
      </c>
      <c r="G37">
        <f t="shared" si="1"/>
        <v>1.4433552422298939E-2</v>
      </c>
      <c r="H37">
        <f t="shared" si="1"/>
        <v>-1.9865481747165059E-3</v>
      </c>
      <c r="I37" s="4">
        <f t="shared" si="8"/>
        <v>-8.596775066555238E-3</v>
      </c>
      <c r="J37" s="4">
        <f t="shared" si="9"/>
        <v>1.2694247533750154E-2</v>
      </c>
      <c r="K37" s="4">
        <f t="shared" si="10"/>
        <v>-2.1184825037021903E-3</v>
      </c>
      <c r="L37">
        <f t="shared" si="6"/>
        <v>7.3904541544945812E-5</v>
      </c>
      <c r="M37">
        <f t="shared" si="5"/>
        <v>1.6114392044812187E-4</v>
      </c>
      <c r="N37">
        <f t="shared" si="5"/>
        <v>4.4879681184923004E-6</v>
      </c>
    </row>
    <row r="38" spans="2:14">
      <c r="B38" s="1">
        <v>45524</v>
      </c>
      <c r="C38">
        <v>48.98</v>
      </c>
      <c r="D38">
        <v>698.54</v>
      </c>
      <c r="E38">
        <v>5597.12</v>
      </c>
      <c r="F38">
        <f t="shared" si="7"/>
        <v>-1.1086132839130181E-2</v>
      </c>
      <c r="G38">
        <f t="shared" si="1"/>
        <v>-2.0348802573509545E-3</v>
      </c>
      <c r="H38">
        <f t="shared" si="1"/>
        <v>4.2307182841846242E-3</v>
      </c>
      <c r="I38" s="4">
        <f t="shared" si="8"/>
        <v>-1.3170878381062675E-2</v>
      </c>
      <c r="J38" s="4">
        <f t="shared" si="9"/>
        <v>-3.7741851458997409E-3</v>
      </c>
      <c r="K38" s="4">
        <f t="shared" si="10"/>
        <v>4.0987839551989399E-3</v>
      </c>
      <c r="L38">
        <f t="shared" si="6"/>
        <v>1.7347203732874414E-4</v>
      </c>
      <c r="M38">
        <f t="shared" si="5"/>
        <v>1.4244473515530249E-5</v>
      </c>
      <c r="N38">
        <f t="shared" si="5"/>
        <v>1.6800029911396265E-5</v>
      </c>
    </row>
    <row r="39" spans="2:14">
      <c r="B39" s="1">
        <v>45525</v>
      </c>
      <c r="C39">
        <v>48.44</v>
      </c>
      <c r="D39">
        <v>697.12</v>
      </c>
      <c r="E39">
        <v>5620.85</v>
      </c>
      <c r="F39">
        <f t="shared" si="7"/>
        <v>-1.707307762617476E-2</v>
      </c>
      <c r="G39">
        <f t="shared" si="1"/>
        <v>-1.1774348193133768E-2</v>
      </c>
      <c r="H39">
        <f t="shared" si="1"/>
        <v>-8.9729494254644684E-3</v>
      </c>
      <c r="I39" s="4">
        <f t="shared" si="8"/>
        <v>-1.9157823168107255E-2</v>
      </c>
      <c r="J39" s="4">
        <f t="shared" si="9"/>
        <v>-1.3513653081682554E-2</v>
      </c>
      <c r="K39" s="4">
        <f t="shared" si="10"/>
        <v>-9.1048837544501528E-3</v>
      </c>
      <c r="L39">
        <f t="shared" si="6"/>
        <v>3.6702218854046709E-4</v>
      </c>
      <c r="M39">
        <f t="shared" si="5"/>
        <v>1.8261881961206838E-4</v>
      </c>
      <c r="N39">
        <f t="shared" si="5"/>
        <v>8.2898908182050306E-5</v>
      </c>
    </row>
    <row r="40" spans="2:14">
      <c r="B40" s="1">
        <v>45526</v>
      </c>
      <c r="C40">
        <v>47.62</v>
      </c>
      <c r="D40">
        <v>688.96</v>
      </c>
      <c r="E40">
        <v>5570.64</v>
      </c>
      <c r="F40">
        <f t="shared" si="7"/>
        <v>1.0237214652645717E-2</v>
      </c>
      <c r="G40">
        <f t="shared" si="1"/>
        <v>-3.2420123039748902E-3</v>
      </c>
      <c r="H40">
        <f t="shared" si="1"/>
        <v>1.1417986208502448E-2</v>
      </c>
      <c r="I40" s="4">
        <f t="shared" si="8"/>
        <v>8.1524691107132223E-3</v>
      </c>
      <c r="J40" s="4">
        <f t="shared" si="9"/>
        <v>-4.9813171925236766E-3</v>
      </c>
      <c r="K40" s="4">
        <f t="shared" si="10"/>
        <v>1.1286051879516763E-2</v>
      </c>
      <c r="L40">
        <f t="shared" si="6"/>
        <v>6.6462752601133244E-5</v>
      </c>
      <c r="M40">
        <f t="shared" si="5"/>
        <v>2.4813520972531961E-5</v>
      </c>
      <c r="N40">
        <f t="shared" si="5"/>
        <v>1.2737496702714386E-4</v>
      </c>
    </row>
    <row r="41" spans="2:14">
      <c r="B41" s="1">
        <v>45527</v>
      </c>
      <c r="C41">
        <v>48.11</v>
      </c>
      <c r="D41">
        <v>686.73</v>
      </c>
      <c r="E41">
        <v>5634.61</v>
      </c>
      <c r="F41">
        <f t="shared" si="7"/>
        <v>2.6984967075677109E-3</v>
      </c>
      <c r="G41">
        <f t="shared" si="1"/>
        <v>2.4869665297568115E-3</v>
      </c>
      <c r="H41">
        <f t="shared" si="1"/>
        <v>-3.1587066155747872E-3</v>
      </c>
      <c r="I41" s="4">
        <f t="shared" si="8"/>
        <v>6.1375116563521567E-4</v>
      </c>
      <c r="J41" s="4">
        <f t="shared" si="9"/>
        <v>7.476616412080252E-4</v>
      </c>
      <c r="K41" s="4">
        <f t="shared" si="10"/>
        <v>-3.2906409445604716E-3</v>
      </c>
      <c r="L41">
        <f t="shared" si="6"/>
        <v>3.7669049331858593E-7</v>
      </c>
      <c r="M41">
        <f t="shared" si="5"/>
        <v>5.5899792973387778E-7</v>
      </c>
      <c r="N41">
        <f t="shared" si="5"/>
        <v>1.0828317826017832E-5</v>
      </c>
    </row>
    <row r="42" spans="2:14">
      <c r="B42" s="1">
        <v>45530</v>
      </c>
      <c r="C42">
        <v>48.24</v>
      </c>
      <c r="D42">
        <v>688.44</v>
      </c>
      <c r="E42">
        <v>5616.84</v>
      </c>
      <c r="F42">
        <f t="shared" si="7"/>
        <v>-2.4906613124519189E-3</v>
      </c>
      <c r="G42">
        <f t="shared" si="1"/>
        <v>1.0519112138172547E-2</v>
      </c>
      <c r="H42">
        <f t="shared" si="1"/>
        <v>1.5939320118754585E-3</v>
      </c>
      <c r="I42" s="4">
        <f t="shared" si="8"/>
        <v>-4.5754068543844145E-3</v>
      </c>
      <c r="J42" s="4">
        <f t="shared" si="9"/>
        <v>8.7798072496237597E-3</v>
      </c>
      <c r="K42" s="4">
        <f t="shared" si="10"/>
        <v>1.4619976828897743E-3</v>
      </c>
      <c r="L42">
        <f t="shared" si="6"/>
        <v>2.0934347883147883E-5</v>
      </c>
      <c r="M42">
        <f t="shared" si="5"/>
        <v>7.708501534054593E-5</v>
      </c>
      <c r="N42">
        <f t="shared" si="5"/>
        <v>2.137437224775069E-6</v>
      </c>
    </row>
    <row r="43" spans="2:14">
      <c r="B43" s="1">
        <v>45531</v>
      </c>
      <c r="C43">
        <v>48.12</v>
      </c>
      <c r="D43">
        <v>695.72</v>
      </c>
      <c r="E43">
        <v>5625.8</v>
      </c>
      <c r="F43">
        <f t="shared" si="7"/>
        <v>1.9346147723865139E-2</v>
      </c>
      <c r="G43">
        <f t="shared" si="1"/>
        <v>-1.7223308409169705E-2</v>
      </c>
      <c r="H43">
        <f t="shared" si="1"/>
        <v>-5.9939669454233853E-3</v>
      </c>
      <c r="I43" s="4">
        <f t="shared" si="8"/>
        <v>1.7261402181932645E-2</v>
      </c>
      <c r="J43" s="4">
        <f t="shared" si="9"/>
        <v>-1.8962613297718492E-2</v>
      </c>
      <c r="K43" s="4">
        <f t="shared" si="10"/>
        <v>-6.1259012744090697E-3</v>
      </c>
      <c r="L43">
        <f t="shared" si="6"/>
        <v>2.9795600528642905E-4</v>
      </c>
      <c r="M43">
        <f t="shared" si="5"/>
        <v>3.595807030788102E-4</v>
      </c>
      <c r="N43">
        <f t="shared" si="5"/>
        <v>3.7526666423806662E-5</v>
      </c>
    </row>
    <row r="44" spans="2:14">
      <c r="B44" s="1">
        <v>45532</v>
      </c>
      <c r="C44">
        <v>49.06</v>
      </c>
      <c r="D44">
        <v>683.84</v>
      </c>
      <c r="E44">
        <v>5592.18</v>
      </c>
      <c r="F44">
        <f t="shared" si="7"/>
        <v>1.3363227812167158E-2</v>
      </c>
      <c r="G44">
        <f t="shared" si="1"/>
        <v>1.2555384647224416E-2</v>
      </c>
      <c r="H44">
        <f t="shared" si="1"/>
        <v>-3.934142455813639E-5</v>
      </c>
      <c r="I44" s="4">
        <f t="shared" si="8"/>
        <v>1.1278482270234664E-2</v>
      </c>
      <c r="J44" s="4">
        <f t="shared" si="9"/>
        <v>1.0816079758675629E-2</v>
      </c>
      <c r="K44" s="4">
        <f t="shared" si="10"/>
        <v>-1.7127575354382069E-4</v>
      </c>
      <c r="L44">
        <f t="shared" si="6"/>
        <v>1.2720416231999765E-4</v>
      </c>
      <c r="M44">
        <f t="shared" si="5"/>
        <v>1.1698758134603264E-4</v>
      </c>
      <c r="N44">
        <f t="shared" si="5"/>
        <v>2.9335383752003604E-8</v>
      </c>
    </row>
    <row r="45" spans="2:14">
      <c r="B45" s="1">
        <v>45533</v>
      </c>
      <c r="C45">
        <v>49.72</v>
      </c>
      <c r="D45">
        <v>692.48</v>
      </c>
      <c r="E45">
        <v>5591.96</v>
      </c>
      <c r="F45">
        <f t="shared" si="7"/>
        <v>4.6152384520522245E-3</v>
      </c>
      <c r="G45">
        <f t="shared" si="1"/>
        <v>1.2727692387673115E-2</v>
      </c>
      <c r="H45">
        <f t="shared" si="1"/>
        <v>1.0042467382856683E-2</v>
      </c>
      <c r="I45" s="4">
        <f t="shared" si="8"/>
        <v>2.5304929101197292E-3</v>
      </c>
      <c r="J45" s="4">
        <f t="shared" si="9"/>
        <v>1.0988387499124327E-2</v>
      </c>
      <c r="K45" s="4">
        <f t="shared" si="10"/>
        <v>9.9105330538709988E-3</v>
      </c>
      <c r="L45">
        <f t="shared" si="6"/>
        <v>6.4033943681662161E-6</v>
      </c>
      <c r="M45">
        <f t="shared" si="5"/>
        <v>1.2074465983091179E-4</v>
      </c>
      <c r="N45">
        <f t="shared" si="5"/>
        <v>9.8218665411869621E-5</v>
      </c>
    </row>
    <row r="46" spans="2:14">
      <c r="B46" s="1">
        <v>45534</v>
      </c>
      <c r="C46">
        <v>49.95</v>
      </c>
      <c r="D46">
        <v>701.35</v>
      </c>
      <c r="E46">
        <v>5648.4</v>
      </c>
      <c r="F46">
        <f t="shared" si="7"/>
        <v>1.1346792387727865E-2</v>
      </c>
      <c r="G46">
        <f t="shared" si="1"/>
        <v>-3.7820396556687515E-2</v>
      </c>
      <c r="H46">
        <f t="shared" si="1"/>
        <v>-2.137801245458143E-2</v>
      </c>
      <c r="I46" s="4">
        <f t="shared" si="8"/>
        <v>9.2620468457953707E-3</v>
      </c>
      <c r="J46" s="4">
        <f t="shared" si="9"/>
        <v>-3.9559701445236302E-2</v>
      </c>
      <c r="K46" s="4">
        <f t="shared" si="10"/>
        <v>-2.1509946783567113E-2</v>
      </c>
      <c r="L46">
        <f t="shared" si="6"/>
        <v>8.5785511773707972E-5</v>
      </c>
      <c r="M46">
        <f t="shared" si="5"/>
        <v>1.5649699784362312E-3</v>
      </c>
      <c r="N46">
        <f t="shared" si="5"/>
        <v>4.6267781063188919E-4</v>
      </c>
    </row>
    <row r="47" spans="2:14">
      <c r="B47" s="1">
        <v>45538</v>
      </c>
      <c r="C47">
        <v>50.52</v>
      </c>
      <c r="D47">
        <v>675.32</v>
      </c>
      <c r="E47">
        <v>5528.93</v>
      </c>
      <c r="F47">
        <f t="shared" si="7"/>
        <v>-1.1146612224913434E-2</v>
      </c>
      <c r="G47">
        <f t="shared" si="1"/>
        <v>6.4354465644715642E-3</v>
      </c>
      <c r="H47">
        <f t="shared" si="1"/>
        <v>-1.6037653903594354E-3</v>
      </c>
      <c r="I47" s="4">
        <f t="shared" si="8"/>
        <v>-1.323135776684593E-2</v>
      </c>
      <c r="J47" s="4">
        <f t="shared" si="9"/>
        <v>4.6961416759227778E-3</v>
      </c>
      <c r="K47" s="4">
        <f t="shared" si="10"/>
        <v>-1.7356997193451198E-3</v>
      </c>
      <c r="L47">
        <f t="shared" si="6"/>
        <v>1.750688283542741E-4</v>
      </c>
      <c r="M47">
        <f t="shared" si="5"/>
        <v>2.2053746640338796E-5</v>
      </c>
      <c r="N47">
        <f t="shared" si="5"/>
        <v>3.0126535157347274E-6</v>
      </c>
    </row>
    <row r="48" spans="2:14">
      <c r="B48" s="1">
        <v>45539</v>
      </c>
      <c r="C48">
        <v>49.96</v>
      </c>
      <c r="D48">
        <v>679.68</v>
      </c>
      <c r="E48">
        <v>5520.07</v>
      </c>
      <c r="F48">
        <f t="shared" si="7"/>
        <v>-3.2077012267697313E-3</v>
      </c>
      <c r="G48">
        <f t="shared" si="1"/>
        <v>5.7801085153629025E-3</v>
      </c>
      <c r="H48">
        <f t="shared" si="1"/>
        <v>-3.0226412501879545E-3</v>
      </c>
      <c r="I48" s="4">
        <f t="shared" si="8"/>
        <v>-5.2924467687022261E-3</v>
      </c>
      <c r="J48" s="4">
        <f t="shared" si="9"/>
        <v>4.0408036268141162E-3</v>
      </c>
      <c r="K48" s="4">
        <f t="shared" si="10"/>
        <v>-3.1545755791736389E-3</v>
      </c>
      <c r="L48">
        <f t="shared" si="6"/>
        <v>2.8009992799546636E-5</v>
      </c>
      <c r="M48">
        <f t="shared" si="5"/>
        <v>1.6328093950474116E-5</v>
      </c>
      <c r="N48">
        <f t="shared" si="5"/>
        <v>9.9513470847186999E-6</v>
      </c>
    </row>
    <row r="49" spans="2:14">
      <c r="B49" s="1">
        <v>45540</v>
      </c>
      <c r="C49">
        <v>49.8</v>
      </c>
      <c r="D49">
        <v>683.62</v>
      </c>
      <c r="E49">
        <v>5503.41</v>
      </c>
      <c r="F49">
        <f t="shared" si="7"/>
        <v>-2.2335953942063076E-2</v>
      </c>
      <c r="G49">
        <f t="shared" si="1"/>
        <v>-2.6457942139220116E-2</v>
      </c>
      <c r="H49">
        <f t="shared" si="1"/>
        <v>-1.7410901670867562E-2</v>
      </c>
      <c r="I49" s="4">
        <f t="shared" si="8"/>
        <v>-2.442069948399557E-2</v>
      </c>
      <c r="J49" s="4">
        <f t="shared" si="9"/>
        <v>-2.8197247027768903E-2</v>
      </c>
      <c r="K49" s="4">
        <f t="shared" si="10"/>
        <v>-1.7542835999853245E-2</v>
      </c>
      <c r="L49">
        <f t="shared" si="6"/>
        <v>5.9637056328762145E-4</v>
      </c>
      <c r="M49">
        <f t="shared" si="5"/>
        <v>7.9508473994502229E-4</v>
      </c>
      <c r="N49">
        <f t="shared" si="5"/>
        <v>3.0775109491774699E-4</v>
      </c>
    </row>
    <row r="50" spans="2:14">
      <c r="B50" s="1">
        <v>45541</v>
      </c>
      <c r="C50">
        <v>48.7</v>
      </c>
      <c r="D50">
        <v>665.77</v>
      </c>
      <c r="E50">
        <v>5408.42</v>
      </c>
      <c r="F50">
        <f t="shared" si="7"/>
        <v>-4.1152321451066549E-3</v>
      </c>
      <c r="G50">
        <f t="shared" si="1"/>
        <v>1.4390454045160261E-2</v>
      </c>
      <c r="H50">
        <f t="shared" si="1"/>
        <v>1.1513555690021488E-2</v>
      </c>
      <c r="I50" s="4">
        <f t="shared" si="8"/>
        <v>-6.1999776870391501E-3</v>
      </c>
      <c r="J50" s="4">
        <f t="shared" si="9"/>
        <v>1.2651149156611474E-2</v>
      </c>
      <c r="K50" s="4">
        <f t="shared" si="10"/>
        <v>1.1381621361035803E-2</v>
      </c>
      <c r="L50">
        <f t="shared" si="6"/>
        <v>3.843972331978333E-5</v>
      </c>
      <c r="M50">
        <f t="shared" si="5"/>
        <v>1.6005157498283121E-4</v>
      </c>
      <c r="N50">
        <f t="shared" si="5"/>
        <v>1.2954130480598649E-4</v>
      </c>
    </row>
    <row r="51" spans="2:14">
      <c r="B51" s="1">
        <v>45544</v>
      </c>
      <c r="C51">
        <v>48.5</v>
      </c>
      <c r="D51">
        <v>675.42</v>
      </c>
      <c r="E51">
        <v>5471.05</v>
      </c>
      <c r="F51">
        <f t="shared" si="7"/>
        <v>1.5954521281826901E-2</v>
      </c>
      <c r="G51">
        <f t="shared" si="1"/>
        <v>-2.6685658960245093E-3</v>
      </c>
      <c r="H51">
        <f t="shared" si="1"/>
        <v>4.4626607244902189E-3</v>
      </c>
      <c r="I51" s="4">
        <f t="shared" si="8"/>
        <v>1.3869775739894407E-2</v>
      </c>
      <c r="J51" s="4">
        <f t="shared" si="9"/>
        <v>-4.4078707845732956E-3</v>
      </c>
      <c r="K51" s="4">
        <f t="shared" si="10"/>
        <v>4.3307263955045345E-3</v>
      </c>
      <c r="L51">
        <f t="shared" si="6"/>
        <v>1.9237067907496345E-4</v>
      </c>
      <c r="M51">
        <f t="shared" si="5"/>
        <v>1.9429324853494802E-5</v>
      </c>
      <c r="N51">
        <f t="shared" si="5"/>
        <v>1.8755191112719697E-5</v>
      </c>
    </row>
    <row r="52" spans="2:14">
      <c r="B52" s="1">
        <v>45545</v>
      </c>
      <c r="C52">
        <v>49.28</v>
      </c>
      <c r="D52">
        <v>673.62</v>
      </c>
      <c r="E52">
        <v>5495.52</v>
      </c>
      <c r="F52">
        <f t="shared" si="7"/>
        <v>-1.4100570807452698E-2</v>
      </c>
      <c r="G52">
        <f t="shared" si="1"/>
        <v>1.1586075925991673E-2</v>
      </c>
      <c r="H52">
        <f t="shared" si="1"/>
        <v>1.0608580303038784E-2</v>
      </c>
      <c r="I52" s="4">
        <f t="shared" si="8"/>
        <v>-1.6185316349385193E-2</v>
      </c>
      <c r="J52" s="4">
        <f t="shared" si="9"/>
        <v>9.8467710374428863E-3</v>
      </c>
      <c r="K52" s="4">
        <f t="shared" si="10"/>
        <v>1.04766459740531E-2</v>
      </c>
      <c r="L52">
        <f t="shared" si="6"/>
        <v>2.6196446532967562E-4</v>
      </c>
      <c r="M52">
        <f t="shared" si="5"/>
        <v>9.6958899863824056E-5</v>
      </c>
      <c r="N52">
        <f t="shared" si="5"/>
        <v>1.0976011086564303E-4</v>
      </c>
    </row>
    <row r="53" spans="2:14">
      <c r="B53" s="1">
        <v>45546</v>
      </c>
      <c r="C53">
        <v>48.59</v>
      </c>
      <c r="D53">
        <v>681.47</v>
      </c>
      <c r="E53">
        <v>5554.13</v>
      </c>
      <c r="F53">
        <f t="shared" si="7"/>
        <v>-7.2291959988816353E-3</v>
      </c>
      <c r="G53">
        <f t="shared" si="1"/>
        <v>7.7908993985856007E-3</v>
      </c>
      <c r="H53">
        <f t="shared" si="1"/>
        <v>7.46737294203047E-3</v>
      </c>
      <c r="I53" s="4">
        <f t="shared" si="8"/>
        <v>-9.3139415408141305E-3</v>
      </c>
      <c r="J53" s="4">
        <f t="shared" si="9"/>
        <v>6.0515945100368144E-3</v>
      </c>
      <c r="K53" s="4">
        <f t="shared" si="10"/>
        <v>7.3354386130447856E-3</v>
      </c>
      <c r="L53">
        <f t="shared" si="6"/>
        <v>8.6749507025703099E-5</v>
      </c>
      <c r="M53">
        <f t="shared" si="5"/>
        <v>3.6621796113907715E-5</v>
      </c>
      <c r="N53">
        <f t="shared" si="5"/>
        <v>5.3808659645748408E-5</v>
      </c>
    </row>
    <row r="54" spans="2:14">
      <c r="B54" s="1">
        <v>45547</v>
      </c>
      <c r="C54">
        <v>48.24</v>
      </c>
      <c r="D54">
        <v>686.8</v>
      </c>
      <c r="E54">
        <v>5595.76</v>
      </c>
      <c r="F54">
        <f t="shared" si="7"/>
        <v>1.8281293761626828E-2</v>
      </c>
      <c r="G54">
        <f t="shared" si="1"/>
        <v>1.4828361246029558E-2</v>
      </c>
      <c r="H54">
        <f t="shared" si="1"/>
        <v>5.3930968783714164E-3</v>
      </c>
      <c r="I54" s="4">
        <f t="shared" si="8"/>
        <v>1.6196548219694334E-2</v>
      </c>
      <c r="J54" s="4">
        <f t="shared" si="9"/>
        <v>1.3089056357480772E-2</v>
      </c>
      <c r="K54" s="4">
        <f t="shared" si="10"/>
        <v>5.261162549385732E-3</v>
      </c>
      <c r="L54">
        <f t="shared" si="6"/>
        <v>2.6232817423288369E-4</v>
      </c>
      <c r="M54">
        <f t="shared" si="5"/>
        <v>1.7132339632930783E-4</v>
      </c>
      <c r="N54">
        <f t="shared" si="5"/>
        <v>2.7679831371058975E-5</v>
      </c>
    </row>
    <row r="55" spans="2:14">
      <c r="B55" s="1">
        <v>45548</v>
      </c>
      <c r="C55">
        <v>49.13</v>
      </c>
      <c r="D55">
        <v>697.06</v>
      </c>
      <c r="E55">
        <v>5626.02</v>
      </c>
      <c r="F55">
        <f t="shared" si="7"/>
        <v>1.7353139244922062E-2</v>
      </c>
      <c r="G55">
        <f t="shared" si="1"/>
        <v>-8.0369704948951711E-4</v>
      </c>
      <c r="H55">
        <f t="shared" si="1"/>
        <v>1.2558720767880025E-3</v>
      </c>
      <c r="I55" s="4">
        <f t="shared" si="8"/>
        <v>1.5268393702989567E-2</v>
      </c>
      <c r="J55" s="4">
        <f t="shared" si="9"/>
        <v>-2.5430019380383033E-3</v>
      </c>
      <c r="K55" s="4">
        <f t="shared" si="10"/>
        <v>1.1239377478023181E-3</v>
      </c>
      <c r="L55">
        <f t="shared" si="6"/>
        <v>2.3312384626949148E-4</v>
      </c>
      <c r="M55">
        <f t="shared" si="5"/>
        <v>6.4668588568665669E-6</v>
      </c>
      <c r="N55">
        <f t="shared" si="5"/>
        <v>1.2632360609349471E-6</v>
      </c>
    </row>
    <row r="56" spans="2:14">
      <c r="B56" s="1">
        <v>45551</v>
      </c>
      <c r="C56">
        <v>49.99</v>
      </c>
      <c r="D56">
        <v>696.5</v>
      </c>
      <c r="E56">
        <v>5633.09</v>
      </c>
      <c r="F56">
        <f t="shared" si="7"/>
        <v>-1.0052356461684319E-2</v>
      </c>
      <c r="G56">
        <f t="shared" si="1"/>
        <v>1.4835566129447511E-2</v>
      </c>
      <c r="H56">
        <f t="shared" si="1"/>
        <v>2.6447349073670164E-4</v>
      </c>
      <c r="I56" s="4">
        <f t="shared" si="8"/>
        <v>-1.2137102003616815E-2</v>
      </c>
      <c r="J56" s="4">
        <f t="shared" si="9"/>
        <v>1.3096261240898726E-2</v>
      </c>
      <c r="K56" s="4">
        <f t="shared" si="10"/>
        <v>1.3253916175101735E-4</v>
      </c>
      <c r="L56">
        <f t="shared" si="6"/>
        <v>1.4730924504619932E-4</v>
      </c>
      <c r="M56">
        <f t="shared" si="5"/>
        <v>1.7151205848986624E-4</v>
      </c>
      <c r="N56">
        <f t="shared" si="5"/>
        <v>1.756662939766234E-8</v>
      </c>
    </row>
    <row r="57" spans="2:14">
      <c r="B57" s="1">
        <v>45552</v>
      </c>
      <c r="C57">
        <v>49.49</v>
      </c>
      <c r="D57">
        <v>706.91</v>
      </c>
      <c r="E57">
        <v>5634.58</v>
      </c>
      <c r="F57">
        <f t="shared" si="7"/>
        <v>5.0388094114638829E-3</v>
      </c>
      <c r="G57">
        <f t="shared" si="1"/>
        <v>-2.3530834221497061E-2</v>
      </c>
      <c r="H57">
        <f t="shared" si="1"/>
        <v>-2.9006031263851696E-3</v>
      </c>
      <c r="I57" s="4">
        <f t="shared" si="8"/>
        <v>2.9540638695313877E-3</v>
      </c>
      <c r="J57" s="4">
        <f t="shared" si="9"/>
        <v>-2.5270139110045848E-2</v>
      </c>
      <c r="K57" s="4">
        <f t="shared" si="10"/>
        <v>-3.032537455370854E-3</v>
      </c>
      <c r="L57">
        <f t="shared" si="6"/>
        <v>8.7264933452707559E-6</v>
      </c>
      <c r="M57">
        <f t="shared" si="5"/>
        <v>6.3857993064106878E-4</v>
      </c>
      <c r="N57">
        <f t="shared" si="5"/>
        <v>9.1962834182271346E-6</v>
      </c>
    </row>
    <row r="58" spans="2:14">
      <c r="B58" s="1">
        <v>45553</v>
      </c>
      <c r="C58">
        <v>49.74</v>
      </c>
      <c r="D58">
        <v>690.47</v>
      </c>
      <c r="E58">
        <v>5618.26</v>
      </c>
      <c r="F58">
        <f t="shared" si="7"/>
        <v>-1.4581060275292103E-2</v>
      </c>
      <c r="G58">
        <f t="shared" si="1"/>
        <v>1.9860273210285925E-2</v>
      </c>
      <c r="H58">
        <f t="shared" si="1"/>
        <v>1.6834291247586949E-2</v>
      </c>
      <c r="I58" s="4">
        <f t="shared" si="8"/>
        <v>-1.6665805817224599E-2</v>
      </c>
      <c r="J58" s="4">
        <f t="shared" si="9"/>
        <v>1.8120968321737138E-2</v>
      </c>
      <c r="K58" s="4">
        <f t="shared" si="10"/>
        <v>1.6702356918601266E-2</v>
      </c>
      <c r="L58">
        <f t="shared" si="6"/>
        <v>2.7774908353743732E-4</v>
      </c>
      <c r="M58">
        <f t="shared" si="5"/>
        <v>3.2836949291740087E-4</v>
      </c>
      <c r="N58">
        <f t="shared" si="5"/>
        <v>2.789687266363476E-4</v>
      </c>
    </row>
    <row r="59" spans="2:14">
      <c r="B59" s="1">
        <v>45554</v>
      </c>
      <c r="C59">
        <v>49.02</v>
      </c>
      <c r="D59">
        <v>704.32</v>
      </c>
      <c r="E59">
        <v>5713.64</v>
      </c>
      <c r="F59">
        <f t="shared" si="7"/>
        <v>7.9244547576919708E-3</v>
      </c>
      <c r="G59">
        <f t="shared" si="1"/>
        <v>-4.6821162135237127E-3</v>
      </c>
      <c r="H59">
        <f t="shared" si="1"/>
        <v>-1.942855451501775E-3</v>
      </c>
      <c r="I59" s="4">
        <f t="shared" si="8"/>
        <v>5.8397092157594756E-3</v>
      </c>
      <c r="J59" s="4">
        <f t="shared" si="9"/>
        <v>-6.421421102072499E-3</v>
      </c>
      <c r="K59" s="4">
        <f t="shared" si="10"/>
        <v>-2.0747897804874594E-3</v>
      </c>
      <c r="L59">
        <f t="shared" si="6"/>
        <v>3.4102203724626151E-5</v>
      </c>
      <c r="M59">
        <f t="shared" si="5"/>
        <v>4.1234648970141988E-5</v>
      </c>
      <c r="N59">
        <f t="shared" si="5"/>
        <v>4.3047526332152E-6</v>
      </c>
    </row>
    <row r="60" spans="2:14">
      <c r="B60" s="1">
        <v>45555</v>
      </c>
      <c r="C60">
        <v>49.41</v>
      </c>
      <c r="D60">
        <v>701.03</v>
      </c>
      <c r="E60">
        <v>5702.55</v>
      </c>
      <c r="F60">
        <f t="shared" si="7"/>
        <v>1.2070152573153791E-2</v>
      </c>
      <c r="G60">
        <f t="shared" si="1"/>
        <v>6.1718057114667803E-3</v>
      </c>
      <c r="H60">
        <f t="shared" si="1"/>
        <v>2.8053309143568263E-3</v>
      </c>
      <c r="I60" s="4">
        <f t="shared" si="8"/>
        <v>9.9854070312212946E-3</v>
      </c>
      <c r="J60" s="4">
        <f t="shared" si="9"/>
        <v>4.432500822917994E-3</v>
      </c>
      <c r="K60" s="4">
        <f t="shared" si="10"/>
        <v>2.6733965853711419E-3</v>
      </c>
      <c r="L60">
        <f t="shared" si="6"/>
        <v>9.9708353579163671E-5</v>
      </c>
      <c r="M60">
        <f t="shared" si="5"/>
        <v>1.9647063545168693E-5</v>
      </c>
      <c r="N60">
        <f t="shared" si="5"/>
        <v>7.1470493026740814E-6</v>
      </c>
    </row>
    <row r="61" spans="2:14">
      <c r="B61" s="1">
        <v>45558</v>
      </c>
      <c r="C61">
        <v>50.01</v>
      </c>
      <c r="D61">
        <v>705.37</v>
      </c>
      <c r="E61">
        <v>5718.57</v>
      </c>
      <c r="F61">
        <f t="shared" si="7"/>
        <v>1.8425484120498728E-2</v>
      </c>
      <c r="G61">
        <f t="shared" si="1"/>
        <v>2.3662697035777149E-2</v>
      </c>
      <c r="H61">
        <f t="shared" si="1"/>
        <v>2.5079697029956895E-3</v>
      </c>
      <c r="I61" s="4">
        <f t="shared" si="8"/>
        <v>1.6340738578566234E-2</v>
      </c>
      <c r="J61" s="4">
        <f t="shared" si="9"/>
        <v>2.1923392147228361E-2</v>
      </c>
      <c r="K61" s="4">
        <f t="shared" si="10"/>
        <v>2.3760353740100051E-3</v>
      </c>
      <c r="L61">
        <f t="shared" si="6"/>
        <v>2.6701973729304282E-4</v>
      </c>
      <c r="M61">
        <f t="shared" si="5"/>
        <v>4.8063512324115419E-4</v>
      </c>
      <c r="N61">
        <f t="shared" si="5"/>
        <v>5.6455440985468649E-6</v>
      </c>
    </row>
    <row r="62" spans="2:14">
      <c r="B62" s="1">
        <v>45559</v>
      </c>
      <c r="C62">
        <v>50.94</v>
      </c>
      <c r="D62">
        <v>722.26</v>
      </c>
      <c r="E62">
        <v>5732.93</v>
      </c>
      <c r="F62">
        <f t="shared" si="7"/>
        <v>-1.962596445674834E-2</v>
      </c>
      <c r="G62">
        <f t="shared" si="1"/>
        <v>-9.6965003233961164E-4</v>
      </c>
      <c r="H62">
        <f t="shared" si="1"/>
        <v>-1.8629115860669923E-3</v>
      </c>
      <c r="I62" s="4">
        <f t="shared" si="8"/>
        <v>-2.1710709998680834E-2</v>
      </c>
      <c r="J62" s="4">
        <f t="shared" si="9"/>
        <v>-2.7089549208883981E-3</v>
      </c>
      <c r="K62" s="4">
        <f t="shared" si="10"/>
        <v>-1.9948459150526767E-3</v>
      </c>
      <c r="L62">
        <f t="shared" si="6"/>
        <v>4.7135492864681992E-4</v>
      </c>
      <c r="M62">
        <f t="shared" si="5"/>
        <v>7.3384367634054666E-6</v>
      </c>
      <c r="N62">
        <f t="shared" si="5"/>
        <v>3.9794102248023513E-6</v>
      </c>
    </row>
    <row r="63" spans="2:14">
      <c r="B63" s="1">
        <v>45560</v>
      </c>
      <c r="C63">
        <v>49.95</v>
      </c>
      <c r="D63">
        <v>721.56</v>
      </c>
      <c r="E63">
        <v>5722.26</v>
      </c>
      <c r="F63">
        <f t="shared" si="7"/>
        <v>3.3976249333050167E-3</v>
      </c>
      <c r="G63">
        <f t="shared" si="1"/>
        <v>-1.4138505845979896E-2</v>
      </c>
      <c r="H63">
        <f t="shared" si="1"/>
        <v>4.0304808028723289E-3</v>
      </c>
      <c r="I63" s="4">
        <f t="shared" si="8"/>
        <v>1.3128793913725215E-3</v>
      </c>
      <c r="J63" s="4">
        <f t="shared" si="9"/>
        <v>-1.5877810734528684E-2</v>
      </c>
      <c r="K63" s="4">
        <f t="shared" si="10"/>
        <v>3.8985464738866445E-3</v>
      </c>
      <c r="L63">
        <f t="shared" si="6"/>
        <v>1.7236522962906825E-6</v>
      </c>
      <c r="M63">
        <f t="shared" si="5"/>
        <v>2.5210487372151431E-4</v>
      </c>
      <c r="N63">
        <f t="shared" si="5"/>
        <v>1.519866460905399E-5</v>
      </c>
    </row>
    <row r="64" spans="2:14">
      <c r="B64" s="1">
        <v>45561</v>
      </c>
      <c r="C64">
        <v>50.12</v>
      </c>
      <c r="D64">
        <v>711.43</v>
      </c>
      <c r="E64">
        <v>5745.37</v>
      </c>
      <c r="F64">
        <f t="shared" si="7"/>
        <v>1.5639237886377007E-2</v>
      </c>
      <c r="G64">
        <f t="shared" si="1"/>
        <v>-5.7514360885542563E-3</v>
      </c>
      <c r="H64">
        <f t="shared" si="1"/>
        <v>-1.2539688882457197E-3</v>
      </c>
      <c r="I64" s="4">
        <f t="shared" si="8"/>
        <v>1.3554492344444512E-2</v>
      </c>
      <c r="J64" s="4">
        <f t="shared" si="9"/>
        <v>-7.4907409771030426E-3</v>
      </c>
      <c r="K64" s="4">
        <f t="shared" si="10"/>
        <v>-1.3859032172314038E-3</v>
      </c>
      <c r="L64">
        <f t="shared" si="6"/>
        <v>1.837242627156049E-4</v>
      </c>
      <c r="M64">
        <f t="shared" si="5"/>
        <v>5.6111200386050647E-5</v>
      </c>
      <c r="N64">
        <f t="shared" si="5"/>
        <v>1.9207277275323555E-6</v>
      </c>
    </row>
    <row r="65" spans="2:14">
      <c r="B65" s="1">
        <v>45562</v>
      </c>
      <c r="C65">
        <v>50.91</v>
      </c>
      <c r="D65">
        <v>707.35</v>
      </c>
      <c r="E65">
        <v>5738.17</v>
      </c>
      <c r="F65">
        <f t="shared" si="7"/>
        <v>1.6171808843638648E-2</v>
      </c>
      <c r="G65">
        <f t="shared" si="1"/>
        <v>2.7106791879895056E-3</v>
      </c>
      <c r="H65">
        <f t="shared" si="1"/>
        <v>4.227593432856073E-3</v>
      </c>
      <c r="I65" s="4">
        <f t="shared" si="8"/>
        <v>1.4087063301706153E-2</v>
      </c>
      <c r="J65" s="4">
        <f t="shared" si="9"/>
        <v>9.7137429944071929E-4</v>
      </c>
      <c r="K65" s="4">
        <f t="shared" si="10"/>
        <v>4.0956591038703886E-3</v>
      </c>
      <c r="L65">
        <f t="shared" si="6"/>
        <v>1.9844535246627627E-4</v>
      </c>
      <c r="M65">
        <f t="shared" si="5"/>
        <v>9.4356802961394814E-7</v>
      </c>
      <c r="N65">
        <f t="shared" si="5"/>
        <v>1.6774423495116395E-5</v>
      </c>
    </row>
    <row r="66" spans="2:14">
      <c r="B66" s="1">
        <v>45565</v>
      </c>
      <c r="C66">
        <v>51.74</v>
      </c>
      <c r="D66">
        <v>709.27</v>
      </c>
      <c r="E66">
        <v>5762.48</v>
      </c>
      <c r="F66">
        <f t="shared" si="7"/>
        <v>2.2172162106370536E-2</v>
      </c>
      <c r="G66">
        <f t="shared" si="1"/>
        <v>-4.4369155733020096E-3</v>
      </c>
      <c r="H66">
        <f t="shared" si="1"/>
        <v>-9.3678520838370288E-3</v>
      </c>
      <c r="I66" s="4">
        <f t="shared" si="8"/>
        <v>2.0087416564438042E-2</v>
      </c>
      <c r="J66" s="4">
        <f t="shared" si="9"/>
        <v>-6.1762204618507959E-3</v>
      </c>
      <c r="K66" s="4">
        <f t="shared" si="10"/>
        <v>-9.4997864128227132E-3</v>
      </c>
      <c r="L66">
        <f t="shared" si="6"/>
        <v>4.0350430423325985E-4</v>
      </c>
      <c r="M66">
        <f t="shared" si="5"/>
        <v>3.8145699193384459E-5</v>
      </c>
      <c r="N66">
        <f t="shared" si="5"/>
        <v>9.0245941889251029E-5</v>
      </c>
    </row>
    <row r="67" spans="2:14">
      <c r="B67" s="1">
        <v>45566</v>
      </c>
      <c r="C67">
        <v>52.9</v>
      </c>
      <c r="D67">
        <v>706.13</v>
      </c>
      <c r="E67">
        <v>5708.75</v>
      </c>
      <c r="F67">
        <f t="shared" ref="F67:F98" si="11">LN(C68/C67)</f>
        <v>1.6126357350640427E-2</v>
      </c>
      <c r="G67">
        <f t="shared" ref="G67:H130" si="12">LN(D68/D67)</f>
        <v>6.9996475512304843E-3</v>
      </c>
      <c r="H67">
        <f t="shared" si="12"/>
        <v>1.3837448536698041E-4</v>
      </c>
      <c r="I67" s="4">
        <f t="shared" ref="I67:I98" si="13">F67-$F$194</f>
        <v>1.4041611808707933E-2</v>
      </c>
      <c r="J67" s="4">
        <f t="shared" ref="J67:J98" si="14">G67-$G$194</f>
        <v>5.260342662681698E-3</v>
      </c>
      <c r="K67" s="4">
        <f t="shared" ref="K67:K98" si="15">H67-$H$194</f>
        <v>6.4401563812961225E-6</v>
      </c>
      <c r="L67">
        <f t="shared" si="6"/>
        <v>1.9716686218644607E-4</v>
      </c>
      <c r="M67">
        <f t="shared" ref="M67:N130" si="16">J67^2</f>
        <v>2.7671204928829175E-5</v>
      </c>
      <c r="N67">
        <f t="shared" si="16"/>
        <v>4.147561421554917E-11</v>
      </c>
    </row>
    <row r="68" spans="2:14">
      <c r="B68" s="1">
        <v>45567</v>
      </c>
      <c r="C68">
        <v>53.76</v>
      </c>
      <c r="D68">
        <v>711.09</v>
      </c>
      <c r="E68">
        <v>5709.54</v>
      </c>
      <c r="F68">
        <f t="shared" si="11"/>
        <v>8.1512122307065577E-3</v>
      </c>
      <c r="G68">
        <f t="shared" si="12"/>
        <v>-6.051263625320079E-3</v>
      </c>
      <c r="H68">
        <f t="shared" si="12"/>
        <v>-1.6828115331257495E-3</v>
      </c>
      <c r="I68" s="4">
        <f t="shared" si="13"/>
        <v>6.0664666887740625E-3</v>
      </c>
      <c r="J68" s="4">
        <f t="shared" si="14"/>
        <v>-7.7905685138688653E-3</v>
      </c>
      <c r="K68" s="4">
        <f t="shared" si="15"/>
        <v>-1.8147458621114339E-3</v>
      </c>
      <c r="L68">
        <f t="shared" ref="L68:L131" si="17">I68^2</f>
        <v>3.680201808600534E-5</v>
      </c>
      <c r="M68">
        <f t="shared" si="16"/>
        <v>6.0692957769284944E-5</v>
      </c>
      <c r="N68">
        <f t="shared" si="16"/>
        <v>3.2933025440505715E-6</v>
      </c>
    </row>
    <row r="69" spans="2:14">
      <c r="B69" s="1">
        <v>45568</v>
      </c>
      <c r="C69">
        <v>54.2</v>
      </c>
      <c r="D69">
        <v>706.8</v>
      </c>
      <c r="E69">
        <v>5699.94</v>
      </c>
      <c r="F69">
        <f t="shared" si="11"/>
        <v>-4.4378771060454448E-3</v>
      </c>
      <c r="G69">
        <f t="shared" si="12"/>
        <v>1.8086718068217336E-2</v>
      </c>
      <c r="H69">
        <f t="shared" si="12"/>
        <v>8.9302759844378885E-3</v>
      </c>
      <c r="I69" s="4">
        <f t="shared" si="13"/>
        <v>-6.52262264797794E-3</v>
      </c>
      <c r="J69" s="4">
        <f t="shared" si="14"/>
        <v>1.6347413179668549E-2</v>
      </c>
      <c r="K69" s="4">
        <f t="shared" si="15"/>
        <v>8.7983416554522041E-3</v>
      </c>
      <c r="L69">
        <f t="shared" si="17"/>
        <v>4.2544606207914756E-5</v>
      </c>
      <c r="M69">
        <f t="shared" si="16"/>
        <v>2.6723791766680098E-4</v>
      </c>
      <c r="N69">
        <f t="shared" si="16"/>
        <v>7.7410815886065434E-5</v>
      </c>
    </row>
    <row r="70" spans="2:14">
      <c r="B70" s="1">
        <v>45569</v>
      </c>
      <c r="C70">
        <v>53.96</v>
      </c>
      <c r="D70">
        <v>719.7</v>
      </c>
      <c r="E70">
        <v>5751.07</v>
      </c>
      <c r="F70">
        <f t="shared" si="11"/>
        <v>-9.6835021111648916E-3</v>
      </c>
      <c r="G70">
        <f t="shared" si="12"/>
        <v>-2.5015021095854895E-2</v>
      </c>
      <c r="H70">
        <f t="shared" si="12"/>
        <v>-9.6322841074211688E-3</v>
      </c>
      <c r="I70" s="4">
        <f t="shared" si="13"/>
        <v>-1.1768247653097388E-2</v>
      </c>
      <c r="J70" s="4">
        <f t="shared" si="14"/>
        <v>-2.6754325984403683E-2</v>
      </c>
      <c r="K70" s="4">
        <f t="shared" si="15"/>
        <v>-9.7642184364068532E-3</v>
      </c>
      <c r="L70">
        <f t="shared" si="17"/>
        <v>1.3849165282463216E-4</v>
      </c>
      <c r="M70">
        <f t="shared" si="16"/>
        <v>7.1579395887973803E-4</v>
      </c>
      <c r="N70">
        <f t="shared" si="16"/>
        <v>9.5339961673867495E-5</v>
      </c>
    </row>
    <row r="71" spans="2:14">
      <c r="B71" s="1">
        <v>45572</v>
      </c>
      <c r="C71">
        <v>53.44</v>
      </c>
      <c r="D71">
        <v>701.92</v>
      </c>
      <c r="E71">
        <v>5695.94</v>
      </c>
      <c r="F71">
        <f t="shared" si="11"/>
        <v>-1.8127384592556715E-2</v>
      </c>
      <c r="G71">
        <f t="shared" si="12"/>
        <v>2.7873236242182055E-2</v>
      </c>
      <c r="H71">
        <f t="shared" si="12"/>
        <v>9.6427168941927138E-3</v>
      </c>
      <c r="I71" s="4">
        <f t="shared" si="13"/>
        <v>-2.021213013448921E-2</v>
      </c>
      <c r="J71" s="4">
        <f t="shared" si="14"/>
        <v>2.6133931353633268E-2</v>
      </c>
      <c r="K71" s="4">
        <f t="shared" si="15"/>
        <v>9.5107825652070294E-3</v>
      </c>
      <c r="L71">
        <f t="shared" si="17"/>
        <v>4.0853020457352679E-4</v>
      </c>
      <c r="M71">
        <f t="shared" si="16"/>
        <v>6.8298236799641595E-4</v>
      </c>
      <c r="N71">
        <f t="shared" si="16"/>
        <v>9.0454985002646002E-5</v>
      </c>
    </row>
    <row r="72" spans="2:14">
      <c r="B72" s="1">
        <v>45573</v>
      </c>
      <c r="C72">
        <v>52.48</v>
      </c>
      <c r="D72">
        <v>721.76</v>
      </c>
      <c r="E72">
        <v>5751.13</v>
      </c>
      <c r="F72">
        <f t="shared" si="11"/>
        <v>6.0790460763821925E-3</v>
      </c>
      <c r="G72">
        <f t="shared" si="12"/>
        <v>7.8251008248556905E-3</v>
      </c>
      <c r="H72">
        <f t="shared" si="12"/>
        <v>7.0882038963943272E-3</v>
      </c>
      <c r="I72" s="4">
        <f t="shared" si="13"/>
        <v>3.9943005344496973E-3</v>
      </c>
      <c r="J72" s="4">
        <f t="shared" si="14"/>
        <v>6.0857959363069042E-3</v>
      </c>
      <c r="K72" s="4">
        <f t="shared" si="15"/>
        <v>6.9562695674086428E-3</v>
      </c>
      <c r="L72">
        <f t="shared" si="17"/>
        <v>1.5954436759505136E-5</v>
      </c>
      <c r="M72">
        <f t="shared" si="16"/>
        <v>3.7036912178369625E-5</v>
      </c>
      <c r="N72">
        <f t="shared" si="16"/>
        <v>4.8389686294455626E-5</v>
      </c>
    </row>
    <row r="73" spans="2:14">
      <c r="B73" s="1">
        <v>45574</v>
      </c>
      <c r="C73">
        <v>52.8</v>
      </c>
      <c r="D73">
        <v>727.43</v>
      </c>
      <c r="E73">
        <v>5792.04</v>
      </c>
      <c r="F73">
        <f t="shared" si="11"/>
        <v>-7.6045993852193036E-3</v>
      </c>
      <c r="G73">
        <f t="shared" si="12"/>
        <v>3.9239410444969636E-3</v>
      </c>
      <c r="H73">
        <f t="shared" si="12"/>
        <v>-2.0722279710146596E-3</v>
      </c>
      <c r="I73" s="4">
        <f t="shared" si="13"/>
        <v>-9.6893449271517988E-3</v>
      </c>
      <c r="J73" s="4">
        <f t="shared" si="14"/>
        <v>2.1846361559481773E-3</v>
      </c>
      <c r="K73" s="4">
        <f t="shared" si="15"/>
        <v>-2.204162300000344E-3</v>
      </c>
      <c r="L73">
        <f t="shared" si="17"/>
        <v>9.3883405117322293E-5</v>
      </c>
      <c r="M73">
        <f t="shared" si="16"/>
        <v>4.7726351338760287E-6</v>
      </c>
      <c r="N73">
        <f t="shared" si="16"/>
        <v>4.8583314447428062E-6</v>
      </c>
    </row>
    <row r="74" spans="2:14">
      <c r="B74" s="1">
        <v>45575</v>
      </c>
      <c r="C74">
        <v>52.4</v>
      </c>
      <c r="D74">
        <v>730.29</v>
      </c>
      <c r="E74">
        <v>5780.05</v>
      </c>
      <c r="F74">
        <f t="shared" si="11"/>
        <v>-3.8240964384033942E-3</v>
      </c>
      <c r="G74">
        <f t="shared" si="12"/>
        <v>-1.0322991992848338E-2</v>
      </c>
      <c r="H74">
        <f t="shared" si="12"/>
        <v>6.0336118627852325E-3</v>
      </c>
      <c r="I74" s="4">
        <f t="shared" si="13"/>
        <v>-5.9088419803358895E-3</v>
      </c>
      <c r="J74" s="4">
        <f t="shared" si="14"/>
        <v>-1.2062296881397126E-2</v>
      </c>
      <c r="K74" s="4">
        <f t="shared" si="15"/>
        <v>5.9016775337995481E-3</v>
      </c>
      <c r="L74">
        <f t="shared" si="17"/>
        <v>3.4914413548579758E-5</v>
      </c>
      <c r="M74">
        <f t="shared" si="16"/>
        <v>1.4549900605496282E-4</v>
      </c>
      <c r="N74">
        <f t="shared" si="16"/>
        <v>3.4829797712954315E-5</v>
      </c>
    </row>
    <row r="75" spans="2:14">
      <c r="B75" s="1">
        <v>45576</v>
      </c>
      <c r="C75">
        <v>52.2</v>
      </c>
      <c r="D75">
        <v>722.79</v>
      </c>
      <c r="E75">
        <v>5815.03</v>
      </c>
      <c r="F75">
        <f t="shared" si="11"/>
        <v>8.9635386067048132E-3</v>
      </c>
      <c r="G75">
        <f t="shared" si="12"/>
        <v>-1.363730312229418E-2</v>
      </c>
      <c r="H75">
        <f t="shared" si="12"/>
        <v>7.6780609629941675E-3</v>
      </c>
      <c r="I75" s="4">
        <f t="shared" si="13"/>
        <v>6.878793064772318E-3</v>
      </c>
      <c r="J75" s="4">
        <f t="shared" si="14"/>
        <v>-1.5376608010842965E-2</v>
      </c>
      <c r="K75" s="4">
        <f t="shared" si="15"/>
        <v>7.5461266340084831E-3</v>
      </c>
      <c r="L75">
        <f t="shared" si="17"/>
        <v>4.7317794027959737E-5</v>
      </c>
      <c r="M75">
        <f t="shared" si="16"/>
        <v>2.3644007391912004E-4</v>
      </c>
      <c r="N75">
        <f t="shared" si="16"/>
        <v>5.6944027176492199E-5</v>
      </c>
    </row>
    <row r="76" spans="2:14">
      <c r="B76" s="1">
        <v>45579</v>
      </c>
      <c r="C76">
        <v>52.67</v>
      </c>
      <c r="D76">
        <v>713</v>
      </c>
      <c r="E76">
        <v>5859.85</v>
      </c>
      <c r="F76">
        <f t="shared" si="11"/>
        <v>1.7072943538157231E-3</v>
      </c>
      <c r="G76">
        <f t="shared" si="12"/>
        <v>-9.8945119342145754E-3</v>
      </c>
      <c r="H76">
        <f t="shared" si="12"/>
        <v>-7.6385090687541464E-3</v>
      </c>
      <c r="I76" s="4">
        <f t="shared" si="13"/>
        <v>-3.7745118811677216E-4</v>
      </c>
      <c r="J76" s="4">
        <f t="shared" si="14"/>
        <v>-1.1633816822763363E-2</v>
      </c>
      <c r="K76" s="4">
        <f t="shared" si="15"/>
        <v>-7.7704433977398308E-3</v>
      </c>
      <c r="L76">
        <f t="shared" si="17"/>
        <v>1.4246939941076293E-7</v>
      </c>
      <c r="M76">
        <f t="shared" si="16"/>
        <v>1.3534569386561182E-4</v>
      </c>
      <c r="N76">
        <f t="shared" si="16"/>
        <v>6.0379790597478528E-5</v>
      </c>
    </row>
    <row r="77" spans="2:14">
      <c r="B77" s="1">
        <v>45580</v>
      </c>
      <c r="C77">
        <v>52.76</v>
      </c>
      <c r="D77">
        <v>705.98</v>
      </c>
      <c r="E77">
        <v>5815.26</v>
      </c>
      <c r="F77">
        <f t="shared" si="11"/>
        <v>1.149546249673955E-2</v>
      </c>
      <c r="G77">
        <f t="shared" si="12"/>
        <v>-5.6535044542702492E-3</v>
      </c>
      <c r="H77">
        <f t="shared" si="12"/>
        <v>4.6681557065759915E-3</v>
      </c>
      <c r="I77" s="4">
        <f t="shared" si="13"/>
        <v>9.4107169548070559E-3</v>
      </c>
      <c r="J77" s="4">
        <f t="shared" si="14"/>
        <v>-7.3928093428190355E-3</v>
      </c>
      <c r="K77" s="4">
        <f t="shared" si="15"/>
        <v>4.5362213775903071E-3</v>
      </c>
      <c r="L77">
        <f t="shared" si="17"/>
        <v>8.8561593603492987E-5</v>
      </c>
      <c r="M77">
        <f t="shared" si="16"/>
        <v>5.4653629979272423E-5</v>
      </c>
      <c r="N77">
        <f t="shared" si="16"/>
        <v>2.0577304386507305E-5</v>
      </c>
    </row>
    <row r="78" spans="2:14">
      <c r="B78" s="1">
        <v>45581</v>
      </c>
      <c r="C78">
        <v>53.37</v>
      </c>
      <c r="D78">
        <v>702</v>
      </c>
      <c r="E78">
        <v>5842.47</v>
      </c>
      <c r="F78">
        <f t="shared" si="11"/>
        <v>-3.5664045309796505E-3</v>
      </c>
      <c r="G78">
        <f t="shared" si="12"/>
        <v>-2.0653416465094419E-2</v>
      </c>
      <c r="H78">
        <f t="shared" si="12"/>
        <v>-1.7117513483320916E-4</v>
      </c>
      <c r="I78" s="4">
        <f t="shared" si="13"/>
        <v>-5.6511500729121457E-3</v>
      </c>
      <c r="J78" s="4">
        <f t="shared" si="14"/>
        <v>-2.2392721353643206E-2</v>
      </c>
      <c r="K78" s="4">
        <f t="shared" si="15"/>
        <v>-3.0310946381889342E-4</v>
      </c>
      <c r="L78">
        <f t="shared" si="17"/>
        <v>3.193549714657495E-5</v>
      </c>
      <c r="M78">
        <f t="shared" si="16"/>
        <v>5.0143396962190839E-4</v>
      </c>
      <c r="N78">
        <f t="shared" si="16"/>
        <v>9.1875347056577058E-8</v>
      </c>
    </row>
    <row r="79" spans="2:14">
      <c r="B79" s="1">
        <v>45582</v>
      </c>
      <c r="C79">
        <v>53.18</v>
      </c>
      <c r="D79">
        <v>687.65</v>
      </c>
      <c r="E79">
        <v>5841.47</v>
      </c>
      <c r="F79">
        <f t="shared" si="11"/>
        <v>7.5187973466945299E-4</v>
      </c>
      <c r="G79">
        <f t="shared" si="12"/>
        <v>0.10514381218223251</v>
      </c>
      <c r="H79">
        <f t="shared" si="12"/>
        <v>3.9637370431245362E-3</v>
      </c>
      <c r="I79" s="4">
        <f t="shared" si="13"/>
        <v>-1.3328658072630424E-3</v>
      </c>
      <c r="J79" s="4">
        <f t="shared" si="14"/>
        <v>0.10340450729368372</v>
      </c>
      <c r="K79" s="4">
        <f t="shared" si="15"/>
        <v>3.8318027141388518E-3</v>
      </c>
      <c r="L79">
        <f t="shared" si="17"/>
        <v>1.7765312601709615E-6</v>
      </c>
      <c r="M79">
        <f t="shared" si="16"/>
        <v>1.069249212864949E-2</v>
      </c>
      <c r="N79">
        <f t="shared" si="16"/>
        <v>1.4682712040081872E-5</v>
      </c>
    </row>
    <row r="80" spans="2:14">
      <c r="B80" s="1">
        <v>45583</v>
      </c>
      <c r="C80">
        <v>53.22</v>
      </c>
      <c r="D80">
        <v>763.89</v>
      </c>
      <c r="E80">
        <v>5864.67</v>
      </c>
      <c r="F80">
        <f t="shared" si="11"/>
        <v>-2.0885513292898807E-2</v>
      </c>
      <c r="G80">
        <f t="shared" si="12"/>
        <v>1.0651419746356314E-2</v>
      </c>
      <c r="H80">
        <f t="shared" si="12"/>
        <v>-1.8244427413090425E-3</v>
      </c>
      <c r="I80" s="4">
        <f t="shared" si="13"/>
        <v>-2.2970258834831302E-2</v>
      </c>
      <c r="J80" s="4">
        <f t="shared" si="14"/>
        <v>8.9121148578075286E-3</v>
      </c>
      <c r="K80" s="4">
        <f t="shared" si="15"/>
        <v>-1.9563770702947267E-3</v>
      </c>
      <c r="L80">
        <f t="shared" si="17"/>
        <v>5.2763279093914544E-4</v>
      </c>
      <c r="M80">
        <f t="shared" si="16"/>
        <v>7.9425791238753709E-5</v>
      </c>
      <c r="N80">
        <f t="shared" si="16"/>
        <v>3.8274112411749779E-6</v>
      </c>
    </row>
    <row r="81" spans="2:14">
      <c r="B81" s="1">
        <v>45586</v>
      </c>
      <c r="C81">
        <v>52.12</v>
      </c>
      <c r="D81">
        <v>772.07</v>
      </c>
      <c r="E81">
        <v>5853.98</v>
      </c>
      <c r="F81">
        <f t="shared" si="11"/>
        <v>1.2204575592469451E-2</v>
      </c>
      <c r="G81">
        <f t="shared" si="12"/>
        <v>-1.0193343527552672E-2</v>
      </c>
      <c r="H81">
        <f t="shared" si="12"/>
        <v>-4.7500338350551163E-4</v>
      </c>
      <c r="I81" s="4">
        <f t="shared" si="13"/>
        <v>1.0119830050536956E-2</v>
      </c>
      <c r="J81" s="4">
        <f t="shared" si="14"/>
        <v>-1.1932648416101459E-2</v>
      </c>
      <c r="K81" s="4">
        <f t="shared" si="15"/>
        <v>-6.0693771249119592E-4</v>
      </c>
      <c r="L81">
        <f t="shared" si="17"/>
        <v>1.0241096025175081E-4</v>
      </c>
      <c r="M81">
        <f t="shared" si="16"/>
        <v>1.4238809822228867E-4</v>
      </c>
      <c r="N81">
        <f t="shared" si="16"/>
        <v>3.6837338684404558E-7</v>
      </c>
    </row>
    <row r="82" spans="2:14">
      <c r="B82" s="1">
        <v>45587</v>
      </c>
      <c r="C82">
        <v>52.76</v>
      </c>
      <c r="D82">
        <v>764.24</v>
      </c>
      <c r="E82">
        <v>5851.2</v>
      </c>
      <c r="F82">
        <f t="shared" si="11"/>
        <v>5.6700208604799213E-3</v>
      </c>
      <c r="G82">
        <f t="shared" si="12"/>
        <v>-1.975578446994718E-2</v>
      </c>
      <c r="H82">
        <f t="shared" si="12"/>
        <v>-9.2337774119530536E-3</v>
      </c>
      <c r="I82" s="4">
        <f t="shared" si="13"/>
        <v>3.585275318547426E-3</v>
      </c>
      <c r="J82" s="4">
        <f t="shared" si="14"/>
        <v>-2.1495089358495967E-2</v>
      </c>
      <c r="K82" s="4">
        <f t="shared" si="15"/>
        <v>-9.365711740938738E-3</v>
      </c>
      <c r="L82">
        <f t="shared" si="17"/>
        <v>1.2854199109785347E-5</v>
      </c>
      <c r="M82">
        <f t="shared" si="16"/>
        <v>4.6203886652972656E-4</v>
      </c>
      <c r="N82">
        <f t="shared" si="16"/>
        <v>8.7716556414357729E-5</v>
      </c>
    </row>
    <row r="83" spans="2:14">
      <c r="B83" s="1">
        <v>45588</v>
      </c>
      <c r="C83">
        <v>53.06</v>
      </c>
      <c r="D83">
        <v>749.29</v>
      </c>
      <c r="E83">
        <v>5797.42</v>
      </c>
      <c r="F83">
        <f t="shared" si="11"/>
        <v>-2.6420094628386965E-3</v>
      </c>
      <c r="G83">
        <f t="shared" si="12"/>
        <v>6.9954535727537728E-3</v>
      </c>
      <c r="H83">
        <f t="shared" si="12"/>
        <v>2.1434831869283494E-3</v>
      </c>
      <c r="I83" s="4">
        <f t="shared" si="13"/>
        <v>-4.7267550047711913E-3</v>
      </c>
      <c r="J83" s="4">
        <f t="shared" si="14"/>
        <v>5.2561486842049865E-3</v>
      </c>
      <c r="K83" s="4">
        <f t="shared" si="15"/>
        <v>2.011548857942665E-3</v>
      </c>
      <c r="L83">
        <f t="shared" si="17"/>
        <v>2.2342212875129505E-5</v>
      </c>
      <c r="M83">
        <f t="shared" si="16"/>
        <v>2.7627098990469811E-5</v>
      </c>
      <c r="N83">
        <f t="shared" si="16"/>
        <v>4.0463288078904397E-6</v>
      </c>
    </row>
    <row r="84" spans="2:14">
      <c r="B84" s="1">
        <v>45589</v>
      </c>
      <c r="C84">
        <v>52.92</v>
      </c>
      <c r="D84">
        <v>754.55</v>
      </c>
      <c r="E84">
        <v>5809.86</v>
      </c>
      <c r="F84">
        <f t="shared" si="11"/>
        <v>-1.907726685092034E-2</v>
      </c>
      <c r="G84">
        <f t="shared" si="12"/>
        <v>1.7227327885279201E-4</v>
      </c>
      <c r="H84">
        <f t="shared" si="12"/>
        <v>-2.9953572187414154E-4</v>
      </c>
      <c r="I84" s="4">
        <f t="shared" si="13"/>
        <v>-2.1162012392852834E-2</v>
      </c>
      <c r="J84" s="4">
        <f t="shared" si="14"/>
        <v>-1.5670316096959942E-3</v>
      </c>
      <c r="K84" s="4">
        <f t="shared" si="15"/>
        <v>-4.3147005085982583E-4</v>
      </c>
      <c r="L84">
        <f t="shared" si="17"/>
        <v>4.4783076851525694E-4</v>
      </c>
      <c r="M84">
        <f t="shared" si="16"/>
        <v>2.4555880657864185E-6</v>
      </c>
      <c r="N84">
        <f t="shared" si="16"/>
        <v>1.8616640478898068E-7</v>
      </c>
    </row>
    <row r="85" spans="2:14">
      <c r="B85" s="1">
        <v>45590</v>
      </c>
      <c r="C85">
        <v>51.92</v>
      </c>
      <c r="D85">
        <v>754.68</v>
      </c>
      <c r="E85">
        <v>5808.12</v>
      </c>
      <c r="F85">
        <f t="shared" si="11"/>
        <v>1.377221462122709E-2</v>
      </c>
      <c r="G85">
        <f t="shared" si="12"/>
        <v>-7.3946340408662338E-3</v>
      </c>
      <c r="H85">
        <f t="shared" si="12"/>
        <v>2.6479514493707988E-3</v>
      </c>
      <c r="I85" s="4">
        <f t="shared" si="13"/>
        <v>1.1687469079294594E-2</v>
      </c>
      <c r="J85" s="4">
        <f t="shared" si="14"/>
        <v>-9.1339389294150201E-3</v>
      </c>
      <c r="K85" s="4">
        <f t="shared" si="15"/>
        <v>2.5160171203851144E-3</v>
      </c>
      <c r="L85">
        <f t="shared" si="17"/>
        <v>1.3659693347946723E-4</v>
      </c>
      <c r="M85">
        <f t="shared" si="16"/>
        <v>8.3428840366283209E-5</v>
      </c>
      <c r="N85">
        <f t="shared" si="16"/>
        <v>6.3303421500710034E-6</v>
      </c>
    </row>
    <row r="86" spans="2:14">
      <c r="B86" s="1">
        <v>45593</v>
      </c>
      <c r="C86">
        <v>52.64</v>
      </c>
      <c r="D86">
        <v>749.12</v>
      </c>
      <c r="E86">
        <v>5823.52</v>
      </c>
      <c r="F86">
        <f t="shared" si="11"/>
        <v>-2.6631174194836618E-3</v>
      </c>
      <c r="G86">
        <f t="shared" si="12"/>
        <v>1.3682135270997079E-2</v>
      </c>
      <c r="H86">
        <f t="shared" si="12"/>
        <v>1.6128426925638532E-3</v>
      </c>
      <c r="I86" s="4">
        <f t="shared" si="13"/>
        <v>-4.747862961416157E-3</v>
      </c>
      <c r="J86" s="4">
        <f t="shared" si="14"/>
        <v>1.1942830382448293E-2</v>
      </c>
      <c r="K86" s="4">
        <f t="shared" si="15"/>
        <v>1.4809083635781688E-3</v>
      </c>
      <c r="L86">
        <f t="shared" si="17"/>
        <v>2.2542202700387402E-5</v>
      </c>
      <c r="M86">
        <f t="shared" si="16"/>
        <v>1.4263119754393005E-4</v>
      </c>
      <c r="N86">
        <f t="shared" si="16"/>
        <v>2.1930895813157701E-6</v>
      </c>
    </row>
    <row r="87" spans="2:14">
      <c r="B87" s="1">
        <v>45594</v>
      </c>
      <c r="C87">
        <v>52.5</v>
      </c>
      <c r="D87">
        <v>759.44</v>
      </c>
      <c r="E87">
        <v>5832.92</v>
      </c>
      <c r="F87">
        <f t="shared" si="11"/>
        <v>3.0429844705852005E-3</v>
      </c>
      <c r="G87">
        <f t="shared" si="12"/>
        <v>-7.5338386184969569E-3</v>
      </c>
      <c r="H87">
        <f t="shared" si="12"/>
        <v>-3.3056916281390038E-3</v>
      </c>
      <c r="I87" s="4">
        <f t="shared" si="13"/>
        <v>9.5823892865270523E-4</v>
      </c>
      <c r="J87" s="4">
        <f t="shared" si="14"/>
        <v>-9.2731435070457433E-3</v>
      </c>
      <c r="K87" s="4">
        <f t="shared" si="15"/>
        <v>-3.4376259571246882E-3</v>
      </c>
      <c r="L87">
        <f t="shared" si="17"/>
        <v>9.1822184438548426E-7</v>
      </c>
      <c r="M87">
        <f t="shared" si="16"/>
        <v>8.5991190502264622E-5</v>
      </c>
      <c r="N87">
        <f t="shared" si="16"/>
        <v>1.1817272221097429E-5</v>
      </c>
    </row>
    <row r="88" spans="2:14">
      <c r="B88" s="1">
        <v>45595</v>
      </c>
      <c r="C88">
        <v>52.66</v>
      </c>
      <c r="D88">
        <v>753.74</v>
      </c>
      <c r="E88">
        <v>5813.67</v>
      </c>
      <c r="F88">
        <f t="shared" si="11"/>
        <v>5.7379936333299152E-2</v>
      </c>
      <c r="G88">
        <f t="shared" si="12"/>
        <v>3.0335769768380727E-3</v>
      </c>
      <c r="H88">
        <f t="shared" si="12"/>
        <v>-1.8790182599519829E-2</v>
      </c>
      <c r="I88" s="4">
        <f t="shared" si="13"/>
        <v>5.5295190791366654E-2</v>
      </c>
      <c r="J88" s="4">
        <f t="shared" si="14"/>
        <v>1.2942720882892864E-3</v>
      </c>
      <c r="K88" s="4">
        <f t="shared" si="15"/>
        <v>-1.8922116928505511E-2</v>
      </c>
      <c r="L88">
        <f t="shared" si="17"/>
        <v>3.0575581246536396E-3</v>
      </c>
      <c r="M88">
        <f t="shared" si="16"/>
        <v>1.6751402385247104E-6</v>
      </c>
      <c r="N88">
        <f t="shared" si="16"/>
        <v>3.5804650905603484E-4</v>
      </c>
    </row>
    <row r="89" spans="2:14">
      <c r="B89" s="1">
        <v>45596</v>
      </c>
      <c r="C89">
        <v>55.77</v>
      </c>
      <c r="D89">
        <v>756.03</v>
      </c>
      <c r="E89">
        <v>5705.45</v>
      </c>
      <c r="F89">
        <f t="shared" si="11"/>
        <v>-2.6343607151021697E-2</v>
      </c>
      <c r="G89">
        <f t="shared" si="12"/>
        <v>9.2584632339990055E-5</v>
      </c>
      <c r="H89">
        <f t="shared" si="12"/>
        <v>4.0842263302362366E-3</v>
      </c>
      <c r="I89" s="4">
        <f t="shared" si="13"/>
        <v>-2.8428352692954191E-2</v>
      </c>
      <c r="J89" s="4">
        <f t="shared" si="14"/>
        <v>-1.6467202562087963E-3</v>
      </c>
      <c r="K89" s="4">
        <f t="shared" si="15"/>
        <v>3.9522920012505522E-3</v>
      </c>
      <c r="L89">
        <f t="shared" si="17"/>
        <v>8.0817123683499584E-4</v>
      </c>
      <c r="M89">
        <f t="shared" si="16"/>
        <v>2.7116876022083637E-6</v>
      </c>
      <c r="N89">
        <f t="shared" si="16"/>
        <v>1.5620612063149095E-5</v>
      </c>
    </row>
    <row r="90" spans="2:14">
      <c r="B90" s="1">
        <v>45597</v>
      </c>
      <c r="C90">
        <v>54.32</v>
      </c>
      <c r="D90">
        <v>756.1</v>
      </c>
      <c r="E90">
        <v>5728.8</v>
      </c>
      <c r="F90">
        <f t="shared" si="11"/>
        <v>2.0589230545935498E-2</v>
      </c>
      <c r="G90">
        <f t="shared" si="12"/>
        <v>-7.8062467165601092E-4</v>
      </c>
      <c r="H90">
        <f t="shared" si="12"/>
        <v>-2.8160686495115016E-3</v>
      </c>
      <c r="I90" s="4">
        <f t="shared" si="13"/>
        <v>1.8504485004003004E-2</v>
      </c>
      <c r="J90" s="4">
        <f t="shared" si="14"/>
        <v>-2.5199295602047972E-3</v>
      </c>
      <c r="K90" s="4">
        <f t="shared" si="15"/>
        <v>-2.948002978497186E-3</v>
      </c>
      <c r="L90">
        <f t="shared" si="17"/>
        <v>3.4241596526337205E-4</v>
      </c>
      <c r="M90">
        <f t="shared" si="16"/>
        <v>6.3500449883939426E-6</v>
      </c>
      <c r="N90">
        <f t="shared" si="16"/>
        <v>8.6907215612282799E-6</v>
      </c>
    </row>
    <row r="91" spans="2:14">
      <c r="B91" s="1">
        <v>45600</v>
      </c>
      <c r="C91">
        <v>55.45</v>
      </c>
      <c r="D91">
        <v>755.51</v>
      </c>
      <c r="E91">
        <v>5712.69</v>
      </c>
      <c r="F91">
        <f t="shared" si="11"/>
        <v>8.9767209615581253E-3</v>
      </c>
      <c r="G91">
        <f t="shared" si="12"/>
        <v>1.105696328774349E-2</v>
      </c>
      <c r="H91">
        <f t="shared" si="12"/>
        <v>1.219106130274809E-2</v>
      </c>
      <c r="I91" s="4">
        <f t="shared" si="13"/>
        <v>6.8919754196256301E-3</v>
      </c>
      <c r="J91" s="4">
        <f t="shared" si="14"/>
        <v>9.3176583991947046E-3</v>
      </c>
      <c r="K91" s="4">
        <f t="shared" si="15"/>
        <v>1.2059126973762406E-2</v>
      </c>
      <c r="L91">
        <f t="shared" si="17"/>
        <v>4.7499325184723882E-5</v>
      </c>
      <c r="M91">
        <f t="shared" si="16"/>
        <v>8.6818758044083621E-5</v>
      </c>
      <c r="N91">
        <f t="shared" si="16"/>
        <v>1.4542254336932404E-4</v>
      </c>
    </row>
    <row r="92" spans="2:14">
      <c r="B92" s="1">
        <v>45601</v>
      </c>
      <c r="C92">
        <v>55.95</v>
      </c>
      <c r="D92">
        <v>763.91</v>
      </c>
      <c r="E92">
        <v>5782.76</v>
      </c>
      <c r="F92">
        <f t="shared" si="11"/>
        <v>-1.2047255298519776E-2</v>
      </c>
      <c r="G92">
        <f t="shared" si="12"/>
        <v>2.1113133036456656E-2</v>
      </c>
      <c r="H92">
        <f t="shared" si="12"/>
        <v>2.4981233838896531E-2</v>
      </c>
      <c r="I92" s="4">
        <f t="shared" si="13"/>
        <v>-1.4132000840452272E-2</v>
      </c>
      <c r="J92" s="4">
        <f t="shared" si="14"/>
        <v>1.9373828147907869E-2</v>
      </c>
      <c r="K92" s="4">
        <f t="shared" si="15"/>
        <v>2.4849299509910848E-2</v>
      </c>
      <c r="L92">
        <f t="shared" si="17"/>
        <v>1.9971344775454375E-4</v>
      </c>
      <c r="M92">
        <f t="shared" si="16"/>
        <v>3.7534521710466727E-4</v>
      </c>
      <c r="N92">
        <f t="shared" si="16"/>
        <v>6.1748768613325547E-4</v>
      </c>
    </row>
    <row r="93" spans="2:14">
      <c r="B93" s="1">
        <v>45602</v>
      </c>
      <c r="C93">
        <v>55.28</v>
      </c>
      <c r="D93">
        <v>780.21</v>
      </c>
      <c r="E93">
        <v>5929.04</v>
      </c>
      <c r="F93">
        <f t="shared" si="11"/>
        <v>-1.0364671383679941E-2</v>
      </c>
      <c r="G93">
        <f t="shared" si="12"/>
        <v>2.0714233583603872E-2</v>
      </c>
      <c r="H93">
        <f t="shared" si="12"/>
        <v>7.4037444129894632E-3</v>
      </c>
      <c r="I93" s="4">
        <f t="shared" si="13"/>
        <v>-1.2449416925612435E-2</v>
      </c>
      <c r="J93" s="4">
        <f t="shared" si="14"/>
        <v>1.8974928695055085E-2</v>
      </c>
      <c r="K93" s="4">
        <f t="shared" si="15"/>
        <v>7.2718100840037788E-3</v>
      </c>
      <c r="L93">
        <f t="shared" si="17"/>
        <v>1.5498798178772538E-4</v>
      </c>
      <c r="M93">
        <f t="shared" si="16"/>
        <v>3.6004791898242488E-4</v>
      </c>
      <c r="N93">
        <f t="shared" si="16"/>
        <v>5.2879221897819048E-5</v>
      </c>
    </row>
    <row r="94" spans="2:14">
      <c r="B94" s="1">
        <v>45603</v>
      </c>
      <c r="C94">
        <v>54.71</v>
      </c>
      <c r="D94">
        <v>796.54</v>
      </c>
      <c r="E94">
        <v>5973.1</v>
      </c>
      <c r="F94">
        <f t="shared" si="11"/>
        <v>-1.0473223889579405E-2</v>
      </c>
      <c r="G94">
        <f t="shared" si="12"/>
        <v>-1.8849199463619674E-3</v>
      </c>
      <c r="H94">
        <f t="shared" si="12"/>
        <v>3.7498038697994338E-3</v>
      </c>
      <c r="I94" s="4">
        <f t="shared" si="13"/>
        <v>-1.2557969431511901E-2</v>
      </c>
      <c r="J94" s="4">
        <f t="shared" si="14"/>
        <v>-3.6242248349107539E-3</v>
      </c>
      <c r="K94" s="4">
        <f t="shared" si="15"/>
        <v>3.6178695408137494E-3</v>
      </c>
      <c r="L94">
        <f t="shared" si="17"/>
        <v>1.5770259624278734E-4</v>
      </c>
      <c r="M94">
        <f t="shared" si="16"/>
        <v>1.3135005653983882E-5</v>
      </c>
      <c r="N94">
        <f t="shared" si="16"/>
        <v>1.3088980014347889E-5</v>
      </c>
    </row>
    <row r="95" spans="2:14">
      <c r="B95" s="1">
        <v>45604</v>
      </c>
      <c r="C95">
        <v>54.14</v>
      </c>
      <c r="D95">
        <v>795.04</v>
      </c>
      <c r="E95">
        <v>5995.54</v>
      </c>
      <c r="F95">
        <f t="shared" si="11"/>
        <v>9.9766769015646739E-2</v>
      </c>
      <c r="G95">
        <f t="shared" si="12"/>
        <v>1.2996284092940751E-2</v>
      </c>
      <c r="H95">
        <f t="shared" si="12"/>
        <v>9.6858443383637458E-4</v>
      </c>
      <c r="I95" s="4">
        <f t="shared" si="13"/>
        <v>9.7682023473714241E-2</v>
      </c>
      <c r="J95" s="4">
        <f t="shared" si="14"/>
        <v>1.1256979204391965E-2</v>
      </c>
      <c r="K95" s="4">
        <f t="shared" si="15"/>
        <v>8.3665010485069029E-4</v>
      </c>
      <c r="L95">
        <f t="shared" si="17"/>
        <v>9.5417777099192601E-3</v>
      </c>
      <c r="M95">
        <f t="shared" si="16"/>
        <v>1.2671958080811316E-4</v>
      </c>
      <c r="N95">
        <f t="shared" si="16"/>
        <v>6.9998339794667101E-7</v>
      </c>
    </row>
    <row r="96" spans="2:14">
      <c r="B96" s="1">
        <v>45607</v>
      </c>
      <c r="C96">
        <v>59.82</v>
      </c>
      <c r="D96">
        <v>805.44</v>
      </c>
      <c r="E96">
        <v>6001.35</v>
      </c>
      <c r="F96">
        <f t="shared" si="11"/>
        <v>-1.3463683687008586E-2</v>
      </c>
      <c r="G96">
        <f t="shared" si="12"/>
        <v>1.7305686236933168E-2</v>
      </c>
      <c r="H96">
        <f t="shared" si="12"/>
        <v>-2.8968743715661891E-3</v>
      </c>
      <c r="I96" s="4">
        <f t="shared" si="13"/>
        <v>-1.554842922894108E-2</v>
      </c>
      <c r="J96" s="4">
        <f t="shared" si="14"/>
        <v>1.5566381348384381E-2</v>
      </c>
      <c r="K96" s="4">
        <f t="shared" si="15"/>
        <v>-3.0288087005518735E-3</v>
      </c>
      <c r="L96">
        <f t="shared" si="17"/>
        <v>2.4175365148738933E-4</v>
      </c>
      <c r="M96">
        <f t="shared" si="16"/>
        <v>2.4231222828332915E-4</v>
      </c>
      <c r="N96">
        <f t="shared" si="16"/>
        <v>9.1736821445387277E-6</v>
      </c>
    </row>
    <row r="97" spans="2:14">
      <c r="B97" s="1">
        <v>45608</v>
      </c>
      <c r="C97">
        <v>59.02</v>
      </c>
      <c r="D97">
        <v>819.5</v>
      </c>
      <c r="E97">
        <v>5983.99</v>
      </c>
      <c r="F97">
        <f t="shared" si="11"/>
        <v>-1.0389261462575494E-2</v>
      </c>
      <c r="G97">
        <f t="shared" si="12"/>
        <v>1.3297407399440733E-2</v>
      </c>
      <c r="H97">
        <f t="shared" si="12"/>
        <v>2.322595101076364E-4</v>
      </c>
      <c r="I97" s="4">
        <f t="shared" si="13"/>
        <v>-1.247400700450799E-2</v>
      </c>
      <c r="J97" s="4">
        <f t="shared" si="14"/>
        <v>1.1558102510891947E-2</v>
      </c>
      <c r="K97" s="4">
        <f t="shared" si="15"/>
        <v>1.0032518112195211E-4</v>
      </c>
      <c r="L97">
        <f t="shared" si="17"/>
        <v>1.556008507485144E-4</v>
      </c>
      <c r="M97">
        <f t="shared" si="16"/>
        <v>1.3358973365228675E-4</v>
      </c>
      <c r="N97">
        <f t="shared" si="16"/>
        <v>1.0065141967152496E-8</v>
      </c>
    </row>
    <row r="98" spans="2:14">
      <c r="B98" s="1">
        <v>45609</v>
      </c>
      <c r="C98">
        <v>58.41</v>
      </c>
      <c r="D98">
        <v>830.47</v>
      </c>
      <c r="E98">
        <v>5985.38</v>
      </c>
      <c r="F98">
        <f t="shared" si="11"/>
        <v>1.5396461855928362E-3</v>
      </c>
      <c r="G98">
        <f t="shared" si="12"/>
        <v>8.1428498835014393E-3</v>
      </c>
      <c r="H98">
        <f t="shared" si="12"/>
        <v>-6.0681150291174617E-3</v>
      </c>
      <c r="I98" s="4">
        <f t="shared" si="13"/>
        <v>-5.4509935633965901E-4</v>
      </c>
      <c r="J98" s="4">
        <f t="shared" si="14"/>
        <v>6.403544994952653E-3</v>
      </c>
      <c r="K98" s="4">
        <f t="shared" si="15"/>
        <v>-6.2000493581031461E-3</v>
      </c>
      <c r="L98">
        <f t="shared" si="17"/>
        <v>2.9713330828191056E-7</v>
      </c>
      <c r="M98">
        <f t="shared" si="16"/>
        <v>4.1005388502383175E-5</v>
      </c>
      <c r="N98">
        <f t="shared" si="16"/>
        <v>3.8440612042915235E-5</v>
      </c>
    </row>
    <row r="99" spans="2:14">
      <c r="B99" s="1">
        <v>45610</v>
      </c>
      <c r="C99">
        <v>58.5</v>
      </c>
      <c r="D99">
        <v>837.26</v>
      </c>
      <c r="E99">
        <v>5949.17</v>
      </c>
      <c r="F99">
        <f t="shared" ref="F99:F130" si="18">LN(C100/C99)</f>
        <v>-3.9754188759424984E-2</v>
      </c>
      <c r="G99">
        <f t="shared" si="12"/>
        <v>-1.6012670424958148E-2</v>
      </c>
      <c r="H99">
        <f t="shared" si="12"/>
        <v>-1.3291463960568205E-2</v>
      </c>
      <c r="I99" s="4">
        <f t="shared" ref="I99:I130" si="19">F99-$F$194</f>
        <v>-4.1838934301357482E-2</v>
      </c>
      <c r="J99" s="4">
        <f t="shared" ref="J99:J130" si="20">G99-$G$194</f>
        <v>-1.7751975313506935E-2</v>
      </c>
      <c r="K99" s="4">
        <f t="shared" ref="K99:K130" si="21">H99-$H$194</f>
        <v>-1.3423398289553889E-2</v>
      </c>
      <c r="L99">
        <f t="shared" si="17"/>
        <v>1.7504964234733077E-3</v>
      </c>
      <c r="M99">
        <f t="shared" si="16"/>
        <v>3.1513262753135964E-4</v>
      </c>
      <c r="N99">
        <f t="shared" si="16"/>
        <v>1.8018762163999827E-4</v>
      </c>
    </row>
    <row r="100" spans="2:14">
      <c r="B100" s="1">
        <v>45611</v>
      </c>
      <c r="C100">
        <v>56.22</v>
      </c>
      <c r="D100">
        <v>823.96</v>
      </c>
      <c r="E100">
        <v>5870.62</v>
      </c>
      <c r="F100">
        <f t="shared" si="18"/>
        <v>1.0263760248719901E-2</v>
      </c>
      <c r="G100">
        <f t="shared" si="12"/>
        <v>2.7637739745086976E-2</v>
      </c>
      <c r="H100">
        <f t="shared" si="12"/>
        <v>3.9101598241076656E-3</v>
      </c>
      <c r="I100" s="4">
        <f t="shared" si="19"/>
        <v>8.1790147067874047E-3</v>
      </c>
      <c r="J100" s="4">
        <f t="shared" si="20"/>
        <v>2.5898434856538189E-2</v>
      </c>
      <c r="K100" s="4">
        <f t="shared" si="21"/>
        <v>3.7782254951219812E-3</v>
      </c>
      <c r="L100">
        <f t="shared" si="17"/>
        <v>6.6896281573844662E-5</v>
      </c>
      <c r="M100">
        <f t="shared" si="16"/>
        <v>6.7072892801835226E-4</v>
      </c>
      <c r="N100">
        <f t="shared" si="16"/>
        <v>1.427498789198974E-5</v>
      </c>
    </row>
    <row r="101" spans="2:14">
      <c r="B101" s="1">
        <v>45614</v>
      </c>
      <c r="C101">
        <v>56.8</v>
      </c>
      <c r="D101">
        <v>847.05</v>
      </c>
      <c r="E101">
        <v>5893.62</v>
      </c>
      <c r="F101">
        <f t="shared" si="18"/>
        <v>2.4864360121922856E-2</v>
      </c>
      <c r="G101">
        <f t="shared" si="12"/>
        <v>2.8249578393200477E-2</v>
      </c>
      <c r="H101">
        <f t="shared" si="12"/>
        <v>3.9557737052673715E-3</v>
      </c>
      <c r="I101" s="4">
        <f t="shared" si="19"/>
        <v>2.2779614579990361E-2</v>
      </c>
      <c r="J101" s="4">
        <f t="shared" si="20"/>
        <v>2.6510273504651689E-2</v>
      </c>
      <c r="K101" s="4">
        <f t="shared" si="21"/>
        <v>3.8238393762816871E-3</v>
      </c>
      <c r="L101">
        <f t="shared" si="17"/>
        <v>5.1891084041290943E-4</v>
      </c>
      <c r="M101">
        <f t="shared" si="16"/>
        <v>7.027946012914374E-4</v>
      </c>
      <c r="N101">
        <f t="shared" si="16"/>
        <v>1.4621747575602321E-5</v>
      </c>
    </row>
    <row r="102" spans="2:14">
      <c r="B102" s="1">
        <v>45615</v>
      </c>
      <c r="C102">
        <v>58.23</v>
      </c>
      <c r="D102">
        <v>871.32</v>
      </c>
      <c r="E102">
        <v>5916.98</v>
      </c>
      <c r="F102">
        <f t="shared" si="18"/>
        <v>-6.0287840857454139E-3</v>
      </c>
      <c r="G102">
        <f t="shared" si="12"/>
        <v>1.4278061801736431E-2</v>
      </c>
      <c r="H102">
        <f t="shared" si="12"/>
        <v>2.1970426117316337E-5</v>
      </c>
      <c r="I102" s="4">
        <f t="shared" si="19"/>
        <v>-8.1135296276779092E-3</v>
      </c>
      <c r="J102" s="4">
        <f t="shared" si="20"/>
        <v>1.2538756913187645E-2</v>
      </c>
      <c r="K102" s="4">
        <f t="shared" si="21"/>
        <v>-1.0996390286836795E-4</v>
      </c>
      <c r="L102">
        <f t="shared" si="17"/>
        <v>6.5829363019207233E-5</v>
      </c>
      <c r="M102">
        <f t="shared" si="16"/>
        <v>1.5722042492801095E-4</v>
      </c>
      <c r="N102">
        <f t="shared" si="16"/>
        <v>1.2092059934043861E-8</v>
      </c>
    </row>
    <row r="103" spans="2:14">
      <c r="B103" s="1">
        <v>45616</v>
      </c>
      <c r="C103">
        <v>57.88</v>
      </c>
      <c r="D103">
        <v>883.85</v>
      </c>
      <c r="E103">
        <v>5917.11</v>
      </c>
      <c r="F103">
        <f t="shared" si="18"/>
        <v>6.0287840857452656E-3</v>
      </c>
      <c r="G103">
        <f t="shared" si="12"/>
        <v>1.530347100968441E-2</v>
      </c>
      <c r="H103">
        <f t="shared" si="12"/>
        <v>5.3262353051749837E-3</v>
      </c>
      <c r="I103" s="4">
        <f t="shared" si="19"/>
        <v>3.9440385438127704E-3</v>
      </c>
      <c r="J103" s="4">
        <f t="shared" si="20"/>
        <v>1.3564166121135625E-2</v>
      </c>
      <c r="K103" s="4">
        <f t="shared" si="21"/>
        <v>5.1943009761892993E-3</v>
      </c>
      <c r="L103">
        <f t="shared" si="17"/>
        <v>1.5555440035080757E-5</v>
      </c>
      <c r="M103">
        <f t="shared" si="16"/>
        <v>1.8398660256176348E-4</v>
      </c>
      <c r="N103">
        <f t="shared" si="16"/>
        <v>2.6980762631241109E-5</v>
      </c>
    </row>
    <row r="104" spans="2:14">
      <c r="B104" s="1">
        <v>45617</v>
      </c>
      <c r="C104">
        <v>58.23</v>
      </c>
      <c r="D104">
        <v>897.48</v>
      </c>
      <c r="E104">
        <v>5948.71</v>
      </c>
      <c r="F104">
        <f t="shared" si="18"/>
        <v>1.0930937191141328E-2</v>
      </c>
      <c r="G104">
        <f t="shared" si="12"/>
        <v>3.453519560634254E-4</v>
      </c>
      <c r="H104">
        <f t="shared" si="12"/>
        <v>3.4619792004100735E-3</v>
      </c>
      <c r="I104" s="4">
        <f t="shared" si="19"/>
        <v>8.8461916492088323E-3</v>
      </c>
      <c r="J104" s="4">
        <f t="shared" si="20"/>
        <v>-1.393952932485361E-3</v>
      </c>
      <c r="K104" s="4">
        <f t="shared" si="21"/>
        <v>3.3300448714243891E-3</v>
      </c>
      <c r="L104">
        <f t="shared" si="17"/>
        <v>7.8255106694532077E-5</v>
      </c>
      <c r="M104">
        <f t="shared" si="16"/>
        <v>1.9431047779845373E-6</v>
      </c>
      <c r="N104">
        <f t="shared" si="16"/>
        <v>1.1089198845699877E-5</v>
      </c>
    </row>
    <row r="105" spans="2:14">
      <c r="B105" s="1">
        <v>45618</v>
      </c>
      <c r="C105">
        <v>58.87</v>
      </c>
      <c r="D105">
        <v>897.79</v>
      </c>
      <c r="E105">
        <v>5969.34</v>
      </c>
      <c r="F105">
        <f t="shared" si="18"/>
        <v>-1.5299620493986225E-3</v>
      </c>
      <c r="G105">
        <f t="shared" si="12"/>
        <v>-3.6524832602377391E-2</v>
      </c>
      <c r="H105">
        <f t="shared" si="12"/>
        <v>3.015882072251307E-3</v>
      </c>
      <c r="I105" s="4">
        <f t="shared" si="19"/>
        <v>-3.6147075913311177E-3</v>
      </c>
      <c r="J105" s="4">
        <f t="shared" si="20"/>
        <v>-3.8264137490926178E-2</v>
      </c>
      <c r="K105" s="4">
        <f t="shared" si="21"/>
        <v>2.8839477432656226E-3</v>
      </c>
      <c r="L105">
        <f t="shared" si="17"/>
        <v>1.3066110970826812E-5</v>
      </c>
      <c r="M105">
        <f t="shared" si="16"/>
        <v>1.4641442179245024E-3</v>
      </c>
      <c r="N105">
        <f t="shared" si="16"/>
        <v>8.317154585886877E-6</v>
      </c>
    </row>
    <row r="106" spans="2:14">
      <c r="B106" s="1">
        <v>45621</v>
      </c>
      <c r="C106">
        <v>58.78</v>
      </c>
      <c r="D106">
        <v>865.59</v>
      </c>
      <c r="E106">
        <v>5987.37</v>
      </c>
      <c r="F106">
        <f t="shared" si="18"/>
        <v>-6.8073522029723187E-4</v>
      </c>
      <c r="G106">
        <f t="shared" si="12"/>
        <v>8.0659053442466728E-3</v>
      </c>
      <c r="H106">
        <f t="shared" si="12"/>
        <v>5.7057361888066833E-3</v>
      </c>
      <c r="I106" s="4">
        <f t="shared" si="19"/>
        <v>-2.7654807622297271E-3</v>
      </c>
      <c r="J106" s="4">
        <f t="shared" si="20"/>
        <v>6.3266004556978865E-3</v>
      </c>
      <c r="K106" s="4">
        <f t="shared" si="21"/>
        <v>5.5738018598209989E-3</v>
      </c>
      <c r="L106">
        <f t="shared" si="17"/>
        <v>7.6478838462627116E-6</v>
      </c>
      <c r="M106">
        <f t="shared" si="16"/>
        <v>4.0025873326036702E-5</v>
      </c>
      <c r="N106">
        <f t="shared" si="16"/>
        <v>3.1067267172544023E-5</v>
      </c>
    </row>
    <row r="107" spans="2:14">
      <c r="B107" s="1">
        <v>45622</v>
      </c>
      <c r="C107">
        <v>58.74</v>
      </c>
      <c r="D107">
        <v>872.6</v>
      </c>
      <c r="E107">
        <v>6021.63</v>
      </c>
      <c r="F107">
        <f t="shared" si="18"/>
        <v>8.9823500292727908E-3</v>
      </c>
      <c r="G107">
        <f t="shared" si="12"/>
        <v>5.4173418429128411E-3</v>
      </c>
      <c r="H107">
        <f t="shared" si="12"/>
        <v>-3.8085396153748753E-3</v>
      </c>
      <c r="I107" s="4">
        <f t="shared" si="19"/>
        <v>6.8976044873402956E-3</v>
      </c>
      <c r="J107" s="4">
        <f t="shared" si="20"/>
        <v>3.6780369543640548E-3</v>
      </c>
      <c r="K107" s="4">
        <f t="shared" si="21"/>
        <v>-3.9404739443605593E-3</v>
      </c>
      <c r="L107">
        <f t="shared" si="17"/>
        <v>4.757694766377698E-5</v>
      </c>
      <c r="M107">
        <f t="shared" si="16"/>
        <v>1.3527955837667612E-5</v>
      </c>
      <c r="N107">
        <f t="shared" si="16"/>
        <v>1.5527334906184462E-5</v>
      </c>
    </row>
    <row r="108" spans="2:14">
      <c r="B108" s="1">
        <v>45623</v>
      </c>
      <c r="C108">
        <v>59.27</v>
      </c>
      <c r="D108">
        <v>877.34</v>
      </c>
      <c r="E108">
        <v>5998.74</v>
      </c>
      <c r="F108">
        <f t="shared" si="18"/>
        <v>-8.4395312630165581E-4</v>
      </c>
      <c r="G108">
        <f t="shared" si="12"/>
        <v>1.073615164592938E-2</v>
      </c>
      <c r="H108">
        <f t="shared" si="12"/>
        <v>5.5921788939180331E-3</v>
      </c>
      <c r="I108" s="4">
        <f t="shared" si="19"/>
        <v>-2.9286986682341512E-3</v>
      </c>
      <c r="J108" s="4">
        <f t="shared" si="20"/>
        <v>8.9968467573805951E-3</v>
      </c>
      <c r="K108" s="4">
        <f t="shared" si="21"/>
        <v>5.4602445649323487E-3</v>
      </c>
      <c r="L108">
        <f t="shared" si="17"/>
        <v>8.5772758893164897E-6</v>
      </c>
      <c r="M108">
        <f t="shared" si="16"/>
        <v>8.0943251575789729E-5</v>
      </c>
      <c r="N108">
        <f t="shared" si="16"/>
        <v>2.9814270708873252E-5</v>
      </c>
    </row>
    <row r="109" spans="2:14">
      <c r="B109" s="1">
        <v>45625</v>
      </c>
      <c r="C109">
        <v>59.22</v>
      </c>
      <c r="D109">
        <v>886.81</v>
      </c>
      <c r="E109">
        <v>6032.38</v>
      </c>
      <c r="F109">
        <f t="shared" si="18"/>
        <v>1.2084739215071827E-2</v>
      </c>
      <c r="G109">
        <f t="shared" si="12"/>
        <v>1.2249739907294553E-2</v>
      </c>
      <c r="H109">
        <f t="shared" si="12"/>
        <v>2.4454606033056034E-3</v>
      </c>
      <c r="I109" s="4">
        <f t="shared" si="19"/>
        <v>9.9999936731393312E-3</v>
      </c>
      <c r="J109" s="4">
        <f t="shared" si="20"/>
        <v>1.0510435018745767E-2</v>
      </c>
      <c r="K109" s="4">
        <f t="shared" si="21"/>
        <v>2.313526274319919E-3</v>
      </c>
      <c r="L109">
        <f t="shared" si="17"/>
        <v>9.9999873462826647E-5</v>
      </c>
      <c r="M109">
        <f t="shared" si="16"/>
        <v>1.1046924428327734E-4</v>
      </c>
      <c r="N109">
        <f t="shared" si="16"/>
        <v>5.352403821968605E-6</v>
      </c>
    </row>
    <row r="110" spans="2:14">
      <c r="B110" s="1">
        <v>45628</v>
      </c>
      <c r="C110">
        <v>59.94</v>
      </c>
      <c r="D110">
        <v>897.74</v>
      </c>
      <c r="E110">
        <v>6047.15</v>
      </c>
      <c r="F110">
        <f t="shared" si="18"/>
        <v>-2.1074707318274048E-2</v>
      </c>
      <c r="G110">
        <f t="shared" si="12"/>
        <v>4.922478285244513E-3</v>
      </c>
      <c r="H110">
        <f t="shared" si="12"/>
        <v>4.5135046310470323E-4</v>
      </c>
      <c r="I110" s="4">
        <f t="shared" si="19"/>
        <v>-2.3159452860206542E-2</v>
      </c>
      <c r="J110" s="4">
        <f t="shared" si="20"/>
        <v>3.1831733966957267E-3</v>
      </c>
      <c r="K110" s="4">
        <f t="shared" si="21"/>
        <v>3.1941613411901894E-4</v>
      </c>
      <c r="L110">
        <f t="shared" si="17"/>
        <v>5.3636025678412895E-4</v>
      </c>
      <c r="M110">
        <f t="shared" si="16"/>
        <v>1.013259287343141E-5</v>
      </c>
      <c r="N110">
        <f t="shared" si="16"/>
        <v>1.020266667355391E-7</v>
      </c>
    </row>
    <row r="111" spans="2:14">
      <c r="B111" s="1">
        <v>45629</v>
      </c>
      <c r="C111">
        <v>58.69</v>
      </c>
      <c r="D111">
        <v>902.17</v>
      </c>
      <c r="E111">
        <v>6049.88</v>
      </c>
      <c r="F111">
        <f t="shared" si="18"/>
        <v>-5.4672953545434567E-3</v>
      </c>
      <c r="G111">
        <f t="shared" si="12"/>
        <v>9.8057844107316341E-3</v>
      </c>
      <c r="H111">
        <f t="shared" si="12"/>
        <v>6.0331237505021089E-3</v>
      </c>
      <c r="I111" s="4">
        <f t="shared" si="19"/>
        <v>-7.5520408964759519E-3</v>
      </c>
      <c r="J111" s="4">
        <f t="shared" si="20"/>
        <v>8.066479522182847E-3</v>
      </c>
      <c r="K111" s="4">
        <f t="shared" si="21"/>
        <v>5.9011894215164245E-3</v>
      </c>
      <c r="L111">
        <f t="shared" si="17"/>
        <v>5.70333217020453E-5</v>
      </c>
      <c r="M111">
        <f t="shared" si="16"/>
        <v>6.5068091881795217E-5</v>
      </c>
      <c r="N111">
        <f t="shared" si="16"/>
        <v>3.4824036588617353E-5</v>
      </c>
    </row>
    <row r="112" spans="2:14">
      <c r="B112" s="1">
        <v>45630</v>
      </c>
      <c r="C112">
        <v>58.37</v>
      </c>
      <c r="D112">
        <v>911.06</v>
      </c>
      <c r="E112">
        <v>6086.49</v>
      </c>
      <c r="F112">
        <f t="shared" si="18"/>
        <v>8.0198365175371353E-3</v>
      </c>
      <c r="G112">
        <f t="shared" si="12"/>
        <v>7.4470116104779207E-3</v>
      </c>
      <c r="H112">
        <f t="shared" si="12"/>
        <v>-1.8714648272306858E-3</v>
      </c>
      <c r="I112" s="4">
        <f t="shared" si="19"/>
        <v>5.9350909756046401E-3</v>
      </c>
      <c r="J112" s="4">
        <f t="shared" si="20"/>
        <v>5.7077067219291344E-3</v>
      </c>
      <c r="K112" s="4">
        <f t="shared" si="21"/>
        <v>-2.00339915621637E-3</v>
      </c>
      <c r="L112">
        <f t="shared" si="17"/>
        <v>3.5225304888703642E-5</v>
      </c>
      <c r="M112">
        <f t="shared" si="16"/>
        <v>3.2577916023555026E-5</v>
      </c>
      <c r="N112">
        <f t="shared" si="16"/>
        <v>4.0136081791284637E-6</v>
      </c>
    </row>
    <row r="113" spans="2:14">
      <c r="B113" s="1">
        <v>45631</v>
      </c>
      <c r="C113">
        <v>58.84</v>
      </c>
      <c r="D113">
        <v>917.87</v>
      </c>
      <c r="E113">
        <v>6075.11</v>
      </c>
      <c r="F113">
        <f t="shared" si="18"/>
        <v>9.1355736023768994E-3</v>
      </c>
      <c r="G113">
        <f t="shared" si="12"/>
        <v>1.8212647360291819E-2</v>
      </c>
      <c r="H113">
        <f t="shared" si="12"/>
        <v>2.4923196558419955E-3</v>
      </c>
      <c r="I113" s="4">
        <f t="shared" si="19"/>
        <v>7.0508280604444041E-3</v>
      </c>
      <c r="J113" s="4">
        <f t="shared" si="20"/>
        <v>1.6473342471743032E-2</v>
      </c>
      <c r="K113" s="4">
        <f t="shared" si="21"/>
        <v>2.3603853268563111E-3</v>
      </c>
      <c r="L113">
        <f t="shared" si="17"/>
        <v>4.9714176337950195E-5</v>
      </c>
      <c r="M113">
        <f t="shared" si="16"/>
        <v>2.7137101219133281E-4</v>
      </c>
      <c r="N113">
        <f t="shared" si="16"/>
        <v>5.571418891238575E-6</v>
      </c>
    </row>
    <row r="114" spans="2:14">
      <c r="B114" s="1">
        <v>45632</v>
      </c>
      <c r="C114">
        <v>59.38</v>
      </c>
      <c r="D114">
        <v>934.74</v>
      </c>
      <c r="E114">
        <v>6090.27</v>
      </c>
      <c r="F114">
        <f t="shared" si="18"/>
        <v>-1.1347399259519162E-2</v>
      </c>
      <c r="G114">
        <f t="shared" si="12"/>
        <v>-2.2777070319036547E-2</v>
      </c>
      <c r="H114">
        <f t="shared" si="12"/>
        <v>-6.1631802121963038E-3</v>
      </c>
      <c r="I114" s="4">
        <f t="shared" si="19"/>
        <v>-1.3432144801451659E-2</v>
      </c>
      <c r="J114" s="4">
        <f t="shared" si="20"/>
        <v>-2.4516375207585334E-2</v>
      </c>
      <c r="K114" s="4">
        <f t="shared" si="21"/>
        <v>-6.2951145411819882E-3</v>
      </c>
      <c r="L114">
        <f t="shared" si="17"/>
        <v>1.8042251396716482E-4</v>
      </c>
      <c r="M114">
        <f t="shared" si="16"/>
        <v>6.0105265331910479E-4</v>
      </c>
      <c r="N114">
        <f t="shared" si="16"/>
        <v>3.9628467086600911E-5</v>
      </c>
    </row>
    <row r="115" spans="2:14">
      <c r="B115" s="1">
        <v>45635</v>
      </c>
      <c r="C115">
        <v>58.71</v>
      </c>
      <c r="D115">
        <v>913.69</v>
      </c>
      <c r="E115">
        <v>6052.85</v>
      </c>
      <c r="F115">
        <f t="shared" si="18"/>
        <v>-1.0100231374012485E-2</v>
      </c>
      <c r="G115">
        <f t="shared" si="12"/>
        <v>-3.7218671066295908E-4</v>
      </c>
      <c r="H115">
        <f t="shared" si="12"/>
        <v>-2.9682940713745675E-3</v>
      </c>
      <c r="I115" s="4">
        <f t="shared" si="19"/>
        <v>-1.218497691594498E-2</v>
      </c>
      <c r="J115" s="4">
        <f t="shared" si="20"/>
        <v>-2.1114915992117454E-3</v>
      </c>
      <c r="K115" s="4">
        <f t="shared" si="21"/>
        <v>-3.1002284003602519E-3</v>
      </c>
      <c r="L115">
        <f t="shared" si="17"/>
        <v>1.4847366244211203E-4</v>
      </c>
      <c r="M115">
        <f t="shared" si="16"/>
        <v>4.4583967735417737E-6</v>
      </c>
      <c r="N115">
        <f t="shared" si="16"/>
        <v>9.611416134400286E-6</v>
      </c>
    </row>
    <row r="116" spans="2:14">
      <c r="B116" s="1">
        <v>45636</v>
      </c>
      <c r="C116">
        <v>58.12</v>
      </c>
      <c r="D116">
        <v>913.35</v>
      </c>
      <c r="E116">
        <v>6034.91</v>
      </c>
      <c r="F116">
        <f t="shared" si="18"/>
        <v>-2.561785122806676E-2</v>
      </c>
      <c r="G116">
        <f t="shared" si="12"/>
        <v>2.5094429448724122E-2</v>
      </c>
      <c r="H116">
        <f t="shared" si="12"/>
        <v>8.1326619328850828E-3</v>
      </c>
      <c r="I116" s="4">
        <f t="shared" si="19"/>
        <v>-2.7702596769999255E-2</v>
      </c>
      <c r="J116" s="4">
        <f t="shared" si="20"/>
        <v>2.3355124560175335E-2</v>
      </c>
      <c r="K116" s="4">
        <f t="shared" si="21"/>
        <v>8.0007276038993984E-3</v>
      </c>
      <c r="L116">
        <f t="shared" si="17"/>
        <v>7.6743386780117313E-4</v>
      </c>
      <c r="M116">
        <f t="shared" si="16"/>
        <v>5.4546184322130508E-4</v>
      </c>
      <c r="N116">
        <f t="shared" si="16"/>
        <v>6.4011642191797808E-5</v>
      </c>
    </row>
    <row r="117" spans="2:14">
      <c r="B117" s="1">
        <v>45637</v>
      </c>
      <c r="C117">
        <v>56.65</v>
      </c>
      <c r="D117">
        <v>936.56</v>
      </c>
      <c r="E117">
        <v>6084.19</v>
      </c>
      <c r="F117">
        <f t="shared" si="18"/>
        <v>-6.5527552278269365E-3</v>
      </c>
      <c r="G117">
        <f t="shared" si="12"/>
        <v>-1.1825432765722911E-2</v>
      </c>
      <c r="H117">
        <f t="shared" si="12"/>
        <v>-5.4287410919564485E-3</v>
      </c>
      <c r="I117" s="4">
        <f t="shared" si="19"/>
        <v>-8.6375007697594326E-3</v>
      </c>
      <c r="J117" s="4">
        <f t="shared" si="20"/>
        <v>-1.3564737654271696E-2</v>
      </c>
      <c r="K117" s="4">
        <f t="shared" si="21"/>
        <v>-5.5606754209421329E-3</v>
      </c>
      <c r="L117">
        <f t="shared" si="17"/>
        <v>7.4606419547594796E-5</v>
      </c>
      <c r="M117">
        <f t="shared" si="16"/>
        <v>1.8400210762921639E-4</v>
      </c>
      <c r="N117">
        <f t="shared" si="16"/>
        <v>3.092111113706997E-5</v>
      </c>
    </row>
    <row r="118" spans="2:14">
      <c r="B118" s="1">
        <v>45638</v>
      </c>
      <c r="C118">
        <v>56.28</v>
      </c>
      <c r="D118">
        <v>925.55</v>
      </c>
      <c r="E118">
        <v>6051.25</v>
      </c>
      <c r="F118">
        <f t="shared" si="18"/>
        <v>-8.9238500468453962E-3</v>
      </c>
      <c r="G118">
        <f t="shared" si="12"/>
        <v>-7.2435011627863385E-3</v>
      </c>
      <c r="H118">
        <f t="shared" si="12"/>
        <v>-2.6441167577320025E-5</v>
      </c>
      <c r="I118" s="4">
        <f t="shared" si="19"/>
        <v>-1.1008595588777891E-2</v>
      </c>
      <c r="J118" s="4">
        <f t="shared" si="20"/>
        <v>-8.9828060513351248E-3</v>
      </c>
      <c r="K118" s="4">
        <f t="shared" si="21"/>
        <v>-1.5837549656300433E-4</v>
      </c>
      <c r="L118">
        <f t="shared" si="17"/>
        <v>1.2118917683726003E-4</v>
      </c>
      <c r="M118">
        <f t="shared" si="16"/>
        <v>8.069080455590294E-5</v>
      </c>
      <c r="N118">
        <f t="shared" si="16"/>
        <v>2.5082797911578196E-8</v>
      </c>
    </row>
    <row r="119" spans="2:14">
      <c r="B119" s="1">
        <v>45639</v>
      </c>
      <c r="C119">
        <v>55.78</v>
      </c>
      <c r="D119">
        <v>918.87</v>
      </c>
      <c r="E119">
        <v>6051.09</v>
      </c>
      <c r="F119">
        <f t="shared" si="18"/>
        <v>1.6121812717143542E-3</v>
      </c>
      <c r="G119">
        <f t="shared" si="12"/>
        <v>2.4022403465107731E-3</v>
      </c>
      <c r="H119">
        <f t="shared" si="12"/>
        <v>3.7921163249597686E-3</v>
      </c>
      <c r="I119" s="4">
        <f t="shared" si="19"/>
        <v>-4.7256427021814102E-4</v>
      </c>
      <c r="J119" s="4">
        <f t="shared" si="20"/>
        <v>6.6293545796198682E-4</v>
      </c>
      <c r="K119" s="4">
        <f t="shared" si="21"/>
        <v>3.6601819959740842E-3</v>
      </c>
      <c r="L119">
        <f t="shared" si="17"/>
        <v>2.2331698948680421E-7</v>
      </c>
      <c r="M119">
        <f t="shared" si="16"/>
        <v>4.3948342142326918E-7</v>
      </c>
      <c r="N119">
        <f t="shared" si="16"/>
        <v>1.3396932243652832E-5</v>
      </c>
    </row>
    <row r="120" spans="2:14">
      <c r="B120" s="1">
        <v>45642</v>
      </c>
      <c r="C120">
        <v>55.87</v>
      </c>
      <c r="D120">
        <v>921.08</v>
      </c>
      <c r="E120">
        <v>6074.08</v>
      </c>
      <c r="F120">
        <f t="shared" si="18"/>
        <v>3.1362683244010647E-2</v>
      </c>
      <c r="G120">
        <f t="shared" si="12"/>
        <v>-2.1193241313484756E-3</v>
      </c>
      <c r="H120">
        <f t="shared" si="12"/>
        <v>-3.8714440227630084E-3</v>
      </c>
      <c r="I120" s="4">
        <f t="shared" si="19"/>
        <v>2.9277937702078153E-2</v>
      </c>
      <c r="J120" s="4">
        <f t="shared" si="20"/>
        <v>-3.8586290198972619E-3</v>
      </c>
      <c r="K120" s="4">
        <f t="shared" si="21"/>
        <v>-4.0033783517486928E-3</v>
      </c>
      <c r="L120">
        <f t="shared" si="17"/>
        <v>8.5719763608676938E-4</v>
      </c>
      <c r="M120">
        <f t="shared" si="16"/>
        <v>1.4889017913193304E-5</v>
      </c>
      <c r="N120">
        <f t="shared" si="16"/>
        <v>1.6027038227250081E-5</v>
      </c>
    </row>
    <row r="121" spans="2:14">
      <c r="B121" s="1">
        <v>45643</v>
      </c>
      <c r="C121">
        <v>57.65</v>
      </c>
      <c r="D121">
        <v>919.13</v>
      </c>
      <c r="E121">
        <v>6050.61</v>
      </c>
      <c r="F121">
        <f t="shared" si="18"/>
        <v>-1.4149943486168066E-2</v>
      </c>
      <c r="G121">
        <f t="shared" si="12"/>
        <v>-3.2711853577285774E-2</v>
      </c>
      <c r="H121">
        <f t="shared" si="12"/>
        <v>-2.9936554508987644E-2</v>
      </c>
      <c r="I121" s="4">
        <f t="shared" si="19"/>
        <v>-1.623468902810056E-2</v>
      </c>
      <c r="J121" s="4">
        <f t="shared" si="20"/>
        <v>-3.4451158465834561E-2</v>
      </c>
      <c r="K121" s="4">
        <f t="shared" si="21"/>
        <v>-3.0068488837973327E-2</v>
      </c>
      <c r="L121">
        <f t="shared" si="17"/>
        <v>2.6356512783912872E-4</v>
      </c>
      <c r="M121">
        <f t="shared" si="16"/>
        <v>1.1868823196380443E-3</v>
      </c>
      <c r="N121">
        <f t="shared" si="16"/>
        <v>9.0411402099932654E-4</v>
      </c>
    </row>
    <row r="122" spans="2:14">
      <c r="B122" s="1">
        <v>45644</v>
      </c>
      <c r="C122">
        <v>56.84</v>
      </c>
      <c r="D122">
        <v>889.55</v>
      </c>
      <c r="E122">
        <v>5872.16</v>
      </c>
      <c r="F122">
        <f t="shared" si="18"/>
        <v>-9.5457680832552669E-3</v>
      </c>
      <c r="G122">
        <f t="shared" si="12"/>
        <v>1.3943148096593392E-2</v>
      </c>
      <c r="H122">
        <f t="shared" si="12"/>
        <v>-8.6547345775283581E-4</v>
      </c>
      <c r="I122" s="4">
        <f t="shared" si="19"/>
        <v>-1.1630513625187761E-2</v>
      </c>
      <c r="J122" s="4">
        <f t="shared" si="20"/>
        <v>1.2203843208044605E-2</v>
      </c>
      <c r="K122" s="4">
        <f t="shared" si="21"/>
        <v>-9.974077867385201E-4</v>
      </c>
      <c r="L122">
        <f t="shared" si="17"/>
        <v>1.3526884718567816E-4</v>
      </c>
      <c r="M122">
        <f t="shared" si="16"/>
        <v>1.4893378904653643E-4</v>
      </c>
      <c r="N122">
        <f t="shared" si="16"/>
        <v>9.9482229304663326E-7</v>
      </c>
    </row>
    <row r="123" spans="2:14">
      <c r="B123" s="1">
        <v>45645</v>
      </c>
      <c r="C123">
        <v>56.3</v>
      </c>
      <c r="D123">
        <v>902.04</v>
      </c>
      <c r="E123">
        <v>5867.08</v>
      </c>
      <c r="F123">
        <f t="shared" si="18"/>
        <v>1.8129511774646608E-2</v>
      </c>
      <c r="G123">
        <f t="shared" si="12"/>
        <v>7.7412331879038992E-3</v>
      </c>
      <c r="H123">
        <f t="shared" si="12"/>
        <v>1.0810476252410672E-2</v>
      </c>
      <c r="I123" s="4">
        <f t="shared" si="19"/>
        <v>1.6044766232714114E-2</v>
      </c>
      <c r="J123" s="4">
        <f t="shared" si="20"/>
        <v>6.0019282993551129E-3</v>
      </c>
      <c r="K123" s="4">
        <f t="shared" si="21"/>
        <v>1.0678541923424987E-2</v>
      </c>
      <c r="L123">
        <f t="shared" si="17"/>
        <v>2.5743452346244306E-4</v>
      </c>
      <c r="M123">
        <f t="shared" si="16"/>
        <v>3.602314331059976E-5</v>
      </c>
      <c r="N123">
        <f t="shared" si="16"/>
        <v>1.1403125761034502E-4</v>
      </c>
    </row>
    <row r="124" spans="2:14">
      <c r="B124" s="1">
        <v>45646</v>
      </c>
      <c r="C124">
        <v>57.33</v>
      </c>
      <c r="D124">
        <v>909.05</v>
      </c>
      <c r="E124">
        <v>5930.85</v>
      </c>
      <c r="F124">
        <f t="shared" si="18"/>
        <v>4.3512382637384689E-3</v>
      </c>
      <c r="G124">
        <f t="shared" si="12"/>
        <v>2.6366398136488966E-3</v>
      </c>
      <c r="H124">
        <f t="shared" si="12"/>
        <v>7.2608954754625398E-3</v>
      </c>
      <c r="I124" s="4">
        <f t="shared" si="19"/>
        <v>2.2664927218059737E-3</v>
      </c>
      <c r="J124" s="4">
        <f t="shared" si="20"/>
        <v>8.973349251001103E-4</v>
      </c>
      <c r="K124" s="4">
        <f t="shared" si="21"/>
        <v>7.1289611464768554E-3</v>
      </c>
      <c r="L124">
        <f t="shared" si="17"/>
        <v>5.136989257999451E-6</v>
      </c>
      <c r="M124">
        <f t="shared" si="16"/>
        <v>8.0520996780442061E-7</v>
      </c>
      <c r="N124">
        <f t="shared" si="16"/>
        <v>5.0822087027976604E-5</v>
      </c>
    </row>
    <row r="125" spans="2:14">
      <c r="B125" s="1">
        <v>45649</v>
      </c>
      <c r="C125">
        <v>57.58</v>
      </c>
      <c r="D125">
        <v>911.45</v>
      </c>
      <c r="E125">
        <v>5974.07</v>
      </c>
      <c r="F125">
        <f t="shared" si="18"/>
        <v>3.1212094005409678E-3</v>
      </c>
      <c r="G125">
        <f t="shared" si="12"/>
        <v>2.242482378320702E-2</v>
      </c>
      <c r="H125">
        <f t="shared" si="12"/>
        <v>1.0982197273831982E-2</v>
      </c>
      <c r="I125" s="4">
        <f t="shared" si="19"/>
        <v>1.0364638586084726E-3</v>
      </c>
      <c r="J125" s="4">
        <f t="shared" si="20"/>
        <v>2.0685518894658233E-2</v>
      </c>
      <c r="K125" s="4">
        <f t="shared" si="21"/>
        <v>1.0850262944846298E-2</v>
      </c>
      <c r="L125">
        <f t="shared" si="17"/>
        <v>1.0742573302015638E-6</v>
      </c>
      <c r="M125">
        <f t="shared" si="16"/>
        <v>4.2789069194126275E-4</v>
      </c>
      <c r="N125">
        <f t="shared" si="16"/>
        <v>1.1772820597230465E-4</v>
      </c>
    </row>
    <row r="126" spans="2:14">
      <c r="B126" s="1">
        <v>45650</v>
      </c>
      <c r="C126">
        <v>57.76</v>
      </c>
      <c r="D126">
        <v>932.12</v>
      </c>
      <c r="E126">
        <v>6040.04</v>
      </c>
      <c r="F126">
        <f t="shared" si="18"/>
        <v>4.146515961848618E-3</v>
      </c>
      <c r="G126">
        <f t="shared" si="12"/>
        <v>-8.5979864461994317E-3</v>
      </c>
      <c r="H126">
        <f t="shared" si="12"/>
        <v>-4.0570874146761795E-4</v>
      </c>
      <c r="I126" s="4">
        <f t="shared" si="19"/>
        <v>2.0617704199161228E-3</v>
      </c>
      <c r="J126" s="4">
        <f t="shared" si="20"/>
        <v>-1.0337291334748217E-2</v>
      </c>
      <c r="K126" s="4">
        <f t="shared" si="21"/>
        <v>-5.3764307045330224E-4</v>
      </c>
      <c r="L126">
        <f t="shared" si="17"/>
        <v>4.2508972644411056E-6</v>
      </c>
      <c r="M126">
        <f t="shared" si="16"/>
        <v>1.0685959213946058E-4</v>
      </c>
      <c r="N126">
        <f t="shared" si="16"/>
        <v>2.890600712064545E-7</v>
      </c>
    </row>
    <row r="127" spans="2:14">
      <c r="B127" s="1">
        <v>45652</v>
      </c>
      <c r="C127">
        <v>58</v>
      </c>
      <c r="D127">
        <v>924.14</v>
      </c>
      <c r="E127">
        <v>6037.59</v>
      </c>
      <c r="F127">
        <f t="shared" si="18"/>
        <v>-5.5325175697256666E-3</v>
      </c>
      <c r="G127">
        <f t="shared" si="12"/>
        <v>-1.8114914275951348E-2</v>
      </c>
      <c r="H127">
        <f t="shared" si="12"/>
        <v>-1.111730467559637E-2</v>
      </c>
      <c r="I127" s="4">
        <f t="shared" si="19"/>
        <v>-7.6172631116581619E-3</v>
      </c>
      <c r="J127" s="4">
        <f t="shared" si="20"/>
        <v>-1.9854219164500135E-2</v>
      </c>
      <c r="K127" s="4">
        <f t="shared" si="21"/>
        <v>-1.1249239004582055E-2</v>
      </c>
      <c r="L127">
        <f t="shared" si="17"/>
        <v>5.8022697312228184E-5</v>
      </c>
      <c r="M127">
        <f t="shared" si="16"/>
        <v>3.9419001863200446E-4</v>
      </c>
      <c r="N127">
        <f t="shared" si="16"/>
        <v>1.2654537818221025E-4</v>
      </c>
    </row>
    <row r="128" spans="2:14">
      <c r="B128" s="1">
        <v>45653</v>
      </c>
      <c r="C128">
        <v>57.68</v>
      </c>
      <c r="D128">
        <v>907.55</v>
      </c>
      <c r="E128">
        <v>5970.84</v>
      </c>
      <c r="F128">
        <f t="shared" si="18"/>
        <v>-2.8487947240051402E-2</v>
      </c>
      <c r="G128">
        <f t="shared" si="12"/>
        <v>-7.8762340373592764E-3</v>
      </c>
      <c r="H128">
        <f t="shared" si="12"/>
        <v>-1.0759690191101295E-2</v>
      </c>
      <c r="I128" s="4">
        <f t="shared" si="19"/>
        <v>-3.0572692781983896E-2</v>
      </c>
      <c r="J128" s="4">
        <f t="shared" si="20"/>
        <v>-9.6155389259080619E-3</v>
      </c>
      <c r="K128" s="4">
        <f t="shared" si="21"/>
        <v>-1.0891624520086979E-2</v>
      </c>
      <c r="L128">
        <f t="shared" si="17"/>
        <v>9.3468954394157022E-4</v>
      </c>
      <c r="M128">
        <f t="shared" si="16"/>
        <v>9.2458588835653158E-5</v>
      </c>
      <c r="N128">
        <f t="shared" si="16"/>
        <v>1.1862748468655993E-4</v>
      </c>
    </row>
    <row r="129" spans="2:14">
      <c r="B129" s="1">
        <v>45656</v>
      </c>
      <c r="C129">
        <v>56.06</v>
      </c>
      <c r="D129">
        <v>900.43</v>
      </c>
      <c r="E129">
        <v>5906.94</v>
      </c>
      <c r="F129">
        <f t="shared" si="18"/>
        <v>8.8794758516750928E-3</v>
      </c>
      <c r="G129">
        <f t="shared" si="12"/>
        <v>-1.016891698385981E-2</v>
      </c>
      <c r="H129">
        <f t="shared" si="12"/>
        <v>-4.2939964541344501E-3</v>
      </c>
      <c r="I129" s="4">
        <f t="shared" si="19"/>
        <v>6.7947303097425976E-3</v>
      </c>
      <c r="J129" s="4">
        <f t="shared" si="20"/>
        <v>-1.1908221872408597E-2</v>
      </c>
      <c r="K129" s="4">
        <f t="shared" si="21"/>
        <v>-4.4259307831201345E-3</v>
      </c>
      <c r="L129">
        <f t="shared" si="17"/>
        <v>4.6168359982134734E-5</v>
      </c>
      <c r="M129">
        <f t="shared" si="16"/>
        <v>1.4180574816251052E-4</v>
      </c>
      <c r="N129">
        <f t="shared" si="16"/>
        <v>1.9588863296970405E-5</v>
      </c>
    </row>
    <row r="130" spans="2:14">
      <c r="B130" s="1">
        <v>45657</v>
      </c>
      <c r="C130">
        <v>56.56</v>
      </c>
      <c r="D130">
        <v>891.32</v>
      </c>
      <c r="E130">
        <v>5881.63</v>
      </c>
      <c r="F130">
        <f t="shared" si="18"/>
        <v>4.058232301023844E-3</v>
      </c>
      <c r="G130">
        <f t="shared" si="12"/>
        <v>-5.162970890602827E-3</v>
      </c>
      <c r="H130">
        <f t="shared" si="12"/>
        <v>-2.2263497925529528E-3</v>
      </c>
      <c r="I130" s="4">
        <f t="shared" si="19"/>
        <v>1.9734867590913488E-3</v>
      </c>
      <c r="J130" s="4">
        <f t="shared" si="20"/>
        <v>-6.9022757791516133E-3</v>
      </c>
      <c r="K130" s="4">
        <f t="shared" si="21"/>
        <v>-2.3582841215386372E-3</v>
      </c>
      <c r="L130">
        <f t="shared" si="17"/>
        <v>3.8946499883088752E-6</v>
      </c>
      <c r="M130">
        <f t="shared" si="16"/>
        <v>4.7641410931463011E-5</v>
      </c>
      <c r="N130">
        <f t="shared" si="16"/>
        <v>5.5615039979012617E-6</v>
      </c>
    </row>
    <row r="131" spans="2:14">
      <c r="B131" s="1">
        <v>45659</v>
      </c>
      <c r="C131">
        <v>56.79</v>
      </c>
      <c r="D131">
        <v>886.73</v>
      </c>
      <c r="E131">
        <v>5868.55</v>
      </c>
      <c r="F131">
        <f t="shared" ref="F131:F162" si="22">LN(C132/C131)</f>
        <v>-3.8814445342767916E-3</v>
      </c>
      <c r="G131">
        <f t="shared" ref="G131:H184" si="23">LN(D132/D131)</f>
        <v>-6.4261611134251977E-3</v>
      </c>
      <c r="H131">
        <f t="shared" si="23"/>
        <v>1.2517287272659085E-2</v>
      </c>
      <c r="I131" s="4">
        <f t="shared" ref="I131:I162" si="24">F131-$F$194</f>
        <v>-5.9661900762092868E-3</v>
      </c>
      <c r="J131" s="4">
        <f t="shared" ref="J131:J162" si="25">G131-$G$194</f>
        <v>-8.1654660019739832E-3</v>
      </c>
      <c r="K131" s="4">
        <f t="shared" ref="K131:K162" si="26">H131-$H$194</f>
        <v>1.23853529436734E-2</v>
      </c>
      <c r="L131">
        <f t="shared" si="17"/>
        <v>3.5595424025458179E-5</v>
      </c>
      <c r="M131">
        <f t="shared" ref="M131:N184" si="27">J131^2</f>
        <v>6.6674835029392982E-5</v>
      </c>
      <c r="N131">
        <f t="shared" si="27"/>
        <v>1.5339696753935937E-4</v>
      </c>
    </row>
    <row r="132" spans="2:14">
      <c r="B132" s="1">
        <v>45660</v>
      </c>
      <c r="C132">
        <v>56.57</v>
      </c>
      <c r="D132">
        <v>881.05</v>
      </c>
      <c r="E132">
        <v>5942.47</v>
      </c>
      <c r="F132">
        <f t="shared" si="22"/>
        <v>1.9426054674152751E-3</v>
      </c>
      <c r="G132">
        <f t="shared" si="23"/>
        <v>8.3955440478531383E-4</v>
      </c>
      <c r="H132">
        <f t="shared" si="23"/>
        <v>5.5228222624888485E-3</v>
      </c>
      <c r="I132" s="4">
        <f t="shared" si="24"/>
        <v>-1.421400745172201E-4</v>
      </c>
      <c r="J132" s="4">
        <f t="shared" si="25"/>
        <v>-8.9975048376347247E-4</v>
      </c>
      <c r="K132" s="4">
        <f t="shared" si="26"/>
        <v>5.3908879335031641E-3</v>
      </c>
      <c r="L132">
        <f t="shared" ref="L132:M189" si="28">I132^2</f>
        <v>2.0203800783760882E-8</v>
      </c>
      <c r="M132">
        <f t="shared" si="27"/>
        <v>8.0955093303260276E-7</v>
      </c>
      <c r="N132">
        <f t="shared" si="27"/>
        <v>2.9061672711590014E-5</v>
      </c>
    </row>
    <row r="133" spans="2:14">
      <c r="B133" s="1">
        <v>45663</v>
      </c>
      <c r="C133">
        <v>56.68</v>
      </c>
      <c r="D133">
        <v>881.79</v>
      </c>
      <c r="E133">
        <v>5975.38</v>
      </c>
      <c r="F133">
        <f t="shared" si="22"/>
        <v>8.0829819801473551E-3</v>
      </c>
      <c r="G133">
        <f t="shared" si="23"/>
        <v>-2.9529033711394883E-3</v>
      </c>
      <c r="H133">
        <f t="shared" si="23"/>
        <v>-1.116600476981219E-2</v>
      </c>
      <c r="I133" s="4">
        <f t="shared" si="24"/>
        <v>5.9982364382148599E-3</v>
      </c>
      <c r="J133" s="4">
        <f t="shared" si="25"/>
        <v>-4.6922082596882742E-3</v>
      </c>
      <c r="K133" s="4">
        <f t="shared" si="26"/>
        <v>-1.1297939098797874E-2</v>
      </c>
      <c r="L133">
        <f t="shared" si="28"/>
        <v>3.597884036872849E-5</v>
      </c>
      <c r="M133">
        <f t="shared" si="27"/>
        <v>2.2016818352286862E-5</v>
      </c>
      <c r="N133">
        <f t="shared" si="27"/>
        <v>1.2764342788014571E-4</v>
      </c>
    </row>
    <row r="134" spans="2:14">
      <c r="B134" s="1">
        <v>45664</v>
      </c>
      <c r="C134">
        <v>57.14</v>
      </c>
      <c r="D134">
        <v>879.19</v>
      </c>
      <c r="E134">
        <v>5909.03</v>
      </c>
      <c r="F134">
        <f t="shared" si="22"/>
        <v>-5.7920302335914969E-3</v>
      </c>
      <c r="G134">
        <f t="shared" si="23"/>
        <v>-4.7771426907709533E-3</v>
      </c>
      <c r="H134">
        <f t="shared" si="23"/>
        <v>1.559107735282887E-3</v>
      </c>
      <c r="I134" s="4">
        <f t="shared" si="24"/>
        <v>-7.8767757755239913E-3</v>
      </c>
      <c r="J134" s="4">
        <f t="shared" si="25"/>
        <v>-6.5164475793197396E-3</v>
      </c>
      <c r="K134" s="4">
        <f t="shared" si="26"/>
        <v>1.4271734062972028E-3</v>
      </c>
      <c r="L134">
        <f t="shared" si="28"/>
        <v>6.2043596617881579E-5</v>
      </c>
      <c r="M134">
        <f t="shared" si="27"/>
        <v>4.2464089054022097E-5</v>
      </c>
      <c r="N134">
        <f t="shared" si="27"/>
        <v>2.0368239316419606E-6</v>
      </c>
    </row>
    <row r="135" spans="2:14">
      <c r="B135" s="1">
        <v>45665</v>
      </c>
      <c r="C135">
        <v>56.81</v>
      </c>
      <c r="D135">
        <v>875</v>
      </c>
      <c r="E135">
        <v>5918.25</v>
      </c>
      <c r="F135">
        <f t="shared" si="22"/>
        <v>-1.7401007246766485E-2</v>
      </c>
      <c r="G135">
        <f t="shared" si="23"/>
        <v>-4.3575782716876073E-2</v>
      </c>
      <c r="H135">
        <f t="shared" si="23"/>
        <v>-1.5531644353894208E-2</v>
      </c>
      <c r="I135" s="4">
        <f t="shared" si="24"/>
        <v>-1.948575278869898E-2</v>
      </c>
      <c r="J135" s="4">
        <f t="shared" si="25"/>
        <v>-4.531508760542486E-2</v>
      </c>
      <c r="K135" s="4">
        <f t="shared" si="26"/>
        <v>-1.5663578682879892E-2</v>
      </c>
      <c r="L135">
        <f t="shared" si="28"/>
        <v>3.7969456174229008E-4</v>
      </c>
      <c r="M135">
        <f t="shared" si="27"/>
        <v>2.0534571646873296E-3</v>
      </c>
      <c r="N135">
        <f t="shared" si="27"/>
        <v>2.4534769715476939E-4</v>
      </c>
    </row>
    <row r="136" spans="2:14">
      <c r="B136" s="1">
        <v>45667</v>
      </c>
      <c r="C136">
        <v>55.83</v>
      </c>
      <c r="D136">
        <v>837.69</v>
      </c>
      <c r="E136">
        <v>5827.04</v>
      </c>
      <c r="F136">
        <f t="shared" si="22"/>
        <v>-8.4540480128549624E-3</v>
      </c>
      <c r="G136">
        <f t="shared" si="23"/>
        <v>3.0989667109004803E-3</v>
      </c>
      <c r="H136">
        <f t="shared" si="23"/>
        <v>1.5741742695762329E-3</v>
      </c>
      <c r="I136" s="4">
        <f t="shared" si="24"/>
        <v>-1.0538793554787457E-2</v>
      </c>
      <c r="J136" s="4">
        <f t="shared" si="25"/>
        <v>1.359661822351694E-3</v>
      </c>
      <c r="K136" s="4">
        <f t="shared" si="26"/>
        <v>1.4422399405905487E-3</v>
      </c>
      <c r="L136">
        <f t="shared" si="28"/>
        <v>1.1106616959042964E-4</v>
      </c>
      <c r="M136">
        <f t="shared" si="27"/>
        <v>1.8486802711607295E-6</v>
      </c>
      <c r="N136">
        <f t="shared" si="27"/>
        <v>2.0800560462346296E-6</v>
      </c>
    </row>
    <row r="137" spans="2:14">
      <c r="B137" s="1">
        <v>45670</v>
      </c>
      <c r="C137">
        <v>55.36</v>
      </c>
      <c r="D137">
        <v>840.29</v>
      </c>
      <c r="E137">
        <v>5836.22</v>
      </c>
      <c r="F137">
        <f t="shared" si="22"/>
        <v>6.8407107443879895E-3</v>
      </c>
      <c r="G137">
        <f t="shared" si="23"/>
        <v>-1.4250940830209783E-2</v>
      </c>
      <c r="H137">
        <f t="shared" si="23"/>
        <v>1.1456334044923633E-3</v>
      </c>
      <c r="I137" s="4">
        <f t="shared" si="24"/>
        <v>4.7559652024554942E-3</v>
      </c>
      <c r="J137" s="4">
        <f t="shared" si="25"/>
        <v>-1.599024571875857E-2</v>
      </c>
      <c r="K137" s="4">
        <f t="shared" si="26"/>
        <v>1.0136990755066789E-3</v>
      </c>
      <c r="L137">
        <f t="shared" si="28"/>
        <v>2.2619205006967529E-5</v>
      </c>
      <c r="M137">
        <f t="shared" si="27"/>
        <v>2.5568795814627678E-4</v>
      </c>
      <c r="N137">
        <f t="shared" si="27"/>
        <v>1.0275858156830955E-6</v>
      </c>
    </row>
    <row r="138" spans="2:14">
      <c r="B138" s="1">
        <v>45671</v>
      </c>
      <c r="C138">
        <v>55.74</v>
      </c>
      <c r="D138">
        <v>828.4</v>
      </c>
      <c r="E138">
        <v>5842.91</v>
      </c>
      <c r="F138">
        <f t="shared" si="22"/>
        <v>3.0452329847516233E-3</v>
      </c>
      <c r="G138">
        <f t="shared" si="23"/>
        <v>2.3691063050727171E-2</v>
      </c>
      <c r="H138">
        <f t="shared" si="23"/>
        <v>1.8147132985426716E-2</v>
      </c>
      <c r="I138" s="4">
        <f t="shared" si="24"/>
        <v>9.6048744281912804E-4</v>
      </c>
      <c r="J138" s="4">
        <f t="shared" si="25"/>
        <v>2.1951758162178384E-2</v>
      </c>
      <c r="K138" s="4">
        <f t="shared" si="26"/>
        <v>1.8015198656441033E-2</v>
      </c>
      <c r="L138">
        <f t="shared" si="28"/>
        <v>9.2253612781322779E-7</v>
      </c>
      <c r="M138">
        <f t="shared" si="27"/>
        <v>4.818796864107653E-4</v>
      </c>
      <c r="N138">
        <f t="shared" si="27"/>
        <v>3.2454738263103483E-4</v>
      </c>
    </row>
    <row r="139" spans="2:14">
      <c r="B139" s="1">
        <v>45672</v>
      </c>
      <c r="C139">
        <v>55.91</v>
      </c>
      <c r="D139">
        <v>848.26</v>
      </c>
      <c r="E139">
        <v>5949.91</v>
      </c>
      <c r="F139">
        <f t="shared" si="22"/>
        <v>8.3712306474126343E-3</v>
      </c>
      <c r="G139">
        <f t="shared" si="23"/>
        <v>-6.9678449221444614E-3</v>
      </c>
      <c r="H139">
        <f t="shared" si="23"/>
        <v>-2.1148717634665781E-3</v>
      </c>
      <c r="I139" s="4">
        <f t="shared" si="24"/>
        <v>6.286485105480139E-3</v>
      </c>
      <c r="J139" s="4">
        <f t="shared" si="25"/>
        <v>-8.7071498106932477E-3</v>
      </c>
      <c r="K139" s="4">
        <f t="shared" si="26"/>
        <v>-2.2468060924522625E-3</v>
      </c>
      <c r="L139">
        <f t="shared" si="28"/>
        <v>3.9519894981423633E-5</v>
      </c>
      <c r="M139">
        <f t="shared" si="27"/>
        <v>7.5814457825855463E-5</v>
      </c>
      <c r="N139">
        <f t="shared" si="27"/>
        <v>5.0481376170806049E-6</v>
      </c>
    </row>
    <row r="140" spans="2:14">
      <c r="B140" s="1">
        <v>45673</v>
      </c>
      <c r="C140">
        <v>56.38</v>
      </c>
      <c r="D140">
        <v>842.37</v>
      </c>
      <c r="E140">
        <v>5937.34</v>
      </c>
      <c r="F140">
        <f t="shared" si="22"/>
        <v>-1.5975862100313272E-3</v>
      </c>
      <c r="G140">
        <f t="shared" si="23"/>
        <v>1.8501295163063418E-2</v>
      </c>
      <c r="H140">
        <f t="shared" si="23"/>
        <v>9.9414259357241096E-3</v>
      </c>
      <c r="I140" s="4">
        <f t="shared" si="24"/>
        <v>-3.6823317519638224E-3</v>
      </c>
      <c r="J140" s="4">
        <f t="shared" si="25"/>
        <v>1.6761990274514631E-2</v>
      </c>
      <c r="K140" s="4">
        <f t="shared" si="26"/>
        <v>9.8094916067384252E-3</v>
      </c>
      <c r="L140">
        <f t="shared" si="28"/>
        <v>1.3559567131520953E-5</v>
      </c>
      <c r="M140">
        <f t="shared" si="27"/>
        <v>2.8096431796292306E-4</v>
      </c>
      <c r="N140">
        <f t="shared" si="27"/>
        <v>9.6226125582671605E-5</v>
      </c>
    </row>
    <row r="141" spans="2:14">
      <c r="B141" s="1">
        <v>45674</v>
      </c>
      <c r="C141">
        <v>56.29</v>
      </c>
      <c r="D141">
        <v>858.1</v>
      </c>
      <c r="E141">
        <v>5996.66</v>
      </c>
      <c r="F141">
        <f t="shared" si="22"/>
        <v>1.3235876630105291E-2</v>
      </c>
      <c r="G141">
        <f t="shared" si="23"/>
        <v>1.3404685082669661E-2</v>
      </c>
      <c r="H141">
        <f t="shared" si="23"/>
        <v>8.7299967522312897E-3</v>
      </c>
      <c r="I141" s="4">
        <f t="shared" si="24"/>
        <v>1.1151131088172797E-2</v>
      </c>
      <c r="J141" s="4">
        <f t="shared" si="25"/>
        <v>1.1665380194120875E-2</v>
      </c>
      <c r="K141" s="4">
        <f t="shared" si="26"/>
        <v>8.5980624232456053E-3</v>
      </c>
      <c r="L141">
        <f t="shared" si="28"/>
        <v>1.2434772454561382E-4</v>
      </c>
      <c r="M141">
        <f t="shared" si="27"/>
        <v>1.3608109507338759E-4</v>
      </c>
      <c r="N141">
        <f t="shared" si="27"/>
        <v>7.3926677434028087E-5</v>
      </c>
    </row>
    <row r="142" spans="2:14">
      <c r="B142" s="1">
        <v>45678</v>
      </c>
      <c r="C142">
        <v>57.04</v>
      </c>
      <c r="D142">
        <v>869.68</v>
      </c>
      <c r="E142">
        <v>6049.24</v>
      </c>
      <c r="F142">
        <f t="shared" si="22"/>
        <v>8.7619387012741786E-4</v>
      </c>
      <c r="G142">
        <f t="shared" si="23"/>
        <v>9.2527861317309668E-2</v>
      </c>
      <c r="H142">
        <f t="shared" si="23"/>
        <v>6.1192005774427091E-3</v>
      </c>
      <c r="I142" s="4">
        <f t="shared" si="24"/>
        <v>-1.2085516718050773E-3</v>
      </c>
      <c r="J142" s="4">
        <f t="shared" si="25"/>
        <v>9.078855642876088E-2</v>
      </c>
      <c r="K142" s="4">
        <f t="shared" si="26"/>
        <v>5.9872662484570247E-3</v>
      </c>
      <c r="L142">
        <f t="shared" si="28"/>
        <v>1.4605971434228473E-6</v>
      </c>
      <c r="M142">
        <f t="shared" si="27"/>
        <v>8.2425619784182984E-3</v>
      </c>
      <c r="N142">
        <f t="shared" si="27"/>
        <v>3.5847357129912656E-5</v>
      </c>
    </row>
    <row r="143" spans="2:14">
      <c r="B143" s="1">
        <v>45679</v>
      </c>
      <c r="C143">
        <v>57.09</v>
      </c>
      <c r="D143">
        <v>953.99</v>
      </c>
      <c r="E143">
        <v>6086.37</v>
      </c>
      <c r="F143">
        <f t="shared" si="22"/>
        <v>3.5278544448163272E-2</v>
      </c>
      <c r="G143">
        <f t="shared" si="23"/>
        <v>3.1846309877631845E-2</v>
      </c>
      <c r="H143">
        <f t="shared" si="23"/>
        <v>5.2994450977238887E-3</v>
      </c>
      <c r="I143" s="4">
        <f t="shared" si="24"/>
        <v>3.3193798906230775E-2</v>
      </c>
      <c r="J143" s="4">
        <f t="shared" si="25"/>
        <v>3.0107004989083058E-2</v>
      </c>
      <c r="K143" s="4">
        <f t="shared" si="26"/>
        <v>5.1675107687382043E-3</v>
      </c>
      <c r="L143">
        <f t="shared" si="28"/>
        <v>1.1018282858272874E-3</v>
      </c>
      <c r="M143">
        <f t="shared" si="27"/>
        <v>9.0643174941267219E-4</v>
      </c>
      <c r="N143">
        <f t="shared" si="27"/>
        <v>2.6703167545025307E-5</v>
      </c>
    </row>
    <row r="144" spans="2:14">
      <c r="B144" s="1">
        <v>45680</v>
      </c>
      <c r="C144">
        <v>59.14</v>
      </c>
      <c r="D144">
        <v>984.86</v>
      </c>
      <c r="E144">
        <v>6118.71</v>
      </c>
      <c r="F144">
        <f t="shared" si="22"/>
        <v>8.9218671096593406E-3</v>
      </c>
      <c r="G144">
        <f t="shared" si="23"/>
        <v>-7.4091398582430681E-3</v>
      </c>
      <c r="H144">
        <f t="shared" si="23"/>
        <v>-2.8592607828964826E-3</v>
      </c>
      <c r="I144" s="4">
        <f t="shared" si="24"/>
        <v>6.8371215677268454E-3</v>
      </c>
      <c r="J144" s="4">
        <f t="shared" si="25"/>
        <v>-9.1484447467918544E-3</v>
      </c>
      <c r="K144" s="4">
        <f t="shared" si="26"/>
        <v>-2.991195111882167E-3</v>
      </c>
      <c r="L144">
        <f t="shared" si="28"/>
        <v>4.6746231331875594E-5</v>
      </c>
      <c r="M144">
        <f t="shared" si="27"/>
        <v>8.3694041285103471E-5</v>
      </c>
      <c r="N144">
        <f t="shared" si="27"/>
        <v>8.9472481973477696E-6</v>
      </c>
    </row>
    <row r="145" spans="2:14">
      <c r="B145" s="1">
        <v>45681</v>
      </c>
      <c r="C145">
        <v>59.67</v>
      </c>
      <c r="D145">
        <v>977.59</v>
      </c>
      <c r="E145">
        <v>6101.24</v>
      </c>
      <c r="F145">
        <f t="shared" si="22"/>
        <v>1.546551154127819E-2</v>
      </c>
      <c r="G145">
        <f t="shared" si="23"/>
        <v>-5.8477299003474774E-3</v>
      </c>
      <c r="H145">
        <f t="shared" si="23"/>
        <v>-1.4687984883634318E-2</v>
      </c>
      <c r="I145" s="4">
        <f t="shared" si="24"/>
        <v>1.3380765999345696E-2</v>
      </c>
      <c r="J145" s="4">
        <f t="shared" si="25"/>
        <v>-7.5870347888962637E-3</v>
      </c>
      <c r="K145" s="4">
        <f t="shared" si="26"/>
        <v>-1.4819919212620002E-2</v>
      </c>
      <c r="L145">
        <f t="shared" si="28"/>
        <v>1.7904489872924581E-4</v>
      </c>
      <c r="M145">
        <f t="shared" si="27"/>
        <v>5.7563096887922176E-5</v>
      </c>
      <c r="N145">
        <f t="shared" si="27"/>
        <v>2.1963000546858347E-4</v>
      </c>
    </row>
    <row r="146" spans="2:14">
      <c r="B146" s="1">
        <v>45684</v>
      </c>
      <c r="C146">
        <v>60.6</v>
      </c>
      <c r="D146">
        <v>971.89</v>
      </c>
      <c r="E146">
        <v>6012.28</v>
      </c>
      <c r="F146">
        <f t="shared" si="22"/>
        <v>-3.0833541769592316E-2</v>
      </c>
      <c r="G146">
        <f t="shared" si="23"/>
        <v>-6.1737287283158344E-5</v>
      </c>
      <c r="H146">
        <f t="shared" si="23"/>
        <v>9.1755762546756169E-3</v>
      </c>
      <c r="I146" s="4">
        <f t="shared" si="24"/>
        <v>-3.291828731152481E-2</v>
      </c>
      <c r="J146" s="4">
        <f t="shared" si="25"/>
        <v>-1.8010421758319446E-3</v>
      </c>
      <c r="K146" s="4">
        <f t="shared" si="26"/>
        <v>9.0436419256899325E-3</v>
      </c>
      <c r="L146">
        <f t="shared" si="28"/>
        <v>1.0836136395240953E-3</v>
      </c>
      <c r="M146">
        <f t="shared" si="27"/>
        <v>3.2437529191254652E-6</v>
      </c>
      <c r="N146">
        <f t="shared" si="27"/>
        <v>8.178745928009671E-5</v>
      </c>
    </row>
    <row r="147" spans="2:14">
      <c r="B147" s="1">
        <v>45685</v>
      </c>
      <c r="C147">
        <v>58.76</v>
      </c>
      <c r="D147">
        <v>971.83</v>
      </c>
      <c r="E147">
        <v>6067.7</v>
      </c>
      <c r="F147">
        <f t="shared" si="22"/>
        <v>4.9231913376947684E-3</v>
      </c>
      <c r="G147">
        <f t="shared" si="23"/>
        <v>6.4821404625081368E-3</v>
      </c>
      <c r="H147">
        <f t="shared" si="23"/>
        <v>-4.6898535700948913E-3</v>
      </c>
      <c r="I147" s="4">
        <f t="shared" si="24"/>
        <v>2.8384457957622731E-3</v>
      </c>
      <c r="J147" s="4">
        <f t="shared" si="25"/>
        <v>4.7428355739593505E-3</v>
      </c>
      <c r="K147" s="4">
        <f t="shared" si="26"/>
        <v>-4.8217878990805757E-3</v>
      </c>
      <c r="L147">
        <f t="shared" si="28"/>
        <v>8.0567745354805236E-6</v>
      </c>
      <c r="M147">
        <f t="shared" si="27"/>
        <v>2.2494489281614321E-5</v>
      </c>
      <c r="N147">
        <f t="shared" si="27"/>
        <v>2.3249638543719874E-5</v>
      </c>
    </row>
    <row r="148" spans="2:14">
      <c r="B148" s="1">
        <v>45686</v>
      </c>
      <c r="C148">
        <v>59.05</v>
      </c>
      <c r="D148">
        <v>978.15</v>
      </c>
      <c r="E148">
        <v>6039.31</v>
      </c>
      <c r="F148">
        <f t="shared" si="22"/>
        <v>1.5229717809600043E-3</v>
      </c>
      <c r="G148">
        <f t="shared" si="23"/>
        <v>-5.0323209218414685E-3</v>
      </c>
      <c r="H148">
        <f t="shared" si="23"/>
        <v>5.2615707224356184E-3</v>
      </c>
      <c r="I148" s="4">
        <f t="shared" si="24"/>
        <v>-5.6177376097249097E-4</v>
      </c>
      <c r="J148" s="4">
        <f t="shared" si="25"/>
        <v>-6.7716258103902548E-3</v>
      </c>
      <c r="K148" s="4">
        <f t="shared" si="26"/>
        <v>5.129636393449934E-3</v>
      </c>
      <c r="L148">
        <f t="shared" si="28"/>
        <v>3.1558975851717741E-7</v>
      </c>
      <c r="M148">
        <f t="shared" si="27"/>
        <v>4.5854916115943473E-5</v>
      </c>
      <c r="N148">
        <f t="shared" si="27"/>
        <v>2.6313169529006048E-5</v>
      </c>
    </row>
    <row r="149" spans="2:14">
      <c r="B149" s="1">
        <v>45687</v>
      </c>
      <c r="C149">
        <v>59.14</v>
      </c>
      <c r="D149">
        <v>973.24</v>
      </c>
      <c r="E149">
        <v>6071.17</v>
      </c>
      <c r="F149">
        <f t="shared" si="22"/>
        <v>-3.2178874409511354E-3</v>
      </c>
      <c r="G149">
        <f t="shared" si="23"/>
        <v>3.6102603315896153E-3</v>
      </c>
      <c r="H149">
        <f t="shared" si="23"/>
        <v>-5.0595812914254659E-3</v>
      </c>
      <c r="I149" s="4">
        <f t="shared" si="24"/>
        <v>-5.3026329828836302E-3</v>
      </c>
      <c r="J149" s="4">
        <f t="shared" si="25"/>
        <v>1.870955443040829E-3</v>
      </c>
      <c r="K149" s="4">
        <f t="shared" si="26"/>
        <v>-5.1915156204111503E-3</v>
      </c>
      <c r="L149">
        <f t="shared" si="28"/>
        <v>2.8117916551165346E-5</v>
      </c>
      <c r="M149">
        <f t="shared" si="27"/>
        <v>3.5004742698441047E-6</v>
      </c>
      <c r="N149">
        <f t="shared" si="27"/>
        <v>2.6951834436972969E-5</v>
      </c>
    </row>
    <row r="150" spans="2:14">
      <c r="B150" s="1">
        <v>45688</v>
      </c>
      <c r="C150">
        <v>58.95</v>
      </c>
      <c r="D150">
        <v>976.76</v>
      </c>
      <c r="E150">
        <v>6040.53</v>
      </c>
      <c r="F150">
        <f t="shared" si="22"/>
        <v>1.682125449014325E-2</v>
      </c>
      <c r="G150">
        <f t="shared" si="23"/>
        <v>2.2293817077356001E-3</v>
      </c>
      <c r="H150">
        <f t="shared" si="23"/>
        <v>-7.637696973119063E-3</v>
      </c>
      <c r="I150" s="4">
        <f t="shared" si="24"/>
        <v>1.4736508948210755E-2</v>
      </c>
      <c r="J150" s="4">
        <f t="shared" si="25"/>
        <v>4.9007681918681375E-4</v>
      </c>
      <c r="K150" s="4">
        <f t="shared" si="26"/>
        <v>-7.7696313021047474E-3</v>
      </c>
      <c r="L150">
        <f t="shared" si="28"/>
        <v>2.1716469598069565E-4</v>
      </c>
      <c r="M150">
        <f t="shared" si="27"/>
        <v>2.4017528870426494E-7</v>
      </c>
      <c r="N150">
        <f t="shared" si="27"/>
        <v>6.0367170570645912E-5</v>
      </c>
    </row>
    <row r="151" spans="2:14">
      <c r="B151" s="1">
        <v>45691</v>
      </c>
      <c r="C151">
        <v>59.95</v>
      </c>
      <c r="D151">
        <v>978.94</v>
      </c>
      <c r="E151">
        <v>5994.57</v>
      </c>
      <c r="F151">
        <f t="shared" si="22"/>
        <v>-1.3941604833577056E-2</v>
      </c>
      <c r="G151">
        <f t="shared" si="23"/>
        <v>1.6141721731574875E-2</v>
      </c>
      <c r="H151">
        <f t="shared" si="23"/>
        <v>7.1988974883324779E-3</v>
      </c>
      <c r="I151" s="4">
        <f t="shared" si="24"/>
        <v>-1.6026350375509552E-2</v>
      </c>
      <c r="J151" s="4">
        <f t="shared" si="25"/>
        <v>1.4402416843026088E-2</v>
      </c>
      <c r="K151" s="4">
        <f t="shared" si="26"/>
        <v>7.0669631593467935E-3</v>
      </c>
      <c r="L151">
        <f t="shared" si="28"/>
        <v>2.5684390635859514E-4</v>
      </c>
      <c r="M151">
        <f t="shared" si="27"/>
        <v>2.0742961092028154E-4</v>
      </c>
      <c r="N151">
        <f t="shared" si="27"/>
        <v>4.9941968295564811E-5</v>
      </c>
    </row>
    <row r="152" spans="2:14">
      <c r="B152" s="1">
        <v>45692</v>
      </c>
      <c r="C152">
        <v>59.12</v>
      </c>
      <c r="D152">
        <v>994.87</v>
      </c>
      <c r="E152">
        <v>6037.88</v>
      </c>
      <c r="F152">
        <f t="shared" si="22"/>
        <v>9.9302339189547787E-3</v>
      </c>
      <c r="G152">
        <f t="shared" si="23"/>
        <v>1.6191940910639836E-2</v>
      </c>
      <c r="H152">
        <f t="shared" si="23"/>
        <v>3.9010377290886913E-3</v>
      </c>
      <c r="I152" s="4">
        <f t="shared" si="24"/>
        <v>7.8454883770222826E-3</v>
      </c>
      <c r="J152" s="4">
        <f t="shared" si="25"/>
        <v>1.4452636022091049E-2</v>
      </c>
      <c r="K152" s="4">
        <f t="shared" si="26"/>
        <v>3.7691034001030069E-3</v>
      </c>
      <c r="L152">
        <f t="shared" si="28"/>
        <v>6.1551687873991729E-5</v>
      </c>
      <c r="M152">
        <f t="shared" si="27"/>
        <v>2.0887868798704379E-4</v>
      </c>
      <c r="N152">
        <f t="shared" si="27"/>
        <v>1.4206140440668048E-5</v>
      </c>
    </row>
    <row r="153" spans="2:14">
      <c r="B153" s="1">
        <v>45693</v>
      </c>
      <c r="C153">
        <v>59.71</v>
      </c>
      <c r="D153">
        <v>1011.11</v>
      </c>
      <c r="E153">
        <v>6061.48</v>
      </c>
      <c r="F153">
        <f t="shared" si="22"/>
        <v>-3.9106835865983174E-2</v>
      </c>
      <c r="G153">
        <f t="shared" si="23"/>
        <v>4.5096016309701305E-3</v>
      </c>
      <c r="H153">
        <f t="shared" si="23"/>
        <v>3.637700027498819E-3</v>
      </c>
      <c r="I153" s="4">
        <f t="shared" si="24"/>
        <v>-4.1191581407915671E-2</v>
      </c>
      <c r="J153" s="4">
        <f t="shared" si="25"/>
        <v>2.7702967424213442E-3</v>
      </c>
      <c r="K153" s="4">
        <f t="shared" si="26"/>
        <v>3.5057656985131346E-3</v>
      </c>
      <c r="L153">
        <f t="shared" si="28"/>
        <v>1.6967463788849441E-3</v>
      </c>
      <c r="M153">
        <f t="shared" si="27"/>
        <v>7.6745440410703113E-6</v>
      </c>
      <c r="N153">
        <f t="shared" si="27"/>
        <v>1.2290393132871286E-5</v>
      </c>
    </row>
    <row r="154" spans="2:14">
      <c r="B154" s="1">
        <v>45694</v>
      </c>
      <c r="C154">
        <v>57.42</v>
      </c>
      <c r="D154">
        <v>1015.68</v>
      </c>
      <c r="E154">
        <v>6083.57</v>
      </c>
      <c r="F154">
        <f t="shared" si="22"/>
        <v>-9.976454496372883E-3</v>
      </c>
      <c r="G154">
        <f t="shared" si="23"/>
        <v>-1.7244696603568757E-3</v>
      </c>
      <c r="H154">
        <f t="shared" si="23"/>
        <v>-9.5099134821077444E-3</v>
      </c>
      <c r="I154" s="4">
        <f t="shared" si="24"/>
        <v>-1.2061200038305377E-2</v>
      </c>
      <c r="J154" s="4">
        <f t="shared" si="25"/>
        <v>-3.463774548905662E-3</v>
      </c>
      <c r="K154" s="4">
        <f t="shared" si="26"/>
        <v>-9.6418478110934288E-3</v>
      </c>
      <c r="L154">
        <f t="shared" si="28"/>
        <v>1.4547254636401765E-4</v>
      </c>
      <c r="M154">
        <f t="shared" si="27"/>
        <v>1.1997734125646623E-5</v>
      </c>
      <c r="N154">
        <f t="shared" si="27"/>
        <v>9.2965229212287146E-5</v>
      </c>
    </row>
    <row r="155" spans="2:14">
      <c r="B155" s="1">
        <v>45695</v>
      </c>
      <c r="C155">
        <v>56.85</v>
      </c>
      <c r="D155">
        <v>1013.93</v>
      </c>
      <c r="E155">
        <v>6025.99</v>
      </c>
      <c r="F155">
        <f t="shared" si="22"/>
        <v>-2.3492804943029234E-2</v>
      </c>
      <c r="G155">
        <f t="shared" si="23"/>
        <v>1.3392116998095775E-2</v>
      </c>
      <c r="H155">
        <f t="shared" si="23"/>
        <v>6.6901608481496353E-3</v>
      </c>
      <c r="I155" s="4">
        <f t="shared" si="24"/>
        <v>-2.5577550484961728E-2</v>
      </c>
      <c r="J155" s="4">
        <f t="shared" si="25"/>
        <v>1.1652812109546988E-2</v>
      </c>
      <c r="K155" s="4">
        <f t="shared" si="26"/>
        <v>6.5582265191639509E-3</v>
      </c>
      <c r="L155">
        <f t="shared" si="28"/>
        <v>6.5421108881076595E-4</v>
      </c>
      <c r="M155">
        <f t="shared" si="27"/>
        <v>1.3578803006040493E-4</v>
      </c>
      <c r="N155">
        <f t="shared" si="27"/>
        <v>4.3010335076665311E-5</v>
      </c>
    </row>
    <row r="156" spans="2:14">
      <c r="B156" s="1">
        <v>45698</v>
      </c>
      <c r="C156">
        <v>55.53</v>
      </c>
      <c r="D156">
        <v>1027.5999999999999</v>
      </c>
      <c r="E156">
        <v>6066.44</v>
      </c>
      <c r="F156">
        <f t="shared" si="22"/>
        <v>7.3562725202978236E-3</v>
      </c>
      <c r="G156">
        <f t="shared" si="23"/>
        <v>-1.917845467429069E-2</v>
      </c>
      <c r="H156">
        <f t="shared" si="23"/>
        <v>3.3951548500248807E-4</v>
      </c>
      <c r="I156" s="4">
        <f t="shared" si="24"/>
        <v>5.2715269783653283E-3</v>
      </c>
      <c r="J156" s="4">
        <f t="shared" si="25"/>
        <v>-2.0917759562839477E-2</v>
      </c>
      <c r="K156" s="4">
        <f t="shared" si="26"/>
        <v>2.0758115601680378E-4</v>
      </c>
      <c r="L156">
        <f t="shared" si="28"/>
        <v>2.7788996683633488E-5</v>
      </c>
      <c r="M156">
        <f t="shared" si="27"/>
        <v>4.3755266512876241E-4</v>
      </c>
      <c r="N156">
        <f t="shared" si="27"/>
        <v>4.3089936333272634E-8</v>
      </c>
    </row>
    <row r="157" spans="2:14">
      <c r="B157" s="1">
        <v>45699</v>
      </c>
      <c r="C157">
        <v>55.94</v>
      </c>
      <c r="D157">
        <v>1008.08</v>
      </c>
      <c r="E157">
        <v>6068.5</v>
      </c>
      <c r="F157">
        <f t="shared" si="22"/>
        <v>3.7469934106384704E-3</v>
      </c>
      <c r="G157">
        <f t="shared" si="23"/>
        <v>1.8896203868245445E-2</v>
      </c>
      <c r="H157">
        <f t="shared" si="23"/>
        <v>-2.7276186894511618E-3</v>
      </c>
      <c r="I157" s="4">
        <f t="shared" si="24"/>
        <v>1.6622478687059752E-3</v>
      </c>
      <c r="J157" s="4">
        <f t="shared" si="25"/>
        <v>1.7156898979696657E-2</v>
      </c>
      <c r="K157" s="4">
        <f t="shared" si="26"/>
        <v>-2.8595530184368462E-3</v>
      </c>
      <c r="L157">
        <f t="shared" si="28"/>
        <v>2.7630679770175569E-6</v>
      </c>
      <c r="M157">
        <f t="shared" si="27"/>
        <v>2.9435918259951619E-4</v>
      </c>
      <c r="N157">
        <f t="shared" si="27"/>
        <v>8.1770434652512785E-6</v>
      </c>
    </row>
    <row r="158" spans="2:14">
      <c r="B158" s="1">
        <v>45700</v>
      </c>
      <c r="C158">
        <v>56.15</v>
      </c>
      <c r="D158">
        <v>1027.31</v>
      </c>
      <c r="E158">
        <v>6051.97</v>
      </c>
      <c r="F158">
        <f t="shared" si="22"/>
        <v>-3.2108482811839668E-3</v>
      </c>
      <c r="G158">
        <f t="shared" si="23"/>
        <v>1.5818775053114437E-2</v>
      </c>
      <c r="H158">
        <f t="shared" si="23"/>
        <v>1.0372377459622351E-2</v>
      </c>
      <c r="I158" s="4">
        <f t="shared" si="24"/>
        <v>-5.2955938231164616E-3</v>
      </c>
      <c r="J158" s="4">
        <f t="shared" si="25"/>
        <v>1.4079470164565649E-2</v>
      </c>
      <c r="K158" s="4">
        <f t="shared" si="26"/>
        <v>1.0240443130636667E-2</v>
      </c>
      <c r="L158">
        <f t="shared" si="28"/>
        <v>2.8043313939429221E-5</v>
      </c>
      <c r="M158">
        <f t="shared" si="27"/>
        <v>1.9823148011489429E-4</v>
      </c>
      <c r="N158">
        <f t="shared" si="27"/>
        <v>1.0486667551180369E-4</v>
      </c>
    </row>
    <row r="159" spans="2:14">
      <c r="B159" s="1">
        <v>45701</v>
      </c>
      <c r="C159">
        <v>55.97</v>
      </c>
      <c r="D159">
        <v>1043.69</v>
      </c>
      <c r="E159">
        <v>6115.07</v>
      </c>
      <c r="F159">
        <f t="shared" si="22"/>
        <v>-3.7685354988316738E-2</v>
      </c>
      <c r="G159">
        <f t="shared" si="23"/>
        <v>1.4184769941089685E-2</v>
      </c>
      <c r="H159">
        <f t="shared" si="23"/>
        <v>-7.1955976056534599E-5</v>
      </c>
      <c r="I159" s="4">
        <f t="shared" si="24"/>
        <v>-3.9770100530249236E-2</v>
      </c>
      <c r="J159" s="4">
        <f t="shared" si="25"/>
        <v>1.2445465052540898E-2</v>
      </c>
      <c r="K159" s="4">
        <f t="shared" si="26"/>
        <v>-2.0389030504221889E-4</v>
      </c>
      <c r="L159">
        <f t="shared" si="28"/>
        <v>1.5816608961861307E-3</v>
      </c>
      <c r="M159">
        <f t="shared" si="27"/>
        <v>1.5488960037401682E-4</v>
      </c>
      <c r="N159">
        <f t="shared" si="27"/>
        <v>4.1571256490209066E-8</v>
      </c>
    </row>
    <row r="160" spans="2:14">
      <c r="B160" s="1">
        <v>45702</v>
      </c>
      <c r="C160">
        <v>53.9</v>
      </c>
      <c r="D160">
        <v>1058.5999999999999</v>
      </c>
      <c r="E160">
        <v>6114.63</v>
      </c>
      <c r="F160">
        <f t="shared" si="22"/>
        <v>9.7849945311571044E-3</v>
      </c>
      <c r="G160">
        <f t="shared" si="23"/>
        <v>-2.172493473198938E-2</v>
      </c>
      <c r="H160">
        <f t="shared" si="23"/>
        <v>2.4419717448794743E-3</v>
      </c>
      <c r="I160" s="4">
        <f t="shared" si="24"/>
        <v>7.7002489892246092E-3</v>
      </c>
      <c r="J160" s="4">
        <f t="shared" si="25"/>
        <v>-2.3464239620538167E-2</v>
      </c>
      <c r="K160" s="4">
        <f t="shared" si="26"/>
        <v>2.3100374158937899E-3</v>
      </c>
      <c r="L160">
        <f t="shared" si="28"/>
        <v>5.9293834496054618E-5</v>
      </c>
      <c r="M160">
        <f t="shared" si="27"/>
        <v>5.505705409700331E-4</v>
      </c>
      <c r="N160">
        <f t="shared" si="27"/>
        <v>5.3362728628292589E-6</v>
      </c>
    </row>
    <row r="161" spans="2:14">
      <c r="B161" s="1">
        <v>45706</v>
      </c>
      <c r="C161">
        <v>54.43</v>
      </c>
      <c r="D161">
        <v>1035.8499999999999</v>
      </c>
      <c r="E161">
        <v>6129.58</v>
      </c>
      <c r="F161">
        <f t="shared" si="22"/>
        <v>1.0054010290990947E-2</v>
      </c>
      <c r="G161">
        <f t="shared" si="23"/>
        <v>7.1951752809087371E-3</v>
      </c>
      <c r="H161">
        <f t="shared" si="23"/>
        <v>2.3741775065794562E-3</v>
      </c>
      <c r="I161" s="4">
        <f t="shared" si="24"/>
        <v>7.9692647490584509E-3</v>
      </c>
      <c r="J161" s="4">
        <f t="shared" si="25"/>
        <v>5.4558703923599508E-3</v>
      </c>
      <c r="K161" s="4">
        <f t="shared" si="26"/>
        <v>2.2422431775937718E-3</v>
      </c>
      <c r="L161">
        <f t="shared" si="28"/>
        <v>6.3509180640585651E-5</v>
      </c>
      <c r="M161">
        <f t="shared" si="27"/>
        <v>2.9766521738229923E-5</v>
      </c>
      <c r="N161">
        <f t="shared" si="27"/>
        <v>5.027654467465815E-6</v>
      </c>
    </row>
    <row r="162" spans="2:14">
      <c r="B162" s="1">
        <v>45707</v>
      </c>
      <c r="C162">
        <v>54.98</v>
      </c>
      <c r="D162">
        <v>1043.33</v>
      </c>
      <c r="E162">
        <v>6144.15</v>
      </c>
      <c r="F162">
        <f t="shared" si="22"/>
        <v>1.4625159120337263E-2</v>
      </c>
      <c r="G162">
        <f t="shared" si="23"/>
        <v>-1.817378962020489E-2</v>
      </c>
      <c r="H162">
        <f t="shared" si="23"/>
        <v>-4.3436239711486854E-3</v>
      </c>
      <c r="I162" s="4">
        <f t="shared" si="24"/>
        <v>1.2540413578404769E-2</v>
      </c>
      <c r="J162" s="4">
        <f t="shared" si="25"/>
        <v>-1.9913094508753677E-2</v>
      </c>
      <c r="K162" s="4">
        <f t="shared" si="26"/>
        <v>-4.4755583001343698E-3</v>
      </c>
      <c r="L162">
        <f t="shared" si="28"/>
        <v>1.572619727174387E-4</v>
      </c>
      <c r="M162">
        <f t="shared" si="27"/>
        <v>3.9653133291455588E-4</v>
      </c>
      <c r="N162">
        <f t="shared" si="27"/>
        <v>2.0030622097901648E-5</v>
      </c>
    </row>
    <row r="163" spans="2:14">
      <c r="B163" s="1">
        <v>45708</v>
      </c>
      <c r="C163">
        <v>55.79</v>
      </c>
      <c r="D163">
        <v>1024.54</v>
      </c>
      <c r="E163">
        <v>6117.52</v>
      </c>
      <c r="F163">
        <f t="shared" ref="F163:G189" si="29">LN(C164/C163)</f>
        <v>7.1671746483207828E-4</v>
      </c>
      <c r="G163">
        <f t="shared" si="23"/>
        <v>-2.1098682226391736E-2</v>
      </c>
      <c r="H163">
        <f t="shared" si="23"/>
        <v>-1.7211373991262081E-2</v>
      </c>
      <c r="I163" s="4">
        <f t="shared" ref="I163:I189" si="30">F163-$F$194</f>
        <v>-1.3680280771004171E-3</v>
      </c>
      <c r="J163" s="4">
        <f t="shared" ref="J163:J189" si="31">G163-$G$194</f>
        <v>-2.2837987114940523E-2</v>
      </c>
      <c r="K163" s="4">
        <f t="shared" ref="K163:K189" si="32">H163-$H$194</f>
        <v>-1.7343308320247764E-2</v>
      </c>
      <c r="L163">
        <f t="shared" si="28"/>
        <v>1.8715008197350646E-6</v>
      </c>
      <c r="M163">
        <f t="shared" si="27"/>
        <v>5.215736554621893E-4</v>
      </c>
      <c r="N163">
        <f t="shared" si="27"/>
        <v>3.0079034349117533E-4</v>
      </c>
    </row>
    <row r="164" spans="2:14">
      <c r="B164" s="1">
        <v>45709</v>
      </c>
      <c r="C164">
        <v>55.83</v>
      </c>
      <c r="D164">
        <v>1003.15</v>
      </c>
      <c r="E164">
        <v>6013.13</v>
      </c>
      <c r="F164">
        <f t="shared" si="29"/>
        <v>3.606054244101406E-2</v>
      </c>
      <c r="G164">
        <f t="shared" si="23"/>
        <v>-1.4742034989735994E-2</v>
      </c>
      <c r="H164">
        <f t="shared" si="23"/>
        <v>-4.9815130548550111E-3</v>
      </c>
      <c r="I164" s="4">
        <f t="shared" si="30"/>
        <v>3.3975796899081562E-2</v>
      </c>
      <c r="J164" s="4">
        <f t="shared" si="31"/>
        <v>-1.6481339878284779E-2</v>
      </c>
      <c r="K164" s="4">
        <f t="shared" si="32"/>
        <v>-5.1134473838406955E-3</v>
      </c>
      <c r="L164">
        <f t="shared" si="28"/>
        <v>1.1543547749276403E-3</v>
      </c>
      <c r="M164">
        <f t="shared" si="27"/>
        <v>2.7163456418354015E-4</v>
      </c>
      <c r="N164">
        <f t="shared" si="27"/>
        <v>2.6147344147307252E-5</v>
      </c>
    </row>
    <row r="165" spans="2:14">
      <c r="B165" s="1">
        <v>45712</v>
      </c>
      <c r="C165">
        <v>57.88</v>
      </c>
      <c r="D165">
        <v>988.47</v>
      </c>
      <c r="E165">
        <v>5983.25</v>
      </c>
      <c r="F165">
        <f t="shared" si="29"/>
        <v>5.6852595203609607E-3</v>
      </c>
      <c r="G165">
        <f t="shared" si="23"/>
        <v>-1.1426021311876654E-2</v>
      </c>
      <c r="H165">
        <f t="shared" si="23"/>
        <v>-4.690715138395557E-3</v>
      </c>
      <c r="I165" s="4">
        <f t="shared" si="30"/>
        <v>3.6005139784284655E-3</v>
      </c>
      <c r="J165" s="4">
        <f t="shared" si="31"/>
        <v>-1.3165326200425442E-2</v>
      </c>
      <c r="K165" s="4">
        <f t="shared" si="32"/>
        <v>-4.8226494673812414E-3</v>
      </c>
      <c r="L165">
        <f t="shared" si="28"/>
        <v>1.2963700908858776E-5</v>
      </c>
      <c r="M165">
        <f t="shared" si="27"/>
        <v>1.7332581396360859E-4</v>
      </c>
      <c r="N165">
        <f t="shared" si="27"/>
        <v>2.3257947885232569E-5</v>
      </c>
    </row>
    <row r="166" spans="2:14">
      <c r="B166" s="1">
        <v>45713</v>
      </c>
      <c r="C166">
        <v>58.21</v>
      </c>
      <c r="D166">
        <v>977.24</v>
      </c>
      <c r="E166">
        <v>5955.25</v>
      </c>
      <c r="F166">
        <f t="shared" si="29"/>
        <v>-1.4361350730425399E-2</v>
      </c>
      <c r="G166">
        <f t="shared" si="23"/>
        <v>1.3033275528171269E-2</v>
      </c>
      <c r="H166">
        <f t="shared" si="23"/>
        <v>1.3600519191397061E-4</v>
      </c>
      <c r="I166" s="4">
        <f t="shared" si="30"/>
        <v>-1.6446096272357894E-2</v>
      </c>
      <c r="J166" s="4">
        <f t="shared" si="31"/>
        <v>1.1293970639622484E-2</v>
      </c>
      <c r="K166" s="4">
        <f t="shared" si="32"/>
        <v>4.0708629282863154E-6</v>
      </c>
      <c r="L166">
        <f t="shared" si="28"/>
        <v>2.7047408259966418E-4</v>
      </c>
      <c r="M166">
        <f t="shared" si="27"/>
        <v>1.2755377280865469E-4</v>
      </c>
      <c r="N166">
        <f t="shared" si="27"/>
        <v>1.6571924980895834E-11</v>
      </c>
    </row>
    <row r="167" spans="2:14">
      <c r="B167" s="1">
        <v>45714</v>
      </c>
      <c r="C167">
        <v>57.38</v>
      </c>
      <c r="D167">
        <v>990.06</v>
      </c>
      <c r="E167">
        <v>5956.06</v>
      </c>
      <c r="F167">
        <f t="shared" si="29"/>
        <v>2.4446044351362332E-2</v>
      </c>
      <c r="G167">
        <f t="shared" si="23"/>
        <v>-2.763944868445559E-2</v>
      </c>
      <c r="H167">
        <f t="shared" si="23"/>
        <v>-1.5991702852089028E-2</v>
      </c>
      <c r="I167" s="4">
        <f t="shared" si="30"/>
        <v>2.2361298809429837E-2</v>
      </c>
      <c r="J167" s="4">
        <f t="shared" si="31"/>
        <v>-2.9378753573004377E-2</v>
      </c>
      <c r="K167" s="4">
        <f t="shared" si="32"/>
        <v>-1.612363718107471E-2</v>
      </c>
      <c r="L167">
        <f t="shared" si="28"/>
        <v>5.0002768444460831E-4</v>
      </c>
      <c r="M167">
        <f t="shared" si="27"/>
        <v>8.631111615033174E-4</v>
      </c>
      <c r="N167">
        <f t="shared" si="27"/>
        <v>2.5997167594693483E-4</v>
      </c>
    </row>
    <row r="168" spans="2:14">
      <c r="B168" s="1">
        <v>45715</v>
      </c>
      <c r="C168">
        <v>58.8</v>
      </c>
      <c r="D168">
        <v>963.07</v>
      </c>
      <c r="E168">
        <v>5861.57</v>
      </c>
      <c r="F168">
        <f t="shared" si="29"/>
        <v>1.3849233345344131E-2</v>
      </c>
      <c r="G168">
        <f t="shared" si="23"/>
        <v>1.7997738364596845E-2</v>
      </c>
      <c r="H168">
        <f t="shared" si="23"/>
        <v>1.5729750431897126E-2</v>
      </c>
      <c r="I168" s="4">
        <f t="shared" si="30"/>
        <v>1.1764487803411636E-2</v>
      </c>
      <c r="J168" s="4">
        <f t="shared" si="31"/>
        <v>1.6258433476048058E-2</v>
      </c>
      <c r="K168" s="4">
        <f t="shared" si="32"/>
        <v>1.5597816102911442E-2</v>
      </c>
      <c r="L168">
        <f t="shared" si="28"/>
        <v>1.3840317327662116E-4</v>
      </c>
      <c r="M168">
        <f t="shared" si="27"/>
        <v>2.6433665909508011E-4</v>
      </c>
      <c r="N168">
        <f t="shared" si="27"/>
        <v>2.4329186718024349E-4</v>
      </c>
    </row>
    <row r="169" spans="2:14">
      <c r="B169" s="1">
        <v>45716</v>
      </c>
      <c r="C169">
        <v>59.62</v>
      </c>
      <c r="D169">
        <v>980.56</v>
      </c>
      <c r="E169">
        <v>5954.5</v>
      </c>
      <c r="F169">
        <f t="shared" si="29"/>
        <v>4.184456687335387E-3</v>
      </c>
      <c r="G169">
        <f t="shared" si="23"/>
        <v>-7.0205890481990513E-3</v>
      </c>
      <c r="H169">
        <f t="shared" si="23"/>
        <v>-1.7753439375493379E-2</v>
      </c>
      <c r="I169" s="4">
        <f t="shared" si="30"/>
        <v>2.0997111454028917E-3</v>
      </c>
      <c r="J169" s="4">
        <f t="shared" si="31"/>
        <v>-8.7598939367478368E-3</v>
      </c>
      <c r="K169" s="4">
        <f t="shared" si="32"/>
        <v>-1.7885373704479061E-2</v>
      </c>
      <c r="L169">
        <f t="shared" si="28"/>
        <v>4.4087868941291235E-6</v>
      </c>
      <c r="M169">
        <f t="shared" si="27"/>
        <v>7.6735741783071507E-5</v>
      </c>
      <c r="N169">
        <f t="shared" si="27"/>
        <v>3.1988659254887105E-4</v>
      </c>
    </row>
    <row r="170" spans="2:14">
      <c r="B170" s="1">
        <v>45719</v>
      </c>
      <c r="C170">
        <v>59.87</v>
      </c>
      <c r="D170">
        <v>973.7</v>
      </c>
      <c r="E170">
        <v>5849.72</v>
      </c>
      <c r="F170">
        <f t="shared" si="29"/>
        <v>-7.2081445277569663E-3</v>
      </c>
      <c r="G170">
        <f t="shared" si="23"/>
        <v>-1.1509136646623785E-3</v>
      </c>
      <c r="H170">
        <f t="shared" si="23"/>
        <v>-1.2310234603366469E-2</v>
      </c>
      <c r="I170" s="4">
        <f t="shared" si="30"/>
        <v>-9.2928900696894606E-3</v>
      </c>
      <c r="J170" s="4">
        <f t="shared" si="31"/>
        <v>-2.8902185532111648E-3</v>
      </c>
      <c r="K170" s="4">
        <f t="shared" si="32"/>
        <v>-1.2442168932352154E-2</v>
      </c>
      <c r="L170">
        <f t="shared" si="28"/>
        <v>8.6357805847332982E-5</v>
      </c>
      <c r="M170">
        <f t="shared" si="27"/>
        <v>8.3533632853260391E-6</v>
      </c>
      <c r="N170">
        <f t="shared" si="27"/>
        <v>1.5480756774118913E-4</v>
      </c>
    </row>
    <row r="171" spans="2:14">
      <c r="B171" s="1">
        <v>45720</v>
      </c>
      <c r="C171">
        <v>59.44</v>
      </c>
      <c r="D171">
        <v>972.58</v>
      </c>
      <c r="E171">
        <v>5778.15</v>
      </c>
      <c r="F171">
        <f t="shared" si="29"/>
        <v>6.3726527922982621E-3</v>
      </c>
      <c r="G171">
        <f t="shared" si="23"/>
        <v>1.8681470212527657E-2</v>
      </c>
      <c r="H171">
        <f t="shared" si="23"/>
        <v>1.1097475685101249E-2</v>
      </c>
      <c r="I171" s="4">
        <f t="shared" si="30"/>
        <v>4.2879072503657668E-3</v>
      </c>
      <c r="J171" s="4">
        <f t="shared" si="31"/>
        <v>1.694216532397887E-2</v>
      </c>
      <c r="K171" s="4">
        <f t="shared" si="32"/>
        <v>1.0965541356115565E-2</v>
      </c>
      <c r="L171">
        <f t="shared" si="28"/>
        <v>1.8386148587739311E-5</v>
      </c>
      <c r="M171">
        <f t="shared" si="27"/>
        <v>2.8703696586503206E-4</v>
      </c>
      <c r="N171">
        <f t="shared" si="27"/>
        <v>1.2024309723268078E-4</v>
      </c>
    </row>
    <row r="172" spans="2:14">
      <c r="B172" s="1">
        <v>45721</v>
      </c>
      <c r="C172">
        <v>59.82</v>
      </c>
      <c r="D172">
        <v>990.92</v>
      </c>
      <c r="E172">
        <v>5842.63</v>
      </c>
      <c r="F172">
        <f t="shared" si="29"/>
        <v>6.0000180000972011E-3</v>
      </c>
      <c r="G172">
        <f t="shared" si="23"/>
        <v>-8.919722641921897E-2</v>
      </c>
      <c r="H172">
        <f t="shared" si="23"/>
        <v>-1.7979700568310077E-2</v>
      </c>
      <c r="I172" s="4">
        <f t="shared" si="30"/>
        <v>3.9152724581647059E-3</v>
      </c>
      <c r="J172" s="4">
        <f t="shared" si="31"/>
        <v>-9.0936531307767757E-2</v>
      </c>
      <c r="K172" s="4">
        <f t="shared" si="32"/>
        <v>-1.811163489729576E-2</v>
      </c>
      <c r="L172">
        <f t="shared" si="28"/>
        <v>1.5329358421663099E-5</v>
      </c>
      <c r="M172">
        <f t="shared" si="27"/>
        <v>8.2694527262886248E-3</v>
      </c>
      <c r="N172">
        <f t="shared" si="27"/>
        <v>3.280313186529416E-4</v>
      </c>
    </row>
    <row r="173" spans="2:14">
      <c r="B173" s="1">
        <v>45722</v>
      </c>
      <c r="C173">
        <v>60.18</v>
      </c>
      <c r="D173">
        <v>906.36</v>
      </c>
      <c r="E173">
        <v>5738.52</v>
      </c>
      <c r="F173">
        <f t="shared" si="29"/>
        <v>1.5008115459776549E-2</v>
      </c>
      <c r="G173">
        <f t="shared" si="23"/>
        <v>-1.6968701472586434E-2</v>
      </c>
      <c r="H173">
        <f t="shared" si="23"/>
        <v>5.5054046005090125E-3</v>
      </c>
      <c r="I173" s="4">
        <f t="shared" si="30"/>
        <v>1.2923369917844055E-2</v>
      </c>
      <c r="J173" s="4">
        <f t="shared" si="31"/>
        <v>-1.8708006361135222E-2</v>
      </c>
      <c r="K173" s="4">
        <f t="shared" si="32"/>
        <v>5.3734702715233281E-3</v>
      </c>
      <c r="L173">
        <f t="shared" si="28"/>
        <v>1.6701349003343666E-4</v>
      </c>
      <c r="M173">
        <f t="shared" si="27"/>
        <v>3.4998950200827592E-4</v>
      </c>
      <c r="N173">
        <f t="shared" si="27"/>
        <v>2.887418275894499E-5</v>
      </c>
    </row>
    <row r="174" spans="2:14">
      <c r="B174" s="1">
        <v>45723</v>
      </c>
      <c r="C174">
        <v>61.09</v>
      </c>
      <c r="D174">
        <v>891.11</v>
      </c>
      <c r="E174">
        <v>5770.2</v>
      </c>
      <c r="F174">
        <f t="shared" si="29"/>
        <v>3.2531048934472527E-2</v>
      </c>
      <c r="G174">
        <f t="shared" si="23"/>
        <v>-2.7798056802264194E-2</v>
      </c>
      <c r="H174">
        <f t="shared" si="23"/>
        <v>-2.7343518375984407E-2</v>
      </c>
      <c r="I174" s="4">
        <f t="shared" si="30"/>
        <v>3.0446303392540033E-2</v>
      </c>
      <c r="J174" s="4">
        <f t="shared" si="31"/>
        <v>-2.9537361690812981E-2</v>
      </c>
      <c r="K174" s="4">
        <f t="shared" si="32"/>
        <v>-2.747545270497009E-2</v>
      </c>
      <c r="L174">
        <f t="shared" si="28"/>
        <v>9.2697739027059476E-4</v>
      </c>
      <c r="M174">
        <f t="shared" si="27"/>
        <v>8.7245573565390634E-4</v>
      </c>
      <c r="N174">
        <f t="shared" si="27"/>
        <v>7.5490050134304821E-4</v>
      </c>
    </row>
    <row r="175" spans="2:14">
      <c r="B175" s="1">
        <v>45726</v>
      </c>
      <c r="C175">
        <v>63.11</v>
      </c>
      <c r="D175">
        <v>866.68</v>
      </c>
      <c r="E175">
        <v>5614.56</v>
      </c>
      <c r="F175">
        <f t="shared" si="29"/>
        <v>-2.5679472375871305E-2</v>
      </c>
      <c r="G175">
        <f t="shared" si="23"/>
        <v>3.2265624038386925E-2</v>
      </c>
      <c r="H175">
        <f t="shared" si="23"/>
        <v>-7.596604935651537E-3</v>
      </c>
      <c r="I175" s="4">
        <f t="shared" si="30"/>
        <v>-2.7764217917803799E-2</v>
      </c>
      <c r="J175" s="4">
        <f t="shared" si="31"/>
        <v>3.0526319149838138E-2</v>
      </c>
      <c r="K175" s="4">
        <f t="shared" si="32"/>
        <v>-7.7285392646372214E-3</v>
      </c>
      <c r="L175">
        <f t="shared" si="28"/>
        <v>7.7085179658729756E-4</v>
      </c>
      <c r="M175">
        <f t="shared" si="27"/>
        <v>9.3185616083777463E-4</v>
      </c>
      <c r="N175">
        <f t="shared" si="27"/>
        <v>5.9730319165039245E-5</v>
      </c>
    </row>
    <row r="176" spans="2:14">
      <c r="B176" s="1">
        <v>45727</v>
      </c>
      <c r="C176">
        <v>61.51</v>
      </c>
      <c r="D176">
        <v>895.1</v>
      </c>
      <c r="E176">
        <v>5572.07</v>
      </c>
      <c r="F176">
        <f t="shared" si="29"/>
        <v>-2.8026892163811143E-2</v>
      </c>
      <c r="G176">
        <f t="shared" si="23"/>
        <v>2.7090339573712149E-2</v>
      </c>
      <c r="H176">
        <f t="shared" si="23"/>
        <v>4.8749712752344252E-3</v>
      </c>
      <c r="I176" s="4">
        <f t="shared" si="30"/>
        <v>-3.0111637705743637E-2</v>
      </c>
      <c r="J176" s="4">
        <f t="shared" si="31"/>
        <v>2.5351034685163362E-2</v>
      </c>
      <c r="K176" s="4">
        <f t="shared" si="32"/>
        <v>4.7430369462487408E-3</v>
      </c>
      <c r="L176">
        <f t="shared" si="28"/>
        <v>9.0671072532196191E-4</v>
      </c>
      <c r="M176">
        <f t="shared" si="27"/>
        <v>6.4267495960835586E-4</v>
      </c>
      <c r="N176">
        <f t="shared" si="27"/>
        <v>2.249639947348058E-5</v>
      </c>
    </row>
    <row r="177" spans="2:15">
      <c r="B177" s="1">
        <v>45728</v>
      </c>
      <c r="C177">
        <v>59.81</v>
      </c>
      <c r="D177">
        <v>919.68</v>
      </c>
      <c r="E177">
        <v>5599.3</v>
      </c>
      <c r="F177">
        <f t="shared" si="29"/>
        <v>7.8275027018290307E-3</v>
      </c>
      <c r="G177">
        <f t="shared" si="23"/>
        <v>-3.2613327728788312E-2</v>
      </c>
      <c r="H177">
        <f t="shared" si="23"/>
        <v>-1.3988405225352909E-2</v>
      </c>
      <c r="I177" s="4">
        <f t="shared" si="30"/>
        <v>5.7427571598965355E-3</v>
      </c>
      <c r="J177" s="4">
        <f t="shared" si="31"/>
        <v>-3.4352632617337099E-2</v>
      </c>
      <c r="K177" s="4">
        <f t="shared" si="32"/>
        <v>-1.4120339554338593E-2</v>
      </c>
      <c r="L177">
        <f t="shared" si="28"/>
        <v>3.2979259797542925E-5</v>
      </c>
      <c r="M177">
        <f t="shared" si="27"/>
        <v>1.1801033677417327E-3</v>
      </c>
      <c r="N177">
        <f t="shared" si="27"/>
        <v>1.9938398912981901E-4</v>
      </c>
    </row>
    <row r="178" spans="2:15">
      <c r="B178" s="1">
        <v>45729</v>
      </c>
      <c r="C178">
        <v>60.28</v>
      </c>
      <c r="D178">
        <v>890.17</v>
      </c>
      <c r="E178">
        <v>5521.52</v>
      </c>
      <c r="F178">
        <f t="shared" si="29"/>
        <v>-2.1293452689217396E-2</v>
      </c>
      <c r="G178">
        <f t="shared" si="23"/>
        <v>3.0784934898673386E-2</v>
      </c>
      <c r="H178">
        <f t="shared" si="23"/>
        <v>2.1042919881408308E-2</v>
      </c>
      <c r="I178" s="4">
        <f t="shared" si="30"/>
        <v>-2.337819823114989E-2</v>
      </c>
      <c r="J178" s="4">
        <f t="shared" si="31"/>
        <v>2.9045630010124598E-2</v>
      </c>
      <c r="K178" s="4">
        <f t="shared" si="32"/>
        <v>2.0910985552422625E-2</v>
      </c>
      <c r="L178">
        <f t="shared" si="28"/>
        <v>5.4654015253493985E-4</v>
      </c>
      <c r="M178">
        <f t="shared" si="27"/>
        <v>8.4364862268505067E-4</v>
      </c>
      <c r="N178">
        <f t="shared" si="27"/>
        <v>4.3726931677362773E-4</v>
      </c>
    </row>
    <row r="179" spans="2:15">
      <c r="B179" s="1">
        <v>45730</v>
      </c>
      <c r="C179">
        <v>59.01</v>
      </c>
      <c r="D179">
        <v>918</v>
      </c>
      <c r="E179">
        <v>5638.94</v>
      </c>
      <c r="F179">
        <f t="shared" si="29"/>
        <v>1.6470960595924497E-2</v>
      </c>
      <c r="G179">
        <f t="shared" si="23"/>
        <v>3.4285646384071375E-2</v>
      </c>
      <c r="H179">
        <f t="shared" si="23"/>
        <v>6.3956039343475201E-3</v>
      </c>
      <c r="I179" s="4">
        <f t="shared" si="30"/>
        <v>1.4386215053992003E-2</v>
      </c>
      <c r="J179" s="4">
        <f t="shared" si="31"/>
        <v>3.2546341495522588E-2</v>
      </c>
      <c r="K179" s="4">
        <f t="shared" si="32"/>
        <v>6.2636696053618357E-3</v>
      </c>
      <c r="L179">
        <f t="shared" si="28"/>
        <v>2.0696318357970613E-4</v>
      </c>
      <c r="M179">
        <f t="shared" si="27"/>
        <v>1.0592643447431755E-3</v>
      </c>
      <c r="N179">
        <f t="shared" si="27"/>
        <v>3.9233556925133691E-5</v>
      </c>
    </row>
    <row r="180" spans="2:15">
      <c r="B180" s="1">
        <v>45733</v>
      </c>
      <c r="C180">
        <v>59.99</v>
      </c>
      <c r="D180">
        <v>950.02</v>
      </c>
      <c r="E180">
        <v>5675.12</v>
      </c>
      <c r="F180">
        <f t="shared" si="29"/>
        <v>-1.5013765435980947E-3</v>
      </c>
      <c r="G180">
        <f t="shared" si="23"/>
        <v>-2.1319956464848241E-2</v>
      </c>
      <c r="H180">
        <f t="shared" si="23"/>
        <v>-1.071067425391002E-2</v>
      </c>
      <c r="I180" s="4">
        <f t="shared" si="30"/>
        <v>-3.5861220855305902E-3</v>
      </c>
      <c r="J180" s="4">
        <f t="shared" si="31"/>
        <v>-2.3059261353397028E-2</v>
      </c>
      <c r="K180" s="4">
        <f t="shared" si="32"/>
        <v>-1.0842608582895704E-2</v>
      </c>
      <c r="L180">
        <f t="shared" si="28"/>
        <v>1.286027161233027E-5</v>
      </c>
      <c r="M180">
        <f t="shared" si="27"/>
        <v>5.3172953416426977E-4</v>
      </c>
      <c r="N180">
        <f t="shared" si="27"/>
        <v>1.1756216088188359E-4</v>
      </c>
    </row>
    <row r="181" spans="2:15">
      <c r="B181" s="1">
        <v>45734</v>
      </c>
      <c r="C181">
        <v>59.9</v>
      </c>
      <c r="D181">
        <v>929.98</v>
      </c>
      <c r="E181">
        <v>5614.66</v>
      </c>
      <c r="F181">
        <f t="shared" si="29"/>
        <v>3.0005023344757162E-3</v>
      </c>
      <c r="G181">
        <f t="shared" si="23"/>
        <v>3.1238812758889588E-2</v>
      </c>
      <c r="H181">
        <f t="shared" si="23"/>
        <v>1.0740629118978858E-2</v>
      </c>
      <c r="I181" s="4">
        <f t="shared" si="30"/>
        <v>9.1575679254322093E-4</v>
      </c>
      <c r="J181" s="4">
        <f t="shared" si="31"/>
        <v>2.9499507870340801E-2</v>
      </c>
      <c r="K181" s="4">
        <f t="shared" si="32"/>
        <v>1.0608694789993173E-2</v>
      </c>
      <c r="L181">
        <f t="shared" si="28"/>
        <v>8.3861050308904782E-7</v>
      </c>
      <c r="M181">
        <f t="shared" si="27"/>
        <v>8.7022096459229883E-4</v>
      </c>
      <c r="N181">
        <f t="shared" si="27"/>
        <v>1.1254440514722831E-4</v>
      </c>
    </row>
    <row r="182" spans="2:15">
      <c r="B182" s="1">
        <v>45735</v>
      </c>
      <c r="C182">
        <v>60.08</v>
      </c>
      <c r="D182">
        <v>959.49</v>
      </c>
      <c r="E182">
        <v>5675.29</v>
      </c>
      <c r="F182">
        <f t="shared" si="29"/>
        <v>5.6431685026465707E-3</v>
      </c>
      <c r="G182">
        <f t="shared" si="23"/>
        <v>-9.0560888615473234E-3</v>
      </c>
      <c r="H182">
        <f t="shared" si="23"/>
        <v>-2.1873007738032347E-3</v>
      </c>
      <c r="I182" s="4">
        <f t="shared" si="30"/>
        <v>3.5584229607140755E-3</v>
      </c>
      <c r="J182" s="4">
        <f t="shared" si="31"/>
        <v>-1.0795393750096111E-2</v>
      </c>
      <c r="K182" s="4">
        <f t="shared" si="32"/>
        <v>-2.3192351027889191E-3</v>
      </c>
      <c r="L182">
        <f t="shared" si="28"/>
        <v>1.2662373967337127E-5</v>
      </c>
      <c r="M182">
        <f t="shared" si="27"/>
        <v>1.1654052621961417E-4</v>
      </c>
      <c r="N182">
        <f t="shared" si="27"/>
        <v>5.3788514620083278E-6</v>
      </c>
    </row>
    <row r="183" spans="2:15">
      <c r="B183" s="1">
        <v>45736</v>
      </c>
      <c r="C183">
        <v>60.42</v>
      </c>
      <c r="D183">
        <v>950.84</v>
      </c>
      <c r="E183">
        <v>5662.89</v>
      </c>
      <c r="F183">
        <f t="shared" si="29"/>
        <v>9.3897403498391374E-3</v>
      </c>
      <c r="G183">
        <f t="shared" si="23"/>
        <v>4.1979827403880289E-3</v>
      </c>
      <c r="H183">
        <f t="shared" si="23"/>
        <v>8.2432741231720308E-4</v>
      </c>
      <c r="I183" s="4">
        <f t="shared" si="30"/>
        <v>7.3049948079066422E-3</v>
      </c>
      <c r="J183" s="4">
        <f t="shared" si="31"/>
        <v>2.4586778518392426E-3</v>
      </c>
      <c r="K183" s="4">
        <f t="shared" si="32"/>
        <v>6.9239308333151879E-4</v>
      </c>
      <c r="L183">
        <f t="shared" si="28"/>
        <v>5.3362949143542998E-5</v>
      </c>
      <c r="M183">
        <f t="shared" si="27"/>
        <v>6.0450967791248325E-6</v>
      </c>
      <c r="N183">
        <f t="shared" si="27"/>
        <v>4.7940818184532749E-7</v>
      </c>
    </row>
    <row r="184" spans="2:15">
      <c r="B184" s="1">
        <v>45737</v>
      </c>
      <c r="C184">
        <v>60.99</v>
      </c>
      <c r="D184">
        <v>954.84</v>
      </c>
      <c r="E184">
        <v>5667.56</v>
      </c>
      <c r="F184">
        <f t="shared" si="29"/>
        <v>9.8328424834858981E-4</v>
      </c>
      <c r="G184">
        <f t="shared" si="23"/>
        <v>1.780172916422915E-2</v>
      </c>
      <c r="H184">
        <f t="shared" ref="H184:H189" si="33">LN(E185/E184)</f>
        <v>1.7492157944606672E-2</v>
      </c>
      <c r="I184" s="4">
        <f t="shared" si="30"/>
        <v>-1.1014612935839054E-3</v>
      </c>
      <c r="J184" s="4">
        <f t="shared" si="31"/>
        <v>1.6062424275680363E-2</v>
      </c>
      <c r="K184" s="4">
        <f t="shared" si="32"/>
        <v>1.7360223615620989E-2</v>
      </c>
      <c r="L184">
        <f t="shared" si="28"/>
        <v>1.2132169812635303E-6</v>
      </c>
      <c r="M184">
        <f t="shared" si="27"/>
        <v>2.5800147361196583E-4</v>
      </c>
      <c r="N184">
        <f t="shared" ref="N184:N189" si="34">K184^2</f>
        <v>3.013773639843647E-4</v>
      </c>
    </row>
    <row r="185" spans="2:15">
      <c r="B185" s="1">
        <v>45740</v>
      </c>
      <c r="C185">
        <v>61.05</v>
      </c>
      <c r="D185">
        <v>971.99</v>
      </c>
      <c r="E185">
        <v>5767.57</v>
      </c>
      <c r="F185">
        <f t="shared" si="29"/>
        <v>-3.0940591854079956E-2</v>
      </c>
      <c r="G185">
        <f t="shared" si="29"/>
        <v>2.5686056718867388E-2</v>
      </c>
      <c r="H185">
        <f t="shared" si="33"/>
        <v>1.5730819184730236E-3</v>
      </c>
      <c r="I185" s="4">
        <f t="shared" si="30"/>
        <v>-3.3025337396012454E-2</v>
      </c>
      <c r="J185" s="4">
        <f t="shared" si="31"/>
        <v>2.3946751830318601E-2</v>
      </c>
      <c r="K185" s="4">
        <f t="shared" si="32"/>
        <v>1.4411475894873394E-3</v>
      </c>
      <c r="L185">
        <f t="shared" si="28"/>
        <v>1.0906729101204586E-3</v>
      </c>
      <c r="M185">
        <f t="shared" si="28"/>
        <v>5.7344692322286721E-4</v>
      </c>
      <c r="N185">
        <f t="shared" si="34"/>
        <v>2.0769063746851688E-6</v>
      </c>
      <c r="O185" s="1"/>
    </row>
    <row r="186" spans="2:15">
      <c r="B186" s="1">
        <v>45741</v>
      </c>
      <c r="C186">
        <v>59.19</v>
      </c>
      <c r="D186">
        <v>997.28</v>
      </c>
      <c r="E186">
        <v>5776.65</v>
      </c>
      <c r="F186">
        <f t="shared" si="29"/>
        <v>3.3783784105104967E-4</v>
      </c>
      <c r="G186">
        <f t="shared" si="29"/>
        <v>-2.7065622889155656E-2</v>
      </c>
      <c r="H186">
        <f t="shared" si="33"/>
        <v>-1.1219691455108281E-2</v>
      </c>
      <c r="I186" s="4">
        <f t="shared" si="30"/>
        <v>-1.7469077008814456E-3</v>
      </c>
      <c r="J186" s="4">
        <f t="shared" si="31"/>
        <v>-2.8804927777704444E-2</v>
      </c>
      <c r="K186" s="4">
        <f t="shared" si="32"/>
        <v>-1.1351625784093966E-2</v>
      </c>
      <c r="L186">
        <f t="shared" si="28"/>
        <v>3.0516865153988981E-6</v>
      </c>
      <c r="M186">
        <f t="shared" si="28"/>
        <v>8.2972386427876909E-4</v>
      </c>
      <c r="N186">
        <f t="shared" si="34"/>
        <v>1.2885940794210695E-4</v>
      </c>
      <c r="O186" s="1"/>
    </row>
    <row r="187" spans="2:15">
      <c r="B187" s="1">
        <v>45742</v>
      </c>
      <c r="C187">
        <v>59.21</v>
      </c>
      <c r="D187">
        <v>970.65</v>
      </c>
      <c r="E187">
        <v>5712.2</v>
      </c>
      <c r="F187">
        <f t="shared" si="29"/>
        <v>-5.2493558861437901E-3</v>
      </c>
      <c r="G187">
        <f t="shared" si="29"/>
        <v>6.2340691892153162E-3</v>
      </c>
      <c r="H187">
        <f t="shared" si="33"/>
        <v>-3.3124371066493626E-3</v>
      </c>
      <c r="I187" s="4">
        <f t="shared" si="30"/>
        <v>-7.3341014280762853E-3</v>
      </c>
      <c r="J187" s="4">
        <f t="shared" si="31"/>
        <v>4.4947643006665299E-3</v>
      </c>
      <c r="K187" s="4">
        <f t="shared" si="32"/>
        <v>-3.444371435635047E-3</v>
      </c>
      <c r="L187">
        <f t="shared" si="28"/>
        <v>5.378904375731061E-5</v>
      </c>
      <c r="M187">
        <f t="shared" si="28"/>
        <v>2.0202906118546278E-5</v>
      </c>
      <c r="N187">
        <f t="shared" si="34"/>
        <v>1.1863694586618636E-5</v>
      </c>
      <c r="O187" s="1"/>
    </row>
    <row r="188" spans="2:15">
      <c r="B188" s="1">
        <v>45743</v>
      </c>
      <c r="C188">
        <v>58.9</v>
      </c>
      <c r="D188">
        <v>976.72</v>
      </c>
      <c r="E188">
        <v>5693.31</v>
      </c>
      <c r="F188">
        <f t="shared" si="29"/>
        <v>1.8836749354680035E-2</v>
      </c>
      <c r="G188">
        <f t="shared" si="29"/>
        <v>-4.4884193600983939E-2</v>
      </c>
      <c r="H188">
        <f t="shared" si="33"/>
        <v>-1.9934580336265845E-2</v>
      </c>
      <c r="I188" s="4">
        <f t="shared" si="30"/>
        <v>1.6752003812747541E-2</v>
      </c>
      <c r="J188" s="4">
        <f t="shared" si="31"/>
        <v>-4.6623498489532726E-2</v>
      </c>
      <c r="K188" s="4">
        <f t="shared" si="32"/>
        <v>-2.0066514665251528E-2</v>
      </c>
      <c r="L188">
        <f t="shared" si="28"/>
        <v>2.8062963174230816E-4</v>
      </c>
      <c r="M188">
        <f t="shared" si="28"/>
        <v>2.1737506114034603E-3</v>
      </c>
      <c r="N188">
        <f t="shared" si="34"/>
        <v>4.0266501081075466E-4</v>
      </c>
    </row>
    <row r="189" spans="2:15">
      <c r="B189" s="1">
        <v>45744</v>
      </c>
      <c r="C189">
        <v>60.02</v>
      </c>
      <c r="D189">
        <v>933.85</v>
      </c>
      <c r="E189">
        <v>5580.94</v>
      </c>
      <c r="F189">
        <f t="shared" si="29"/>
        <v>1.6032076296143966E-2</v>
      </c>
      <c r="G189">
        <f t="shared" si="29"/>
        <v>-1.4145031773703139E-3</v>
      </c>
      <c r="H189">
        <f t="shared" si="33"/>
        <v>5.523212456950013E-3</v>
      </c>
      <c r="I189" s="4">
        <f t="shared" si="30"/>
        <v>1.3947330754211472E-2</v>
      </c>
      <c r="J189" s="4">
        <f t="shared" si="31"/>
        <v>-3.1538080659191002E-3</v>
      </c>
      <c r="K189" s="4">
        <f t="shared" si="32"/>
        <v>5.3912781279643286E-3</v>
      </c>
      <c r="L189">
        <f t="shared" si="28"/>
        <v>1.9452803516737316E-4</v>
      </c>
      <c r="M189">
        <f t="shared" si="28"/>
        <v>9.9465053166563749E-6</v>
      </c>
      <c r="N189">
        <f t="shared" si="34"/>
        <v>2.9065879853066554E-5</v>
      </c>
    </row>
    <row r="190" spans="2:15">
      <c r="B190" s="1">
        <v>45747</v>
      </c>
      <c r="C190">
        <v>60.99</v>
      </c>
      <c r="D190">
        <v>932.53</v>
      </c>
      <c r="E190">
        <v>5611.85</v>
      </c>
    </row>
    <row r="192" spans="2:15">
      <c r="B192" t="s">
        <v>9</v>
      </c>
      <c r="C192">
        <f>COUNT(B3:B190)</f>
        <v>188</v>
      </c>
      <c r="E192" t="s">
        <v>10</v>
      </c>
      <c r="F192" s="13">
        <v>4.2049999999999997E-2</v>
      </c>
      <c r="J192" t="s">
        <v>11</v>
      </c>
      <c r="K192">
        <f>SUM(L3:L183)</f>
        <v>6.6320237694299941E-2</v>
      </c>
      <c r="L192">
        <f>SUM(M3:M183)</f>
        <v>7.1184011480199622E-2</v>
      </c>
      <c r="M192">
        <f>SUM(N3:N185)</f>
        <v>1.6176988158146555E-2</v>
      </c>
    </row>
    <row r="193" spans="5:13">
      <c r="J193" t="s">
        <v>12</v>
      </c>
      <c r="K193">
        <f>K192/($C$192-1)</f>
        <v>3.5465367750962535E-4</v>
      </c>
      <c r="L193">
        <f>L192/($C$192-1)</f>
        <v>3.8066316299571989E-4</v>
      </c>
      <c r="M193">
        <f>M192/($C$192-1)</f>
        <v>8.6507958064954834E-5</v>
      </c>
    </row>
    <row r="194" spans="5:13">
      <c r="E194" t="s">
        <v>13</v>
      </c>
      <c r="F194" s="3">
        <f>AVERAGE(F3:F189)</f>
        <v>2.0847455419324952E-3</v>
      </c>
      <c r="G194" s="3">
        <f t="shared" ref="G194:H194" si="35">AVERAGE(G3:G189)</f>
        <v>1.7393048885487863E-3</v>
      </c>
      <c r="H194" s="3">
        <f t="shared" si="35"/>
        <v>1.3193432898568429E-4</v>
      </c>
      <c r="J194" t="s">
        <v>14</v>
      </c>
      <c r="K194" s="3">
        <f>SQRT(K193)</f>
        <v>1.8832250994228635E-2</v>
      </c>
      <c r="L194" s="3">
        <f>SQRT(L193)</f>
        <v>1.9510591046806344E-2</v>
      </c>
      <c r="M194" s="3">
        <f>SQRT(M193)</f>
        <v>9.3009654372519217E-3</v>
      </c>
    </row>
    <row r="195" spans="5:13">
      <c r="E195" t="s">
        <v>15</v>
      </c>
      <c r="F195" s="5">
        <f>F194*252</f>
        <v>0.52535587656698879</v>
      </c>
      <c r="G195" s="5">
        <f>G194*252</f>
        <v>0.43830483191429415</v>
      </c>
      <c r="H195" s="5">
        <f>H194*252</f>
        <v>3.3247450904392441E-2</v>
      </c>
      <c r="J195" t="s">
        <v>16</v>
      </c>
      <c r="K195" s="5">
        <f>K194*SQRT(252)</f>
        <v>0.2989527165496671</v>
      </c>
      <c r="L195" s="5">
        <f t="shared" ref="L195:M195" si="36">L194*SQRT(252)</f>
        <v>0.30972103105039772</v>
      </c>
      <c r="M195" s="5">
        <f t="shared" si="36"/>
        <v>0.14764824899865431</v>
      </c>
    </row>
    <row r="198" spans="5:13">
      <c r="E198" t="s">
        <v>17</v>
      </c>
      <c r="F198">
        <v>1.645</v>
      </c>
    </row>
    <row r="199" spans="5:13">
      <c r="E199" t="s">
        <v>18</v>
      </c>
      <c r="F199" s="4">
        <f>K194</f>
        <v>1.8832250994228635E-2</v>
      </c>
      <c r="G199" s="4">
        <f>L194</f>
        <v>1.9510591046806344E-2</v>
      </c>
    </row>
    <row r="200" spans="5:13">
      <c r="E200" t="s">
        <v>19</v>
      </c>
      <c r="F200" s="6">
        <f>C190</f>
        <v>60.99</v>
      </c>
      <c r="G200" s="6">
        <f>D190</f>
        <v>932.53</v>
      </c>
    </row>
    <row r="203" spans="5:13">
      <c r="E203" t="s">
        <v>20</v>
      </c>
      <c r="F203" s="6">
        <f>F198*F199*F200</f>
        <v>1.8894124354870174</v>
      </c>
      <c r="G203" s="6">
        <f>F198*G199*G200</f>
        <v>29.929477866304836</v>
      </c>
      <c r="H203" t="s">
        <v>21</v>
      </c>
    </row>
  </sheetData>
  <sortState xmlns:xlrd2="http://schemas.microsoft.com/office/spreadsheetml/2017/richdata2" ref="B185:C190">
    <sortCondition ref="B184:B190"/>
  </sortState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AF749-BC31-4F96-8388-4977A2E0FF4F}">
  <dimension ref="A1:L190"/>
  <sheetViews>
    <sheetView topLeftCell="A4" zoomScale="175" zoomScaleNormal="175" workbookViewId="0">
      <selection activeCell="K11" sqref="K11"/>
    </sheetView>
  </sheetViews>
  <sheetFormatPr defaultRowHeight="14.25"/>
  <cols>
    <col min="6" max="6" width="11.5703125" bestFit="1" customWidth="1"/>
    <col min="7" max="7" width="9.42578125" bestFit="1" customWidth="1"/>
    <col min="8" max="8" width="6.42578125" bestFit="1" customWidth="1"/>
    <col min="10" max="10" width="9.42578125" bestFit="1" customWidth="1"/>
    <col min="11" max="11" width="10.140625" bestFit="1" customWidth="1"/>
  </cols>
  <sheetData>
    <row r="1" spans="1:12">
      <c r="B1" t="s">
        <v>3</v>
      </c>
      <c r="C1" t="s">
        <v>2</v>
      </c>
      <c r="D1" t="s">
        <v>3</v>
      </c>
      <c r="E1" t="s">
        <v>2</v>
      </c>
      <c r="F1" t="s">
        <v>22</v>
      </c>
      <c r="G1" t="s">
        <v>23</v>
      </c>
      <c r="H1" t="s">
        <v>24</v>
      </c>
    </row>
    <row r="2" spans="1:12">
      <c r="A2" t="s">
        <v>4</v>
      </c>
      <c r="B2" t="s">
        <v>5</v>
      </c>
      <c r="C2" t="s">
        <v>5</v>
      </c>
      <c r="D2" t="s">
        <v>6</v>
      </c>
      <c r="F2" s="4">
        <f>'Q 1&amp;2'!F192</f>
        <v>4.2049999999999997E-2</v>
      </c>
      <c r="J2" t="s">
        <v>25</v>
      </c>
      <c r="K2" s="12">
        <f>SLOPE(G3:G190,H3:H190)</f>
        <v>1.6832064273227077E-2</v>
      </c>
    </row>
    <row r="3" spans="1:12">
      <c r="A3" s="1">
        <v>45474</v>
      </c>
      <c r="B3">
        <v>41.3</v>
      </c>
      <c r="C3">
        <v>5475.09</v>
      </c>
      <c r="D3">
        <f t="shared" ref="D3:D34" si="0">LN(B4/B3)</f>
        <v>-2.0795856462486256E-2</v>
      </c>
      <c r="E3">
        <f t="shared" ref="E3:E34" si="1">LN(C4/C3)</f>
        <v>6.1762197767835335E-3</v>
      </c>
      <c r="G3">
        <f>B3-$F$2/252</f>
        <v>41.299833134920632</v>
      </c>
      <c r="H3">
        <f>C3-$F$2/252</f>
        <v>5475.0898331349208</v>
      </c>
    </row>
    <row r="4" spans="1:12">
      <c r="A4" s="1">
        <v>45475</v>
      </c>
      <c r="B4">
        <v>40.450000000000003</v>
      </c>
      <c r="C4">
        <v>5509.01</v>
      </c>
      <c r="D4">
        <f t="shared" si="0"/>
        <v>-9.688313266828499E-3</v>
      </c>
      <c r="E4">
        <f t="shared" si="1"/>
        <v>5.0715161981972666E-3</v>
      </c>
      <c r="G4">
        <f t="shared" ref="G4:G67" si="2">B4-$F$2/252</f>
        <v>40.449833134920638</v>
      </c>
      <c r="H4">
        <f t="shared" ref="H4:H67" si="3">C4-$F$2/252</f>
        <v>5509.0098331349209</v>
      </c>
      <c r="J4" t="s">
        <v>26</v>
      </c>
      <c r="K4" s="12" cm="1">
        <f t="array" ref="K4:L4">LINEST(G3:G190,H3:H190,FALSE,FALSE)</f>
        <v>9.284193326453815E-3</v>
      </c>
      <c r="L4">
        <v>0</v>
      </c>
    </row>
    <row r="5" spans="1:12">
      <c r="A5" s="1">
        <v>45476</v>
      </c>
      <c r="B5">
        <v>40.06</v>
      </c>
      <c r="C5">
        <v>5537.02</v>
      </c>
      <c r="D5">
        <f t="shared" si="0"/>
        <v>-1.0035207146022459E-2</v>
      </c>
      <c r="E5">
        <f t="shared" si="1"/>
        <v>5.4339884131971751E-3</v>
      </c>
      <c r="G5">
        <f t="shared" si="2"/>
        <v>40.059833134920638</v>
      </c>
      <c r="H5">
        <f>C5-$F$2/252</f>
        <v>5537.0198331349211</v>
      </c>
    </row>
    <row r="6" spans="1:12">
      <c r="A6" s="1">
        <v>45478</v>
      </c>
      <c r="B6">
        <v>39.659999999999997</v>
      </c>
      <c r="C6">
        <v>5567.19</v>
      </c>
      <c r="D6">
        <f t="shared" si="0"/>
        <v>8.286299767077154E-3</v>
      </c>
      <c r="E6">
        <f t="shared" si="1"/>
        <v>1.0161544279964853E-3</v>
      </c>
      <c r="G6">
        <f t="shared" si="2"/>
        <v>39.659833134920632</v>
      </c>
      <c r="H6">
        <f t="shared" si="3"/>
        <v>5567.1898331349203</v>
      </c>
    </row>
    <row r="7" spans="1:12">
      <c r="A7" s="1">
        <v>45481</v>
      </c>
      <c r="B7">
        <v>39.99</v>
      </c>
      <c r="C7">
        <v>5572.85</v>
      </c>
      <c r="D7">
        <f t="shared" si="0"/>
        <v>2.152216653074884E-2</v>
      </c>
      <c r="E7">
        <f t="shared" si="1"/>
        <v>7.4081850375864739E-4</v>
      </c>
      <c r="G7">
        <f t="shared" si="2"/>
        <v>39.989833134920637</v>
      </c>
      <c r="H7">
        <f t="shared" si="3"/>
        <v>5572.849833134921</v>
      </c>
    </row>
    <row r="8" spans="1:12">
      <c r="A8" s="1">
        <v>45482</v>
      </c>
      <c r="B8">
        <v>40.86</v>
      </c>
      <c r="C8">
        <v>5576.98</v>
      </c>
      <c r="D8">
        <f t="shared" si="0"/>
        <v>6.3430317574336443E-3</v>
      </c>
      <c r="E8">
        <f t="shared" si="1"/>
        <v>1.0156283642139425E-2</v>
      </c>
      <c r="G8">
        <f t="shared" si="2"/>
        <v>40.859833134920635</v>
      </c>
      <c r="H8">
        <f t="shared" si="3"/>
        <v>5576.9798331349202</v>
      </c>
    </row>
    <row r="9" spans="1:12">
      <c r="A9" s="1">
        <v>45483</v>
      </c>
      <c r="B9">
        <v>41.12</v>
      </c>
      <c r="C9">
        <v>5633.91</v>
      </c>
      <c r="D9">
        <f t="shared" si="0"/>
        <v>-9.0387814600379202E-3</v>
      </c>
      <c r="E9">
        <f t="shared" si="1"/>
        <v>-8.8016292301766504E-3</v>
      </c>
      <c r="G9">
        <f t="shared" si="2"/>
        <v>41.119833134920633</v>
      </c>
      <c r="H9">
        <f t="shared" si="3"/>
        <v>5633.9098331349205</v>
      </c>
    </row>
    <row r="10" spans="1:12">
      <c r="A10" s="1">
        <v>45484</v>
      </c>
      <c r="B10">
        <v>40.75</v>
      </c>
      <c r="C10">
        <v>5584.54</v>
      </c>
      <c r="D10">
        <f t="shared" si="0"/>
        <v>-7.142007947272289E-3</v>
      </c>
      <c r="E10">
        <f t="shared" si="1"/>
        <v>5.5018536287759819E-3</v>
      </c>
      <c r="G10">
        <f t="shared" si="2"/>
        <v>40.749833134920635</v>
      </c>
      <c r="H10">
        <f t="shared" si="3"/>
        <v>5584.5398331349206</v>
      </c>
    </row>
    <row r="11" spans="1:12">
      <c r="A11" s="1">
        <v>45485</v>
      </c>
      <c r="B11">
        <v>40.46</v>
      </c>
      <c r="C11">
        <v>5615.35</v>
      </c>
      <c r="D11">
        <f t="shared" si="0"/>
        <v>-7.6913913468287659E-3</v>
      </c>
      <c r="E11">
        <f t="shared" si="1"/>
        <v>2.822195662042845E-3</v>
      </c>
      <c r="G11">
        <f t="shared" si="2"/>
        <v>40.459833134920636</v>
      </c>
      <c r="H11">
        <f t="shared" si="3"/>
        <v>5615.349833134921</v>
      </c>
      <c r="J11" t="s">
        <v>25</v>
      </c>
      <c r="K11">
        <f>SLOPE(G3:G190, H3:H190)</f>
        <v>1.6832064273227077E-2</v>
      </c>
    </row>
    <row r="12" spans="1:12">
      <c r="A12" s="1">
        <v>45488</v>
      </c>
      <c r="B12">
        <v>40.15</v>
      </c>
      <c r="C12">
        <v>5631.22</v>
      </c>
      <c r="D12">
        <f t="shared" si="0"/>
        <v>2.5815815962710129E-2</v>
      </c>
      <c r="E12">
        <f t="shared" si="1"/>
        <v>6.3690536600414091E-3</v>
      </c>
      <c r="G12">
        <f t="shared" si="2"/>
        <v>40.149833134920634</v>
      </c>
      <c r="H12">
        <f t="shared" si="3"/>
        <v>5631.2198331349209</v>
      </c>
      <c r="J12" t="s">
        <v>26</v>
      </c>
      <c r="K12" cm="1">
        <f t="array" ref="K12:L12">LINEST(G3:G190, H3:H190)</f>
        <v>1.683206427322707E-2</v>
      </c>
      <c r="L12" s="14">
        <v>-43.685991787595583</v>
      </c>
    </row>
    <row r="13" spans="1:12">
      <c r="A13" s="1">
        <v>45489</v>
      </c>
      <c r="B13">
        <v>41.2</v>
      </c>
      <c r="C13">
        <v>5667.2</v>
      </c>
      <c r="D13">
        <f t="shared" si="0"/>
        <v>4.6244161173956071E-2</v>
      </c>
      <c r="E13">
        <f t="shared" si="1"/>
        <v>-1.4025410555021933E-2</v>
      </c>
      <c r="G13">
        <f t="shared" si="2"/>
        <v>41.199833134920638</v>
      </c>
      <c r="H13">
        <f t="shared" si="3"/>
        <v>5667.1998331349205</v>
      </c>
    </row>
    <row r="14" spans="1:12">
      <c r="A14" s="1">
        <v>45490</v>
      </c>
      <c r="B14">
        <v>43.15</v>
      </c>
      <c r="C14">
        <v>5588.27</v>
      </c>
      <c r="D14">
        <f t="shared" si="0"/>
        <v>-1.7769932164891145E-2</v>
      </c>
      <c r="E14">
        <f t="shared" si="1"/>
        <v>-7.8470804696827295E-3</v>
      </c>
      <c r="G14">
        <f t="shared" si="2"/>
        <v>43.149833134920634</v>
      </c>
      <c r="H14">
        <f t="shared" si="3"/>
        <v>5588.2698331349211</v>
      </c>
    </row>
    <row r="15" spans="1:12">
      <c r="A15" s="1">
        <v>45491</v>
      </c>
      <c r="B15">
        <v>42.39</v>
      </c>
      <c r="C15">
        <v>5544.59</v>
      </c>
      <c r="D15">
        <f t="shared" si="0"/>
        <v>5.8802944930433599E-3</v>
      </c>
      <c r="E15">
        <f t="shared" si="1"/>
        <v>-7.1659074070294041E-3</v>
      </c>
      <c r="G15">
        <f t="shared" si="2"/>
        <v>42.389833134920636</v>
      </c>
      <c r="H15">
        <f t="shared" si="3"/>
        <v>5544.5898331349208</v>
      </c>
    </row>
    <row r="16" spans="1:12">
      <c r="A16" s="1">
        <v>45492</v>
      </c>
      <c r="B16">
        <v>42.64</v>
      </c>
      <c r="C16">
        <v>5505</v>
      </c>
      <c r="D16">
        <f t="shared" si="0"/>
        <v>7.0331734231949042E-4</v>
      </c>
      <c r="E16">
        <f t="shared" si="1"/>
        <v>1.0734189165974961E-2</v>
      </c>
      <c r="G16">
        <f t="shared" si="2"/>
        <v>42.639833134920636</v>
      </c>
      <c r="H16">
        <f t="shared" si="3"/>
        <v>5504.9998331349207</v>
      </c>
    </row>
    <row r="17" spans="1:8">
      <c r="A17" s="1">
        <v>45495</v>
      </c>
      <c r="B17">
        <v>42.67</v>
      </c>
      <c r="C17">
        <v>5564.41</v>
      </c>
      <c r="D17">
        <f t="shared" si="0"/>
        <v>7.2387940144556786E-3</v>
      </c>
      <c r="E17">
        <f t="shared" si="1"/>
        <v>-1.5593317997995005E-3</v>
      </c>
      <c r="G17">
        <f t="shared" si="2"/>
        <v>42.669833134920637</v>
      </c>
      <c r="H17">
        <f t="shared" si="3"/>
        <v>5564.4098331349205</v>
      </c>
    </row>
    <row r="18" spans="1:8">
      <c r="A18" s="1">
        <v>45496</v>
      </c>
      <c r="B18">
        <v>42.98</v>
      </c>
      <c r="C18">
        <v>5555.74</v>
      </c>
      <c r="D18">
        <f t="shared" si="0"/>
        <v>3.8343355197647436E-2</v>
      </c>
      <c r="E18">
        <f t="shared" si="1"/>
        <v>-2.3421178443889513E-2</v>
      </c>
      <c r="G18">
        <f t="shared" si="2"/>
        <v>42.979833134920632</v>
      </c>
      <c r="H18">
        <f t="shared" si="3"/>
        <v>5555.7398331349204</v>
      </c>
    </row>
    <row r="19" spans="1:8">
      <c r="A19" s="1">
        <v>45497</v>
      </c>
      <c r="B19">
        <v>44.66</v>
      </c>
      <c r="C19">
        <v>5427.13</v>
      </c>
      <c r="D19">
        <f t="shared" si="0"/>
        <v>1.3566315035855592E-2</v>
      </c>
      <c r="E19">
        <f t="shared" si="1"/>
        <v>-5.1559504042484414E-3</v>
      </c>
      <c r="G19">
        <f t="shared" si="2"/>
        <v>44.659833134920632</v>
      </c>
      <c r="H19">
        <f t="shared" si="3"/>
        <v>5427.1298331349208</v>
      </c>
    </row>
    <row r="20" spans="1:8">
      <c r="A20" s="1">
        <v>45498</v>
      </c>
      <c r="B20">
        <v>45.27</v>
      </c>
      <c r="C20">
        <v>5399.22</v>
      </c>
      <c r="D20">
        <f t="shared" si="0"/>
        <v>0.10833818535175073</v>
      </c>
      <c r="E20">
        <f t="shared" si="1"/>
        <v>1.1029442312488889E-2</v>
      </c>
      <c r="G20">
        <f t="shared" si="2"/>
        <v>45.269833134920638</v>
      </c>
      <c r="H20">
        <f t="shared" si="3"/>
        <v>5399.2198331349209</v>
      </c>
    </row>
    <row r="21" spans="1:8">
      <c r="A21" s="1">
        <v>45499</v>
      </c>
      <c r="B21">
        <v>50.45</v>
      </c>
      <c r="C21">
        <v>5459.1</v>
      </c>
      <c r="D21">
        <f t="shared" si="0"/>
        <v>-2.9570695275596387E-2</v>
      </c>
      <c r="E21">
        <f t="shared" si="1"/>
        <v>8.129903108684501E-4</v>
      </c>
      <c r="G21">
        <f t="shared" si="2"/>
        <v>50.449833134920638</v>
      </c>
      <c r="H21">
        <f t="shared" si="3"/>
        <v>5459.099833134921</v>
      </c>
    </row>
    <row r="22" spans="1:8">
      <c r="A22" s="1">
        <v>45502</v>
      </c>
      <c r="B22">
        <v>48.98</v>
      </c>
      <c r="C22">
        <v>5463.54</v>
      </c>
      <c r="D22">
        <f t="shared" si="0"/>
        <v>1.4281344873504659E-3</v>
      </c>
      <c r="E22">
        <f t="shared" si="1"/>
        <v>-4.9724964337360253E-3</v>
      </c>
      <c r="G22">
        <f t="shared" si="2"/>
        <v>48.979833134920632</v>
      </c>
      <c r="H22">
        <f t="shared" si="3"/>
        <v>5463.5398331349206</v>
      </c>
    </row>
    <row r="23" spans="1:8">
      <c r="A23" s="1">
        <v>45503</v>
      </c>
      <c r="B23">
        <v>49.05</v>
      </c>
      <c r="C23">
        <v>5436.44</v>
      </c>
      <c r="D23">
        <f t="shared" si="0"/>
        <v>-3.0848114188790941E-2</v>
      </c>
      <c r="E23">
        <f t="shared" si="1"/>
        <v>1.567000529191805E-2</v>
      </c>
      <c r="G23">
        <f t="shared" si="2"/>
        <v>49.049833134920632</v>
      </c>
      <c r="H23">
        <f t="shared" si="3"/>
        <v>5436.4398331349203</v>
      </c>
    </row>
    <row r="24" spans="1:8">
      <c r="A24" s="1">
        <v>45504</v>
      </c>
      <c r="B24">
        <v>47.56</v>
      </c>
      <c r="C24">
        <v>5522.3</v>
      </c>
      <c r="D24">
        <f t="shared" si="0"/>
        <v>1.274434881954823E-2</v>
      </c>
      <c r="E24">
        <f t="shared" si="1"/>
        <v>-1.3788191433053192E-2</v>
      </c>
      <c r="G24">
        <f t="shared" si="2"/>
        <v>47.559833134920638</v>
      </c>
      <c r="H24">
        <f t="shared" si="3"/>
        <v>5522.2998331349208</v>
      </c>
    </row>
    <row r="25" spans="1:8">
      <c r="A25" s="1">
        <v>45505</v>
      </c>
      <c r="B25">
        <v>48.17</v>
      </c>
      <c r="C25">
        <v>5446.68</v>
      </c>
      <c r="D25">
        <f t="shared" si="0"/>
        <v>1.2378949079831838E-2</v>
      </c>
      <c r="E25">
        <f t="shared" si="1"/>
        <v>-1.8552885294602865E-2</v>
      </c>
      <c r="G25">
        <f t="shared" si="2"/>
        <v>48.169833134920637</v>
      </c>
      <c r="H25">
        <f t="shared" si="3"/>
        <v>5446.679833134921</v>
      </c>
    </row>
    <row r="26" spans="1:8">
      <c r="A26" s="1">
        <v>45506</v>
      </c>
      <c r="B26">
        <v>48.77</v>
      </c>
      <c r="C26">
        <v>5346.56</v>
      </c>
      <c r="D26">
        <f t="shared" si="0"/>
        <v>-2.4492714588942102E-2</v>
      </c>
      <c r="E26">
        <f t="shared" si="1"/>
        <v>-3.0427045496882188E-2</v>
      </c>
      <c r="G26">
        <f t="shared" si="2"/>
        <v>48.769833134920638</v>
      </c>
      <c r="H26">
        <f t="shared" si="3"/>
        <v>5346.5598331349211</v>
      </c>
    </row>
    <row r="27" spans="1:8">
      <c r="A27" s="1">
        <v>45509</v>
      </c>
      <c r="B27">
        <v>47.59</v>
      </c>
      <c r="C27">
        <v>5186.33</v>
      </c>
      <c r="D27">
        <f t="shared" si="0"/>
        <v>-5.9009654899624606E-3</v>
      </c>
      <c r="E27">
        <f t="shared" si="1"/>
        <v>1.0300905557719547E-2</v>
      </c>
      <c r="G27">
        <f t="shared" si="2"/>
        <v>47.589833134920639</v>
      </c>
      <c r="H27">
        <f t="shared" si="3"/>
        <v>5186.3298331349206</v>
      </c>
    </row>
    <row r="28" spans="1:8">
      <c r="A28" s="1">
        <v>45510</v>
      </c>
      <c r="B28">
        <v>47.31</v>
      </c>
      <c r="C28">
        <v>5240.03</v>
      </c>
      <c r="D28">
        <f t="shared" si="0"/>
        <v>-1.7269377049746178E-2</v>
      </c>
      <c r="E28">
        <f t="shared" si="1"/>
        <v>-7.7647563892511828E-3</v>
      </c>
      <c r="G28">
        <f t="shared" si="2"/>
        <v>47.309833134920638</v>
      </c>
      <c r="H28">
        <f t="shared" si="3"/>
        <v>5240.0298331349204</v>
      </c>
    </row>
    <row r="29" spans="1:8">
      <c r="A29" s="1">
        <v>45511</v>
      </c>
      <c r="B29">
        <v>46.5</v>
      </c>
      <c r="C29">
        <v>5199.5</v>
      </c>
      <c r="D29">
        <f t="shared" si="0"/>
        <v>7.4986960911206041E-3</v>
      </c>
      <c r="E29">
        <f t="shared" si="1"/>
        <v>2.2781128575607587E-2</v>
      </c>
      <c r="G29">
        <f t="shared" si="2"/>
        <v>46.499833134920635</v>
      </c>
      <c r="H29">
        <f t="shared" si="3"/>
        <v>5199.4998331349207</v>
      </c>
    </row>
    <row r="30" spans="1:8">
      <c r="A30" s="1">
        <v>45512</v>
      </c>
      <c r="B30">
        <v>46.85</v>
      </c>
      <c r="C30">
        <v>5319.31</v>
      </c>
      <c r="D30">
        <f t="shared" si="0"/>
        <v>-2.7786701644596729E-3</v>
      </c>
      <c r="E30">
        <f t="shared" si="1"/>
        <v>4.660780212150723E-3</v>
      </c>
      <c r="G30">
        <f t="shared" si="2"/>
        <v>46.849833134920637</v>
      </c>
      <c r="H30">
        <f t="shared" si="3"/>
        <v>5319.3098331349211</v>
      </c>
    </row>
    <row r="31" spans="1:8">
      <c r="A31" s="1">
        <v>45513</v>
      </c>
      <c r="B31">
        <v>46.72</v>
      </c>
      <c r="C31">
        <v>5344.16</v>
      </c>
      <c r="D31">
        <f t="shared" si="0"/>
        <v>7.2510447792448222E-3</v>
      </c>
      <c r="E31">
        <f t="shared" si="1"/>
        <v>4.3036707511422095E-5</v>
      </c>
      <c r="G31">
        <f t="shared" si="2"/>
        <v>46.719833134920634</v>
      </c>
      <c r="H31">
        <f t="shared" si="3"/>
        <v>5344.1598331349205</v>
      </c>
    </row>
    <row r="32" spans="1:8">
      <c r="A32" s="1">
        <v>45516</v>
      </c>
      <c r="B32">
        <v>47.06</v>
      </c>
      <c r="C32">
        <v>5344.39</v>
      </c>
      <c r="D32">
        <f t="shared" si="0"/>
        <v>4.1620655531126843E-2</v>
      </c>
      <c r="E32">
        <f t="shared" si="1"/>
        <v>1.6707226654933075E-2</v>
      </c>
      <c r="G32">
        <f t="shared" si="2"/>
        <v>47.059833134920638</v>
      </c>
      <c r="H32">
        <f t="shared" si="3"/>
        <v>5344.389833134921</v>
      </c>
    </row>
    <row r="33" spans="1:8">
      <c r="A33" s="1">
        <v>45517</v>
      </c>
      <c r="B33">
        <v>49.06</v>
      </c>
      <c r="C33">
        <v>5434.43</v>
      </c>
      <c r="D33">
        <f t="shared" si="0"/>
        <v>-1.3337634878740427E-2</v>
      </c>
      <c r="E33">
        <f t="shared" si="1"/>
        <v>3.816476067632372E-3</v>
      </c>
      <c r="G33">
        <f t="shared" si="2"/>
        <v>49.059833134920638</v>
      </c>
      <c r="H33">
        <f t="shared" si="3"/>
        <v>5434.429833134921</v>
      </c>
    </row>
    <row r="34" spans="1:8">
      <c r="A34" s="1">
        <v>45518</v>
      </c>
      <c r="B34">
        <v>48.41</v>
      </c>
      <c r="C34">
        <v>5455.21</v>
      </c>
      <c r="D34">
        <f t="shared" si="0"/>
        <v>1.4356276099550197E-2</v>
      </c>
      <c r="E34">
        <f t="shared" si="1"/>
        <v>1.6004444012785939E-2</v>
      </c>
      <c r="G34">
        <f t="shared" si="2"/>
        <v>48.409833134920632</v>
      </c>
      <c r="H34">
        <f t="shared" si="3"/>
        <v>5455.2098331349207</v>
      </c>
    </row>
    <row r="35" spans="1:8">
      <c r="A35" s="1">
        <v>45519</v>
      </c>
      <c r="B35">
        <v>49.11</v>
      </c>
      <c r="C35">
        <v>5543.22</v>
      </c>
      <c r="D35">
        <f t="shared" ref="D35:D66" si="4">LN(B36/B35)</f>
        <v>5.0776995459790985E-3</v>
      </c>
      <c r="E35">
        <f t="shared" ref="E35:E66" si="5">LN(C36/C35)</f>
        <v>1.9878411263283945E-3</v>
      </c>
      <c r="G35">
        <f t="shared" si="2"/>
        <v>49.109833134920635</v>
      </c>
      <c r="H35">
        <f t="shared" si="3"/>
        <v>5543.2198331349209</v>
      </c>
    </row>
    <row r="36" spans="1:8">
      <c r="A36" s="1">
        <v>45520</v>
      </c>
      <c r="B36">
        <v>49.36</v>
      </c>
      <c r="C36">
        <v>5554.25</v>
      </c>
      <c r="D36">
        <f t="shared" si="4"/>
        <v>-1.2162985484880202E-3</v>
      </c>
      <c r="E36">
        <f t="shared" si="5"/>
        <v>9.6753274361777754E-3</v>
      </c>
      <c r="G36">
        <f t="shared" si="2"/>
        <v>49.359833134920635</v>
      </c>
      <c r="H36">
        <f t="shared" si="3"/>
        <v>5554.2498331349207</v>
      </c>
    </row>
    <row r="37" spans="1:8">
      <c r="A37" s="1">
        <v>45523</v>
      </c>
      <c r="B37">
        <v>49.3</v>
      </c>
      <c r="C37">
        <v>5608.25</v>
      </c>
      <c r="D37">
        <f t="shared" si="4"/>
        <v>-6.5120295246227419E-3</v>
      </c>
      <c r="E37">
        <f t="shared" si="5"/>
        <v>-1.9865481747165059E-3</v>
      </c>
      <c r="G37">
        <f t="shared" si="2"/>
        <v>49.299833134920632</v>
      </c>
      <c r="H37">
        <f t="shared" si="3"/>
        <v>5608.2498331349207</v>
      </c>
    </row>
    <row r="38" spans="1:8">
      <c r="A38" s="1">
        <v>45524</v>
      </c>
      <c r="B38">
        <v>48.98</v>
      </c>
      <c r="C38">
        <v>5597.12</v>
      </c>
      <c r="D38">
        <f t="shared" si="4"/>
        <v>-1.1086132839130181E-2</v>
      </c>
      <c r="E38">
        <f t="shared" si="5"/>
        <v>4.2307182841846242E-3</v>
      </c>
      <c r="G38">
        <f t="shared" si="2"/>
        <v>48.979833134920632</v>
      </c>
      <c r="H38">
        <f t="shared" si="3"/>
        <v>5597.1198331349206</v>
      </c>
    </row>
    <row r="39" spans="1:8">
      <c r="A39" s="1">
        <v>45525</v>
      </c>
      <c r="B39">
        <v>48.44</v>
      </c>
      <c r="C39">
        <v>5620.85</v>
      </c>
      <c r="D39">
        <f t="shared" si="4"/>
        <v>-1.707307762617476E-2</v>
      </c>
      <c r="E39">
        <f t="shared" si="5"/>
        <v>-8.9729494254644684E-3</v>
      </c>
      <c r="G39">
        <f t="shared" si="2"/>
        <v>48.439833134920633</v>
      </c>
      <c r="H39">
        <f t="shared" si="3"/>
        <v>5620.849833134921</v>
      </c>
    </row>
    <row r="40" spans="1:8">
      <c r="A40" s="1">
        <v>45526</v>
      </c>
      <c r="B40">
        <v>47.62</v>
      </c>
      <c r="C40">
        <v>5570.64</v>
      </c>
      <c r="D40">
        <f t="shared" si="4"/>
        <v>1.0237214652645717E-2</v>
      </c>
      <c r="E40">
        <f t="shared" si="5"/>
        <v>1.1417986208502448E-2</v>
      </c>
      <c r="G40">
        <f t="shared" si="2"/>
        <v>47.619833134920633</v>
      </c>
      <c r="H40">
        <f t="shared" si="3"/>
        <v>5570.639833134921</v>
      </c>
    </row>
    <row r="41" spans="1:8">
      <c r="A41" s="1">
        <v>45527</v>
      </c>
      <c r="B41">
        <v>48.11</v>
      </c>
      <c r="C41">
        <v>5634.61</v>
      </c>
      <c r="D41">
        <f t="shared" si="4"/>
        <v>2.6984967075677109E-3</v>
      </c>
      <c r="E41">
        <f t="shared" si="5"/>
        <v>-3.1587066155747872E-3</v>
      </c>
      <c r="G41">
        <f t="shared" si="2"/>
        <v>48.109833134920635</v>
      </c>
      <c r="H41">
        <f t="shared" si="3"/>
        <v>5634.6098331349203</v>
      </c>
    </row>
    <row r="42" spans="1:8">
      <c r="A42" s="1">
        <v>45530</v>
      </c>
      <c r="B42">
        <v>48.24</v>
      </c>
      <c r="C42">
        <v>5616.84</v>
      </c>
      <c r="D42">
        <f t="shared" si="4"/>
        <v>-2.4906613124519189E-3</v>
      </c>
      <c r="E42">
        <f t="shared" si="5"/>
        <v>1.5939320118754585E-3</v>
      </c>
      <c r="G42">
        <f t="shared" si="2"/>
        <v>48.239833134920637</v>
      </c>
      <c r="H42">
        <f t="shared" si="3"/>
        <v>5616.8398331349208</v>
      </c>
    </row>
    <row r="43" spans="1:8">
      <c r="A43" s="1">
        <v>45531</v>
      </c>
      <c r="B43">
        <v>48.12</v>
      </c>
      <c r="C43">
        <v>5625.8</v>
      </c>
      <c r="D43">
        <f t="shared" si="4"/>
        <v>1.9346147723865139E-2</v>
      </c>
      <c r="E43">
        <f t="shared" si="5"/>
        <v>-5.9939669454233853E-3</v>
      </c>
      <c r="G43">
        <f t="shared" si="2"/>
        <v>48.119833134920633</v>
      </c>
      <c r="H43">
        <f t="shared" si="3"/>
        <v>5625.7998331349208</v>
      </c>
    </row>
    <row r="44" spans="1:8">
      <c r="A44" s="1">
        <v>45532</v>
      </c>
      <c r="B44">
        <v>49.06</v>
      </c>
      <c r="C44">
        <v>5592.18</v>
      </c>
      <c r="D44">
        <f t="shared" si="4"/>
        <v>1.3363227812167158E-2</v>
      </c>
      <c r="E44">
        <f t="shared" si="5"/>
        <v>-3.934142455813639E-5</v>
      </c>
      <c r="G44">
        <f t="shared" si="2"/>
        <v>49.059833134920638</v>
      </c>
      <c r="H44">
        <f t="shared" si="3"/>
        <v>5592.179833134921</v>
      </c>
    </row>
    <row r="45" spans="1:8">
      <c r="A45" s="1">
        <v>45533</v>
      </c>
      <c r="B45">
        <v>49.72</v>
      </c>
      <c r="C45">
        <v>5591.96</v>
      </c>
      <c r="D45">
        <f t="shared" si="4"/>
        <v>4.6152384520522245E-3</v>
      </c>
      <c r="E45">
        <f t="shared" si="5"/>
        <v>1.0042467382856683E-2</v>
      </c>
      <c r="G45">
        <f t="shared" si="2"/>
        <v>49.719833134920634</v>
      </c>
      <c r="H45">
        <f t="shared" si="3"/>
        <v>5591.9598331349207</v>
      </c>
    </row>
    <row r="46" spans="1:8">
      <c r="A46" s="1">
        <v>45534</v>
      </c>
      <c r="B46">
        <v>49.95</v>
      </c>
      <c r="C46">
        <v>5648.4</v>
      </c>
      <c r="D46">
        <f t="shared" si="4"/>
        <v>1.1346792387727865E-2</v>
      </c>
      <c r="E46">
        <f t="shared" si="5"/>
        <v>-2.137801245458143E-2</v>
      </c>
      <c r="G46">
        <f t="shared" si="2"/>
        <v>49.949833134920638</v>
      </c>
      <c r="H46">
        <f t="shared" si="3"/>
        <v>5648.3998331349203</v>
      </c>
    </row>
    <row r="47" spans="1:8">
      <c r="A47" s="1">
        <v>45538</v>
      </c>
      <c r="B47">
        <v>50.52</v>
      </c>
      <c r="C47">
        <v>5528.93</v>
      </c>
      <c r="D47">
        <f t="shared" si="4"/>
        <v>-1.1146612224913434E-2</v>
      </c>
      <c r="E47">
        <f t="shared" si="5"/>
        <v>-1.6037653903594354E-3</v>
      </c>
      <c r="G47">
        <f t="shared" si="2"/>
        <v>50.519833134920638</v>
      </c>
      <c r="H47">
        <f t="shared" si="3"/>
        <v>5528.929833134921</v>
      </c>
    </row>
    <row r="48" spans="1:8">
      <c r="A48" s="1">
        <v>45539</v>
      </c>
      <c r="B48">
        <v>49.96</v>
      </c>
      <c r="C48">
        <v>5520.07</v>
      </c>
      <c r="D48">
        <f t="shared" si="4"/>
        <v>-3.2077012267697313E-3</v>
      </c>
      <c r="E48">
        <f t="shared" si="5"/>
        <v>-3.0226412501879545E-3</v>
      </c>
      <c r="G48">
        <f t="shared" si="2"/>
        <v>49.959833134920636</v>
      </c>
      <c r="H48">
        <f t="shared" si="3"/>
        <v>5520.0698331349204</v>
      </c>
    </row>
    <row r="49" spans="1:8">
      <c r="A49" s="1">
        <v>45540</v>
      </c>
      <c r="B49">
        <v>49.8</v>
      </c>
      <c r="C49">
        <v>5503.41</v>
      </c>
      <c r="D49">
        <f t="shared" si="4"/>
        <v>-2.2335953942063076E-2</v>
      </c>
      <c r="E49">
        <f t="shared" si="5"/>
        <v>-1.7410901670867562E-2</v>
      </c>
      <c r="G49">
        <f t="shared" si="2"/>
        <v>49.799833134920632</v>
      </c>
      <c r="H49">
        <f t="shared" si="3"/>
        <v>5503.4098331349205</v>
      </c>
    </row>
    <row r="50" spans="1:8">
      <c r="A50" s="1">
        <v>45541</v>
      </c>
      <c r="B50">
        <v>48.7</v>
      </c>
      <c r="C50">
        <v>5408.42</v>
      </c>
      <c r="D50">
        <f t="shared" si="4"/>
        <v>-4.1152321451066549E-3</v>
      </c>
      <c r="E50">
        <f t="shared" si="5"/>
        <v>1.1513555690021488E-2</v>
      </c>
      <c r="G50">
        <f t="shared" si="2"/>
        <v>48.699833134920638</v>
      </c>
      <c r="H50">
        <f t="shared" si="3"/>
        <v>5408.4198331349207</v>
      </c>
    </row>
    <row r="51" spans="1:8">
      <c r="A51" s="1">
        <v>45544</v>
      </c>
      <c r="B51">
        <v>48.5</v>
      </c>
      <c r="C51">
        <v>5471.05</v>
      </c>
      <c r="D51">
        <f t="shared" si="4"/>
        <v>1.5954521281826901E-2</v>
      </c>
      <c r="E51">
        <f t="shared" si="5"/>
        <v>4.4626607244902189E-3</v>
      </c>
      <c r="G51">
        <f t="shared" si="2"/>
        <v>48.499833134920635</v>
      </c>
      <c r="H51">
        <f t="shared" si="3"/>
        <v>5471.0498331349208</v>
      </c>
    </row>
    <row r="52" spans="1:8">
      <c r="A52" s="1">
        <v>45545</v>
      </c>
      <c r="B52">
        <v>49.28</v>
      </c>
      <c r="C52">
        <v>5495.52</v>
      </c>
      <c r="D52">
        <f t="shared" si="4"/>
        <v>-1.4100570807452698E-2</v>
      </c>
      <c r="E52">
        <f t="shared" si="5"/>
        <v>1.0608580303038784E-2</v>
      </c>
      <c r="G52">
        <f t="shared" si="2"/>
        <v>49.279833134920636</v>
      </c>
      <c r="H52">
        <f t="shared" si="3"/>
        <v>5495.5198331349211</v>
      </c>
    </row>
    <row r="53" spans="1:8">
      <c r="A53" s="1">
        <v>45546</v>
      </c>
      <c r="B53">
        <v>48.59</v>
      </c>
      <c r="C53">
        <v>5554.13</v>
      </c>
      <c r="D53">
        <f t="shared" si="4"/>
        <v>-7.2291959988816353E-3</v>
      </c>
      <c r="E53">
        <f t="shared" si="5"/>
        <v>7.46737294203047E-3</v>
      </c>
      <c r="G53">
        <f t="shared" si="2"/>
        <v>48.589833134920639</v>
      </c>
      <c r="H53">
        <f t="shared" si="3"/>
        <v>5554.1298331349208</v>
      </c>
    </row>
    <row r="54" spans="1:8">
      <c r="A54" s="1">
        <v>45547</v>
      </c>
      <c r="B54">
        <v>48.24</v>
      </c>
      <c r="C54">
        <v>5595.76</v>
      </c>
      <c r="D54">
        <f t="shared" si="4"/>
        <v>1.8281293761626828E-2</v>
      </c>
      <c r="E54">
        <f t="shared" si="5"/>
        <v>5.3930968783714164E-3</v>
      </c>
      <c r="G54">
        <f t="shared" si="2"/>
        <v>48.239833134920637</v>
      </c>
      <c r="H54">
        <f t="shared" si="3"/>
        <v>5595.7598331349209</v>
      </c>
    </row>
    <row r="55" spans="1:8">
      <c r="A55" s="1">
        <v>45548</v>
      </c>
      <c r="B55">
        <v>49.13</v>
      </c>
      <c r="C55">
        <v>5626.02</v>
      </c>
      <c r="D55">
        <f t="shared" si="4"/>
        <v>1.7353139244922062E-2</v>
      </c>
      <c r="E55">
        <f t="shared" si="5"/>
        <v>1.2558720767880025E-3</v>
      </c>
      <c r="G55">
        <f t="shared" si="2"/>
        <v>49.129833134920638</v>
      </c>
      <c r="H55">
        <f t="shared" si="3"/>
        <v>5626.0198331349211</v>
      </c>
    </row>
    <row r="56" spans="1:8">
      <c r="A56" s="1">
        <v>45551</v>
      </c>
      <c r="B56">
        <v>49.99</v>
      </c>
      <c r="C56">
        <v>5633.09</v>
      </c>
      <c r="D56">
        <f t="shared" si="4"/>
        <v>-1.0052356461684319E-2</v>
      </c>
      <c r="E56">
        <f t="shared" si="5"/>
        <v>2.6447349073670164E-4</v>
      </c>
      <c r="G56">
        <f t="shared" si="2"/>
        <v>49.989833134920637</v>
      </c>
      <c r="H56">
        <f t="shared" si="3"/>
        <v>5633.0898331349208</v>
      </c>
    </row>
    <row r="57" spans="1:8">
      <c r="A57" s="1">
        <v>45552</v>
      </c>
      <c r="B57">
        <v>49.49</v>
      </c>
      <c r="C57">
        <v>5634.58</v>
      </c>
      <c r="D57">
        <f t="shared" si="4"/>
        <v>5.0388094114638829E-3</v>
      </c>
      <c r="E57">
        <f t="shared" si="5"/>
        <v>-2.9006031263851696E-3</v>
      </c>
      <c r="G57">
        <f t="shared" si="2"/>
        <v>49.489833134920637</v>
      </c>
      <c r="H57">
        <f t="shared" si="3"/>
        <v>5634.5798331349206</v>
      </c>
    </row>
    <row r="58" spans="1:8">
      <c r="A58" s="1">
        <v>45553</v>
      </c>
      <c r="B58">
        <v>49.74</v>
      </c>
      <c r="C58">
        <v>5618.26</v>
      </c>
      <c r="D58">
        <f t="shared" si="4"/>
        <v>-1.4581060275292103E-2</v>
      </c>
      <c r="E58">
        <f t="shared" si="5"/>
        <v>1.6834291247586949E-2</v>
      </c>
      <c r="G58">
        <f t="shared" si="2"/>
        <v>49.739833134920637</v>
      </c>
      <c r="H58">
        <f t="shared" si="3"/>
        <v>5618.2598331349209</v>
      </c>
    </row>
    <row r="59" spans="1:8">
      <c r="A59" s="1">
        <v>45554</v>
      </c>
      <c r="B59">
        <v>49.02</v>
      </c>
      <c r="C59">
        <v>5713.64</v>
      </c>
      <c r="D59">
        <f t="shared" si="4"/>
        <v>7.9244547576919708E-3</v>
      </c>
      <c r="E59">
        <f t="shared" si="5"/>
        <v>-1.942855451501775E-3</v>
      </c>
      <c r="G59">
        <f t="shared" si="2"/>
        <v>49.019833134920638</v>
      </c>
      <c r="H59">
        <f t="shared" si="3"/>
        <v>5713.639833134921</v>
      </c>
    </row>
    <row r="60" spans="1:8">
      <c r="A60" s="1">
        <v>45555</v>
      </c>
      <c r="B60">
        <v>49.41</v>
      </c>
      <c r="C60">
        <v>5702.55</v>
      </c>
      <c r="D60">
        <f t="shared" si="4"/>
        <v>1.2070152573153791E-2</v>
      </c>
      <c r="E60">
        <f t="shared" si="5"/>
        <v>2.8053309143568263E-3</v>
      </c>
      <c r="G60">
        <f t="shared" si="2"/>
        <v>49.409833134920632</v>
      </c>
      <c r="H60">
        <f t="shared" si="3"/>
        <v>5702.5498331349208</v>
      </c>
    </row>
    <row r="61" spans="1:8">
      <c r="A61" s="1">
        <v>45558</v>
      </c>
      <c r="B61">
        <v>50.01</v>
      </c>
      <c r="C61">
        <v>5718.57</v>
      </c>
      <c r="D61">
        <f t="shared" si="4"/>
        <v>1.8425484120498728E-2</v>
      </c>
      <c r="E61">
        <f t="shared" si="5"/>
        <v>2.5079697029956895E-3</v>
      </c>
      <c r="G61">
        <f t="shared" si="2"/>
        <v>50.009833134920633</v>
      </c>
      <c r="H61">
        <f t="shared" si="3"/>
        <v>5718.5698331349204</v>
      </c>
    </row>
    <row r="62" spans="1:8">
      <c r="A62" s="1">
        <v>45559</v>
      </c>
      <c r="B62">
        <v>50.94</v>
      </c>
      <c r="C62">
        <v>5732.93</v>
      </c>
      <c r="D62">
        <f t="shared" si="4"/>
        <v>-1.962596445674834E-2</v>
      </c>
      <c r="E62">
        <f t="shared" si="5"/>
        <v>-1.8629115860669923E-3</v>
      </c>
      <c r="G62">
        <f t="shared" si="2"/>
        <v>50.939833134920633</v>
      </c>
      <c r="H62">
        <f t="shared" si="3"/>
        <v>5732.929833134921</v>
      </c>
    </row>
    <row r="63" spans="1:8">
      <c r="A63" s="1">
        <v>45560</v>
      </c>
      <c r="B63">
        <v>49.95</v>
      </c>
      <c r="C63">
        <v>5722.26</v>
      </c>
      <c r="D63">
        <f t="shared" si="4"/>
        <v>3.3976249333050167E-3</v>
      </c>
      <c r="E63">
        <f t="shared" si="5"/>
        <v>4.0304808028723289E-3</v>
      </c>
      <c r="G63">
        <f t="shared" si="2"/>
        <v>49.949833134920638</v>
      </c>
      <c r="H63">
        <f t="shared" si="3"/>
        <v>5722.2598331349209</v>
      </c>
    </row>
    <row r="64" spans="1:8">
      <c r="A64" s="1">
        <v>45561</v>
      </c>
      <c r="B64">
        <v>50.12</v>
      </c>
      <c r="C64">
        <v>5745.37</v>
      </c>
      <c r="D64">
        <f t="shared" si="4"/>
        <v>1.5639237886377007E-2</v>
      </c>
      <c r="E64">
        <f t="shared" si="5"/>
        <v>-1.2539688882457197E-3</v>
      </c>
      <c r="G64">
        <f t="shared" si="2"/>
        <v>50.119833134920633</v>
      </c>
      <c r="H64">
        <f t="shared" si="3"/>
        <v>5745.3698331349206</v>
      </c>
    </row>
    <row r="65" spans="1:8">
      <c r="A65" s="1">
        <v>45562</v>
      </c>
      <c r="B65">
        <v>50.91</v>
      </c>
      <c r="C65">
        <v>5738.17</v>
      </c>
      <c r="D65">
        <f t="shared" si="4"/>
        <v>1.6171808843638648E-2</v>
      </c>
      <c r="E65">
        <f t="shared" si="5"/>
        <v>4.227593432856073E-3</v>
      </c>
      <c r="G65">
        <f t="shared" si="2"/>
        <v>50.909833134920632</v>
      </c>
      <c r="H65">
        <f t="shared" si="3"/>
        <v>5738.1698331349207</v>
      </c>
    </row>
    <row r="66" spans="1:8">
      <c r="A66" s="1">
        <v>45565</v>
      </c>
      <c r="B66">
        <v>51.74</v>
      </c>
      <c r="C66">
        <v>5762.48</v>
      </c>
      <c r="D66">
        <f t="shared" si="4"/>
        <v>2.2172162106370536E-2</v>
      </c>
      <c r="E66">
        <f t="shared" si="5"/>
        <v>-9.3678520838370288E-3</v>
      </c>
      <c r="G66">
        <f t="shared" si="2"/>
        <v>51.739833134920637</v>
      </c>
      <c r="H66">
        <f t="shared" si="3"/>
        <v>5762.4798331349202</v>
      </c>
    </row>
    <row r="67" spans="1:8">
      <c r="A67" s="1">
        <v>45566</v>
      </c>
      <c r="B67">
        <v>52.9</v>
      </c>
      <c r="C67">
        <v>5708.75</v>
      </c>
      <c r="D67">
        <f t="shared" ref="D67:D98" si="6">LN(B68/B67)</f>
        <v>1.6126357350640427E-2</v>
      </c>
      <c r="E67">
        <f t="shared" ref="E67:E98" si="7">LN(C68/C67)</f>
        <v>1.3837448536698041E-4</v>
      </c>
      <c r="G67">
        <f t="shared" si="2"/>
        <v>52.899833134920634</v>
      </c>
      <c r="H67">
        <f t="shared" si="3"/>
        <v>5708.7498331349207</v>
      </c>
    </row>
    <row r="68" spans="1:8">
      <c r="A68" s="1">
        <v>45567</v>
      </c>
      <c r="B68">
        <v>53.76</v>
      </c>
      <c r="C68">
        <v>5709.54</v>
      </c>
      <c r="D68">
        <f t="shared" si="6"/>
        <v>8.1512122307065577E-3</v>
      </c>
      <c r="E68">
        <f t="shared" si="7"/>
        <v>-1.6828115331257495E-3</v>
      </c>
      <c r="G68">
        <f t="shared" ref="G68:G131" si="8">B68-$F$2/252</f>
        <v>53.759833134920633</v>
      </c>
      <c r="H68">
        <f t="shared" ref="H68:H131" si="9">C68-$F$2/252</f>
        <v>5709.5398331349206</v>
      </c>
    </row>
    <row r="69" spans="1:8">
      <c r="A69" s="1">
        <v>45568</v>
      </c>
      <c r="B69">
        <v>54.2</v>
      </c>
      <c r="C69">
        <v>5699.94</v>
      </c>
      <c r="D69">
        <f t="shared" si="6"/>
        <v>-4.4378771060454448E-3</v>
      </c>
      <c r="E69">
        <f t="shared" si="7"/>
        <v>8.9302759844378885E-3</v>
      </c>
      <c r="G69">
        <f t="shared" si="8"/>
        <v>54.199833134920638</v>
      </c>
      <c r="H69">
        <f t="shared" si="9"/>
        <v>5699.9398331349203</v>
      </c>
    </row>
    <row r="70" spans="1:8">
      <c r="A70" s="1">
        <v>45569</v>
      </c>
      <c r="B70">
        <v>53.96</v>
      </c>
      <c r="C70">
        <v>5751.07</v>
      </c>
      <c r="D70">
        <f t="shared" si="6"/>
        <v>-9.6835021111648916E-3</v>
      </c>
      <c r="E70">
        <f t="shared" si="7"/>
        <v>-9.6322841074211688E-3</v>
      </c>
      <c r="G70">
        <f t="shared" si="8"/>
        <v>53.959833134920636</v>
      </c>
      <c r="H70">
        <f t="shared" si="9"/>
        <v>5751.0698331349204</v>
      </c>
    </row>
    <row r="71" spans="1:8">
      <c r="A71" s="1">
        <v>45572</v>
      </c>
      <c r="B71">
        <v>53.44</v>
      </c>
      <c r="C71">
        <v>5695.94</v>
      </c>
      <c r="D71">
        <f t="shared" si="6"/>
        <v>-1.8127384592556715E-2</v>
      </c>
      <c r="E71">
        <f t="shared" si="7"/>
        <v>9.6427168941927138E-3</v>
      </c>
      <c r="G71">
        <f t="shared" si="8"/>
        <v>53.439833134920633</v>
      </c>
      <c r="H71">
        <f t="shared" si="9"/>
        <v>5695.9398331349203</v>
      </c>
    </row>
    <row r="72" spans="1:8">
      <c r="A72" s="1">
        <v>45573</v>
      </c>
      <c r="B72">
        <v>52.48</v>
      </c>
      <c r="C72">
        <v>5751.13</v>
      </c>
      <c r="D72">
        <f t="shared" si="6"/>
        <v>6.0790460763821925E-3</v>
      </c>
      <c r="E72">
        <f t="shared" si="7"/>
        <v>7.0882038963943272E-3</v>
      </c>
      <c r="G72">
        <f t="shared" si="8"/>
        <v>52.479833134920632</v>
      </c>
      <c r="H72">
        <f t="shared" si="9"/>
        <v>5751.1298331349208</v>
      </c>
    </row>
    <row r="73" spans="1:8">
      <c r="A73" s="1">
        <v>45574</v>
      </c>
      <c r="B73">
        <v>52.8</v>
      </c>
      <c r="C73">
        <v>5792.04</v>
      </c>
      <c r="D73">
        <f t="shared" si="6"/>
        <v>-7.6045993852193036E-3</v>
      </c>
      <c r="E73">
        <f t="shared" si="7"/>
        <v>-2.0722279710146596E-3</v>
      </c>
      <c r="G73">
        <f t="shared" si="8"/>
        <v>52.799833134920632</v>
      </c>
      <c r="H73">
        <f t="shared" si="9"/>
        <v>5792.0398331349206</v>
      </c>
    </row>
    <row r="74" spans="1:8">
      <c r="A74" s="1">
        <v>45575</v>
      </c>
      <c r="B74">
        <v>52.4</v>
      </c>
      <c r="C74">
        <v>5780.05</v>
      </c>
      <c r="D74">
        <f t="shared" si="6"/>
        <v>-3.8240964384033942E-3</v>
      </c>
      <c r="E74">
        <f t="shared" si="7"/>
        <v>6.0336118627852325E-3</v>
      </c>
      <c r="G74">
        <f t="shared" si="8"/>
        <v>52.399833134920634</v>
      </c>
      <c r="H74">
        <f t="shared" si="9"/>
        <v>5780.0498331349208</v>
      </c>
    </row>
    <row r="75" spans="1:8">
      <c r="A75" s="1">
        <v>45576</v>
      </c>
      <c r="B75">
        <v>52.2</v>
      </c>
      <c r="C75">
        <v>5815.03</v>
      </c>
      <c r="D75">
        <f t="shared" si="6"/>
        <v>8.9635386067048132E-3</v>
      </c>
      <c r="E75">
        <f t="shared" si="7"/>
        <v>7.6780609629941675E-3</v>
      </c>
      <c r="G75">
        <f t="shared" si="8"/>
        <v>52.199833134920638</v>
      </c>
      <c r="H75">
        <f t="shared" si="9"/>
        <v>5815.0298331349204</v>
      </c>
    </row>
    <row r="76" spans="1:8">
      <c r="A76" s="1">
        <v>45579</v>
      </c>
      <c r="B76">
        <v>52.67</v>
      </c>
      <c r="C76">
        <v>5859.85</v>
      </c>
      <c r="D76">
        <f t="shared" si="6"/>
        <v>1.7072943538157231E-3</v>
      </c>
      <c r="E76">
        <f t="shared" si="7"/>
        <v>-7.6385090687541464E-3</v>
      </c>
      <c r="G76">
        <f t="shared" si="8"/>
        <v>52.669833134920637</v>
      </c>
      <c r="H76">
        <f t="shared" si="9"/>
        <v>5859.849833134921</v>
      </c>
    </row>
    <row r="77" spans="1:8">
      <c r="A77" s="1">
        <v>45580</v>
      </c>
      <c r="B77">
        <v>52.76</v>
      </c>
      <c r="C77">
        <v>5815.26</v>
      </c>
      <c r="D77">
        <f t="shared" si="6"/>
        <v>1.149546249673955E-2</v>
      </c>
      <c r="E77">
        <f t="shared" si="7"/>
        <v>4.6681557065759915E-3</v>
      </c>
      <c r="G77">
        <f t="shared" si="8"/>
        <v>52.759833134920633</v>
      </c>
      <c r="H77">
        <f t="shared" si="9"/>
        <v>5815.2598331349209</v>
      </c>
    </row>
    <row r="78" spans="1:8">
      <c r="A78" s="1">
        <v>45581</v>
      </c>
      <c r="B78">
        <v>53.37</v>
      </c>
      <c r="C78">
        <v>5842.47</v>
      </c>
      <c r="D78">
        <f t="shared" si="6"/>
        <v>-3.5664045309796505E-3</v>
      </c>
      <c r="E78">
        <f t="shared" si="7"/>
        <v>-1.7117513483320916E-4</v>
      </c>
      <c r="G78">
        <f t="shared" si="8"/>
        <v>53.369833134920633</v>
      </c>
      <c r="H78">
        <f t="shared" si="9"/>
        <v>5842.4698331349209</v>
      </c>
    </row>
    <row r="79" spans="1:8">
      <c r="A79" s="1">
        <v>45582</v>
      </c>
      <c r="B79">
        <v>53.18</v>
      </c>
      <c r="C79">
        <v>5841.47</v>
      </c>
      <c r="D79">
        <f t="shared" si="6"/>
        <v>7.5187973466945299E-4</v>
      </c>
      <c r="E79">
        <f t="shared" si="7"/>
        <v>3.9637370431245362E-3</v>
      </c>
      <c r="G79">
        <f t="shared" si="8"/>
        <v>53.179833134920635</v>
      </c>
      <c r="H79">
        <f t="shared" si="9"/>
        <v>5841.4698331349209</v>
      </c>
    </row>
    <row r="80" spans="1:8">
      <c r="A80" s="1">
        <v>45583</v>
      </c>
      <c r="B80">
        <v>53.22</v>
      </c>
      <c r="C80">
        <v>5864.67</v>
      </c>
      <c r="D80">
        <f t="shared" si="6"/>
        <v>-2.0885513292898807E-2</v>
      </c>
      <c r="E80">
        <f t="shared" si="7"/>
        <v>-1.8244427413090425E-3</v>
      </c>
      <c r="G80">
        <f t="shared" si="8"/>
        <v>53.219833134920634</v>
      </c>
      <c r="H80">
        <f t="shared" si="9"/>
        <v>5864.6698331349207</v>
      </c>
    </row>
    <row r="81" spans="1:8">
      <c r="A81" s="1">
        <v>45586</v>
      </c>
      <c r="B81">
        <v>52.12</v>
      </c>
      <c r="C81">
        <v>5853.98</v>
      </c>
      <c r="D81">
        <f t="shared" si="6"/>
        <v>1.2204575592469451E-2</v>
      </c>
      <c r="E81">
        <f t="shared" si="7"/>
        <v>-4.7500338350551163E-4</v>
      </c>
      <c r="G81">
        <f t="shared" si="8"/>
        <v>52.119833134920633</v>
      </c>
      <c r="H81">
        <f t="shared" si="9"/>
        <v>5853.9798331349202</v>
      </c>
    </row>
    <row r="82" spans="1:8">
      <c r="A82" s="1">
        <v>45587</v>
      </c>
      <c r="B82">
        <v>52.76</v>
      </c>
      <c r="C82">
        <v>5851.2</v>
      </c>
      <c r="D82">
        <f t="shared" si="6"/>
        <v>5.6700208604799213E-3</v>
      </c>
      <c r="E82">
        <f t="shared" si="7"/>
        <v>-9.2337774119530536E-3</v>
      </c>
      <c r="G82">
        <f t="shared" si="8"/>
        <v>52.759833134920633</v>
      </c>
      <c r="H82">
        <f t="shared" si="9"/>
        <v>5851.1998331349205</v>
      </c>
    </row>
    <row r="83" spans="1:8">
      <c r="A83" s="1">
        <v>45588</v>
      </c>
      <c r="B83">
        <v>53.06</v>
      </c>
      <c r="C83">
        <v>5797.42</v>
      </c>
      <c r="D83">
        <f t="shared" si="6"/>
        <v>-2.6420094628386965E-3</v>
      </c>
      <c r="E83">
        <f t="shared" si="7"/>
        <v>2.1434831869283494E-3</v>
      </c>
      <c r="G83">
        <f t="shared" si="8"/>
        <v>53.059833134920638</v>
      </c>
      <c r="H83">
        <f t="shared" si="9"/>
        <v>5797.4198331349207</v>
      </c>
    </row>
    <row r="84" spans="1:8">
      <c r="A84" s="1">
        <v>45589</v>
      </c>
      <c r="B84">
        <v>52.92</v>
      </c>
      <c r="C84">
        <v>5809.86</v>
      </c>
      <c r="D84">
        <f t="shared" si="6"/>
        <v>-1.907726685092034E-2</v>
      </c>
      <c r="E84">
        <f t="shared" si="7"/>
        <v>-2.9953572187414154E-4</v>
      </c>
      <c r="G84">
        <f t="shared" si="8"/>
        <v>52.919833134920637</v>
      </c>
      <c r="H84">
        <f t="shared" si="9"/>
        <v>5809.8598331349203</v>
      </c>
    </row>
    <row r="85" spans="1:8">
      <c r="A85" s="1">
        <v>45590</v>
      </c>
      <c r="B85">
        <v>51.92</v>
      </c>
      <c r="C85">
        <v>5808.12</v>
      </c>
      <c r="D85">
        <f t="shared" si="6"/>
        <v>1.377221462122709E-2</v>
      </c>
      <c r="E85">
        <f t="shared" si="7"/>
        <v>2.6479514493707988E-3</v>
      </c>
      <c r="G85">
        <f t="shared" si="8"/>
        <v>51.919833134920637</v>
      </c>
      <c r="H85">
        <f t="shared" si="9"/>
        <v>5808.1198331349206</v>
      </c>
    </row>
    <row r="86" spans="1:8">
      <c r="A86" s="1">
        <v>45593</v>
      </c>
      <c r="B86">
        <v>52.64</v>
      </c>
      <c r="C86">
        <v>5823.52</v>
      </c>
      <c r="D86">
        <f t="shared" si="6"/>
        <v>-2.6631174194836618E-3</v>
      </c>
      <c r="E86">
        <f t="shared" si="7"/>
        <v>1.6128426925638532E-3</v>
      </c>
      <c r="G86">
        <f t="shared" si="8"/>
        <v>52.639833134920636</v>
      </c>
      <c r="H86">
        <f t="shared" si="9"/>
        <v>5823.5198331349211</v>
      </c>
    </row>
    <row r="87" spans="1:8">
      <c r="A87" s="1">
        <v>45594</v>
      </c>
      <c r="B87">
        <v>52.5</v>
      </c>
      <c r="C87">
        <v>5832.92</v>
      </c>
      <c r="D87">
        <f t="shared" si="6"/>
        <v>3.0429844705852005E-3</v>
      </c>
      <c r="E87">
        <f t="shared" si="7"/>
        <v>-3.3056916281390038E-3</v>
      </c>
      <c r="G87">
        <f t="shared" si="8"/>
        <v>52.499833134920635</v>
      </c>
      <c r="H87">
        <f t="shared" si="9"/>
        <v>5832.9198331349207</v>
      </c>
    </row>
    <row r="88" spans="1:8">
      <c r="A88" s="1">
        <v>45595</v>
      </c>
      <c r="B88">
        <v>52.66</v>
      </c>
      <c r="C88">
        <v>5813.67</v>
      </c>
      <c r="D88">
        <f t="shared" si="6"/>
        <v>5.7379936333299152E-2</v>
      </c>
      <c r="E88">
        <f t="shared" si="7"/>
        <v>-1.8790182599519829E-2</v>
      </c>
      <c r="G88">
        <f t="shared" si="8"/>
        <v>52.659833134920632</v>
      </c>
      <c r="H88">
        <f t="shared" si="9"/>
        <v>5813.6698331349207</v>
      </c>
    </row>
    <row r="89" spans="1:8">
      <c r="A89" s="1">
        <v>45596</v>
      </c>
      <c r="B89">
        <v>55.77</v>
      </c>
      <c r="C89">
        <v>5705.45</v>
      </c>
      <c r="D89">
        <f t="shared" si="6"/>
        <v>-2.6343607151021697E-2</v>
      </c>
      <c r="E89">
        <f t="shared" si="7"/>
        <v>4.0842263302362366E-3</v>
      </c>
      <c r="G89">
        <f t="shared" si="8"/>
        <v>55.769833134920638</v>
      </c>
      <c r="H89">
        <f t="shared" si="9"/>
        <v>5705.4498331349205</v>
      </c>
    </row>
    <row r="90" spans="1:8">
      <c r="A90" s="1">
        <v>45597</v>
      </c>
      <c r="B90">
        <v>54.32</v>
      </c>
      <c r="C90">
        <v>5728.8</v>
      </c>
      <c r="D90">
        <f t="shared" si="6"/>
        <v>2.0589230545935498E-2</v>
      </c>
      <c r="E90">
        <f t="shared" si="7"/>
        <v>-2.8160686495115016E-3</v>
      </c>
      <c r="G90">
        <f t="shared" si="8"/>
        <v>54.319833134920636</v>
      </c>
      <c r="H90">
        <f t="shared" si="9"/>
        <v>5728.7998331349208</v>
      </c>
    </row>
    <row r="91" spans="1:8">
      <c r="A91" s="1">
        <v>45600</v>
      </c>
      <c r="B91">
        <v>55.45</v>
      </c>
      <c r="C91">
        <v>5712.69</v>
      </c>
      <c r="D91">
        <f t="shared" si="6"/>
        <v>8.9767209615581253E-3</v>
      </c>
      <c r="E91">
        <f t="shared" si="7"/>
        <v>1.219106130274809E-2</v>
      </c>
      <c r="G91">
        <f t="shared" si="8"/>
        <v>55.449833134920638</v>
      </c>
      <c r="H91">
        <f t="shared" si="9"/>
        <v>5712.6898331349203</v>
      </c>
    </row>
    <row r="92" spans="1:8">
      <c r="A92" s="1">
        <v>45601</v>
      </c>
      <c r="B92">
        <v>55.95</v>
      </c>
      <c r="C92">
        <v>5782.76</v>
      </c>
      <c r="D92">
        <f t="shared" si="6"/>
        <v>-1.2047255298519776E-2</v>
      </c>
      <c r="E92">
        <f t="shared" si="7"/>
        <v>2.4981233838896531E-2</v>
      </c>
      <c r="G92">
        <f t="shared" si="8"/>
        <v>55.949833134920638</v>
      </c>
      <c r="H92">
        <f t="shared" si="9"/>
        <v>5782.7598331349209</v>
      </c>
    </row>
    <row r="93" spans="1:8">
      <c r="A93" s="1">
        <v>45602</v>
      </c>
      <c r="B93">
        <v>55.28</v>
      </c>
      <c r="C93">
        <v>5929.04</v>
      </c>
      <c r="D93">
        <f t="shared" si="6"/>
        <v>-1.0364671383679941E-2</v>
      </c>
      <c r="E93">
        <f t="shared" si="7"/>
        <v>7.4037444129894632E-3</v>
      </c>
      <c r="G93">
        <f t="shared" si="8"/>
        <v>55.279833134920636</v>
      </c>
      <c r="H93">
        <f t="shared" si="9"/>
        <v>5929.0398331349206</v>
      </c>
    </row>
    <row r="94" spans="1:8">
      <c r="A94" s="1">
        <v>45603</v>
      </c>
      <c r="B94">
        <v>54.71</v>
      </c>
      <c r="C94">
        <v>5973.1</v>
      </c>
      <c r="D94">
        <f t="shared" si="6"/>
        <v>-1.0473223889579405E-2</v>
      </c>
      <c r="E94">
        <f t="shared" si="7"/>
        <v>3.7498038697994338E-3</v>
      </c>
      <c r="G94">
        <f t="shared" si="8"/>
        <v>54.709833134920636</v>
      </c>
      <c r="H94">
        <f t="shared" si="9"/>
        <v>5973.099833134921</v>
      </c>
    </row>
    <row r="95" spans="1:8">
      <c r="A95" s="1">
        <v>45604</v>
      </c>
      <c r="B95">
        <v>54.14</v>
      </c>
      <c r="C95">
        <v>5995.54</v>
      </c>
      <c r="D95">
        <f t="shared" si="6"/>
        <v>9.9766769015646739E-2</v>
      </c>
      <c r="E95">
        <f t="shared" si="7"/>
        <v>9.6858443383637458E-4</v>
      </c>
      <c r="G95">
        <f t="shared" si="8"/>
        <v>54.139833134920636</v>
      </c>
      <c r="H95">
        <f t="shared" si="9"/>
        <v>5995.5398331349206</v>
      </c>
    </row>
    <row r="96" spans="1:8">
      <c r="A96" s="1">
        <v>45607</v>
      </c>
      <c r="B96">
        <v>59.82</v>
      </c>
      <c r="C96">
        <v>6001.35</v>
      </c>
      <c r="D96">
        <f t="shared" si="6"/>
        <v>-1.3463683687008586E-2</v>
      </c>
      <c r="E96">
        <f t="shared" si="7"/>
        <v>-2.8968743715661891E-3</v>
      </c>
      <c r="G96">
        <f t="shared" si="8"/>
        <v>59.819833134920636</v>
      </c>
      <c r="H96">
        <f t="shared" si="9"/>
        <v>6001.349833134921</v>
      </c>
    </row>
    <row r="97" spans="1:8">
      <c r="A97" s="1">
        <v>45608</v>
      </c>
      <c r="B97">
        <v>59.02</v>
      </c>
      <c r="C97">
        <v>5983.99</v>
      </c>
      <c r="D97">
        <f t="shared" si="6"/>
        <v>-1.0389261462575494E-2</v>
      </c>
      <c r="E97">
        <f t="shared" si="7"/>
        <v>2.322595101076364E-4</v>
      </c>
      <c r="G97">
        <f t="shared" si="8"/>
        <v>59.019833134920638</v>
      </c>
      <c r="H97">
        <f t="shared" si="9"/>
        <v>5983.9898331349204</v>
      </c>
    </row>
    <row r="98" spans="1:8">
      <c r="A98" s="1">
        <v>45609</v>
      </c>
      <c r="B98">
        <v>58.41</v>
      </c>
      <c r="C98">
        <v>5985.38</v>
      </c>
      <c r="D98">
        <f t="shared" si="6"/>
        <v>1.5396461855928362E-3</v>
      </c>
      <c r="E98">
        <f t="shared" si="7"/>
        <v>-6.0681150291174617E-3</v>
      </c>
      <c r="G98">
        <f t="shared" si="8"/>
        <v>58.409833134920632</v>
      </c>
      <c r="H98">
        <f t="shared" si="9"/>
        <v>5985.3798331349208</v>
      </c>
    </row>
    <row r="99" spans="1:8">
      <c r="A99" s="1">
        <v>45610</v>
      </c>
      <c r="B99">
        <v>58.5</v>
      </c>
      <c r="C99">
        <v>5949.17</v>
      </c>
      <c r="D99">
        <f t="shared" ref="D99:D130" si="10">LN(B100/B99)</f>
        <v>-3.9754188759424984E-2</v>
      </c>
      <c r="E99">
        <f t="shared" ref="E99:E130" si="11">LN(C100/C99)</f>
        <v>-1.3291463960568205E-2</v>
      </c>
      <c r="G99">
        <f t="shared" si="8"/>
        <v>58.499833134920635</v>
      </c>
      <c r="H99">
        <f t="shared" si="9"/>
        <v>5949.1698331349207</v>
      </c>
    </row>
    <row r="100" spans="1:8">
      <c r="A100" s="1">
        <v>45611</v>
      </c>
      <c r="B100">
        <v>56.22</v>
      </c>
      <c r="C100">
        <v>5870.62</v>
      </c>
      <c r="D100">
        <f t="shared" si="10"/>
        <v>1.0263760248719901E-2</v>
      </c>
      <c r="E100">
        <f t="shared" si="11"/>
        <v>3.9101598241076656E-3</v>
      </c>
      <c r="G100">
        <f t="shared" si="8"/>
        <v>56.219833134920634</v>
      </c>
      <c r="H100">
        <f t="shared" si="9"/>
        <v>5870.6198331349206</v>
      </c>
    </row>
    <row r="101" spans="1:8">
      <c r="A101" s="1">
        <v>45614</v>
      </c>
      <c r="B101">
        <v>56.8</v>
      </c>
      <c r="C101">
        <v>5893.62</v>
      </c>
      <c r="D101">
        <f t="shared" si="10"/>
        <v>2.4864360121922856E-2</v>
      </c>
      <c r="E101">
        <f t="shared" si="11"/>
        <v>3.9557737052673715E-3</v>
      </c>
      <c r="G101">
        <f t="shared" si="8"/>
        <v>56.799833134920632</v>
      </c>
      <c r="H101">
        <f t="shared" si="9"/>
        <v>5893.6198331349206</v>
      </c>
    </row>
    <row r="102" spans="1:8">
      <c r="A102" s="1">
        <v>45615</v>
      </c>
      <c r="B102">
        <v>58.23</v>
      </c>
      <c r="C102">
        <v>5916.98</v>
      </c>
      <c r="D102">
        <f t="shared" si="10"/>
        <v>-6.0287840857454139E-3</v>
      </c>
      <c r="E102">
        <f t="shared" si="11"/>
        <v>2.1970426117316337E-5</v>
      </c>
      <c r="G102">
        <f t="shared" si="8"/>
        <v>58.229833134920632</v>
      </c>
      <c r="H102">
        <f t="shared" si="9"/>
        <v>5916.9798331349202</v>
      </c>
    </row>
    <row r="103" spans="1:8">
      <c r="A103" s="1">
        <v>45616</v>
      </c>
      <c r="B103">
        <v>57.88</v>
      </c>
      <c r="C103">
        <v>5917.11</v>
      </c>
      <c r="D103">
        <f t="shared" si="10"/>
        <v>6.0287840857452656E-3</v>
      </c>
      <c r="E103">
        <f t="shared" si="11"/>
        <v>5.3262353051749837E-3</v>
      </c>
      <c r="G103">
        <f t="shared" si="8"/>
        <v>57.879833134920638</v>
      </c>
      <c r="H103">
        <f t="shared" si="9"/>
        <v>5917.1098331349203</v>
      </c>
    </row>
    <row r="104" spans="1:8">
      <c r="A104" s="1">
        <v>45617</v>
      </c>
      <c r="B104">
        <v>58.23</v>
      </c>
      <c r="C104">
        <v>5948.71</v>
      </c>
      <c r="D104">
        <f t="shared" si="10"/>
        <v>1.0930937191141328E-2</v>
      </c>
      <c r="E104">
        <f t="shared" si="11"/>
        <v>3.4619792004100735E-3</v>
      </c>
      <c r="G104">
        <f t="shared" si="8"/>
        <v>58.229833134920632</v>
      </c>
      <c r="H104">
        <f t="shared" si="9"/>
        <v>5948.7098331349207</v>
      </c>
    </row>
    <row r="105" spans="1:8">
      <c r="A105" s="1">
        <v>45618</v>
      </c>
      <c r="B105">
        <v>58.87</v>
      </c>
      <c r="C105">
        <v>5969.34</v>
      </c>
      <c r="D105">
        <f t="shared" si="10"/>
        <v>-1.5299620493986225E-3</v>
      </c>
      <c r="E105">
        <f t="shared" si="11"/>
        <v>3.015882072251307E-3</v>
      </c>
      <c r="G105">
        <f t="shared" si="8"/>
        <v>58.869833134920633</v>
      </c>
      <c r="H105">
        <f t="shared" si="9"/>
        <v>5969.3398331349208</v>
      </c>
    </row>
    <row r="106" spans="1:8">
      <c r="A106" s="1">
        <v>45621</v>
      </c>
      <c r="B106">
        <v>58.78</v>
      </c>
      <c r="C106">
        <v>5987.37</v>
      </c>
      <c r="D106">
        <f t="shared" si="10"/>
        <v>-6.8073522029723187E-4</v>
      </c>
      <c r="E106">
        <f t="shared" si="11"/>
        <v>5.7057361888066833E-3</v>
      </c>
      <c r="G106">
        <f t="shared" si="8"/>
        <v>58.779833134920636</v>
      </c>
      <c r="H106">
        <f t="shared" si="9"/>
        <v>5987.3698331349206</v>
      </c>
    </row>
    <row r="107" spans="1:8">
      <c r="A107" s="1">
        <v>45622</v>
      </c>
      <c r="B107">
        <v>58.74</v>
      </c>
      <c r="C107">
        <v>6021.63</v>
      </c>
      <c r="D107">
        <f t="shared" si="10"/>
        <v>8.9823500292727908E-3</v>
      </c>
      <c r="E107">
        <f t="shared" si="11"/>
        <v>-3.8085396153748753E-3</v>
      </c>
      <c r="G107">
        <f t="shared" si="8"/>
        <v>58.739833134920637</v>
      </c>
      <c r="H107">
        <f t="shared" si="9"/>
        <v>6021.6298331349208</v>
      </c>
    </row>
    <row r="108" spans="1:8">
      <c r="A108" s="1">
        <v>45623</v>
      </c>
      <c r="B108">
        <v>59.27</v>
      </c>
      <c r="C108">
        <v>5998.74</v>
      </c>
      <c r="D108">
        <f t="shared" si="10"/>
        <v>-8.4395312630165581E-4</v>
      </c>
      <c r="E108">
        <f t="shared" si="11"/>
        <v>5.5921788939180331E-3</v>
      </c>
      <c r="G108">
        <f t="shared" si="8"/>
        <v>59.269833134920638</v>
      </c>
      <c r="H108">
        <f t="shared" si="9"/>
        <v>5998.7398331349204</v>
      </c>
    </row>
    <row r="109" spans="1:8">
      <c r="A109" s="1">
        <v>45625</v>
      </c>
      <c r="B109">
        <v>59.22</v>
      </c>
      <c r="C109">
        <v>6032.38</v>
      </c>
      <c r="D109">
        <f t="shared" si="10"/>
        <v>1.2084739215071827E-2</v>
      </c>
      <c r="E109">
        <f t="shared" si="11"/>
        <v>2.4454606033056034E-3</v>
      </c>
      <c r="G109">
        <f t="shared" si="8"/>
        <v>59.219833134920634</v>
      </c>
      <c r="H109">
        <f t="shared" si="9"/>
        <v>6032.3798331349208</v>
      </c>
    </row>
    <row r="110" spans="1:8">
      <c r="A110" s="1">
        <v>45628</v>
      </c>
      <c r="B110">
        <v>59.94</v>
      </c>
      <c r="C110">
        <v>6047.15</v>
      </c>
      <c r="D110">
        <f t="shared" si="10"/>
        <v>-2.1074707318274048E-2</v>
      </c>
      <c r="E110">
        <f t="shared" si="11"/>
        <v>4.5135046310470323E-4</v>
      </c>
      <c r="G110">
        <f t="shared" si="8"/>
        <v>59.939833134920633</v>
      </c>
      <c r="H110">
        <f t="shared" si="9"/>
        <v>6047.1498331349203</v>
      </c>
    </row>
    <row r="111" spans="1:8">
      <c r="A111" s="1">
        <v>45629</v>
      </c>
      <c r="B111">
        <v>58.69</v>
      </c>
      <c r="C111">
        <v>6049.88</v>
      </c>
      <c r="D111">
        <f t="shared" si="10"/>
        <v>-5.4672953545434567E-3</v>
      </c>
      <c r="E111">
        <f t="shared" si="11"/>
        <v>6.0331237505021089E-3</v>
      </c>
      <c r="G111">
        <f t="shared" si="8"/>
        <v>58.689833134920633</v>
      </c>
      <c r="H111">
        <f t="shared" si="9"/>
        <v>6049.8798331349208</v>
      </c>
    </row>
    <row r="112" spans="1:8">
      <c r="A112" s="1">
        <v>45630</v>
      </c>
      <c r="B112">
        <v>58.37</v>
      </c>
      <c r="C112">
        <v>6086.49</v>
      </c>
      <c r="D112">
        <f t="shared" si="10"/>
        <v>8.0198365175371353E-3</v>
      </c>
      <c r="E112">
        <f t="shared" si="11"/>
        <v>-1.8714648272306858E-3</v>
      </c>
      <c r="G112">
        <f t="shared" si="8"/>
        <v>58.369833134920633</v>
      </c>
      <c r="H112">
        <f t="shared" si="9"/>
        <v>6086.4898331349204</v>
      </c>
    </row>
    <row r="113" spans="1:8">
      <c r="A113" s="1">
        <v>45631</v>
      </c>
      <c r="B113">
        <v>58.84</v>
      </c>
      <c r="C113">
        <v>6075.11</v>
      </c>
      <c r="D113">
        <f t="shared" si="10"/>
        <v>9.1355736023768994E-3</v>
      </c>
      <c r="E113">
        <f t="shared" si="11"/>
        <v>2.4923196558419955E-3</v>
      </c>
      <c r="G113">
        <f t="shared" si="8"/>
        <v>58.839833134920639</v>
      </c>
      <c r="H113">
        <f t="shared" si="9"/>
        <v>6075.1098331349203</v>
      </c>
    </row>
    <row r="114" spans="1:8">
      <c r="A114" s="1">
        <v>45632</v>
      </c>
      <c r="B114">
        <v>59.38</v>
      </c>
      <c r="C114">
        <v>6090.27</v>
      </c>
      <c r="D114">
        <f t="shared" si="10"/>
        <v>-1.1347399259519162E-2</v>
      </c>
      <c r="E114">
        <f t="shared" si="11"/>
        <v>-6.1631802121963038E-3</v>
      </c>
      <c r="G114">
        <f t="shared" si="8"/>
        <v>59.379833134920638</v>
      </c>
      <c r="H114">
        <f t="shared" si="9"/>
        <v>6090.2698331349211</v>
      </c>
    </row>
    <row r="115" spans="1:8">
      <c r="A115" s="1">
        <v>45635</v>
      </c>
      <c r="B115">
        <v>58.71</v>
      </c>
      <c r="C115">
        <v>6052.85</v>
      </c>
      <c r="D115">
        <f t="shared" si="10"/>
        <v>-1.0100231374012485E-2</v>
      </c>
      <c r="E115">
        <f t="shared" si="11"/>
        <v>-2.9682940713745675E-3</v>
      </c>
      <c r="G115">
        <f t="shared" si="8"/>
        <v>58.709833134920636</v>
      </c>
      <c r="H115">
        <f t="shared" si="9"/>
        <v>6052.849833134921</v>
      </c>
    </row>
    <row r="116" spans="1:8">
      <c r="A116" s="1">
        <v>45636</v>
      </c>
      <c r="B116">
        <v>58.12</v>
      </c>
      <c r="C116">
        <v>6034.91</v>
      </c>
      <c r="D116">
        <f t="shared" si="10"/>
        <v>-2.561785122806676E-2</v>
      </c>
      <c r="E116">
        <f t="shared" si="11"/>
        <v>8.1326619328850828E-3</v>
      </c>
      <c r="G116">
        <f t="shared" si="8"/>
        <v>58.119833134920633</v>
      </c>
      <c r="H116">
        <f t="shared" si="9"/>
        <v>6034.9098331349205</v>
      </c>
    </row>
    <row r="117" spans="1:8">
      <c r="A117" s="1">
        <v>45637</v>
      </c>
      <c r="B117">
        <v>56.65</v>
      </c>
      <c r="C117">
        <v>6084.19</v>
      </c>
      <c r="D117">
        <f t="shared" si="10"/>
        <v>-6.5527552278269365E-3</v>
      </c>
      <c r="E117">
        <f t="shared" si="11"/>
        <v>-5.4287410919564485E-3</v>
      </c>
      <c r="G117">
        <f t="shared" si="8"/>
        <v>56.649833134920634</v>
      </c>
      <c r="H117">
        <f t="shared" si="9"/>
        <v>6084.1898331349203</v>
      </c>
    </row>
    <row r="118" spans="1:8">
      <c r="A118" s="1">
        <v>45638</v>
      </c>
      <c r="B118">
        <v>56.28</v>
      </c>
      <c r="C118">
        <v>6051.25</v>
      </c>
      <c r="D118">
        <f t="shared" si="10"/>
        <v>-8.9238500468453962E-3</v>
      </c>
      <c r="E118">
        <f t="shared" si="11"/>
        <v>-2.6441167577320025E-5</v>
      </c>
      <c r="G118">
        <f t="shared" si="8"/>
        <v>56.279833134920636</v>
      </c>
      <c r="H118">
        <f t="shared" si="9"/>
        <v>6051.2498331349207</v>
      </c>
    </row>
    <row r="119" spans="1:8">
      <c r="A119" s="1">
        <v>45639</v>
      </c>
      <c r="B119">
        <v>55.78</v>
      </c>
      <c r="C119">
        <v>6051.09</v>
      </c>
      <c r="D119">
        <f t="shared" si="10"/>
        <v>1.6121812717143542E-3</v>
      </c>
      <c r="E119">
        <f t="shared" si="11"/>
        <v>3.7921163249597686E-3</v>
      </c>
      <c r="G119">
        <f t="shared" si="8"/>
        <v>55.779833134920636</v>
      </c>
      <c r="H119">
        <f t="shared" si="9"/>
        <v>6051.0898331349208</v>
      </c>
    </row>
    <row r="120" spans="1:8">
      <c r="A120" s="1">
        <v>45642</v>
      </c>
      <c r="B120">
        <v>55.87</v>
      </c>
      <c r="C120">
        <v>6074.08</v>
      </c>
      <c r="D120">
        <f t="shared" si="10"/>
        <v>3.1362683244010647E-2</v>
      </c>
      <c r="E120">
        <f t="shared" si="11"/>
        <v>-3.8714440227630084E-3</v>
      </c>
      <c r="G120">
        <f t="shared" si="8"/>
        <v>55.869833134920633</v>
      </c>
      <c r="H120">
        <f t="shared" si="9"/>
        <v>6074.0798331349206</v>
      </c>
    </row>
    <row r="121" spans="1:8">
      <c r="A121" s="1">
        <v>45643</v>
      </c>
      <c r="B121">
        <v>57.65</v>
      </c>
      <c r="C121">
        <v>6050.61</v>
      </c>
      <c r="D121">
        <f t="shared" si="10"/>
        <v>-1.4149943486168066E-2</v>
      </c>
      <c r="E121">
        <f t="shared" si="11"/>
        <v>-2.9936554508987644E-2</v>
      </c>
      <c r="G121">
        <f t="shared" si="8"/>
        <v>57.649833134920634</v>
      </c>
      <c r="H121">
        <f t="shared" si="9"/>
        <v>6050.6098331349203</v>
      </c>
    </row>
    <row r="122" spans="1:8">
      <c r="A122" s="1">
        <v>45644</v>
      </c>
      <c r="B122">
        <v>56.84</v>
      </c>
      <c r="C122">
        <v>5872.16</v>
      </c>
      <c r="D122">
        <f t="shared" si="10"/>
        <v>-9.5457680832552669E-3</v>
      </c>
      <c r="E122">
        <f t="shared" si="11"/>
        <v>-8.6547345775283581E-4</v>
      </c>
      <c r="G122">
        <f t="shared" si="8"/>
        <v>56.839833134920639</v>
      </c>
      <c r="H122">
        <f t="shared" si="9"/>
        <v>5872.1598331349205</v>
      </c>
    </row>
    <row r="123" spans="1:8">
      <c r="A123" s="1">
        <v>45645</v>
      </c>
      <c r="B123">
        <v>56.3</v>
      </c>
      <c r="C123">
        <v>5867.08</v>
      </c>
      <c r="D123">
        <f t="shared" si="10"/>
        <v>1.8129511774646608E-2</v>
      </c>
      <c r="E123">
        <f t="shared" si="11"/>
        <v>1.0810476252410672E-2</v>
      </c>
      <c r="G123">
        <f t="shared" si="8"/>
        <v>56.299833134920632</v>
      </c>
      <c r="H123">
        <f t="shared" si="9"/>
        <v>5867.0798331349206</v>
      </c>
    </row>
    <row r="124" spans="1:8">
      <c r="A124" s="1">
        <v>45646</v>
      </c>
      <c r="B124">
        <v>57.33</v>
      </c>
      <c r="C124">
        <v>5930.85</v>
      </c>
      <c r="D124">
        <f t="shared" si="10"/>
        <v>4.3512382637384689E-3</v>
      </c>
      <c r="E124">
        <f t="shared" si="11"/>
        <v>7.2608954754625398E-3</v>
      </c>
      <c r="G124">
        <f t="shared" si="8"/>
        <v>57.329833134920634</v>
      </c>
      <c r="H124">
        <f t="shared" si="9"/>
        <v>5930.849833134921</v>
      </c>
    </row>
    <row r="125" spans="1:8">
      <c r="A125" s="1">
        <v>45649</v>
      </c>
      <c r="B125">
        <v>57.58</v>
      </c>
      <c r="C125">
        <v>5974.07</v>
      </c>
      <c r="D125">
        <f t="shared" si="10"/>
        <v>3.1212094005409678E-3</v>
      </c>
      <c r="E125">
        <f t="shared" si="11"/>
        <v>1.0982197273831982E-2</v>
      </c>
      <c r="G125">
        <f t="shared" si="8"/>
        <v>57.579833134920634</v>
      </c>
      <c r="H125">
        <f t="shared" si="9"/>
        <v>5974.0698331349204</v>
      </c>
    </row>
    <row r="126" spans="1:8">
      <c r="A126" s="1">
        <v>45650</v>
      </c>
      <c r="B126">
        <v>57.76</v>
      </c>
      <c r="C126">
        <v>6040.04</v>
      </c>
      <c r="D126">
        <f t="shared" si="10"/>
        <v>4.146515961848618E-3</v>
      </c>
      <c r="E126">
        <f t="shared" si="11"/>
        <v>-4.0570874146761795E-4</v>
      </c>
      <c r="G126">
        <f t="shared" si="8"/>
        <v>57.759833134920633</v>
      </c>
      <c r="H126">
        <f t="shared" si="9"/>
        <v>6040.0398331349206</v>
      </c>
    </row>
    <row r="127" spans="1:8">
      <c r="A127" s="1">
        <v>45652</v>
      </c>
      <c r="B127">
        <v>58</v>
      </c>
      <c r="C127">
        <v>6037.59</v>
      </c>
      <c r="D127">
        <f t="shared" si="10"/>
        <v>-5.5325175697256666E-3</v>
      </c>
      <c r="E127">
        <f t="shared" si="11"/>
        <v>-1.111730467559637E-2</v>
      </c>
      <c r="G127">
        <f t="shared" si="8"/>
        <v>57.999833134920635</v>
      </c>
      <c r="H127">
        <f t="shared" si="9"/>
        <v>6037.5898331349208</v>
      </c>
    </row>
    <row r="128" spans="1:8">
      <c r="A128" s="1">
        <v>45653</v>
      </c>
      <c r="B128">
        <v>57.68</v>
      </c>
      <c r="C128">
        <v>5970.84</v>
      </c>
      <c r="D128">
        <f t="shared" si="10"/>
        <v>-2.8487947240051402E-2</v>
      </c>
      <c r="E128">
        <f t="shared" si="11"/>
        <v>-1.0759690191101295E-2</v>
      </c>
      <c r="G128">
        <f t="shared" si="8"/>
        <v>57.679833134920635</v>
      </c>
      <c r="H128">
        <f t="shared" si="9"/>
        <v>5970.8398331349208</v>
      </c>
    </row>
    <row r="129" spans="1:8">
      <c r="A129" s="1">
        <v>45656</v>
      </c>
      <c r="B129">
        <v>56.06</v>
      </c>
      <c r="C129">
        <v>5906.94</v>
      </c>
      <c r="D129">
        <f t="shared" si="10"/>
        <v>8.8794758516750928E-3</v>
      </c>
      <c r="E129">
        <f t="shared" si="11"/>
        <v>-4.2939964541344501E-3</v>
      </c>
      <c r="G129">
        <f t="shared" si="8"/>
        <v>56.059833134920638</v>
      </c>
      <c r="H129">
        <f t="shared" si="9"/>
        <v>5906.9398331349203</v>
      </c>
    </row>
    <row r="130" spans="1:8">
      <c r="A130" s="1">
        <v>45657</v>
      </c>
      <c r="B130">
        <v>56.56</v>
      </c>
      <c r="C130">
        <v>5881.63</v>
      </c>
      <c r="D130">
        <f t="shared" si="10"/>
        <v>4.058232301023844E-3</v>
      </c>
      <c r="E130">
        <f t="shared" si="11"/>
        <v>-2.2263497925529528E-3</v>
      </c>
      <c r="G130">
        <f t="shared" si="8"/>
        <v>56.559833134920638</v>
      </c>
      <c r="H130">
        <f t="shared" si="9"/>
        <v>5881.6298331349208</v>
      </c>
    </row>
    <row r="131" spans="1:8">
      <c r="A131" s="1">
        <v>45659</v>
      </c>
      <c r="B131">
        <v>56.79</v>
      </c>
      <c r="C131">
        <v>5868.55</v>
      </c>
      <c r="D131">
        <f t="shared" ref="D131:D162" si="12">LN(B132/B131)</f>
        <v>-3.8814445342767916E-3</v>
      </c>
      <c r="E131">
        <f t="shared" ref="E131:E162" si="13">LN(C132/C131)</f>
        <v>1.2517287272659085E-2</v>
      </c>
      <c r="G131">
        <f t="shared" si="8"/>
        <v>56.789833134920634</v>
      </c>
      <c r="H131">
        <f t="shared" si="9"/>
        <v>5868.5498331349208</v>
      </c>
    </row>
    <row r="132" spans="1:8">
      <c r="A132" s="1">
        <v>45660</v>
      </c>
      <c r="B132">
        <v>56.57</v>
      </c>
      <c r="C132">
        <v>5942.47</v>
      </c>
      <c r="D132">
        <f t="shared" si="12"/>
        <v>1.9426054674152751E-3</v>
      </c>
      <c r="E132">
        <f t="shared" si="13"/>
        <v>5.5228222624888485E-3</v>
      </c>
      <c r="G132">
        <f t="shared" ref="G132:G190" si="14">B132-$F$2/252</f>
        <v>56.569833134920636</v>
      </c>
      <c r="H132">
        <f t="shared" ref="H132:H190" si="15">C132-$F$2/252</f>
        <v>5942.4698331349209</v>
      </c>
    </row>
    <row r="133" spans="1:8">
      <c r="A133" s="1">
        <v>45663</v>
      </c>
      <c r="B133">
        <v>56.68</v>
      </c>
      <c r="C133">
        <v>5975.38</v>
      </c>
      <c r="D133">
        <f t="shared" si="12"/>
        <v>8.0829819801473551E-3</v>
      </c>
      <c r="E133">
        <f t="shared" si="13"/>
        <v>-1.116600476981219E-2</v>
      </c>
      <c r="G133">
        <f t="shared" si="14"/>
        <v>56.679833134920635</v>
      </c>
      <c r="H133">
        <f t="shared" si="15"/>
        <v>5975.3798331349208</v>
      </c>
    </row>
    <row r="134" spans="1:8">
      <c r="A134" s="1">
        <v>45664</v>
      </c>
      <c r="B134">
        <v>57.14</v>
      </c>
      <c r="C134">
        <v>5909.03</v>
      </c>
      <c r="D134">
        <f t="shared" si="12"/>
        <v>-5.7920302335914969E-3</v>
      </c>
      <c r="E134">
        <f t="shared" si="13"/>
        <v>1.559107735282887E-3</v>
      </c>
      <c r="G134">
        <f t="shared" si="14"/>
        <v>57.139833134920636</v>
      </c>
      <c r="H134">
        <f t="shared" si="15"/>
        <v>5909.0298331349204</v>
      </c>
    </row>
    <row r="135" spans="1:8">
      <c r="A135" s="1">
        <v>45665</v>
      </c>
      <c r="B135">
        <v>56.81</v>
      </c>
      <c r="C135">
        <v>5918.25</v>
      </c>
      <c r="D135">
        <f t="shared" si="12"/>
        <v>-1.7401007246766485E-2</v>
      </c>
      <c r="E135">
        <f t="shared" si="13"/>
        <v>-1.5531644353894208E-2</v>
      </c>
      <c r="G135">
        <f t="shared" si="14"/>
        <v>56.809833134920638</v>
      </c>
      <c r="H135">
        <f t="shared" si="15"/>
        <v>5918.2498331349207</v>
      </c>
    </row>
    <row r="136" spans="1:8">
      <c r="A136" s="1">
        <v>45667</v>
      </c>
      <c r="B136">
        <v>55.83</v>
      </c>
      <c r="C136">
        <v>5827.04</v>
      </c>
      <c r="D136">
        <f t="shared" si="12"/>
        <v>-8.4540480128549624E-3</v>
      </c>
      <c r="E136">
        <f t="shared" si="13"/>
        <v>1.5741742695762329E-3</v>
      </c>
      <c r="G136">
        <f t="shared" si="14"/>
        <v>55.829833134920634</v>
      </c>
      <c r="H136">
        <f t="shared" si="15"/>
        <v>5827.0398331349206</v>
      </c>
    </row>
    <row r="137" spans="1:8">
      <c r="A137" s="1">
        <v>45670</v>
      </c>
      <c r="B137">
        <v>55.36</v>
      </c>
      <c r="C137">
        <v>5836.22</v>
      </c>
      <c r="D137">
        <f t="shared" si="12"/>
        <v>6.8407107443879895E-3</v>
      </c>
      <c r="E137">
        <f t="shared" si="13"/>
        <v>1.1456334044923633E-3</v>
      </c>
      <c r="G137">
        <f t="shared" si="14"/>
        <v>55.359833134920635</v>
      </c>
      <c r="H137">
        <f t="shared" si="15"/>
        <v>5836.2198331349209</v>
      </c>
    </row>
    <row r="138" spans="1:8">
      <c r="A138" s="1">
        <v>45671</v>
      </c>
      <c r="B138">
        <v>55.74</v>
      </c>
      <c r="C138">
        <v>5842.91</v>
      </c>
      <c r="D138">
        <f t="shared" si="12"/>
        <v>3.0452329847516233E-3</v>
      </c>
      <c r="E138">
        <f t="shared" si="13"/>
        <v>1.8147132985426716E-2</v>
      </c>
      <c r="G138">
        <f t="shared" si="14"/>
        <v>55.739833134920637</v>
      </c>
      <c r="H138">
        <f t="shared" si="15"/>
        <v>5842.9098331349205</v>
      </c>
    </row>
    <row r="139" spans="1:8">
      <c r="A139" s="1">
        <v>45672</v>
      </c>
      <c r="B139">
        <v>55.91</v>
      </c>
      <c r="C139">
        <v>5949.91</v>
      </c>
      <c r="D139">
        <f t="shared" si="12"/>
        <v>8.3712306474126343E-3</v>
      </c>
      <c r="E139">
        <f t="shared" si="13"/>
        <v>-2.1148717634665781E-3</v>
      </c>
      <c r="G139">
        <f t="shared" si="14"/>
        <v>55.909833134920632</v>
      </c>
      <c r="H139">
        <f t="shared" si="15"/>
        <v>5949.9098331349205</v>
      </c>
    </row>
    <row r="140" spans="1:8">
      <c r="A140" s="1">
        <v>45673</v>
      </c>
      <c r="B140">
        <v>56.38</v>
      </c>
      <c r="C140">
        <v>5937.34</v>
      </c>
      <c r="D140">
        <f t="shared" si="12"/>
        <v>-1.5975862100313272E-3</v>
      </c>
      <c r="E140">
        <f t="shared" si="13"/>
        <v>9.9414259357241096E-3</v>
      </c>
      <c r="G140">
        <f t="shared" si="14"/>
        <v>56.379833134920638</v>
      </c>
      <c r="H140">
        <f t="shared" si="15"/>
        <v>5937.3398331349208</v>
      </c>
    </row>
    <row r="141" spans="1:8">
      <c r="A141" s="1">
        <v>45674</v>
      </c>
      <c r="B141">
        <v>56.29</v>
      </c>
      <c r="C141">
        <v>5996.66</v>
      </c>
      <c r="D141">
        <f t="shared" si="12"/>
        <v>1.3235876630105291E-2</v>
      </c>
      <c r="E141">
        <f t="shared" si="13"/>
        <v>8.7299967522312897E-3</v>
      </c>
      <c r="G141">
        <f t="shared" si="14"/>
        <v>56.289833134920634</v>
      </c>
      <c r="H141">
        <f t="shared" si="15"/>
        <v>5996.6598331349205</v>
      </c>
    </row>
    <row r="142" spans="1:8">
      <c r="A142" s="1">
        <v>45678</v>
      </c>
      <c r="B142">
        <v>57.04</v>
      </c>
      <c r="C142">
        <v>6049.24</v>
      </c>
      <c r="D142">
        <f t="shared" si="12"/>
        <v>8.7619387012741786E-4</v>
      </c>
      <c r="E142">
        <f t="shared" si="13"/>
        <v>6.1192005774427091E-3</v>
      </c>
      <c r="G142">
        <f t="shared" si="14"/>
        <v>57.039833134920634</v>
      </c>
      <c r="H142">
        <f t="shared" si="15"/>
        <v>6049.2398331349204</v>
      </c>
    </row>
    <row r="143" spans="1:8">
      <c r="A143" s="1">
        <v>45679</v>
      </c>
      <c r="B143">
        <v>57.09</v>
      </c>
      <c r="C143">
        <v>6086.37</v>
      </c>
      <c r="D143">
        <f t="shared" si="12"/>
        <v>3.5278544448163272E-2</v>
      </c>
      <c r="E143">
        <f t="shared" si="13"/>
        <v>5.2994450977238887E-3</v>
      </c>
      <c r="G143">
        <f t="shared" si="14"/>
        <v>57.089833134920639</v>
      </c>
      <c r="H143">
        <f t="shared" si="15"/>
        <v>6086.3698331349206</v>
      </c>
    </row>
    <row r="144" spans="1:8">
      <c r="A144" s="1">
        <v>45680</v>
      </c>
      <c r="B144">
        <v>59.14</v>
      </c>
      <c r="C144">
        <v>6118.71</v>
      </c>
      <c r="D144">
        <f t="shared" si="12"/>
        <v>8.9218671096593406E-3</v>
      </c>
      <c r="E144">
        <f t="shared" si="13"/>
        <v>-2.8592607828964826E-3</v>
      </c>
      <c r="G144">
        <f t="shared" si="14"/>
        <v>59.139833134920636</v>
      </c>
      <c r="H144">
        <f t="shared" si="15"/>
        <v>6118.7098331349207</v>
      </c>
    </row>
    <row r="145" spans="1:8">
      <c r="A145" s="1">
        <v>45681</v>
      </c>
      <c r="B145">
        <v>59.67</v>
      </c>
      <c r="C145">
        <v>6101.24</v>
      </c>
      <c r="D145">
        <f t="shared" si="12"/>
        <v>1.546551154127819E-2</v>
      </c>
      <c r="E145">
        <f t="shared" si="13"/>
        <v>-1.4687984883634318E-2</v>
      </c>
      <c r="G145">
        <f t="shared" si="14"/>
        <v>59.669833134920637</v>
      </c>
      <c r="H145">
        <f t="shared" si="15"/>
        <v>6101.2398331349204</v>
      </c>
    </row>
    <row r="146" spans="1:8">
      <c r="A146" s="1">
        <v>45684</v>
      </c>
      <c r="B146">
        <v>60.6</v>
      </c>
      <c r="C146">
        <v>6012.28</v>
      </c>
      <c r="D146">
        <f t="shared" si="12"/>
        <v>-3.0833541769592316E-2</v>
      </c>
      <c r="E146">
        <f t="shared" si="13"/>
        <v>9.1755762546756169E-3</v>
      </c>
      <c r="G146">
        <f t="shared" si="14"/>
        <v>60.599833134920637</v>
      </c>
      <c r="H146">
        <f t="shared" si="15"/>
        <v>6012.2798331349204</v>
      </c>
    </row>
    <row r="147" spans="1:8">
      <c r="A147" s="1">
        <v>45685</v>
      </c>
      <c r="B147">
        <v>58.76</v>
      </c>
      <c r="C147">
        <v>6067.7</v>
      </c>
      <c r="D147">
        <f t="shared" si="12"/>
        <v>4.9231913376947684E-3</v>
      </c>
      <c r="E147">
        <f t="shared" si="13"/>
        <v>-4.6898535700948913E-3</v>
      </c>
      <c r="G147">
        <f t="shared" si="14"/>
        <v>58.759833134920633</v>
      </c>
      <c r="H147">
        <f t="shared" si="15"/>
        <v>6067.6998331349205</v>
      </c>
    </row>
    <row r="148" spans="1:8">
      <c r="A148" s="1">
        <v>45686</v>
      </c>
      <c r="B148">
        <v>59.05</v>
      </c>
      <c r="C148">
        <v>6039.31</v>
      </c>
      <c r="D148">
        <f t="shared" si="12"/>
        <v>1.5229717809600043E-3</v>
      </c>
      <c r="E148">
        <f t="shared" si="13"/>
        <v>5.2615707224356184E-3</v>
      </c>
      <c r="G148">
        <f t="shared" si="14"/>
        <v>59.049833134920632</v>
      </c>
      <c r="H148">
        <f t="shared" si="15"/>
        <v>6039.3098331349211</v>
      </c>
    </row>
    <row r="149" spans="1:8">
      <c r="A149" s="1">
        <v>45687</v>
      </c>
      <c r="B149">
        <v>59.14</v>
      </c>
      <c r="C149">
        <v>6071.17</v>
      </c>
      <c r="D149">
        <f t="shared" si="12"/>
        <v>-3.2178874409511354E-3</v>
      </c>
      <c r="E149">
        <f t="shared" si="13"/>
        <v>-5.0595812914254659E-3</v>
      </c>
      <c r="G149">
        <f t="shared" si="14"/>
        <v>59.139833134920636</v>
      </c>
      <c r="H149">
        <f t="shared" si="15"/>
        <v>6071.1698331349207</v>
      </c>
    </row>
    <row r="150" spans="1:8">
      <c r="A150" s="1">
        <v>45688</v>
      </c>
      <c r="B150">
        <v>58.95</v>
      </c>
      <c r="C150">
        <v>6040.53</v>
      </c>
      <c r="D150">
        <f t="shared" si="12"/>
        <v>1.682125449014325E-2</v>
      </c>
      <c r="E150">
        <f t="shared" si="13"/>
        <v>-7.637696973119063E-3</v>
      </c>
      <c r="G150">
        <f t="shared" si="14"/>
        <v>58.949833134920638</v>
      </c>
      <c r="H150">
        <f t="shared" si="15"/>
        <v>6040.5298331349204</v>
      </c>
    </row>
    <row r="151" spans="1:8">
      <c r="A151" s="1">
        <v>45691</v>
      </c>
      <c r="B151">
        <v>59.95</v>
      </c>
      <c r="C151">
        <v>5994.57</v>
      </c>
      <c r="D151">
        <f t="shared" si="12"/>
        <v>-1.3941604833577056E-2</v>
      </c>
      <c r="E151">
        <f t="shared" si="13"/>
        <v>7.1988974883324779E-3</v>
      </c>
      <c r="G151">
        <f t="shared" si="14"/>
        <v>59.949833134920638</v>
      </c>
      <c r="H151">
        <f t="shared" si="15"/>
        <v>5994.5698331349204</v>
      </c>
    </row>
    <row r="152" spans="1:8">
      <c r="A152" s="1">
        <v>45692</v>
      </c>
      <c r="B152">
        <v>59.12</v>
      </c>
      <c r="C152">
        <v>6037.88</v>
      </c>
      <c r="D152">
        <f t="shared" si="12"/>
        <v>9.9302339189547787E-3</v>
      </c>
      <c r="E152">
        <f t="shared" si="13"/>
        <v>3.9010377290886913E-3</v>
      </c>
      <c r="G152">
        <f t="shared" si="14"/>
        <v>59.119833134920633</v>
      </c>
      <c r="H152">
        <f t="shared" si="15"/>
        <v>6037.8798331349208</v>
      </c>
    </row>
    <row r="153" spans="1:8">
      <c r="A153" s="1">
        <v>45693</v>
      </c>
      <c r="B153">
        <v>59.71</v>
      </c>
      <c r="C153">
        <v>6061.48</v>
      </c>
      <c r="D153">
        <f t="shared" si="12"/>
        <v>-3.9106835865983174E-2</v>
      </c>
      <c r="E153">
        <f t="shared" si="13"/>
        <v>3.637700027498819E-3</v>
      </c>
      <c r="G153">
        <f t="shared" si="14"/>
        <v>59.709833134920636</v>
      </c>
      <c r="H153">
        <f t="shared" si="15"/>
        <v>6061.4798331349202</v>
      </c>
    </row>
    <row r="154" spans="1:8">
      <c r="A154" s="1">
        <v>45694</v>
      </c>
      <c r="B154">
        <v>57.42</v>
      </c>
      <c r="C154">
        <v>6083.57</v>
      </c>
      <c r="D154">
        <f t="shared" si="12"/>
        <v>-9.976454496372883E-3</v>
      </c>
      <c r="E154">
        <f t="shared" si="13"/>
        <v>-9.5099134821077444E-3</v>
      </c>
      <c r="G154">
        <f t="shared" si="14"/>
        <v>57.419833134920637</v>
      </c>
      <c r="H154">
        <f t="shared" si="15"/>
        <v>6083.5698331349204</v>
      </c>
    </row>
    <row r="155" spans="1:8">
      <c r="A155" s="1">
        <v>45695</v>
      </c>
      <c r="B155">
        <v>56.85</v>
      </c>
      <c r="C155">
        <v>6025.99</v>
      </c>
      <c r="D155">
        <f t="shared" si="12"/>
        <v>-2.3492804943029234E-2</v>
      </c>
      <c r="E155">
        <f t="shared" si="13"/>
        <v>6.6901608481496353E-3</v>
      </c>
      <c r="G155">
        <f t="shared" si="14"/>
        <v>56.849833134920637</v>
      </c>
      <c r="H155">
        <f t="shared" si="15"/>
        <v>6025.9898331349204</v>
      </c>
    </row>
    <row r="156" spans="1:8">
      <c r="A156" s="1">
        <v>45698</v>
      </c>
      <c r="B156">
        <v>55.53</v>
      </c>
      <c r="C156">
        <v>6066.44</v>
      </c>
      <c r="D156">
        <f t="shared" si="12"/>
        <v>7.3562725202978236E-3</v>
      </c>
      <c r="E156">
        <f t="shared" si="13"/>
        <v>3.3951548500248807E-4</v>
      </c>
      <c r="G156">
        <f t="shared" si="14"/>
        <v>55.529833134920636</v>
      </c>
      <c r="H156">
        <f t="shared" si="15"/>
        <v>6066.4398331349203</v>
      </c>
    </row>
    <row r="157" spans="1:8">
      <c r="A157" s="1">
        <v>45699</v>
      </c>
      <c r="B157">
        <v>55.94</v>
      </c>
      <c r="C157">
        <v>6068.5</v>
      </c>
      <c r="D157">
        <f t="shared" si="12"/>
        <v>3.7469934106384704E-3</v>
      </c>
      <c r="E157">
        <f t="shared" si="13"/>
        <v>-2.7276186894511618E-3</v>
      </c>
      <c r="G157">
        <f t="shared" si="14"/>
        <v>55.939833134920633</v>
      </c>
      <c r="H157">
        <f t="shared" si="15"/>
        <v>6068.4998331349207</v>
      </c>
    </row>
    <row r="158" spans="1:8">
      <c r="A158" s="1">
        <v>45700</v>
      </c>
      <c r="B158">
        <v>56.15</v>
      </c>
      <c r="C158">
        <v>6051.97</v>
      </c>
      <c r="D158">
        <f t="shared" si="12"/>
        <v>-3.2108482811839668E-3</v>
      </c>
      <c r="E158">
        <f t="shared" si="13"/>
        <v>1.0372377459622351E-2</v>
      </c>
      <c r="G158">
        <f t="shared" si="14"/>
        <v>56.149833134920634</v>
      </c>
      <c r="H158">
        <f t="shared" si="15"/>
        <v>6051.9698331349209</v>
      </c>
    </row>
    <row r="159" spans="1:8">
      <c r="A159" s="1">
        <v>45701</v>
      </c>
      <c r="B159">
        <v>55.97</v>
      </c>
      <c r="C159">
        <v>6115.07</v>
      </c>
      <c r="D159">
        <f t="shared" si="12"/>
        <v>-3.7685354988316738E-2</v>
      </c>
      <c r="E159">
        <f t="shared" si="13"/>
        <v>-7.1955976056534599E-5</v>
      </c>
      <c r="G159">
        <f t="shared" si="14"/>
        <v>55.969833134920634</v>
      </c>
      <c r="H159">
        <f t="shared" si="15"/>
        <v>6115.0698331349204</v>
      </c>
    </row>
    <row r="160" spans="1:8">
      <c r="A160" s="1">
        <v>45702</v>
      </c>
      <c r="B160">
        <v>53.9</v>
      </c>
      <c r="C160">
        <v>6114.63</v>
      </c>
      <c r="D160">
        <f t="shared" si="12"/>
        <v>9.7849945311571044E-3</v>
      </c>
      <c r="E160">
        <f t="shared" si="13"/>
        <v>2.4419717448794743E-3</v>
      </c>
      <c r="G160">
        <f t="shared" si="14"/>
        <v>53.899833134920634</v>
      </c>
      <c r="H160">
        <f t="shared" si="15"/>
        <v>6114.6298331349208</v>
      </c>
    </row>
    <row r="161" spans="1:8">
      <c r="A161" s="1">
        <v>45706</v>
      </c>
      <c r="B161">
        <v>54.43</v>
      </c>
      <c r="C161">
        <v>6129.58</v>
      </c>
      <c r="D161">
        <f t="shared" si="12"/>
        <v>1.0054010290990947E-2</v>
      </c>
      <c r="E161">
        <f t="shared" si="13"/>
        <v>2.3741775065794562E-3</v>
      </c>
      <c r="G161">
        <f t="shared" si="14"/>
        <v>54.429833134920635</v>
      </c>
      <c r="H161">
        <f t="shared" si="15"/>
        <v>6129.5798331349206</v>
      </c>
    </row>
    <row r="162" spans="1:8">
      <c r="A162" s="1">
        <v>45707</v>
      </c>
      <c r="B162">
        <v>54.98</v>
      </c>
      <c r="C162">
        <v>6144.15</v>
      </c>
      <c r="D162">
        <f t="shared" si="12"/>
        <v>1.4625159120337263E-2</v>
      </c>
      <c r="E162">
        <f t="shared" si="13"/>
        <v>-4.3436239711486854E-3</v>
      </c>
      <c r="G162">
        <f t="shared" si="14"/>
        <v>54.979833134920632</v>
      </c>
      <c r="H162">
        <f t="shared" si="15"/>
        <v>6144.1498331349203</v>
      </c>
    </row>
    <row r="163" spans="1:8">
      <c r="A163" s="1">
        <v>45708</v>
      </c>
      <c r="B163">
        <v>55.79</v>
      </c>
      <c r="C163">
        <v>6117.52</v>
      </c>
      <c r="D163">
        <f t="shared" ref="D163:D189" si="16">LN(B164/B163)</f>
        <v>7.1671746483207828E-4</v>
      </c>
      <c r="E163">
        <f t="shared" ref="E163:E189" si="17">LN(C164/C163)</f>
        <v>-1.7211373991262081E-2</v>
      </c>
      <c r="G163">
        <f t="shared" si="14"/>
        <v>55.789833134920634</v>
      </c>
      <c r="H163">
        <f t="shared" si="15"/>
        <v>6117.5198331349211</v>
      </c>
    </row>
    <row r="164" spans="1:8">
      <c r="A164" s="1">
        <v>45709</v>
      </c>
      <c r="B164">
        <v>55.83</v>
      </c>
      <c r="C164">
        <v>6013.13</v>
      </c>
      <c r="D164">
        <f t="shared" si="16"/>
        <v>3.606054244101406E-2</v>
      </c>
      <c r="E164">
        <f t="shared" si="17"/>
        <v>-4.9815130548550111E-3</v>
      </c>
      <c r="G164">
        <f t="shared" si="14"/>
        <v>55.829833134920634</v>
      </c>
      <c r="H164">
        <f t="shared" si="15"/>
        <v>6013.1298331349208</v>
      </c>
    </row>
    <row r="165" spans="1:8">
      <c r="A165" s="1">
        <v>45712</v>
      </c>
      <c r="B165">
        <v>57.88</v>
      </c>
      <c r="C165">
        <v>5983.25</v>
      </c>
      <c r="D165">
        <f t="shared" si="16"/>
        <v>5.6852595203609607E-3</v>
      </c>
      <c r="E165">
        <f t="shared" si="17"/>
        <v>-4.690715138395557E-3</v>
      </c>
      <c r="G165">
        <f t="shared" si="14"/>
        <v>57.879833134920638</v>
      </c>
      <c r="H165">
        <f t="shared" si="15"/>
        <v>5983.2498331349207</v>
      </c>
    </row>
    <row r="166" spans="1:8">
      <c r="A166" s="1">
        <v>45713</v>
      </c>
      <c r="B166">
        <v>58.21</v>
      </c>
      <c r="C166">
        <v>5955.25</v>
      </c>
      <c r="D166">
        <f t="shared" si="16"/>
        <v>-1.4361350730425399E-2</v>
      </c>
      <c r="E166">
        <f t="shared" si="17"/>
        <v>1.3600519191397061E-4</v>
      </c>
      <c r="G166">
        <f t="shared" si="14"/>
        <v>58.209833134920636</v>
      </c>
      <c r="H166">
        <f t="shared" si="15"/>
        <v>5955.2498331349207</v>
      </c>
    </row>
    <row r="167" spans="1:8">
      <c r="A167" s="1">
        <v>45714</v>
      </c>
      <c r="B167">
        <v>57.38</v>
      </c>
      <c r="C167">
        <v>5956.06</v>
      </c>
      <c r="D167">
        <f t="shared" si="16"/>
        <v>2.4446044351362332E-2</v>
      </c>
      <c r="E167">
        <f t="shared" si="17"/>
        <v>-1.5991702852089028E-2</v>
      </c>
      <c r="G167">
        <f t="shared" si="14"/>
        <v>57.379833134920638</v>
      </c>
      <c r="H167">
        <f t="shared" si="15"/>
        <v>5956.0598331349211</v>
      </c>
    </row>
    <row r="168" spans="1:8">
      <c r="A168" s="1">
        <v>45715</v>
      </c>
      <c r="B168">
        <v>58.8</v>
      </c>
      <c r="C168">
        <v>5861.57</v>
      </c>
      <c r="D168">
        <f t="shared" si="16"/>
        <v>1.3849233345344131E-2</v>
      </c>
      <c r="E168">
        <f t="shared" si="17"/>
        <v>1.5729750431897126E-2</v>
      </c>
      <c r="G168">
        <f t="shared" si="14"/>
        <v>58.799833134920632</v>
      </c>
      <c r="H168">
        <f t="shared" si="15"/>
        <v>5861.5698331349204</v>
      </c>
    </row>
    <row r="169" spans="1:8">
      <c r="A169" s="1">
        <v>45716</v>
      </c>
      <c r="B169">
        <v>59.62</v>
      </c>
      <c r="C169">
        <v>5954.5</v>
      </c>
      <c r="D169">
        <f t="shared" si="16"/>
        <v>4.184456687335387E-3</v>
      </c>
      <c r="E169">
        <f t="shared" si="17"/>
        <v>-1.7753439375493379E-2</v>
      </c>
      <c r="G169">
        <f t="shared" si="14"/>
        <v>59.619833134920633</v>
      </c>
      <c r="H169">
        <f t="shared" si="15"/>
        <v>5954.4998331349207</v>
      </c>
    </row>
    <row r="170" spans="1:8">
      <c r="A170" s="1">
        <v>45719</v>
      </c>
      <c r="B170">
        <v>59.87</v>
      </c>
      <c r="C170">
        <v>5849.72</v>
      </c>
      <c r="D170">
        <f t="shared" si="16"/>
        <v>-7.2081445277569663E-3</v>
      </c>
      <c r="E170">
        <f t="shared" si="17"/>
        <v>-1.2310234603366469E-2</v>
      </c>
      <c r="G170">
        <f t="shared" si="14"/>
        <v>59.869833134920633</v>
      </c>
      <c r="H170">
        <f t="shared" si="15"/>
        <v>5849.7198331349209</v>
      </c>
    </row>
    <row r="171" spans="1:8">
      <c r="A171" s="1">
        <v>45720</v>
      </c>
      <c r="B171">
        <v>59.44</v>
      </c>
      <c r="C171">
        <v>5778.15</v>
      </c>
      <c r="D171">
        <f t="shared" si="16"/>
        <v>6.3726527922982621E-3</v>
      </c>
      <c r="E171">
        <f t="shared" si="17"/>
        <v>1.1097475685101249E-2</v>
      </c>
      <c r="G171">
        <f t="shared" si="14"/>
        <v>59.439833134920633</v>
      </c>
      <c r="H171">
        <f t="shared" si="15"/>
        <v>5778.1498331349203</v>
      </c>
    </row>
    <row r="172" spans="1:8">
      <c r="A172" s="1">
        <v>45721</v>
      </c>
      <c r="B172">
        <v>59.82</v>
      </c>
      <c r="C172">
        <v>5842.63</v>
      </c>
      <c r="D172">
        <f t="shared" si="16"/>
        <v>6.0000180000972011E-3</v>
      </c>
      <c r="E172">
        <f t="shared" si="17"/>
        <v>-1.7979700568310077E-2</v>
      </c>
      <c r="G172">
        <f t="shared" si="14"/>
        <v>59.819833134920636</v>
      </c>
      <c r="H172">
        <f t="shared" si="15"/>
        <v>5842.6298331349208</v>
      </c>
    </row>
    <row r="173" spans="1:8">
      <c r="A173" s="1">
        <v>45722</v>
      </c>
      <c r="B173">
        <v>60.18</v>
      </c>
      <c r="C173">
        <v>5738.52</v>
      </c>
      <c r="D173">
        <f t="shared" si="16"/>
        <v>1.5008115459776549E-2</v>
      </c>
      <c r="E173">
        <f t="shared" si="17"/>
        <v>5.5054046005090125E-3</v>
      </c>
      <c r="G173">
        <f t="shared" si="14"/>
        <v>60.179833134920635</v>
      </c>
      <c r="H173">
        <f t="shared" si="15"/>
        <v>5738.5198331349211</v>
      </c>
    </row>
    <row r="174" spans="1:8">
      <c r="A174" s="1">
        <v>45723</v>
      </c>
      <c r="B174">
        <v>61.09</v>
      </c>
      <c r="C174">
        <v>5770.2</v>
      </c>
      <c r="D174">
        <f t="shared" si="16"/>
        <v>3.2531048934472527E-2</v>
      </c>
      <c r="E174">
        <f t="shared" si="17"/>
        <v>-2.7343518375984407E-2</v>
      </c>
      <c r="G174">
        <f t="shared" si="14"/>
        <v>61.089833134920639</v>
      </c>
      <c r="H174">
        <f t="shared" si="15"/>
        <v>5770.1998331349205</v>
      </c>
    </row>
    <row r="175" spans="1:8">
      <c r="A175" s="1">
        <v>45726</v>
      </c>
      <c r="B175">
        <v>63.11</v>
      </c>
      <c r="C175">
        <v>5614.56</v>
      </c>
      <c r="D175">
        <f t="shared" si="16"/>
        <v>-2.5679472375871305E-2</v>
      </c>
      <c r="E175">
        <f t="shared" si="17"/>
        <v>-7.596604935651537E-3</v>
      </c>
      <c r="G175">
        <f t="shared" si="14"/>
        <v>63.109833134920635</v>
      </c>
      <c r="H175">
        <f t="shared" si="15"/>
        <v>5614.5598331349211</v>
      </c>
    </row>
    <row r="176" spans="1:8">
      <c r="A176" s="1">
        <v>45727</v>
      </c>
      <c r="B176">
        <v>61.51</v>
      </c>
      <c r="C176">
        <v>5572.07</v>
      </c>
      <c r="D176">
        <f t="shared" si="16"/>
        <v>-2.8026892163811143E-2</v>
      </c>
      <c r="E176">
        <f t="shared" si="17"/>
        <v>4.8749712752344252E-3</v>
      </c>
      <c r="G176">
        <f t="shared" si="14"/>
        <v>61.509833134920633</v>
      </c>
      <c r="H176">
        <f t="shared" si="15"/>
        <v>5572.0698331349204</v>
      </c>
    </row>
    <row r="177" spans="1:8">
      <c r="A177" s="1">
        <v>45728</v>
      </c>
      <c r="B177">
        <v>59.81</v>
      </c>
      <c r="C177">
        <v>5599.3</v>
      </c>
      <c r="D177">
        <f t="shared" si="16"/>
        <v>7.8275027018290307E-3</v>
      </c>
      <c r="E177">
        <f t="shared" si="17"/>
        <v>-1.3988405225352909E-2</v>
      </c>
      <c r="G177">
        <f t="shared" si="14"/>
        <v>59.809833134920638</v>
      </c>
      <c r="H177">
        <f t="shared" si="15"/>
        <v>5599.2998331349208</v>
      </c>
    </row>
    <row r="178" spans="1:8">
      <c r="A178" s="1">
        <v>45729</v>
      </c>
      <c r="B178">
        <v>60.28</v>
      </c>
      <c r="C178">
        <v>5521.52</v>
      </c>
      <c r="D178">
        <f t="shared" si="16"/>
        <v>-2.1293452689217396E-2</v>
      </c>
      <c r="E178">
        <f t="shared" si="17"/>
        <v>2.1042919881408308E-2</v>
      </c>
      <c r="G178">
        <f t="shared" si="14"/>
        <v>60.279833134920636</v>
      </c>
      <c r="H178">
        <f t="shared" si="15"/>
        <v>5521.5198331349211</v>
      </c>
    </row>
    <row r="179" spans="1:8">
      <c r="A179" s="1">
        <v>45730</v>
      </c>
      <c r="B179">
        <v>59.01</v>
      </c>
      <c r="C179">
        <v>5638.94</v>
      </c>
      <c r="D179">
        <f t="shared" si="16"/>
        <v>1.6470960595924497E-2</v>
      </c>
      <c r="E179">
        <f t="shared" si="17"/>
        <v>6.3956039343475201E-3</v>
      </c>
      <c r="G179">
        <f t="shared" si="14"/>
        <v>59.009833134920633</v>
      </c>
      <c r="H179">
        <f t="shared" si="15"/>
        <v>5638.9398331349203</v>
      </c>
    </row>
    <row r="180" spans="1:8">
      <c r="A180" s="1">
        <v>45733</v>
      </c>
      <c r="B180">
        <v>59.99</v>
      </c>
      <c r="C180">
        <v>5675.12</v>
      </c>
      <c r="D180">
        <f t="shared" si="16"/>
        <v>-1.5013765435980947E-3</v>
      </c>
      <c r="E180">
        <f t="shared" si="17"/>
        <v>-1.071067425391002E-2</v>
      </c>
      <c r="G180">
        <f t="shared" si="14"/>
        <v>59.989833134920637</v>
      </c>
      <c r="H180">
        <f t="shared" si="15"/>
        <v>5675.1198331349206</v>
      </c>
    </row>
    <row r="181" spans="1:8">
      <c r="A181" s="1">
        <v>45734</v>
      </c>
      <c r="B181">
        <v>59.9</v>
      </c>
      <c r="C181">
        <v>5614.66</v>
      </c>
      <c r="D181">
        <f t="shared" si="16"/>
        <v>3.0005023344757162E-3</v>
      </c>
      <c r="E181">
        <f t="shared" si="17"/>
        <v>1.0740629118978858E-2</v>
      </c>
      <c r="G181">
        <f t="shared" si="14"/>
        <v>59.899833134920634</v>
      </c>
      <c r="H181">
        <f t="shared" si="15"/>
        <v>5614.6598331349205</v>
      </c>
    </row>
    <row r="182" spans="1:8">
      <c r="A182" s="1">
        <v>45735</v>
      </c>
      <c r="B182">
        <v>60.08</v>
      </c>
      <c r="C182">
        <v>5675.29</v>
      </c>
      <c r="D182">
        <f t="shared" si="16"/>
        <v>5.6431685026465707E-3</v>
      </c>
      <c r="E182">
        <f t="shared" si="17"/>
        <v>-2.1873007738032347E-3</v>
      </c>
      <c r="G182">
        <f t="shared" si="14"/>
        <v>60.079833134920634</v>
      </c>
      <c r="H182">
        <f t="shared" si="15"/>
        <v>5675.2898331349206</v>
      </c>
    </row>
    <row r="183" spans="1:8">
      <c r="A183" s="1">
        <v>45736</v>
      </c>
      <c r="B183">
        <v>60.42</v>
      </c>
      <c r="C183">
        <v>5662.89</v>
      </c>
      <c r="D183">
        <f t="shared" si="16"/>
        <v>9.3897403498391374E-3</v>
      </c>
      <c r="E183">
        <f t="shared" si="17"/>
        <v>8.2432741231720308E-4</v>
      </c>
      <c r="G183">
        <f t="shared" si="14"/>
        <v>60.419833134920637</v>
      </c>
      <c r="H183">
        <f t="shared" si="15"/>
        <v>5662.889833134921</v>
      </c>
    </row>
    <row r="184" spans="1:8">
      <c r="A184" s="1">
        <v>45737</v>
      </c>
      <c r="B184">
        <v>60.99</v>
      </c>
      <c r="C184">
        <v>5667.56</v>
      </c>
      <c r="D184">
        <f t="shared" si="16"/>
        <v>9.8328424834858981E-4</v>
      </c>
      <c r="E184">
        <f t="shared" si="17"/>
        <v>1.7492157944606672E-2</v>
      </c>
      <c r="G184">
        <f t="shared" si="14"/>
        <v>60.989833134920637</v>
      </c>
      <c r="H184">
        <f t="shared" si="15"/>
        <v>5667.5598331349211</v>
      </c>
    </row>
    <row r="185" spans="1:8">
      <c r="A185" s="1">
        <v>45740</v>
      </c>
      <c r="B185">
        <v>61.05</v>
      </c>
      <c r="C185">
        <v>5767.57</v>
      </c>
      <c r="D185">
        <f t="shared" si="16"/>
        <v>-3.0940591854079956E-2</v>
      </c>
      <c r="E185">
        <f t="shared" si="17"/>
        <v>1.5730819184730236E-3</v>
      </c>
      <c r="G185">
        <f t="shared" si="14"/>
        <v>61.049833134920632</v>
      </c>
      <c r="H185">
        <f t="shared" si="15"/>
        <v>5767.5698331349204</v>
      </c>
    </row>
    <row r="186" spans="1:8">
      <c r="A186" s="1">
        <v>45741</v>
      </c>
      <c r="B186">
        <v>59.19</v>
      </c>
      <c r="C186">
        <v>5776.65</v>
      </c>
      <c r="D186">
        <f t="shared" si="16"/>
        <v>3.3783784105104967E-4</v>
      </c>
      <c r="E186">
        <f t="shared" si="17"/>
        <v>-1.1219691455108281E-2</v>
      </c>
      <c r="G186">
        <f t="shared" si="14"/>
        <v>59.189833134920633</v>
      </c>
      <c r="H186">
        <f t="shared" si="15"/>
        <v>5776.6498331349203</v>
      </c>
    </row>
    <row r="187" spans="1:8">
      <c r="A187" s="1">
        <v>45742</v>
      </c>
      <c r="B187">
        <v>59.21</v>
      </c>
      <c r="C187">
        <v>5712.2</v>
      </c>
      <c r="D187">
        <f t="shared" si="16"/>
        <v>-5.2493558861437901E-3</v>
      </c>
      <c r="E187">
        <f t="shared" si="17"/>
        <v>-3.3124371066493626E-3</v>
      </c>
      <c r="G187">
        <f t="shared" si="14"/>
        <v>59.209833134920636</v>
      </c>
      <c r="H187">
        <f t="shared" si="15"/>
        <v>5712.1998331349205</v>
      </c>
    </row>
    <row r="188" spans="1:8">
      <c r="A188" s="1">
        <v>45743</v>
      </c>
      <c r="B188">
        <v>58.9</v>
      </c>
      <c r="C188">
        <v>5693.31</v>
      </c>
      <c r="D188">
        <f t="shared" si="16"/>
        <v>1.8836749354680035E-2</v>
      </c>
      <c r="E188">
        <f t="shared" si="17"/>
        <v>-1.9934580336265845E-2</v>
      </c>
      <c r="G188">
        <f t="shared" si="14"/>
        <v>58.899833134920634</v>
      </c>
      <c r="H188">
        <f t="shared" si="15"/>
        <v>5693.3098331349211</v>
      </c>
    </row>
    <row r="189" spans="1:8">
      <c r="A189" s="1">
        <v>45744</v>
      </c>
      <c r="B189">
        <v>60.02</v>
      </c>
      <c r="C189">
        <v>5580.94</v>
      </c>
      <c r="D189">
        <f t="shared" si="16"/>
        <v>1.6032076296143966E-2</v>
      </c>
      <c r="E189">
        <f t="shared" si="17"/>
        <v>5.523212456950013E-3</v>
      </c>
      <c r="G189">
        <f t="shared" si="14"/>
        <v>60.019833134920638</v>
      </c>
      <c r="H189">
        <f t="shared" si="15"/>
        <v>5580.9398331349203</v>
      </c>
    </row>
    <row r="190" spans="1:8">
      <c r="A190" s="1">
        <v>45747</v>
      </c>
      <c r="B190">
        <v>60.99</v>
      </c>
      <c r="C190">
        <v>5611.85</v>
      </c>
      <c r="G190">
        <f t="shared" si="14"/>
        <v>60.989833134920637</v>
      </c>
      <c r="H190">
        <f t="shared" si="15"/>
        <v>5611.849833134921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0634-3807-4FBB-ACC9-762D9ECE8127}">
  <dimension ref="A1:AB194"/>
  <sheetViews>
    <sheetView topLeftCell="H30" zoomScale="96" zoomScaleNormal="96" workbookViewId="0">
      <selection activeCell="M77" sqref="M77"/>
    </sheetView>
  </sheetViews>
  <sheetFormatPr defaultRowHeight="14.25"/>
  <cols>
    <col min="1" max="1" width="9.85546875" bestFit="1" customWidth="1"/>
    <col min="3" max="3" width="10" bestFit="1" customWidth="1"/>
    <col min="4" max="5" width="11" bestFit="1" customWidth="1"/>
    <col min="6" max="6" width="10.42578125" bestFit="1" customWidth="1"/>
    <col min="7" max="7" width="10.28515625" bestFit="1" customWidth="1"/>
    <col min="8" max="8" width="9.42578125" bestFit="1" customWidth="1"/>
  </cols>
  <sheetData>
    <row r="1" spans="1:8">
      <c r="B1" s="7" t="s">
        <v>27</v>
      </c>
      <c r="C1" s="7">
        <v>9</v>
      </c>
      <c r="D1" s="7">
        <v>12</v>
      </c>
      <c r="E1" s="7">
        <v>26</v>
      </c>
      <c r="F1" s="7"/>
      <c r="G1" s="8">
        <v>9</v>
      </c>
    </row>
    <row r="2" spans="1:8">
      <c r="B2" s="7" t="s">
        <v>28</v>
      </c>
      <c r="C2" s="7">
        <f>2/(C1+1)</f>
        <v>0.2</v>
      </c>
      <c r="D2" s="9">
        <f t="shared" ref="D2:E2" si="0">2/(D1+1)</f>
        <v>0.15384615384615385</v>
      </c>
      <c r="E2" s="9">
        <f t="shared" si="0"/>
        <v>7.407407407407407E-2</v>
      </c>
      <c r="F2" s="7"/>
      <c r="G2" s="8">
        <f>2/(G1+1)</f>
        <v>0.2</v>
      </c>
    </row>
    <row r="3" spans="1:8">
      <c r="B3" s="7"/>
      <c r="C3" s="7"/>
      <c r="D3" s="7"/>
      <c r="E3" s="7"/>
      <c r="F3" s="7"/>
    </row>
    <row r="4" spans="1:8">
      <c r="A4" t="s">
        <v>4</v>
      </c>
      <c r="B4" t="s">
        <v>3</v>
      </c>
      <c r="C4" t="s">
        <v>29</v>
      </c>
      <c r="D4" t="s">
        <v>30</v>
      </c>
      <c r="E4" t="s">
        <v>31</v>
      </c>
      <c r="F4" t="s">
        <v>32</v>
      </c>
      <c r="G4" t="s">
        <v>33</v>
      </c>
      <c r="H4" t="s">
        <v>34</v>
      </c>
    </row>
    <row r="5" spans="1:8">
      <c r="A5" s="1">
        <v>45474</v>
      </c>
      <c r="B5">
        <v>41.3</v>
      </c>
      <c r="C5" s="2">
        <f>IF(COUNTA($B$5:$B5)&lt;=C$1,AVERAGE($B$5:$B5),C$2*($B5-$C4)+$C4)</f>
        <v>41.3</v>
      </c>
      <c r="D5" s="2">
        <f>IF(COUNTA($B$5:$B5)&lt;=D$1,AVERAGE($B$5:$B5),D$2*($B5-$D4)+$D4)</f>
        <v>41.3</v>
      </c>
      <c r="E5">
        <f>IF(COUNTA($B$5:$B5)&lt;=E$1,AVERAGE($B$5:$B5),E$2*($B5-$E4)+$E4)</f>
        <v>41.3</v>
      </c>
    </row>
    <row r="6" spans="1:8">
      <c r="A6" s="1">
        <v>45475</v>
      </c>
      <c r="B6">
        <v>40.450000000000003</v>
      </c>
      <c r="C6" s="2">
        <f>IF(COUNTA($B$5:$B6)&lt;=C$1,AVERAGE($B$5:$B6),C$2*($B6-$C5)+$C5)</f>
        <v>40.875</v>
      </c>
      <c r="D6" s="2">
        <f>IF(COUNTA($B$5:$B6)&lt;=D$1,AVERAGE($B$5:$B6),D$2*($B6-$D5)+$D5)</f>
        <v>40.875</v>
      </c>
      <c r="E6" s="2">
        <f>IF(COUNTA($B$5:$B6)&lt;=E$1,AVERAGE($B$5:$B6),E$2*($B6-$E5)+$E5)</f>
        <v>40.875</v>
      </c>
    </row>
    <row r="7" spans="1:8">
      <c r="A7" s="1">
        <v>45476</v>
      </c>
      <c r="B7">
        <v>40.06</v>
      </c>
      <c r="C7" s="2">
        <f>IF(COUNTA($B$5:$B7)&lt;=C$1,AVERAGE($B$5:$B7),C$2*($B7-$C6)+$C6)</f>
        <v>40.603333333333332</v>
      </c>
      <c r="D7" s="2">
        <f>IF(COUNTA($B$5:$B7)&lt;=D$1,AVERAGE($B$5:$B7),D$2*($B7-$D6)+$D6)</f>
        <v>40.603333333333332</v>
      </c>
      <c r="E7" s="2">
        <f>IF(COUNTA($B$5:$B7)&lt;=E$1,AVERAGE($B$5:$B7),E$2*($B7-$E6)+$E6)</f>
        <v>40.603333333333332</v>
      </c>
    </row>
    <row r="8" spans="1:8">
      <c r="A8" s="1">
        <v>45478</v>
      </c>
      <c r="B8">
        <v>39.659999999999997</v>
      </c>
      <c r="C8" s="2">
        <f>IF(COUNTA($B$5:$B8)&lt;=C$1,AVERAGE($B$5:$B8),C$2*($B8-$C7)+$C7)</f>
        <v>40.3675</v>
      </c>
      <c r="D8" s="2">
        <f>IF(COUNTA($B$5:$B8)&lt;=D$1,AVERAGE($B$5:$B8),D$2*($B8-$D7)+$D7)</f>
        <v>40.3675</v>
      </c>
      <c r="E8" s="2">
        <f>IF(COUNTA($B$5:$B8)&lt;=E$1,AVERAGE($B$5:$B8),E$2*($B8-$E7)+$E7)</f>
        <v>40.3675</v>
      </c>
    </row>
    <row r="9" spans="1:8">
      <c r="A9" s="1">
        <v>45481</v>
      </c>
      <c r="B9">
        <v>39.99</v>
      </c>
      <c r="C9" s="2">
        <f>IF(COUNTA($B$5:$B9)&lt;=C$1,AVERAGE($B$5:$B9),C$2*($B9-$C8)+$C8)</f>
        <v>40.292000000000002</v>
      </c>
      <c r="D9" s="2">
        <f>IF(COUNTA($B$5:$B9)&lt;=D$1,AVERAGE($B$5:$B9),D$2*($B9-$D8)+$D8)</f>
        <v>40.292000000000002</v>
      </c>
      <c r="E9" s="2">
        <f>IF(COUNTA($B$5:$B9)&lt;=E$1,AVERAGE($B$5:$B9),E$2*($B9-$E8)+$E8)</f>
        <v>40.292000000000002</v>
      </c>
    </row>
    <row r="10" spans="1:8">
      <c r="A10" s="1">
        <v>45482</v>
      </c>
      <c r="B10">
        <v>40.86</v>
      </c>
      <c r="C10" s="2">
        <f>IF(COUNTA($B$5:$B10)&lt;=C$1,AVERAGE($B$5:$B10),C$2*($B10-$C9)+$C9)</f>
        <v>40.386666666666663</v>
      </c>
      <c r="D10" s="2">
        <f>IF(COUNTA($B$5:$B10)&lt;=D$1,AVERAGE($B$5:$B10),D$2*($B10-$D9)+$D9)</f>
        <v>40.386666666666663</v>
      </c>
      <c r="E10" s="2">
        <f>IF(COUNTA($B$5:$B10)&lt;=E$1,AVERAGE($B$5:$B10),E$2*($B10-$E9)+$E9)</f>
        <v>40.386666666666663</v>
      </c>
    </row>
    <row r="11" spans="1:8">
      <c r="A11" s="1">
        <v>45483</v>
      </c>
      <c r="B11">
        <v>41.12</v>
      </c>
      <c r="C11" s="2">
        <f>IF(COUNTA($B$5:$B11)&lt;=C$1,AVERAGE($B$5:$B11),C$2*($B11-$C10)+$C10)</f>
        <v>40.491428571428571</v>
      </c>
      <c r="D11" s="2">
        <f>IF(COUNTA($B$5:$B11)&lt;=D$1,AVERAGE($B$5:$B11),D$2*($B11-$D10)+$D10)</f>
        <v>40.491428571428571</v>
      </c>
      <c r="E11" s="2">
        <f>IF(COUNTA($B$5:$B11)&lt;=E$1,AVERAGE($B$5:$B11),E$2*($B11-$E10)+$E10)</f>
        <v>40.491428571428571</v>
      </c>
    </row>
    <row r="12" spans="1:8">
      <c r="A12" s="1">
        <v>45484</v>
      </c>
      <c r="B12">
        <v>40.75</v>
      </c>
      <c r="C12" s="2">
        <f>IF(COUNTA($B$5:$B12)&lt;=C$1,AVERAGE($B$5:$B12),C$2*($B12-$C11)+$C11)</f>
        <v>40.52375</v>
      </c>
      <c r="D12" s="2">
        <f>IF(COUNTA($B$5:$B12)&lt;=D$1,AVERAGE($B$5:$B12),D$2*($B12-$D11)+$D11)</f>
        <v>40.52375</v>
      </c>
      <c r="E12" s="2">
        <f>IF(COUNTA($B$5:$B12)&lt;=E$1,AVERAGE($B$5:$B12),E$2*($B12-$E11)+$E11)</f>
        <v>40.52375</v>
      </c>
    </row>
    <row r="13" spans="1:8">
      <c r="A13" s="1">
        <v>45485</v>
      </c>
      <c r="B13">
        <v>40.46</v>
      </c>
      <c r="C13" s="2">
        <f>IF(COUNTA($B$5:$B13)&lt;=C$1,AVERAGE($B$5:$B13),C$2*($B13-$C12)+$C12)</f>
        <v>40.516666666666666</v>
      </c>
      <c r="D13" s="2">
        <f>IF(COUNTA($B$5:$B13)&lt;=D$1,AVERAGE($B$5:$B13),D$2*($B13-$D12)+$D12)</f>
        <v>40.516666666666666</v>
      </c>
      <c r="E13" s="2">
        <f>IF(COUNTA($B$5:$B13)&lt;=E$1,AVERAGE($B$5:$B13),E$2*($B13-$E12)+$E12)</f>
        <v>40.516666666666666</v>
      </c>
    </row>
    <row r="14" spans="1:8">
      <c r="A14" s="1">
        <v>45488</v>
      </c>
      <c r="B14">
        <v>40.15</v>
      </c>
      <c r="C14" s="2">
        <f>IF(COUNTA($B$5:$B14)&lt;=C$1,AVERAGE($B$5:$B14),C$2*($B14-$C13)+$C13)</f>
        <v>40.443333333333335</v>
      </c>
      <c r="D14" s="2">
        <f>IF(COUNTA($B$5:$B14)&lt;=D$1,AVERAGE($B$5:$B14),D$2*($B14-$D13)+$D13)</f>
        <v>40.479999999999997</v>
      </c>
      <c r="E14" s="2">
        <f>IF(COUNTA($B$5:$B14)&lt;=E$1,AVERAGE($B$5:$B14),E$2*($B14-$E13)+$E13)</f>
        <v>40.479999999999997</v>
      </c>
    </row>
    <row r="15" spans="1:8">
      <c r="A15" s="1">
        <v>45489</v>
      </c>
      <c r="B15">
        <v>41.2</v>
      </c>
      <c r="C15" s="2">
        <f>IF(COUNTA($B$5:$B15)&lt;=C$1,AVERAGE($B$5:$B15),C$2*($B15-$C14)+$C14)</f>
        <v>40.594666666666669</v>
      </c>
      <c r="D15" s="2">
        <f>IF(COUNTA($B$5:$B15)&lt;=D$1,AVERAGE($B$5:$B15),D$2*($B15-$D14)+$D14)</f>
        <v>40.54545454545454</v>
      </c>
      <c r="E15" s="2">
        <f>IF(COUNTA($B$5:$B15)&lt;=E$1,AVERAGE($B$5:$B15),E$2*($B15-$E14)+$E14)</f>
        <v>40.54545454545454</v>
      </c>
    </row>
    <row r="16" spans="1:8">
      <c r="A16" s="1">
        <v>45490</v>
      </c>
      <c r="B16">
        <v>43.15</v>
      </c>
      <c r="C16" s="2">
        <f>IF(COUNTA($B$5:$B16)&lt;=C$1,AVERAGE($B$5:$B16),C$2*($B16-$C15)+$C15)</f>
        <v>41.105733333333333</v>
      </c>
      <c r="D16" s="2">
        <f>IF(COUNTA($B$5:$B16)&lt;=D$1,AVERAGE($B$5:$B16),D$2*($B16-$D15)+$D15)</f>
        <v>40.762499999999996</v>
      </c>
      <c r="E16" s="2">
        <f>IF(COUNTA($B$5:$B16)&lt;=E$1,AVERAGE($B$5:$B16),E$2*($B16-$E15)+$E15)</f>
        <v>40.762499999999996</v>
      </c>
    </row>
    <row r="17" spans="1:28">
      <c r="A17" s="1">
        <v>45491</v>
      </c>
      <c r="B17">
        <v>42.39</v>
      </c>
      <c r="C17" s="2">
        <f>IF(COUNTA($B$5:$B17)&lt;=C$1,AVERAGE($B$5:$B17),C$2*($B17-$C16)+$C16)</f>
        <v>41.362586666666665</v>
      </c>
      <c r="D17" s="2">
        <f>IF(COUNTA($B$5:$B17)&lt;=D$1,AVERAGE($B$5:$B17),D$2*($B17-$D16)+$D16)</f>
        <v>41.012884615384614</v>
      </c>
      <c r="E17" s="2">
        <f>IF(COUNTA($B$5:$B17)&lt;=E$1,AVERAGE($B$5:$B17),E$2*($B17-$E16)+$E16)</f>
        <v>40.887692307692305</v>
      </c>
      <c r="F17" s="2">
        <f>D17-E17</f>
        <v>0.12519230769230916</v>
      </c>
      <c r="G17" s="2">
        <f>IF(COUNTA($F$5:$F17)&lt;=G$1,AVERAGE($F$5:$F17),G$2*($F17-$G16)+$G16)</f>
        <v>0.12519230769230916</v>
      </c>
      <c r="H17" s="2">
        <f>F17-G17</f>
        <v>0</v>
      </c>
    </row>
    <row r="18" spans="1:28">
      <c r="A18" s="1">
        <v>45492</v>
      </c>
      <c r="B18">
        <v>42.64</v>
      </c>
      <c r="C18" s="2">
        <f>IF(COUNTA($B$5:$B18)&lt;=C$1,AVERAGE($B$5:$B18),C$2*($B18-$C17)+$C17)</f>
        <v>41.618069333333331</v>
      </c>
      <c r="D18" s="2">
        <f>IF(COUNTA($B$5:$B18)&lt;=D$1,AVERAGE($B$5:$B18),D$2*($B18-$D17)+$D17)</f>
        <v>41.263210059171598</v>
      </c>
      <c r="E18" s="2">
        <f>IF(COUNTA($B$5:$B18)&lt;=E$1,AVERAGE($B$5:$B18),E$2*($B18-$E17)+$E17)</f>
        <v>41.012857142857136</v>
      </c>
      <c r="F18" s="2">
        <f t="shared" ref="F18:F81" si="1">D18-E18</f>
        <v>0.25035291631446199</v>
      </c>
      <c r="G18" s="2">
        <f>IF(COUNTA($F$5:$F18)&lt;=G$1,AVERAGE($F$5:$F18),G$2*($F18-$G17)+$G17)</f>
        <v>0.18777261200338558</v>
      </c>
      <c r="H18" s="2">
        <f t="shared" ref="H18:H81" si="2">F18-G18</f>
        <v>6.2580304311076418E-2</v>
      </c>
    </row>
    <row r="19" spans="1:28">
      <c r="A19" s="1">
        <v>45495</v>
      </c>
      <c r="B19">
        <v>42.67</v>
      </c>
      <c r="C19" s="2">
        <f>IF(COUNTA($B$5:$B19)&lt;=C$1,AVERAGE($B$5:$B19),C$2*($B19-$C18)+$C18)</f>
        <v>41.828455466666668</v>
      </c>
      <c r="D19" s="2">
        <f>IF(COUNTA($B$5:$B19)&lt;=D$1,AVERAGE($B$5:$B19),D$2*($B19-$D18)+$D18)</f>
        <v>41.479639280837503</v>
      </c>
      <c r="E19" s="2">
        <f>IF(COUNTA($B$5:$B19)&lt;=E$1,AVERAGE($B$5:$B19),E$2*($B19-$E18)+$E18)</f>
        <v>41.123333333333328</v>
      </c>
      <c r="F19" s="2">
        <f t="shared" si="1"/>
        <v>0.35630594750417544</v>
      </c>
      <c r="G19" s="2">
        <f>IF(COUNTA($F$5:$F19)&lt;=G$1,AVERAGE($F$5:$F19),G$2*($F19-$G18)+$G18)</f>
        <v>0.24395039050364886</v>
      </c>
      <c r="H19" s="2">
        <f t="shared" si="2"/>
        <v>0.11235555700052657</v>
      </c>
    </row>
    <row r="20" spans="1:28">
      <c r="A20" s="1">
        <v>45496</v>
      </c>
      <c r="B20">
        <v>42.98</v>
      </c>
      <c r="C20" s="2">
        <f>IF(COUNTA($B$5:$B20)&lt;=C$1,AVERAGE($B$5:$B20),C$2*($B20-$C19)+$C19)</f>
        <v>42.058764373333332</v>
      </c>
      <c r="D20" s="2">
        <f>IF(COUNTA($B$5:$B20)&lt;=D$1,AVERAGE($B$5:$B20),D$2*($B20-$D19)+$D19)</f>
        <v>41.710464006862502</v>
      </c>
      <c r="E20" s="2">
        <f>IF(COUNTA($B$5:$B20)&lt;=E$1,AVERAGE($B$5:$B20),E$2*($B20-$E19)+$E19)</f>
        <v>41.239374999999995</v>
      </c>
      <c r="F20" s="2">
        <f t="shared" si="1"/>
        <v>0.47108900686250621</v>
      </c>
      <c r="G20" s="2">
        <f>IF(COUNTA($F$5:$F20)&lt;=G$1,AVERAGE($F$5:$F20),G$2*($F20-$G19)+$G19)</f>
        <v>0.3007350445933632</v>
      </c>
      <c r="H20" s="2">
        <f t="shared" si="2"/>
        <v>0.17035396226914301</v>
      </c>
    </row>
    <row r="21" spans="1:28">
      <c r="A21" s="1">
        <v>45497</v>
      </c>
      <c r="B21">
        <v>44.66</v>
      </c>
      <c r="C21" s="2">
        <f>IF(COUNTA($B$5:$B21)&lt;=C$1,AVERAGE($B$5:$B21),C$2*($B21-$C20)+$C20)</f>
        <v>42.579011498666667</v>
      </c>
      <c r="D21" s="2">
        <f>IF(COUNTA($B$5:$B21)&lt;=D$1,AVERAGE($B$5:$B21),D$2*($B21-$D20)+$D20)</f>
        <v>42.164238775037504</v>
      </c>
      <c r="E21" s="2">
        <f>IF(COUNTA($B$5:$B21)&lt;=E$1,AVERAGE($B$5:$B21),E$2*($B21-$E20)+$E20)</f>
        <v>41.440588235294115</v>
      </c>
      <c r="F21" s="2">
        <f t="shared" si="1"/>
        <v>0.72365053974338878</v>
      </c>
      <c r="G21" s="2">
        <f>IF(COUNTA($F$5:$F21)&lt;=G$1,AVERAGE($F$5:$F21),G$2*($F21-$G20)+$G20)</f>
        <v>0.3853181436233683</v>
      </c>
      <c r="H21" s="2">
        <f t="shared" si="2"/>
        <v>0.33833239612002047</v>
      </c>
    </row>
    <row r="22" spans="1:28">
      <c r="A22" s="1">
        <v>45498</v>
      </c>
      <c r="B22">
        <v>45.27</v>
      </c>
      <c r="C22" s="2">
        <f>IF(COUNTA($B$5:$B22)&lt;=C$1,AVERAGE($B$5:$B22),C$2*($B22-$C21)+$C21)</f>
        <v>43.117209198933331</v>
      </c>
      <c r="D22" s="2">
        <f>IF(COUNTA($B$5:$B22)&lt;=D$1,AVERAGE($B$5:$B22),D$2*($B22-$D21)+$D21)</f>
        <v>42.6420481942625</v>
      </c>
      <c r="E22" s="2">
        <f>IF(COUNTA($B$5:$B22)&lt;=E$1,AVERAGE($B$5:$B22),E$2*($B22-$E21)+$E21)</f>
        <v>41.653333333333329</v>
      </c>
      <c r="F22" s="2">
        <f t="shared" si="1"/>
        <v>0.98871486092917138</v>
      </c>
      <c r="G22" s="2">
        <f>IF(COUNTA($F$5:$F22)&lt;=G$1,AVERAGE($F$5:$F22),G$2*($F22-$G21)+$G21)</f>
        <v>0.48588426317433547</v>
      </c>
      <c r="H22" s="2">
        <f t="shared" si="2"/>
        <v>0.50283059775483596</v>
      </c>
    </row>
    <row r="23" spans="1:28">
      <c r="A23" s="1">
        <v>45499</v>
      </c>
      <c r="B23">
        <v>50.45</v>
      </c>
      <c r="C23" s="2">
        <f>IF(COUNTA($B$5:$B23)&lt;=C$1,AVERAGE($B$5:$B23),C$2*($B23-$C22)+$C22)</f>
        <v>44.583767359146663</v>
      </c>
      <c r="D23" s="2">
        <f>IF(COUNTA($B$5:$B23)&lt;=D$1,AVERAGE($B$5:$B23),D$2*($B23-$D22)+$D22)</f>
        <v>43.843271548991346</v>
      </c>
      <c r="E23" s="2">
        <f>IF(COUNTA($B$5:$B23)&lt;=E$1,AVERAGE($B$5:$B23),E$2*($B23-$E22)+$E22)</f>
        <v>42.116315789473681</v>
      </c>
      <c r="F23" s="2">
        <f t="shared" si="1"/>
        <v>1.726955759517665</v>
      </c>
      <c r="G23" s="2">
        <f>IF(COUNTA($F$5:$F23)&lt;=G$1,AVERAGE($F$5:$F23),G$2*($F23-$G22)+$G22)</f>
        <v>0.66318019122338256</v>
      </c>
      <c r="H23" s="2">
        <f t="shared" si="2"/>
        <v>1.0637755682942824</v>
      </c>
    </row>
    <row r="24" spans="1:28">
      <c r="A24" s="1">
        <v>45502</v>
      </c>
      <c r="B24">
        <v>48.98</v>
      </c>
      <c r="C24" s="2">
        <f>IF(COUNTA($B$5:$B24)&lt;=C$1,AVERAGE($B$5:$B24),C$2*($B24-$C23)+$C23)</f>
        <v>45.463013887317331</v>
      </c>
      <c r="D24" s="2">
        <f>IF(COUNTA($B$5:$B24)&lt;=D$1,AVERAGE($B$5:$B24),D$2*($B24-$D23)+$D23)</f>
        <v>44.633537464531138</v>
      </c>
      <c r="E24" s="2">
        <f>IF(COUNTA($B$5:$B24)&lt;=E$1,AVERAGE($B$5:$B24),E$2*($B24-$E23)+$E23)</f>
        <v>42.459499999999998</v>
      </c>
      <c r="F24" s="2">
        <f t="shared" si="1"/>
        <v>2.1740374645311391</v>
      </c>
      <c r="G24" s="2">
        <f>IF(COUNTA($F$5:$F24)&lt;=G$1,AVERAGE($F$5:$F24),G$2*($F24-$G23)+$G23)</f>
        <v>0.85203735038685213</v>
      </c>
      <c r="H24" s="2">
        <f t="shared" si="2"/>
        <v>1.322000114144287</v>
      </c>
    </row>
    <row r="25" spans="1:28">
      <c r="A25" s="1">
        <v>45503</v>
      </c>
      <c r="B25">
        <v>49.05</v>
      </c>
      <c r="C25" s="2">
        <f>IF(COUNTA($B$5:$B25)&lt;=C$1,AVERAGE($B$5:$B25),C$2*($B25-$C24)+$C24)</f>
        <v>46.180411109853864</v>
      </c>
      <c r="D25" s="2">
        <f>IF(COUNTA($B$5:$B25)&lt;=D$1,AVERAGE($B$5:$B25),D$2*($B25-$D24)+$D24)</f>
        <v>45.312993239218656</v>
      </c>
      <c r="E25" s="2">
        <f>IF(COUNTA($B$5:$B25)&lt;=E$1,AVERAGE($B$5:$B25),E$2*($B25-$E24)+$E24)</f>
        <v>42.773333333333326</v>
      </c>
      <c r="F25" s="2">
        <f t="shared" si="1"/>
        <v>2.5396599058853297</v>
      </c>
      <c r="G25" s="2">
        <f>IF(COUNTA($F$5:$F25)&lt;=G$1,AVERAGE($F$5:$F25),G$2*($F25-$G24)+$G24)</f>
        <v>1.0395509676644608</v>
      </c>
      <c r="H25" s="2">
        <f t="shared" si="2"/>
        <v>1.500108938220869</v>
      </c>
    </row>
    <row r="26" spans="1:28">
      <c r="A26" s="1">
        <v>45504</v>
      </c>
      <c r="B26">
        <v>47.56</v>
      </c>
      <c r="C26" s="2">
        <f>IF(COUNTA($B$5:$B26)&lt;=C$1,AVERAGE($B$5:$B26),C$2*($B26-$C25)+$C25)</f>
        <v>46.456328887883089</v>
      </c>
      <c r="D26" s="2">
        <f>IF(COUNTA($B$5:$B26)&lt;=D$1,AVERAGE($B$5:$B26),D$2*($B26-$D25)+$D25)</f>
        <v>45.65868658703117</v>
      </c>
      <c r="E26" s="2">
        <f>IF(COUNTA($B$5:$B26)&lt;=E$1,AVERAGE($B$5:$B26),E$2*($B26-$E25)+$E25)</f>
        <v>42.990909090909092</v>
      </c>
      <c r="F26" s="2">
        <f t="shared" si="1"/>
        <v>2.6677774961220777</v>
      </c>
      <c r="G26" s="2">
        <f>IF(COUNTA($F$5:$F26)&lt;=G$1,AVERAGE($F$5:$F26),G$2*($F26-$G25)+$G25)</f>
        <v>1.3651962733559841</v>
      </c>
      <c r="H26" s="2">
        <f t="shared" si="2"/>
        <v>1.3025812227660936</v>
      </c>
    </row>
    <row r="27" spans="1:28">
      <c r="A27" s="1">
        <v>45505</v>
      </c>
      <c r="B27">
        <v>48.17</v>
      </c>
      <c r="C27" s="2">
        <f>IF(COUNTA($B$5:$B27)&lt;=C$1,AVERAGE($B$5:$B27),C$2*($B27-$C26)+$C26)</f>
        <v>46.79906311030647</v>
      </c>
      <c r="D27" s="2">
        <f>IF(COUNTA($B$5:$B27)&lt;=D$1,AVERAGE($B$5:$B27),D$2*($B27-$D26)+$D26)</f>
        <v>46.045042496718679</v>
      </c>
      <c r="E27" s="2">
        <f>IF(COUNTA($B$5:$B27)&lt;=E$1,AVERAGE($B$5:$B27),E$2*($B27-$E26)+$E26)</f>
        <v>43.216086956521735</v>
      </c>
      <c r="F27" s="2">
        <f t="shared" si="1"/>
        <v>2.8289555401969437</v>
      </c>
      <c r="G27" s="2">
        <f>IF(COUNTA($F$5:$F27)&lt;=G$1,AVERAGE($F$5:$F27),G$2*($F27-$G26)+$G26)</f>
        <v>1.657948126724176</v>
      </c>
      <c r="H27" s="2">
        <f t="shared" si="2"/>
        <v>1.1710074134727677</v>
      </c>
    </row>
    <row r="28" spans="1:28">
      <c r="A28" s="1">
        <v>45506</v>
      </c>
      <c r="B28">
        <v>48.77</v>
      </c>
      <c r="C28" s="2">
        <f>IF(COUNTA($B$5:$B28)&lt;=C$1,AVERAGE($B$5:$B28),C$2*($B28-$C27)+$C27)</f>
        <v>47.193250488245177</v>
      </c>
      <c r="D28" s="2">
        <f>IF(COUNTA($B$5:$B28)&lt;=D$1,AVERAGE($B$5:$B28),D$2*($B28-$D27)+$D27)</f>
        <v>46.464266727992729</v>
      </c>
      <c r="E28" s="2">
        <f>IF(COUNTA($B$5:$B28)&lt;=E$1,AVERAGE($B$5:$B28),E$2*($B28-$E27)+$E27)</f>
        <v>43.447499999999998</v>
      </c>
      <c r="F28" s="2">
        <f t="shared" si="1"/>
        <v>3.0167667279927315</v>
      </c>
      <c r="G28" s="2">
        <f>IF(COUNTA($F$5:$F28)&lt;=G$1,AVERAGE($F$5:$F28),G$2*($F28-$G27)+$G27)</f>
        <v>1.9297118469778871</v>
      </c>
      <c r="H28" s="2">
        <f t="shared" si="2"/>
        <v>1.0870548810148444</v>
      </c>
    </row>
    <row r="29" spans="1:28">
      <c r="A29" s="1">
        <v>45509</v>
      </c>
      <c r="B29">
        <v>47.59</v>
      </c>
      <c r="C29" s="2">
        <f>IF(COUNTA($B$5:$B29)&lt;=C$1,AVERAGE($B$5:$B29),C$2*($B29-$C28)+$C28)</f>
        <v>47.272600390596139</v>
      </c>
      <c r="D29" s="2">
        <f>IF(COUNTA($B$5:$B29)&lt;=D$1,AVERAGE($B$5:$B29),D$2*($B29-$D28)+$D28)</f>
        <v>46.637456462147696</v>
      </c>
      <c r="E29" s="2">
        <f>IF(COUNTA($B$5:$B29)&lt;=E$1,AVERAGE($B$5:$B29),E$2*($B29-$E28)+$E28)</f>
        <v>43.613199999999999</v>
      </c>
      <c r="F29" s="2">
        <f t="shared" si="1"/>
        <v>3.0242564621476973</v>
      </c>
      <c r="G29" s="2">
        <f>IF(COUNTA($F$5:$F29)&lt;=G$1,AVERAGE($F$5:$F29),G$2*($F29-$G28)+$G28)</f>
        <v>2.1486207700118491</v>
      </c>
      <c r="H29" s="2">
        <f t="shared" si="2"/>
        <v>0.87563569213584813</v>
      </c>
    </row>
    <row r="30" spans="1:28">
      <c r="A30" s="1">
        <v>45510</v>
      </c>
      <c r="B30">
        <v>47.31</v>
      </c>
      <c r="C30" s="2">
        <f>IF(COUNTA($B$5:$B30)&lt;=C$1,AVERAGE($B$5:$B30),C$2*($B30-$C29)+$C29)</f>
        <v>47.280080312476912</v>
      </c>
      <c r="D30" s="2">
        <f>IF(COUNTA($B$5:$B30)&lt;=D$1,AVERAGE($B$5:$B30),D$2*($B30-$D29)+$D29)</f>
        <v>46.740924698740358</v>
      </c>
      <c r="E30" s="2">
        <f>IF(COUNTA($B$5:$B30)&lt;=E$1,AVERAGE($B$5:$B30),E$2*($B30-$E29)+$E29)</f>
        <v>43.755384615384614</v>
      </c>
      <c r="F30" s="2">
        <f t="shared" si="1"/>
        <v>2.9855400833557439</v>
      </c>
      <c r="G30" s="2">
        <f>IF(COUNTA($F$5:$F30)&lt;=G$1,AVERAGE($F$5:$F30),G$2*($F30-$G29)+$G29)</f>
        <v>2.3160046326806283</v>
      </c>
      <c r="H30" s="2">
        <f t="shared" si="2"/>
        <v>0.66953545067511566</v>
      </c>
    </row>
    <row r="31" spans="1:28">
      <c r="A31" s="1">
        <v>45511</v>
      </c>
      <c r="B31">
        <v>46.5</v>
      </c>
      <c r="C31" s="2">
        <f>IF(COUNTA($B$5:$B31)&lt;=C$1,AVERAGE($B$5:$B31),C$2*($B31-$C30)+$C30)</f>
        <v>47.124064249981529</v>
      </c>
      <c r="D31" s="2">
        <f>IF(COUNTA($B$5:$B31)&lt;=D$1,AVERAGE($B$5:$B31),D$2*($B31-$D30)+$D30)</f>
        <v>46.703859360472613</v>
      </c>
      <c r="E31" s="2">
        <f>IF(COUNTA($B$5:$B31)&lt;=E$1,AVERAGE($B$5:$B31),E$2*($B31-$E30)+$E30)</f>
        <v>43.958689458689456</v>
      </c>
      <c r="F31" s="2">
        <f t="shared" si="1"/>
        <v>2.7451699017831572</v>
      </c>
      <c r="G31" s="2">
        <f>IF(COUNTA($F$5:$F31)&lt;=G$1,AVERAGE($F$5:$F31),G$2*($F31-$G30)+$G30)</f>
        <v>2.4018376865011342</v>
      </c>
      <c r="H31" s="2">
        <f t="shared" si="2"/>
        <v>0.34333221528202307</v>
      </c>
    </row>
    <row r="32" spans="1:28" ht="21">
      <c r="A32" s="1">
        <v>45512</v>
      </c>
      <c r="B32">
        <v>46.85</v>
      </c>
      <c r="C32" s="2">
        <f>IF(COUNTA($B$5:$B32)&lt;=C$1,AVERAGE($B$5:$B32),C$2*($B32-$C31)+$C31)</f>
        <v>47.069251399985227</v>
      </c>
      <c r="D32" s="2">
        <f>IF(COUNTA($B$5:$B32)&lt;=D$1,AVERAGE($B$5:$B32),D$2*($B32-$D31)+$D31)</f>
        <v>46.726342535784518</v>
      </c>
      <c r="E32" s="2">
        <f>IF(COUNTA($B$5:$B32)&lt;=E$1,AVERAGE($B$5:$B32),E$2*($B32-$E31)+$E31)</f>
        <v>44.172860609897647</v>
      </c>
      <c r="F32" s="2">
        <f t="shared" si="1"/>
        <v>2.5534819258868708</v>
      </c>
      <c r="G32" s="2">
        <f>IF(COUNTA($F$5:$F32)&lt;=G$1,AVERAGE($F$5:$F32),G$2*($F32-$G31)+$G31)</f>
        <v>2.4321665343782817</v>
      </c>
      <c r="H32" s="2">
        <f t="shared" si="2"/>
        <v>0.12131539150858917</v>
      </c>
      <c r="AB32" s="15"/>
    </row>
    <row r="33" spans="1:8">
      <c r="A33" s="1">
        <v>45513</v>
      </c>
      <c r="B33">
        <v>46.72</v>
      </c>
      <c r="C33" s="2">
        <f>IF(COUNTA($B$5:$B33)&lt;=C$1,AVERAGE($B$5:$B33),C$2*($B33-$C32)+$C32)</f>
        <v>46.999401119988178</v>
      </c>
      <c r="D33" s="2">
        <f>IF(COUNTA($B$5:$B33)&lt;=D$1,AVERAGE($B$5:$B33),D$2*($B33-$D32)+$D32)</f>
        <v>46.725366761048441</v>
      </c>
      <c r="E33" s="2">
        <f>IF(COUNTA($B$5:$B33)&lt;=E$1,AVERAGE($B$5:$B33),E$2*($B33-$E32)+$E32)</f>
        <v>44.361537601757078</v>
      </c>
      <c r="F33" s="2">
        <f t="shared" si="1"/>
        <v>2.3638291592913632</v>
      </c>
      <c r="G33" s="2">
        <f>IF(COUNTA($F$5:$F33)&lt;=G$1,AVERAGE($F$5:$F33),G$2*($F33-$G32)+$G32)</f>
        <v>2.4184990593608982</v>
      </c>
      <c r="H33" s="2">
        <f t="shared" si="2"/>
        <v>-5.4669900069534982E-2</v>
      </c>
    </row>
    <row r="34" spans="1:8">
      <c r="A34" s="1">
        <v>45516</v>
      </c>
      <c r="B34">
        <v>47.06</v>
      </c>
      <c r="C34" s="2">
        <f>IF(COUNTA($B$5:$B34)&lt;=C$1,AVERAGE($B$5:$B34),C$2*($B34-$C33)+$C33)</f>
        <v>47.011520895990543</v>
      </c>
      <c r="D34" s="2">
        <f>IF(COUNTA($B$5:$B34)&lt;=D$1,AVERAGE($B$5:$B34),D$2*($B34-$D33)+$D33)</f>
        <v>46.776848797810217</v>
      </c>
      <c r="E34" s="2">
        <f>IF(COUNTA($B$5:$B34)&lt;=E$1,AVERAGE($B$5:$B34),E$2*($B34-$E33)+$E33)</f>
        <v>44.561423705330625</v>
      </c>
      <c r="F34" s="2">
        <f t="shared" si="1"/>
        <v>2.2154250924795917</v>
      </c>
      <c r="G34" s="2">
        <f>IF(COUNTA($F$5:$F34)&lt;=G$1,AVERAGE($F$5:$F34),G$2*($F34-$G33)+$G33)</f>
        <v>2.3778842659846369</v>
      </c>
      <c r="H34" s="2">
        <f t="shared" si="2"/>
        <v>-0.16245917350504513</v>
      </c>
    </row>
    <row r="35" spans="1:8">
      <c r="A35" s="1">
        <v>45517</v>
      </c>
      <c r="B35">
        <v>49.06</v>
      </c>
      <c r="C35" s="2">
        <f>IF(COUNTA($B$5:$B35)&lt;=C$1,AVERAGE($B$5:$B35),C$2*($B35-$C34)+$C34)</f>
        <v>47.421216716792436</v>
      </c>
      <c r="D35" s="2">
        <f>IF(COUNTA($B$5:$B35)&lt;=D$1,AVERAGE($B$5:$B35),D$2*($B35-$D34)+$D34)</f>
        <v>47.12810282891634</v>
      </c>
      <c r="E35" s="2">
        <f>IF(COUNTA($B$5:$B35)&lt;=E$1,AVERAGE($B$5:$B35),E$2*($B35-$E34)+$E34)</f>
        <v>44.894651579009839</v>
      </c>
      <c r="F35" s="2">
        <f t="shared" si="1"/>
        <v>2.2334512499065013</v>
      </c>
      <c r="G35" s="2">
        <f>IF(COUNTA($F$5:$F35)&lt;=G$1,AVERAGE($F$5:$F35),G$2*($F35-$G34)+$G34)</f>
        <v>2.3489976627690097</v>
      </c>
      <c r="H35" s="2">
        <f t="shared" si="2"/>
        <v>-0.11554641286250833</v>
      </c>
    </row>
    <row r="36" spans="1:8">
      <c r="A36" s="1">
        <v>45518</v>
      </c>
      <c r="B36">
        <v>48.41</v>
      </c>
      <c r="C36" s="2">
        <f>IF(COUNTA($B$5:$B36)&lt;=C$1,AVERAGE($B$5:$B36),C$2*($B36-$C35)+$C35)</f>
        <v>47.618973373433946</v>
      </c>
      <c r="D36" s="2">
        <f>IF(COUNTA($B$5:$B36)&lt;=D$1,AVERAGE($B$5:$B36),D$2*($B36-$D35)+$D35)</f>
        <v>47.325317778313824</v>
      </c>
      <c r="E36" s="2">
        <f>IF(COUNTA($B$5:$B36)&lt;=E$1,AVERAGE($B$5:$B36),E$2*($B36-$E35)+$E35)</f>
        <v>45.155047758342441</v>
      </c>
      <c r="F36" s="2">
        <f t="shared" si="1"/>
        <v>2.1702700199713831</v>
      </c>
      <c r="G36" s="2">
        <f>IF(COUNTA($F$5:$F36)&lt;=G$1,AVERAGE($F$5:$F36),G$2*($F36-$G35)+$G35)</f>
        <v>2.3132521342094843</v>
      </c>
      <c r="H36" s="2">
        <f t="shared" si="2"/>
        <v>-0.14298211423810114</v>
      </c>
    </row>
    <row r="37" spans="1:8">
      <c r="A37" s="1">
        <v>45519</v>
      </c>
      <c r="B37">
        <v>49.11</v>
      </c>
      <c r="C37" s="2">
        <f>IF(COUNTA($B$5:$B37)&lt;=C$1,AVERAGE($B$5:$B37),C$2*($B37-$C36)+$C36)</f>
        <v>47.917178698747158</v>
      </c>
      <c r="D37" s="2">
        <f>IF(COUNTA($B$5:$B37)&lt;=D$1,AVERAGE($B$5:$B37),D$2*($B37-$D36)+$D36)</f>
        <v>47.599884273957848</v>
      </c>
      <c r="E37" s="2">
        <f>IF(COUNTA($B$5:$B37)&lt;=E$1,AVERAGE($B$5:$B37),E$2*($B37-$E36)+$E36)</f>
        <v>45.448007183650411</v>
      </c>
      <c r="F37" s="2">
        <f t="shared" si="1"/>
        <v>2.1518770903074369</v>
      </c>
      <c r="G37" s="2">
        <f>IF(COUNTA($F$5:$F37)&lt;=G$1,AVERAGE($F$5:$F37),G$2*($F37-$G36)+$G36)</f>
        <v>2.2809771254290747</v>
      </c>
      <c r="H37" s="2">
        <f t="shared" si="2"/>
        <v>-0.12910003512163781</v>
      </c>
    </row>
    <row r="38" spans="1:8">
      <c r="A38" s="1">
        <v>45520</v>
      </c>
      <c r="B38">
        <v>49.36</v>
      </c>
      <c r="C38" s="2">
        <f>IF(COUNTA($B$5:$B38)&lt;=C$1,AVERAGE($B$5:$B38),C$2*($B38-$C37)+$C37)</f>
        <v>48.205742958997725</v>
      </c>
      <c r="D38" s="2">
        <f>IF(COUNTA($B$5:$B38)&lt;=D$1,AVERAGE($B$5:$B38),D$2*($B38-$D37)+$D37)</f>
        <v>47.870671308733563</v>
      </c>
      <c r="E38" s="2">
        <f>IF(COUNTA($B$5:$B38)&lt;=E$1,AVERAGE($B$5:$B38),E$2*($B38-$E37)+$E37)</f>
        <v>45.737784429305933</v>
      </c>
      <c r="F38" s="2">
        <f t="shared" si="1"/>
        <v>2.1328868794276303</v>
      </c>
      <c r="G38" s="2">
        <f>IF(COUNTA($F$5:$F38)&lt;=G$1,AVERAGE($F$5:$F38),G$2*($F38-$G37)+$G37)</f>
        <v>2.2513590762287858</v>
      </c>
      <c r="H38" s="2">
        <f t="shared" si="2"/>
        <v>-0.1184721968011555</v>
      </c>
    </row>
    <row r="39" spans="1:8">
      <c r="A39" s="1">
        <v>45523</v>
      </c>
      <c r="B39">
        <v>49.3</v>
      </c>
      <c r="C39" s="2">
        <f>IF(COUNTA($B$5:$B39)&lt;=C$1,AVERAGE($B$5:$B39),C$2*($B39-$C38)+$C38)</f>
        <v>48.424594367198182</v>
      </c>
      <c r="D39" s="2">
        <f>IF(COUNTA($B$5:$B39)&lt;=D$1,AVERAGE($B$5:$B39),D$2*($B39-$D38)+$D38)</f>
        <v>48.090568030466862</v>
      </c>
      <c r="E39" s="2">
        <f>IF(COUNTA($B$5:$B39)&lt;=E$1,AVERAGE($B$5:$B39),E$2*($B39-$E38)+$E38)</f>
        <v>46.001652249357342</v>
      </c>
      <c r="F39" s="2">
        <f t="shared" si="1"/>
        <v>2.0889157811095203</v>
      </c>
      <c r="G39" s="2">
        <f>IF(COUNTA($F$5:$F39)&lt;=G$1,AVERAGE($F$5:$F39),G$2*($F39-$G38)+$G38)</f>
        <v>2.2188704172049327</v>
      </c>
      <c r="H39" s="2">
        <f t="shared" si="2"/>
        <v>-0.12995463609541247</v>
      </c>
    </row>
    <row r="40" spans="1:8">
      <c r="A40" s="1">
        <v>45524</v>
      </c>
      <c r="B40">
        <v>48.98</v>
      </c>
      <c r="C40" s="2">
        <f>IF(COUNTA($B$5:$B40)&lt;=C$1,AVERAGE($B$5:$B40),C$2*($B40-$C39)+$C39)</f>
        <v>48.535675493758546</v>
      </c>
      <c r="D40" s="2">
        <f>IF(COUNTA($B$5:$B40)&lt;=D$1,AVERAGE($B$5:$B40),D$2*($B40-$D39)+$D39)</f>
        <v>48.227403718087345</v>
      </c>
      <c r="E40" s="2">
        <f>IF(COUNTA($B$5:$B40)&lt;=E$1,AVERAGE($B$5:$B40),E$2*($B40-$E39)+$E39)</f>
        <v>46.222270601256795</v>
      </c>
      <c r="F40" s="2">
        <f t="shared" si="1"/>
        <v>2.0051331168305495</v>
      </c>
      <c r="G40" s="2">
        <f>IF(COUNTA($F$5:$F40)&lt;=G$1,AVERAGE($F$5:$F40),G$2*($F40-$G39)+$G39)</f>
        <v>2.176122957130056</v>
      </c>
      <c r="H40" s="2">
        <f t="shared" si="2"/>
        <v>-0.17098984029950648</v>
      </c>
    </row>
    <row r="41" spans="1:8">
      <c r="A41" s="1">
        <v>45525</v>
      </c>
      <c r="B41">
        <v>48.44</v>
      </c>
      <c r="C41" s="2">
        <f>IF(COUNTA($B$5:$B41)&lt;=C$1,AVERAGE($B$5:$B41),C$2*($B41-$C40)+$C40)</f>
        <v>48.516540395006835</v>
      </c>
      <c r="D41" s="2">
        <f>IF(COUNTA($B$5:$B41)&lt;=D$1,AVERAGE($B$5:$B41),D$2*($B41-$D40)+$D40)</f>
        <v>48.2601108383816</v>
      </c>
      <c r="E41" s="2">
        <f>IF(COUNTA($B$5:$B41)&lt;=E$1,AVERAGE($B$5:$B41),E$2*($B41-$E40)+$E40)</f>
        <v>46.386546853015552</v>
      </c>
      <c r="F41" s="2">
        <f t="shared" si="1"/>
        <v>1.8735639853660473</v>
      </c>
      <c r="G41" s="2">
        <f>IF(COUNTA($F$5:$F41)&lt;=G$1,AVERAGE($F$5:$F41),G$2*($F41-$G40)+$G40)</f>
        <v>2.1156111627772543</v>
      </c>
      <c r="H41" s="2">
        <f t="shared" si="2"/>
        <v>-0.24204717741120696</v>
      </c>
    </row>
    <row r="42" spans="1:8">
      <c r="A42" s="1">
        <v>45526</v>
      </c>
      <c r="B42">
        <v>47.62</v>
      </c>
      <c r="C42" s="2">
        <f>IF(COUNTA($B$5:$B42)&lt;=C$1,AVERAGE($B$5:$B42),C$2*($B42-$C41)+$C41)</f>
        <v>48.337232316005469</v>
      </c>
      <c r="D42" s="2">
        <f>IF(COUNTA($B$5:$B42)&lt;=D$1,AVERAGE($B$5:$B42),D$2*($B42-$D41)+$D41)</f>
        <v>48.161632247861355</v>
      </c>
      <c r="E42" s="2">
        <f>IF(COUNTA($B$5:$B42)&lt;=E$1,AVERAGE($B$5:$B42),E$2*($B42-$E41)+$E41)</f>
        <v>46.477913752792176</v>
      </c>
      <c r="F42" s="2">
        <f t="shared" si="1"/>
        <v>1.6837184950691793</v>
      </c>
      <c r="G42" s="2">
        <f>IF(COUNTA($F$5:$F42)&lt;=G$1,AVERAGE($F$5:$F42),G$2*($F42-$G41)+$G41)</f>
        <v>2.0292326292356391</v>
      </c>
      <c r="H42" s="2">
        <f t="shared" si="2"/>
        <v>-0.34551413416645982</v>
      </c>
    </row>
    <row r="43" spans="1:8">
      <c r="A43" s="1">
        <v>45527</v>
      </c>
      <c r="B43">
        <v>48.11</v>
      </c>
      <c r="C43" s="2">
        <f>IF(COUNTA($B$5:$B43)&lt;=C$1,AVERAGE($B$5:$B43),C$2*($B43-$C42)+$C42)</f>
        <v>48.291785852804374</v>
      </c>
      <c r="D43" s="2">
        <f>IF(COUNTA($B$5:$B43)&lt;=D$1,AVERAGE($B$5:$B43),D$2*($B43-$D42)+$D42)</f>
        <v>48.153688825113456</v>
      </c>
      <c r="E43" s="2">
        <f>IF(COUNTA($B$5:$B43)&lt;=E$1,AVERAGE($B$5:$B43),E$2*($B43-$E42)+$E42)</f>
        <v>46.598809030363128</v>
      </c>
      <c r="F43" s="2">
        <f t="shared" si="1"/>
        <v>1.5548797947503274</v>
      </c>
      <c r="G43" s="2">
        <f>IF(COUNTA($F$5:$F43)&lt;=G$1,AVERAGE($F$5:$F43),G$2*($F43-$G42)+$G42)</f>
        <v>1.9343620623385767</v>
      </c>
      <c r="H43" s="2">
        <f t="shared" si="2"/>
        <v>-0.37948226758824921</v>
      </c>
    </row>
    <row r="44" spans="1:8">
      <c r="A44" s="1">
        <v>45530</v>
      </c>
      <c r="B44">
        <v>48.24</v>
      </c>
      <c r="C44" s="2">
        <f>IF(COUNTA($B$5:$B44)&lt;=C$1,AVERAGE($B$5:$B44),C$2*($B44-$C43)+$C43)</f>
        <v>48.281428682243501</v>
      </c>
      <c r="D44" s="2">
        <f>IF(COUNTA($B$5:$B44)&lt;=D$1,AVERAGE($B$5:$B44),D$2*($B44-$D43)+$D43)</f>
        <v>48.166967467403694</v>
      </c>
      <c r="E44" s="2">
        <f>IF(COUNTA($B$5:$B44)&lt;=E$1,AVERAGE($B$5:$B44),E$2*($B44-$E43)+$E43)</f>
        <v>46.720378731817711</v>
      </c>
      <c r="F44" s="2">
        <f t="shared" si="1"/>
        <v>1.4465887355859834</v>
      </c>
      <c r="G44" s="2">
        <f>IF(COUNTA($F$5:$F44)&lt;=G$1,AVERAGE($F$5:$F44),G$2*($F44-$G43)+$G43)</f>
        <v>1.8368073969880581</v>
      </c>
      <c r="H44" s="2">
        <f t="shared" si="2"/>
        <v>-0.39021866140207462</v>
      </c>
    </row>
    <row r="45" spans="1:8">
      <c r="A45" s="1">
        <v>45531</v>
      </c>
      <c r="B45">
        <v>48.12</v>
      </c>
      <c r="C45" s="2">
        <f>IF(COUNTA($B$5:$B45)&lt;=C$1,AVERAGE($B$5:$B45),C$2*($B45-$C44)+$C44)</f>
        <v>48.249142945794802</v>
      </c>
      <c r="D45" s="2">
        <f>IF(COUNTA($B$5:$B45)&lt;=D$1,AVERAGE($B$5:$B45),D$2*($B45-$D44)+$D44)</f>
        <v>48.159741703187741</v>
      </c>
      <c r="E45" s="2">
        <f>IF(COUNTA($B$5:$B45)&lt;=E$1,AVERAGE($B$5:$B45),E$2*($B45-$E44)+$E44)</f>
        <v>46.824054381312692</v>
      </c>
      <c r="F45" s="2">
        <f t="shared" si="1"/>
        <v>1.3356873218750493</v>
      </c>
      <c r="G45" s="2">
        <f>IF(COUNTA($F$5:$F45)&lt;=G$1,AVERAGE($F$5:$F45),G$2*($F45-$G44)+$G44)</f>
        <v>1.7365833819654564</v>
      </c>
      <c r="H45" s="2">
        <f t="shared" si="2"/>
        <v>-0.40089606009040701</v>
      </c>
    </row>
    <row r="46" spans="1:8">
      <c r="A46" s="1">
        <v>45532</v>
      </c>
      <c r="B46">
        <v>49.06</v>
      </c>
      <c r="C46" s="2">
        <f>IF(COUNTA($B$5:$B46)&lt;=C$1,AVERAGE($B$5:$B46),C$2*($B46-$C45)+$C45)</f>
        <v>48.411314356635842</v>
      </c>
      <c r="D46" s="2">
        <f>IF(COUNTA($B$5:$B46)&lt;=D$1,AVERAGE($B$5:$B46),D$2*($B46-$D45)+$D45)</f>
        <v>48.298242979620397</v>
      </c>
      <c r="E46" s="2">
        <f>IF(COUNTA($B$5:$B46)&lt;=E$1,AVERAGE($B$5:$B46),E$2*($B46-$E45)+$E45)</f>
        <v>46.989679982696934</v>
      </c>
      <c r="F46" s="2">
        <f t="shared" si="1"/>
        <v>1.3085629969234631</v>
      </c>
      <c r="G46" s="2">
        <f>IF(COUNTA($F$5:$F46)&lt;=G$1,AVERAGE($F$5:$F46),G$2*($F46-$G45)+$G45)</f>
        <v>1.6509793049570578</v>
      </c>
      <c r="H46" s="2">
        <f t="shared" si="2"/>
        <v>-0.34241630803359469</v>
      </c>
    </row>
    <row r="47" spans="1:8">
      <c r="A47" s="1">
        <v>45533</v>
      </c>
      <c r="B47">
        <v>49.72</v>
      </c>
      <c r="C47" s="2">
        <f>IF(COUNTA($B$5:$B47)&lt;=C$1,AVERAGE($B$5:$B47),C$2*($B47-$C46)+$C46)</f>
        <v>48.673051485308676</v>
      </c>
      <c r="D47" s="2">
        <f>IF(COUNTA($B$5:$B47)&lt;=D$1,AVERAGE($B$5:$B47),D$2*($B47-$D46)+$D46)</f>
        <v>48.516974828909568</v>
      </c>
      <c r="E47" s="2">
        <f>IF(COUNTA($B$5:$B47)&lt;=E$1,AVERAGE($B$5:$B47),E$2*($B47-$E46)+$E46)</f>
        <v>47.191925909904569</v>
      </c>
      <c r="F47" s="2">
        <f t="shared" si="1"/>
        <v>1.325048919004999</v>
      </c>
      <c r="G47" s="2">
        <f>IF(COUNTA($F$5:$F47)&lt;=G$1,AVERAGE($F$5:$F47),G$2*($F47-$G46)+$G46)</f>
        <v>1.585793227766646</v>
      </c>
      <c r="H47" s="2">
        <f t="shared" si="2"/>
        <v>-0.260744308761647</v>
      </c>
    </row>
    <row r="48" spans="1:8">
      <c r="A48" s="1">
        <v>45534</v>
      </c>
      <c r="B48">
        <v>49.95</v>
      </c>
      <c r="C48" s="2">
        <f>IF(COUNTA($B$5:$B48)&lt;=C$1,AVERAGE($B$5:$B48),C$2*($B48-$C47)+$C47)</f>
        <v>48.928441188246943</v>
      </c>
      <c r="D48" s="2">
        <f>IF(COUNTA($B$5:$B48)&lt;=D$1,AVERAGE($B$5:$B48),D$2*($B48-$D47)+$D47)</f>
        <v>48.737440239846556</v>
      </c>
      <c r="E48" s="2">
        <f>IF(COUNTA($B$5:$B48)&lt;=E$1,AVERAGE($B$5:$B48),E$2*($B48-$E47)+$E47)</f>
        <v>47.396227694356085</v>
      </c>
      <c r="F48" s="2">
        <f t="shared" si="1"/>
        <v>1.3412125454904711</v>
      </c>
      <c r="G48" s="2">
        <f>IF(COUNTA($F$5:$F48)&lt;=G$1,AVERAGE($F$5:$F48),G$2*($F48-$G47)+$G47)</f>
        <v>1.5368770913114109</v>
      </c>
      <c r="H48" s="2">
        <f t="shared" si="2"/>
        <v>-0.19566454582093984</v>
      </c>
    </row>
    <row r="49" spans="1:8">
      <c r="A49" s="1">
        <v>45538</v>
      </c>
      <c r="B49">
        <v>50.52</v>
      </c>
      <c r="C49" s="2">
        <f>IF(COUNTA($B$5:$B49)&lt;=C$1,AVERAGE($B$5:$B49),C$2*($B49-$C48)+$C48)</f>
        <v>49.246752950597553</v>
      </c>
      <c r="D49" s="2">
        <f>IF(COUNTA($B$5:$B49)&lt;=D$1,AVERAGE($B$5:$B49),D$2*($B49-$D48)+$D48)</f>
        <v>49.011680202947083</v>
      </c>
      <c r="E49" s="2">
        <f>IF(COUNTA($B$5:$B49)&lt;=E$1,AVERAGE($B$5:$B49),E$2*($B49-$E48)+$E48)</f>
        <v>47.627618235514895</v>
      </c>
      <c r="F49" s="2">
        <f t="shared" si="1"/>
        <v>1.3840619674321886</v>
      </c>
      <c r="G49" s="2">
        <f>IF(COUNTA($F$5:$F49)&lt;=G$1,AVERAGE($F$5:$F49),G$2*($F49-$G48)+$G48)</f>
        <v>1.5063140665355665</v>
      </c>
      <c r="H49" s="2">
        <f t="shared" si="2"/>
        <v>-0.12225209910337798</v>
      </c>
    </row>
    <row r="50" spans="1:8">
      <c r="A50" s="1">
        <v>45539</v>
      </c>
      <c r="B50">
        <v>49.96</v>
      </c>
      <c r="C50" s="2">
        <f>IF(COUNTA($B$5:$B50)&lt;=C$1,AVERAGE($B$5:$B50),C$2*($B50-$C49)+$C49)</f>
        <v>49.389402360478044</v>
      </c>
      <c r="D50" s="2">
        <f>IF(COUNTA($B$5:$B50)&lt;=D$1,AVERAGE($B$5:$B50),D$2*($B50-$D49)+$D49)</f>
        <v>49.157575556339843</v>
      </c>
      <c r="E50" s="2">
        <f>IF(COUNTA($B$5:$B50)&lt;=E$1,AVERAGE($B$5:$B50),E$2*($B50-$E49)+$E49)</f>
        <v>47.800387255106386</v>
      </c>
      <c r="F50" s="2">
        <f t="shared" si="1"/>
        <v>1.3571883012334567</v>
      </c>
      <c r="G50" s="2">
        <f>IF(COUNTA($F$5:$F50)&lt;=G$1,AVERAGE($F$5:$F50),G$2*($F50-$G49)+$G49)</f>
        <v>1.4764889134751447</v>
      </c>
      <c r="H50" s="2">
        <f t="shared" si="2"/>
        <v>-0.11930061224168798</v>
      </c>
    </row>
    <row r="51" spans="1:8">
      <c r="A51" s="1">
        <v>45540</v>
      </c>
      <c r="B51">
        <v>49.8</v>
      </c>
      <c r="C51" s="2">
        <f>IF(COUNTA($B$5:$B51)&lt;=C$1,AVERAGE($B$5:$B51),C$2*($B51-$C50)+$C50)</f>
        <v>49.471521888382433</v>
      </c>
      <c r="D51" s="2">
        <f>IF(COUNTA($B$5:$B51)&lt;=D$1,AVERAGE($B$5:$B51),D$2*($B51-$D50)+$D50)</f>
        <v>49.256410086133712</v>
      </c>
      <c r="E51" s="2">
        <f>IF(COUNTA($B$5:$B51)&lt;=E$1,AVERAGE($B$5:$B51),E$2*($B51-$E50)+$E50)</f>
        <v>47.948506717691096</v>
      </c>
      <c r="F51" s="2">
        <f t="shared" si="1"/>
        <v>1.3079033684426165</v>
      </c>
      <c r="G51" s="2">
        <f>IF(COUNTA($F$5:$F51)&lt;=G$1,AVERAGE($F$5:$F51),G$2*($F51-$G50)+$G50)</f>
        <v>1.4427718044686391</v>
      </c>
      <c r="H51" s="2">
        <f t="shared" si="2"/>
        <v>-0.13486843602602261</v>
      </c>
    </row>
    <row r="52" spans="1:8">
      <c r="A52" s="1">
        <v>45541</v>
      </c>
      <c r="B52">
        <v>48.7</v>
      </c>
      <c r="C52" s="2">
        <f>IF(COUNTA($B$5:$B52)&lt;=C$1,AVERAGE($B$5:$B52),C$2*($B52-$C51)+$C51)</f>
        <v>49.317217510705945</v>
      </c>
      <c r="D52" s="2">
        <f>IF(COUNTA($B$5:$B52)&lt;=D$1,AVERAGE($B$5:$B52),D$2*($B52-$D51)+$D51)</f>
        <v>49.170808534420836</v>
      </c>
      <c r="E52" s="2">
        <f>IF(COUNTA($B$5:$B52)&lt;=E$1,AVERAGE($B$5:$B52),E$2*($B52-$E51)+$E51)</f>
        <v>48.004172886751014</v>
      </c>
      <c r="F52" s="2">
        <f t="shared" si="1"/>
        <v>1.1666356476698212</v>
      </c>
      <c r="G52" s="2">
        <f>IF(COUNTA($F$5:$F52)&lt;=G$1,AVERAGE($F$5:$F52),G$2*($F52-$G51)+$G51)</f>
        <v>1.3875445731088756</v>
      </c>
      <c r="H52" s="2">
        <f t="shared" si="2"/>
        <v>-0.22090892543905438</v>
      </c>
    </row>
    <row r="53" spans="1:8">
      <c r="A53" s="1">
        <v>45544</v>
      </c>
      <c r="B53">
        <v>48.5</v>
      </c>
      <c r="C53" s="2">
        <f>IF(COUNTA($B$5:$B53)&lt;=C$1,AVERAGE($B$5:$B53),C$2*($B53-$C52)+$C52)</f>
        <v>49.153774008564753</v>
      </c>
      <c r="D53" s="2">
        <f>IF(COUNTA($B$5:$B53)&lt;=D$1,AVERAGE($B$5:$B53),D$2*($B53-$D52)+$D52)</f>
        <v>49.067607221433015</v>
      </c>
      <c r="E53" s="2">
        <f>IF(COUNTA($B$5:$B53)&lt;=E$1,AVERAGE($B$5:$B53),E$2*($B53-$E52)+$E52)</f>
        <v>48.040900821065755</v>
      </c>
      <c r="F53" s="2">
        <f t="shared" si="1"/>
        <v>1.0267064003672601</v>
      </c>
      <c r="G53" s="2">
        <f>IF(COUNTA($F$5:$F53)&lt;=G$1,AVERAGE($F$5:$F53),G$2*($F53-$G52)+$G52)</f>
        <v>1.3153769385605525</v>
      </c>
      <c r="H53" s="2">
        <f t="shared" si="2"/>
        <v>-0.28867053819329236</v>
      </c>
    </row>
    <row r="54" spans="1:8">
      <c r="A54" s="1">
        <v>45545</v>
      </c>
      <c r="B54">
        <v>49.28</v>
      </c>
      <c r="C54" s="2">
        <f>IF(COUNTA($B$5:$B54)&lt;=C$1,AVERAGE($B$5:$B54),C$2*($B54-$C53)+$C53)</f>
        <v>49.179019206851805</v>
      </c>
      <c r="D54" s="2">
        <f>IF(COUNTA($B$5:$B54)&lt;=D$1,AVERAGE($B$5:$B54),D$2*($B54-$D53)+$D53)</f>
        <v>49.100283033520242</v>
      </c>
      <c r="E54" s="2">
        <f>IF(COUNTA($B$5:$B54)&lt;=E$1,AVERAGE($B$5:$B54),E$2*($B54-$E53)+$E53)</f>
        <v>48.132685945431255</v>
      </c>
      <c r="F54" s="2">
        <f t="shared" si="1"/>
        <v>0.96759708808898637</v>
      </c>
      <c r="G54" s="2">
        <f>IF(COUNTA($F$5:$F54)&lt;=G$1,AVERAGE($F$5:$F54),G$2*($F54-$G53)+$G53)</f>
        <v>1.2458209684662394</v>
      </c>
      <c r="H54" s="2">
        <f t="shared" si="2"/>
        <v>-0.27822388037725299</v>
      </c>
    </row>
    <row r="55" spans="1:8">
      <c r="A55" s="1">
        <v>45546</v>
      </c>
      <c r="B55">
        <v>48.59</v>
      </c>
      <c r="C55" s="2">
        <f>IF(COUNTA($B$5:$B55)&lt;=C$1,AVERAGE($B$5:$B55),C$2*($B55-$C54)+$C54)</f>
        <v>49.061215365481445</v>
      </c>
      <c r="D55" s="2">
        <f>IF(COUNTA($B$5:$B55)&lt;=D$1,AVERAGE($B$5:$B55),D$2*($B55-$D54)+$D54)</f>
        <v>49.021777951440207</v>
      </c>
      <c r="E55" s="2">
        <f>IF(COUNTA($B$5:$B55)&lt;=E$1,AVERAGE($B$5:$B55),E$2*($B55-$E54)+$E54)</f>
        <v>48.166561060584499</v>
      </c>
      <c r="F55" s="2">
        <f t="shared" si="1"/>
        <v>0.85521689085570785</v>
      </c>
      <c r="G55" s="2">
        <f>IF(COUNTA($F$5:$F55)&lt;=G$1,AVERAGE($F$5:$F55),G$2*($F55-$G54)+$G54)</f>
        <v>1.1677001529441331</v>
      </c>
      <c r="H55" s="2">
        <f t="shared" si="2"/>
        <v>-0.31248326208842525</v>
      </c>
    </row>
    <row r="56" spans="1:8">
      <c r="A56" s="1">
        <v>45547</v>
      </c>
      <c r="B56">
        <v>48.24</v>
      </c>
      <c r="C56" s="2">
        <f>IF(COUNTA($B$5:$B56)&lt;=C$1,AVERAGE($B$5:$B56),C$2*($B56-$C55)+$C55)</f>
        <v>48.896972292385158</v>
      </c>
      <c r="D56" s="2">
        <f>IF(COUNTA($B$5:$B56)&lt;=D$1,AVERAGE($B$5:$B56),D$2*($B56-$D55)+$D55)</f>
        <v>48.901504420449406</v>
      </c>
      <c r="E56" s="2">
        <f>IF(COUNTA($B$5:$B56)&lt;=E$1,AVERAGE($B$5:$B56),E$2*($B56-$E55)+$E55)</f>
        <v>48.172000982022688</v>
      </c>
      <c r="F56" s="2">
        <f t="shared" si="1"/>
        <v>0.72950343842671828</v>
      </c>
      <c r="G56" s="2">
        <f>IF(COUNTA($F$5:$F56)&lt;=G$1,AVERAGE($F$5:$F56),G$2*($F56-$G55)+$G55)</f>
        <v>1.0800608100406501</v>
      </c>
      <c r="H56" s="2">
        <f t="shared" si="2"/>
        <v>-0.35055737161393186</v>
      </c>
    </row>
    <row r="57" spans="1:8">
      <c r="A57" s="1">
        <v>45548</v>
      </c>
      <c r="B57">
        <v>49.13</v>
      </c>
      <c r="C57" s="2">
        <f>IF(COUNTA($B$5:$B57)&lt;=C$1,AVERAGE($B$5:$B57),C$2*($B57-$C56)+$C56)</f>
        <v>48.94357783390813</v>
      </c>
      <c r="D57" s="2">
        <f>IF(COUNTA($B$5:$B57)&lt;=D$1,AVERAGE($B$5:$B57),D$2*($B57-$D56)+$D56)</f>
        <v>48.93665758653411</v>
      </c>
      <c r="E57" s="2">
        <f>IF(COUNTA($B$5:$B57)&lt;=E$1,AVERAGE($B$5:$B57),E$2*($B57-$E56)+$E56)</f>
        <v>48.24296387224323</v>
      </c>
      <c r="F57" s="2">
        <f t="shared" si="1"/>
        <v>0.69369371429088034</v>
      </c>
      <c r="G57" s="2">
        <f>IF(COUNTA($F$5:$F57)&lt;=G$1,AVERAGE($F$5:$F57),G$2*($F57-$G56)+$G56)</f>
        <v>1.0027873908906961</v>
      </c>
      <c r="H57" s="2">
        <f t="shared" si="2"/>
        <v>-0.30909367659981579</v>
      </c>
    </row>
    <row r="58" spans="1:8">
      <c r="A58" s="1">
        <v>45551</v>
      </c>
      <c r="B58">
        <v>49.99</v>
      </c>
      <c r="C58" s="2">
        <f>IF(COUNTA($B$5:$B58)&lt;=C$1,AVERAGE($B$5:$B58),C$2*($B58-$C57)+$C57)</f>
        <v>49.152862267126501</v>
      </c>
      <c r="D58" s="2">
        <f>IF(COUNTA($B$5:$B58)&lt;=D$1,AVERAGE($B$5:$B58),D$2*($B58-$D57)+$D57)</f>
        <v>49.098710265528865</v>
      </c>
      <c r="E58" s="2">
        <f>IF(COUNTA($B$5:$B58)&lt;=E$1,AVERAGE($B$5:$B58),E$2*($B58-$E57)+$E57)</f>
        <v>48.372373955780766</v>
      </c>
      <c r="F58" s="2">
        <f t="shared" si="1"/>
        <v>0.72633630974809904</v>
      </c>
      <c r="G58" s="2">
        <f>IF(COUNTA($F$5:$F58)&lt;=G$1,AVERAGE($F$5:$F58),G$2*($F58-$G57)+$G57)</f>
        <v>0.94749717466217676</v>
      </c>
      <c r="H58" s="2">
        <f t="shared" si="2"/>
        <v>-0.22116086491407771</v>
      </c>
    </row>
    <row r="59" spans="1:8">
      <c r="A59" s="1">
        <v>45552</v>
      </c>
      <c r="B59">
        <v>49.49</v>
      </c>
      <c r="C59" s="2">
        <f>IF(COUNTA($B$5:$B59)&lt;=C$1,AVERAGE($B$5:$B59),C$2*($B59-$C58)+$C58)</f>
        <v>49.2202898137012</v>
      </c>
      <c r="D59" s="2">
        <f>IF(COUNTA($B$5:$B59)&lt;=D$1,AVERAGE($B$5:$B59),D$2*($B59-$D58)+$D58)</f>
        <v>49.158908686216733</v>
      </c>
      <c r="E59" s="2">
        <f>IF(COUNTA($B$5:$B59)&lt;=E$1,AVERAGE($B$5:$B59),E$2*($B59-$E58)+$E58)</f>
        <v>48.455161070167378</v>
      </c>
      <c r="F59" s="2">
        <f t="shared" si="1"/>
        <v>0.70374761604935543</v>
      </c>
      <c r="G59" s="2">
        <f>IF(COUNTA($F$5:$F59)&lt;=G$1,AVERAGE($F$5:$F59),G$2*($F59-$G58)+$G58)</f>
        <v>0.89874726293961249</v>
      </c>
      <c r="H59" s="2">
        <f t="shared" si="2"/>
        <v>-0.19499964689025706</v>
      </c>
    </row>
    <row r="60" spans="1:8">
      <c r="A60" s="1">
        <v>45553</v>
      </c>
      <c r="B60">
        <v>49.74</v>
      </c>
      <c r="C60" s="2">
        <f>IF(COUNTA($B$5:$B60)&lt;=C$1,AVERAGE($B$5:$B60),C$2*($B60-$C59)+$C59)</f>
        <v>49.324231850960963</v>
      </c>
      <c r="D60" s="2">
        <f>IF(COUNTA($B$5:$B60)&lt;=D$1,AVERAGE($B$5:$B60),D$2*($B60-$D59)+$D59)</f>
        <v>49.248307349875695</v>
      </c>
      <c r="E60" s="2">
        <f>IF(COUNTA($B$5:$B60)&lt;=E$1,AVERAGE($B$5:$B60),E$2*($B60-$E59)+$E59)</f>
        <v>48.550334324229055</v>
      </c>
      <c r="F60" s="2">
        <f t="shared" si="1"/>
        <v>0.69797302564663966</v>
      </c>
      <c r="G60" s="2">
        <f>IF(COUNTA($F$5:$F60)&lt;=G$1,AVERAGE($F$5:$F60),G$2*($F60-$G59)+$G59)</f>
        <v>0.85859241548101795</v>
      </c>
      <c r="H60" s="2">
        <f t="shared" si="2"/>
        <v>-0.16061938983437829</v>
      </c>
    </row>
    <row r="61" spans="1:8">
      <c r="A61" s="1">
        <v>45554</v>
      </c>
      <c r="B61">
        <v>49.02</v>
      </c>
      <c r="C61" s="2">
        <f>IF(COUNTA($B$5:$B61)&lt;=C$1,AVERAGE($B$5:$B61),C$2*($B61-$C60)+$C60)</f>
        <v>49.263385480768768</v>
      </c>
      <c r="D61" s="2">
        <f>IF(COUNTA($B$5:$B61)&lt;=D$1,AVERAGE($B$5:$B61),D$2*($B61-$D60)+$D60)</f>
        <v>49.21318314220251</v>
      </c>
      <c r="E61" s="2">
        <f>IF(COUNTA($B$5:$B61)&lt;=E$1,AVERAGE($B$5:$B61),E$2*($B61-$E60)+$E60)</f>
        <v>48.58512437428616</v>
      </c>
      <c r="F61" s="2">
        <f t="shared" si="1"/>
        <v>0.62805876791635029</v>
      </c>
      <c r="G61" s="2">
        <f>IF(COUNTA($F$5:$F61)&lt;=G$1,AVERAGE($F$5:$F61),G$2*($F61-$G60)+$G60)</f>
        <v>0.81248568596808446</v>
      </c>
      <c r="H61" s="2">
        <f t="shared" si="2"/>
        <v>-0.18442691805173417</v>
      </c>
    </row>
    <row r="62" spans="1:8">
      <c r="A62" s="1">
        <v>45555</v>
      </c>
      <c r="B62">
        <v>49.41</v>
      </c>
      <c r="C62" s="2">
        <f>IF(COUNTA($B$5:$B62)&lt;=C$1,AVERAGE($B$5:$B62),C$2*($B62-$C61)+$C61)</f>
        <v>49.292708384615011</v>
      </c>
      <c r="D62" s="2">
        <f>IF(COUNTA($B$5:$B62)&lt;=D$1,AVERAGE($B$5:$B62),D$2*($B62-$D61)+$D61)</f>
        <v>49.24346265878674</v>
      </c>
      <c r="E62" s="2">
        <f>IF(COUNTA($B$5:$B62)&lt;=E$1,AVERAGE($B$5:$B62),E$2*($B62-$E61)+$E61)</f>
        <v>48.646226272487183</v>
      </c>
      <c r="F62" s="2">
        <f t="shared" si="1"/>
        <v>0.59723638629955644</v>
      </c>
      <c r="G62" s="2">
        <f>IF(COUNTA($F$5:$F62)&lt;=G$1,AVERAGE($F$5:$F62),G$2*($F62-$G61)+$G61)</f>
        <v>0.76943582603437888</v>
      </c>
      <c r="H62" s="2">
        <f t="shared" si="2"/>
        <v>-0.17219943973482243</v>
      </c>
    </row>
    <row r="63" spans="1:8">
      <c r="A63" s="1">
        <v>45558</v>
      </c>
      <c r="B63">
        <v>50.01</v>
      </c>
      <c r="C63" s="2">
        <f>IF(COUNTA($B$5:$B63)&lt;=C$1,AVERAGE($B$5:$B63),C$2*($B63-$C62)+$C62)</f>
        <v>49.43616670769201</v>
      </c>
      <c r="D63" s="2">
        <f>IF(COUNTA($B$5:$B63)&lt;=D$1,AVERAGE($B$5:$B63),D$2*($B63-$D62)+$D62)</f>
        <v>49.361391480511855</v>
      </c>
      <c r="E63" s="2">
        <f>IF(COUNTA($B$5:$B63)&lt;=E$1,AVERAGE($B$5:$B63),E$2*($B63-$E62)+$E62)</f>
        <v>48.747246548599243</v>
      </c>
      <c r="F63" s="2">
        <f t="shared" si="1"/>
        <v>0.61414493191261244</v>
      </c>
      <c r="G63" s="2">
        <f>IF(COUNTA($F$5:$F63)&lt;=G$1,AVERAGE($F$5:$F63),G$2*($F63-$G62)+$G62)</f>
        <v>0.73837764721002563</v>
      </c>
      <c r="H63" s="2">
        <f t="shared" si="2"/>
        <v>-0.1242327152974132</v>
      </c>
    </row>
    <row r="64" spans="1:8">
      <c r="A64" s="1">
        <v>45559</v>
      </c>
      <c r="B64">
        <v>50.94</v>
      </c>
      <c r="C64" s="2">
        <f>IF(COUNTA($B$5:$B64)&lt;=C$1,AVERAGE($B$5:$B64),C$2*($B64-$C63)+$C63)</f>
        <v>49.736933366153607</v>
      </c>
      <c r="D64" s="2">
        <f>IF(COUNTA($B$5:$B64)&lt;=D$1,AVERAGE($B$5:$B64),D$2*($B64-$D63)+$D63)</f>
        <v>49.604254329663874</v>
      </c>
      <c r="E64" s="2">
        <f>IF(COUNTA($B$5:$B64)&lt;=E$1,AVERAGE($B$5:$B64),E$2*($B64-$E63)+$E63)</f>
        <v>48.909672730184482</v>
      </c>
      <c r="F64" s="2">
        <f t="shared" si="1"/>
        <v>0.6945815994793918</v>
      </c>
      <c r="G64" s="2">
        <f>IF(COUNTA($F$5:$F64)&lt;=G$1,AVERAGE($F$5:$F64),G$2*($F64-$G63)+$G63)</f>
        <v>0.72961843766389889</v>
      </c>
      <c r="H64" s="2">
        <f t="shared" si="2"/>
        <v>-3.5036838184507091E-2</v>
      </c>
    </row>
    <row r="65" spans="1:8">
      <c r="A65" s="1">
        <v>45560</v>
      </c>
      <c r="B65">
        <v>49.95</v>
      </c>
      <c r="C65" s="2">
        <f>IF(COUNTA($B$5:$B65)&lt;=C$1,AVERAGE($B$5:$B65),C$2*($B65-$C64)+$C64)</f>
        <v>49.779546692922885</v>
      </c>
      <c r="D65" s="2">
        <f>IF(COUNTA($B$5:$B65)&lt;=D$1,AVERAGE($B$5:$B65),D$2*($B65-$D64)+$D64)</f>
        <v>49.657445971254049</v>
      </c>
      <c r="E65" s="2">
        <f>IF(COUNTA($B$5:$B65)&lt;=E$1,AVERAGE($B$5:$B65),E$2*($B65-$E64)+$E64)</f>
        <v>48.986734009430073</v>
      </c>
      <c r="F65" s="2">
        <f t="shared" si="1"/>
        <v>0.67071196182397586</v>
      </c>
      <c r="G65" s="2">
        <f>IF(COUNTA($F$5:$F65)&lt;=G$1,AVERAGE($F$5:$F65),G$2*($F65-$G64)+$G64)</f>
        <v>0.71783714249591424</v>
      </c>
      <c r="H65" s="2">
        <f t="shared" si="2"/>
        <v>-4.7125180671938383E-2</v>
      </c>
    </row>
    <row r="66" spans="1:8">
      <c r="A66" s="1">
        <v>45561</v>
      </c>
      <c r="B66">
        <v>50.12</v>
      </c>
      <c r="C66" s="2">
        <f>IF(COUNTA($B$5:$B66)&lt;=C$1,AVERAGE($B$5:$B66),C$2*($B66-$C65)+$C65)</f>
        <v>49.84763735433831</v>
      </c>
      <c r="D66" s="2">
        <f>IF(COUNTA($B$5:$B66)&lt;=D$1,AVERAGE($B$5:$B66),D$2*($B66-$D65)+$D65)</f>
        <v>49.728608129522655</v>
      </c>
      <c r="E66" s="2">
        <f>IF(COUNTA($B$5:$B66)&lt;=E$1,AVERAGE($B$5:$B66),E$2*($B66-$E65)+$E65)</f>
        <v>49.070679638361177</v>
      </c>
      <c r="F66" s="2">
        <f t="shared" si="1"/>
        <v>0.65792849116147778</v>
      </c>
      <c r="G66" s="2">
        <f>IF(COUNTA($F$5:$F66)&lt;=G$1,AVERAGE($F$5:$F66),G$2*($F66-$G65)+$G65)</f>
        <v>0.70585541222902692</v>
      </c>
      <c r="H66" s="2">
        <f t="shared" si="2"/>
        <v>-4.7926921067549144E-2</v>
      </c>
    </row>
    <row r="67" spans="1:8">
      <c r="A67" s="1">
        <v>45562</v>
      </c>
      <c r="B67">
        <v>50.91</v>
      </c>
      <c r="C67" s="2">
        <f>IF(COUNTA($B$5:$B67)&lt;=C$1,AVERAGE($B$5:$B67),C$2*($B67-$C66)+$C66)</f>
        <v>50.060109883470645</v>
      </c>
      <c r="D67" s="2">
        <f>IF(COUNTA($B$5:$B67)&lt;=D$1,AVERAGE($B$5:$B67),D$2*($B67-$D66)+$D66)</f>
        <v>49.910360724980706</v>
      </c>
      <c r="E67" s="2">
        <f>IF(COUNTA($B$5:$B67)&lt;=E$1,AVERAGE($B$5:$B67),E$2*($B67-$E66)+$E66)</f>
        <v>49.206925591075162</v>
      </c>
      <c r="F67" s="2">
        <f t="shared" si="1"/>
        <v>0.70343513390554335</v>
      </c>
      <c r="G67" s="2">
        <f>IF(COUNTA($F$5:$F67)&lt;=G$1,AVERAGE($F$5:$F67),G$2*($F67-$G66)+$G66)</f>
        <v>0.70537135656433025</v>
      </c>
      <c r="H67" s="2">
        <f t="shared" si="2"/>
        <v>-1.9362226587869014E-3</v>
      </c>
    </row>
    <row r="68" spans="1:8">
      <c r="A68" s="1">
        <v>45565</v>
      </c>
      <c r="B68">
        <v>51.74</v>
      </c>
      <c r="C68" s="2">
        <f>IF(COUNTA($B$5:$B68)&lt;=C$1,AVERAGE($B$5:$B68),C$2*($B68-$C67)+$C67)</f>
        <v>50.396087906776515</v>
      </c>
      <c r="D68" s="2">
        <f>IF(COUNTA($B$5:$B68)&lt;=D$1,AVERAGE($B$5:$B68),D$2*($B68-$D67)+$D67)</f>
        <v>50.191843690368287</v>
      </c>
      <c r="E68" s="2">
        <f>IF(COUNTA($B$5:$B68)&lt;=E$1,AVERAGE($B$5:$B68),E$2*($B68-$E67)+$E67)</f>
        <v>49.394560732477004</v>
      </c>
      <c r="F68" s="2">
        <f t="shared" si="1"/>
        <v>0.79728295789128367</v>
      </c>
      <c r="G68" s="2">
        <f>IF(COUNTA($F$5:$F68)&lt;=G$1,AVERAGE($F$5:$F68),G$2*($F68-$G67)+$G67)</f>
        <v>0.72375367682972092</v>
      </c>
      <c r="H68" s="2">
        <f t="shared" si="2"/>
        <v>7.3529281061562757E-2</v>
      </c>
    </row>
    <row r="69" spans="1:8">
      <c r="A69" s="1">
        <v>45566</v>
      </c>
      <c r="B69">
        <v>52.9</v>
      </c>
      <c r="C69" s="2">
        <f>IF(COUNTA($B$5:$B69)&lt;=C$1,AVERAGE($B$5:$B69),C$2*($B69-$C68)+$C68)</f>
        <v>50.896870325421212</v>
      </c>
      <c r="D69" s="2">
        <f>IF(COUNTA($B$5:$B69)&lt;=D$1,AVERAGE($B$5:$B69),D$2*($B69-$D68)+$D68)</f>
        <v>50.608483122619319</v>
      </c>
      <c r="E69" s="2">
        <f>IF(COUNTA($B$5:$B69)&lt;=E$1,AVERAGE($B$5:$B69),E$2*($B69-$E68)+$E68)</f>
        <v>49.654222900441667</v>
      </c>
      <c r="F69" s="2">
        <f t="shared" si="1"/>
        <v>0.95426022217765194</v>
      </c>
      <c r="G69" s="2">
        <f>IF(COUNTA($F$5:$F69)&lt;=G$1,AVERAGE($F$5:$F69),G$2*($F69-$G68)+$G68)</f>
        <v>0.76985498589930712</v>
      </c>
      <c r="H69" s="2">
        <f t="shared" si="2"/>
        <v>0.18440523627834482</v>
      </c>
    </row>
    <row r="70" spans="1:8">
      <c r="A70" s="1">
        <v>45567</v>
      </c>
      <c r="B70">
        <v>53.76</v>
      </c>
      <c r="C70" s="2">
        <f>IF(COUNTA($B$5:$B70)&lt;=C$1,AVERAGE($B$5:$B70),C$2*($B70-$C69)+$C69)</f>
        <v>51.469496260336967</v>
      </c>
      <c r="D70" s="2">
        <f>IF(COUNTA($B$5:$B70)&lt;=D$1,AVERAGE($B$5:$B70),D$2*($B70-$D69)+$D69)</f>
        <v>51.09333187298558</v>
      </c>
      <c r="E70" s="2">
        <f>IF(COUNTA($B$5:$B70)&lt;=E$1,AVERAGE($B$5:$B70),E$2*($B70-$E69)+$E69)</f>
        <v>49.958354537445985</v>
      </c>
      <c r="F70" s="2">
        <f t="shared" si="1"/>
        <v>1.1349773355395953</v>
      </c>
      <c r="G70" s="2">
        <f>IF(COUNTA($F$5:$F70)&lt;=G$1,AVERAGE($F$5:$F70),G$2*($F70-$G69)+$G69)</f>
        <v>0.84287945582736479</v>
      </c>
      <c r="H70" s="2">
        <f t="shared" si="2"/>
        <v>0.29209787971223056</v>
      </c>
    </row>
    <row r="71" spans="1:8">
      <c r="A71" s="1">
        <v>45568</v>
      </c>
      <c r="B71">
        <v>54.2</v>
      </c>
      <c r="C71" s="2">
        <f>IF(COUNTA($B$5:$B71)&lt;=C$1,AVERAGE($B$5:$B71),C$2*($B71-$C70)+$C70)</f>
        <v>52.015597008269573</v>
      </c>
      <c r="D71" s="2">
        <f>IF(COUNTA($B$5:$B71)&lt;=D$1,AVERAGE($B$5:$B71),D$2*($B71-$D70)+$D70)</f>
        <v>51.571280815603181</v>
      </c>
      <c r="E71" s="2">
        <f>IF(COUNTA($B$5:$B71)&lt;=E$1,AVERAGE($B$5:$B71),E$2*($B71-$E70)+$E70)</f>
        <v>50.272550497635173</v>
      </c>
      <c r="F71" s="2">
        <f t="shared" si="1"/>
        <v>1.2987303179680083</v>
      </c>
      <c r="G71" s="2">
        <f>IF(COUNTA($F$5:$F71)&lt;=G$1,AVERAGE($F$5:$F71),G$2*($F71-$G70)+$G70)</f>
        <v>0.93404962825549354</v>
      </c>
      <c r="H71" s="2">
        <f t="shared" si="2"/>
        <v>0.36468068971251477</v>
      </c>
    </row>
    <row r="72" spans="1:8">
      <c r="A72" s="1">
        <v>45569</v>
      </c>
      <c r="B72">
        <v>53.96</v>
      </c>
      <c r="C72" s="2">
        <f>IF(COUNTA($B$5:$B72)&lt;=C$1,AVERAGE($B$5:$B72),C$2*($B72-$C71)+$C71)</f>
        <v>52.404477606615657</v>
      </c>
      <c r="D72" s="2">
        <f>IF(COUNTA($B$5:$B72)&lt;=D$1,AVERAGE($B$5:$B72),D$2*($B72-$D71)+$D71)</f>
        <v>51.938776074741156</v>
      </c>
      <c r="E72" s="2">
        <f>IF(COUNTA($B$5:$B72)&lt;=E$1,AVERAGE($B$5:$B72),E$2*($B72-$E71)+$E71)</f>
        <v>50.545694905217751</v>
      </c>
      <c r="F72" s="2">
        <f t="shared" si="1"/>
        <v>1.3930811695234055</v>
      </c>
      <c r="G72" s="2">
        <f>IF(COUNTA($F$5:$F72)&lt;=G$1,AVERAGE($F$5:$F72),G$2*($F72-$G71)+$G71)</f>
        <v>1.025855936509076</v>
      </c>
      <c r="H72" s="2">
        <f t="shared" si="2"/>
        <v>0.36722523301432952</v>
      </c>
    </row>
    <row r="73" spans="1:8">
      <c r="A73" s="1">
        <v>45572</v>
      </c>
      <c r="B73">
        <v>53.44</v>
      </c>
      <c r="C73" s="2">
        <f>IF(COUNTA($B$5:$B73)&lt;=C$1,AVERAGE($B$5:$B73),C$2*($B73-$C72)+$C72)</f>
        <v>52.611582085292525</v>
      </c>
      <c r="D73" s="2">
        <f>IF(COUNTA($B$5:$B73)&lt;=D$1,AVERAGE($B$5:$B73),D$2*($B73-$D72)+$D72)</f>
        <v>52.169733601704053</v>
      </c>
      <c r="E73" s="2">
        <f>IF(COUNTA($B$5:$B73)&lt;=E$1,AVERAGE($B$5:$B73),E$2*($B73-$E72)+$E72)</f>
        <v>50.76008787520162</v>
      </c>
      <c r="F73" s="2">
        <f t="shared" si="1"/>
        <v>1.4096457265024327</v>
      </c>
      <c r="G73" s="2">
        <f>IF(COUNTA($F$5:$F73)&lt;=G$1,AVERAGE($F$5:$F73),G$2*($F73-$G72)+$G72)</f>
        <v>1.1026138945077473</v>
      </c>
      <c r="H73" s="2">
        <f t="shared" si="2"/>
        <v>0.30703183199468542</v>
      </c>
    </row>
    <row r="74" spans="1:8">
      <c r="A74" s="1">
        <v>45573</v>
      </c>
      <c r="B74">
        <v>52.48</v>
      </c>
      <c r="C74" s="2">
        <f>IF(COUNTA($B$5:$B74)&lt;=C$1,AVERAGE($B$5:$B74),C$2*($B74-$C73)+$C73)</f>
        <v>52.585265668234022</v>
      </c>
      <c r="D74" s="2">
        <f>IF(COUNTA($B$5:$B74)&lt;=D$1,AVERAGE($B$5:$B74),D$2*($B74-$D73)+$D73)</f>
        <v>52.217466893749581</v>
      </c>
      <c r="E74" s="2">
        <f>IF(COUNTA($B$5:$B74)&lt;=E$1,AVERAGE($B$5:$B74),E$2*($B74-$E73)+$E73)</f>
        <v>50.88748877333483</v>
      </c>
      <c r="F74" s="2">
        <f t="shared" si="1"/>
        <v>1.3299781204147507</v>
      </c>
      <c r="G74" s="2">
        <f>IF(COUNTA($F$5:$F74)&lt;=G$1,AVERAGE($F$5:$F74),G$2*($F74-$G73)+$G73)</f>
        <v>1.1480867396891479</v>
      </c>
      <c r="H74" s="2">
        <f t="shared" si="2"/>
        <v>0.18189138072560285</v>
      </c>
    </row>
    <row r="75" spans="1:8">
      <c r="A75" s="1">
        <v>45574</v>
      </c>
      <c r="B75">
        <v>52.8</v>
      </c>
      <c r="C75" s="2">
        <f>IF(COUNTA($B$5:$B75)&lt;=C$1,AVERAGE($B$5:$B75),C$2*($B75-$C74)+$C74)</f>
        <v>52.62821253458722</v>
      </c>
      <c r="D75" s="2">
        <f>IF(COUNTA($B$5:$B75)&lt;=D$1,AVERAGE($B$5:$B75),D$2*($B75-$D74)+$D74)</f>
        <v>52.30708737163426</v>
      </c>
      <c r="E75" s="2">
        <f>IF(COUNTA($B$5:$B75)&lt;=E$1,AVERAGE($B$5:$B75),E$2*($B75-$E74)+$E74)</f>
        <v>51.029156271606325</v>
      </c>
      <c r="F75" s="2">
        <f t="shared" si="1"/>
        <v>1.277931100027935</v>
      </c>
      <c r="G75" s="2">
        <f>IF(COUNTA($F$5:$F75)&lt;=G$1,AVERAGE($F$5:$F75),G$2*($F75-$G74)+$G74)</f>
        <v>1.1740556117569052</v>
      </c>
      <c r="H75" s="2">
        <f t="shared" si="2"/>
        <v>0.10387548827102977</v>
      </c>
    </row>
    <row r="76" spans="1:8">
      <c r="A76" s="1">
        <v>45575</v>
      </c>
      <c r="B76">
        <v>52.4</v>
      </c>
      <c r="C76" s="2">
        <f>IF(COUNTA($B$5:$B76)&lt;=C$1,AVERAGE($B$5:$B76),C$2*($B76-$C75)+$C75)</f>
        <v>52.582570027669775</v>
      </c>
      <c r="D76" s="2">
        <f>IF(COUNTA($B$5:$B76)&lt;=D$1,AVERAGE($B$5:$B76),D$2*($B76-$D75)+$D75)</f>
        <v>52.321381622152067</v>
      </c>
      <c r="E76" s="2">
        <f>IF(COUNTA($B$5:$B76)&lt;=E$1,AVERAGE($B$5:$B76),E$2*($B76-$E75)+$E75)</f>
        <v>51.13070025148734</v>
      </c>
      <c r="F76" s="2">
        <f t="shared" si="1"/>
        <v>1.190681370664727</v>
      </c>
      <c r="G76" s="2">
        <f>IF(COUNTA($F$5:$F76)&lt;=G$1,AVERAGE($F$5:$F76),G$2*($F76-$G75)+$G75)</f>
        <v>1.1773807635384697</v>
      </c>
      <c r="H76" s="2">
        <f t="shared" si="2"/>
        <v>1.3300607126257358E-2</v>
      </c>
    </row>
    <row r="77" spans="1:8">
      <c r="A77" s="1">
        <v>45576</v>
      </c>
      <c r="B77">
        <v>52.2</v>
      </c>
      <c r="C77" s="2">
        <f>IF(COUNTA($B$5:$B77)&lt;=C$1,AVERAGE($B$5:$B77),C$2*($B77-$C76)+$C76)</f>
        <v>52.506056022135823</v>
      </c>
      <c r="D77" s="2">
        <f>IF(COUNTA($B$5:$B77)&lt;=D$1,AVERAGE($B$5:$B77),D$2*($B77-$D76)+$D76)</f>
        <v>52.302707526436365</v>
      </c>
      <c r="E77" s="2">
        <f>IF(COUNTA($B$5:$B77)&lt;=E$1,AVERAGE($B$5:$B77),E$2*($B77-$E76)+$E76)</f>
        <v>51.209907640266053</v>
      </c>
      <c r="F77" s="2">
        <f t="shared" si="1"/>
        <v>1.0927998861703117</v>
      </c>
      <c r="G77" s="2">
        <f>IF(COUNTA($F$5:$F77)&lt;=G$1,AVERAGE($F$5:$F77),G$2*($F77-$G76)+$G76)</f>
        <v>1.1604645880648381</v>
      </c>
      <c r="H77" s="2">
        <f t="shared" si="2"/>
        <v>-6.7664701894526447E-2</v>
      </c>
    </row>
    <row r="78" spans="1:8">
      <c r="A78" s="1">
        <v>45579</v>
      </c>
      <c r="B78">
        <v>52.67</v>
      </c>
      <c r="C78" s="2">
        <f>IF(COUNTA($B$5:$B78)&lt;=C$1,AVERAGE($B$5:$B78),C$2*($B78-$C77)+$C77)</f>
        <v>52.538844817708657</v>
      </c>
      <c r="D78" s="2">
        <f>IF(COUNTA($B$5:$B78)&lt;=D$1,AVERAGE($B$5:$B78),D$2*($B78-$D77)+$D77)</f>
        <v>52.359214060830773</v>
      </c>
      <c r="E78" s="2">
        <f>IF(COUNTA($B$5:$B78)&lt;=E$1,AVERAGE($B$5:$B78),E$2*($B78-$E77)+$E77)</f>
        <v>51.318062629875975</v>
      </c>
      <c r="F78" s="2">
        <f t="shared" si="1"/>
        <v>1.0411514309547982</v>
      </c>
      <c r="G78" s="2">
        <f>IF(COUNTA($F$5:$F78)&lt;=G$1,AVERAGE($F$5:$F78),G$2*($F78-$G77)+$G77)</f>
        <v>1.13660195664283</v>
      </c>
      <c r="H78" s="2">
        <f t="shared" si="2"/>
        <v>-9.5450525688031806E-2</v>
      </c>
    </row>
    <row r="79" spans="1:8">
      <c r="A79" s="1">
        <v>45580</v>
      </c>
      <c r="B79">
        <v>52.76</v>
      </c>
      <c r="C79" s="2">
        <f>IF(COUNTA($B$5:$B79)&lt;=C$1,AVERAGE($B$5:$B79),C$2*($B79-$C78)+$C78)</f>
        <v>52.583075854166928</v>
      </c>
      <c r="D79" s="2">
        <f>IF(COUNTA($B$5:$B79)&lt;=D$1,AVERAGE($B$5:$B79),D$2*($B79-$D78)+$D78)</f>
        <v>52.420873436087575</v>
      </c>
      <c r="E79" s="2">
        <f>IF(COUNTA($B$5:$B79)&lt;=E$1,AVERAGE($B$5:$B79),E$2*($B79-$E78)+$E78)</f>
        <v>51.424872805440714</v>
      </c>
      <c r="F79" s="2">
        <f t="shared" si="1"/>
        <v>0.9960006306468614</v>
      </c>
      <c r="G79" s="2">
        <f>IF(COUNTA($F$5:$F79)&lt;=G$1,AVERAGE($F$5:$F79),G$2*($F79-$G78)+$G78)</f>
        <v>1.1084816914436364</v>
      </c>
      <c r="H79" s="2">
        <f t="shared" si="2"/>
        <v>-0.112481060796775</v>
      </c>
    </row>
    <row r="80" spans="1:8">
      <c r="A80" s="1">
        <v>45581</v>
      </c>
      <c r="B80">
        <v>53.37</v>
      </c>
      <c r="C80" s="2">
        <f>IF(COUNTA($B$5:$B80)&lt;=C$1,AVERAGE($B$5:$B80),C$2*($B80-$C79)+$C79)</f>
        <v>52.740460683333545</v>
      </c>
      <c r="D80" s="2">
        <f>IF(COUNTA($B$5:$B80)&lt;=D$1,AVERAGE($B$5:$B80),D$2*($B80-$D79)+$D79)</f>
        <v>52.566892907458715</v>
      </c>
      <c r="E80" s="2">
        <f>IF(COUNTA($B$5:$B80)&lt;=E$1,AVERAGE($B$5:$B80),E$2*($B80-$E79)+$E79)</f>
        <v>51.568956301333991</v>
      </c>
      <c r="F80" s="2">
        <f t="shared" si="1"/>
        <v>0.99793660612472479</v>
      </c>
      <c r="G80" s="2">
        <f>IF(COUNTA($F$5:$F80)&lt;=G$1,AVERAGE($F$5:$F80),G$2*($F80-$G79)+$G79)</f>
        <v>1.0863726743798541</v>
      </c>
      <c r="H80" s="2">
        <f t="shared" si="2"/>
        <v>-8.8436068255129285E-2</v>
      </c>
    </row>
    <row r="81" spans="1:8">
      <c r="A81" s="1">
        <v>45582</v>
      </c>
      <c r="B81">
        <v>53.18</v>
      </c>
      <c r="C81" s="2">
        <f>IF(COUNTA($B$5:$B81)&lt;=C$1,AVERAGE($B$5:$B81),C$2*($B81-$C80)+$C80)</f>
        <v>52.828368546666837</v>
      </c>
      <c r="D81" s="2">
        <f>IF(COUNTA($B$5:$B81)&lt;=D$1,AVERAGE($B$5:$B81),D$2*($B81-$D80)+$D80)</f>
        <v>52.661217075541991</v>
      </c>
      <c r="E81" s="2">
        <f>IF(COUNTA($B$5:$B81)&lt;=E$1,AVERAGE($B$5:$B81),E$2*($B81-$E80)+$E80)</f>
        <v>51.688292871605547</v>
      </c>
      <c r="F81" s="2">
        <f t="shared" si="1"/>
        <v>0.97292420393644363</v>
      </c>
      <c r="G81" s="2">
        <f>IF(COUNTA($F$5:$F81)&lt;=G$1,AVERAGE($F$5:$F81),G$2*($F81-$G80)+$G80)</f>
        <v>1.063682980291172</v>
      </c>
      <c r="H81" s="2">
        <f t="shared" si="2"/>
        <v>-9.0758776354728399E-2</v>
      </c>
    </row>
    <row r="82" spans="1:8">
      <c r="A82" s="1">
        <v>45583</v>
      </c>
      <c r="B82">
        <v>53.22</v>
      </c>
      <c r="C82" s="2">
        <f>IF(COUNTA($B$5:$B82)&lt;=C$1,AVERAGE($B$5:$B82),C$2*($B82-$C81)+$C81)</f>
        <v>52.906694837333468</v>
      </c>
      <c r="D82" s="2">
        <f>IF(COUNTA($B$5:$B82)&lt;=D$1,AVERAGE($B$5:$B82),D$2*($B82-$D81)+$D81)</f>
        <v>52.747183679304761</v>
      </c>
      <c r="E82" s="2">
        <f>IF(COUNTA($B$5:$B82)&lt;=E$1,AVERAGE($B$5:$B82),E$2*($B82-$E81)+$E81)</f>
        <v>51.801752658894024</v>
      </c>
      <c r="F82" s="2">
        <f t="shared" ref="F82:F145" si="3">D82-E82</f>
        <v>0.94543102041073723</v>
      </c>
      <c r="G82" s="2">
        <f>IF(COUNTA($F$5:$F82)&lt;=G$1,AVERAGE($F$5:$F82),G$2*($F82-$G81)+$G81)</f>
        <v>1.0400325883150852</v>
      </c>
      <c r="H82" s="2">
        <f t="shared" ref="H82:H145" si="4">F82-G82</f>
        <v>-9.4601567904347927E-2</v>
      </c>
    </row>
    <row r="83" spans="1:8">
      <c r="A83" s="1">
        <v>45586</v>
      </c>
      <c r="B83">
        <v>52.12</v>
      </c>
      <c r="C83" s="2">
        <f>IF(COUNTA($B$5:$B83)&lt;=C$1,AVERAGE($B$5:$B83),C$2*($B83-$C82)+$C82)</f>
        <v>52.749355869866775</v>
      </c>
      <c r="D83" s="2">
        <f>IF(COUNTA($B$5:$B83)&lt;=D$1,AVERAGE($B$5:$B83),D$2*($B83-$D82)+$D82)</f>
        <v>52.650693882488646</v>
      </c>
      <c r="E83" s="2">
        <f>IF(COUNTA($B$5:$B83)&lt;=E$1,AVERAGE($B$5:$B83),E$2*($B83-$E82)+$E82)</f>
        <v>51.825326536012987</v>
      </c>
      <c r="F83" s="2">
        <f t="shared" si="3"/>
        <v>0.82536734647565879</v>
      </c>
      <c r="G83" s="2">
        <f>IF(COUNTA($F$5:$F83)&lt;=G$1,AVERAGE($F$5:$F83),G$2*($F83-$G82)+$G82)</f>
        <v>0.99709953994719991</v>
      </c>
      <c r="H83" s="2">
        <f t="shared" si="4"/>
        <v>-0.17173219347154112</v>
      </c>
    </row>
    <row r="84" spans="1:8">
      <c r="A84" s="1">
        <v>45587</v>
      </c>
      <c r="B84">
        <v>52.76</v>
      </c>
      <c r="C84" s="2">
        <f>IF(COUNTA($B$5:$B84)&lt;=C$1,AVERAGE($B$5:$B84),C$2*($B84-$C83)+$C83)</f>
        <v>52.751484695893417</v>
      </c>
      <c r="D84" s="2">
        <f>IF(COUNTA($B$5:$B84)&lt;=D$1,AVERAGE($B$5:$B84),D$2*($B84-$D83)+$D83)</f>
        <v>52.667510208259621</v>
      </c>
      <c r="E84" s="2">
        <f>IF(COUNTA($B$5:$B84)&lt;=E$1,AVERAGE($B$5:$B84),E$2*($B84-$E83)+$E83)</f>
        <v>51.894561607419433</v>
      </c>
      <c r="F84" s="2">
        <f t="shared" si="3"/>
        <v>0.77294860084018779</v>
      </c>
      <c r="G84" s="2">
        <f>IF(COUNTA($F$5:$F84)&lt;=G$1,AVERAGE($F$5:$F84),G$2*($F84-$G83)+$G83)</f>
        <v>0.95226935212579744</v>
      </c>
      <c r="H84" s="2">
        <f t="shared" si="4"/>
        <v>-0.17932075128560965</v>
      </c>
    </row>
    <row r="85" spans="1:8">
      <c r="A85" s="1">
        <v>45588</v>
      </c>
      <c r="B85">
        <v>53.06</v>
      </c>
      <c r="C85" s="2">
        <f>IF(COUNTA($B$5:$B85)&lt;=C$1,AVERAGE($B$5:$B85),C$2*($B85-$C84)+$C84)</f>
        <v>52.813187756714733</v>
      </c>
      <c r="D85" s="2">
        <f>IF(COUNTA($B$5:$B85)&lt;=D$1,AVERAGE($B$5:$B85),D$2*($B85-$D84)+$D84)</f>
        <v>52.72789325314276</v>
      </c>
      <c r="E85" s="2">
        <f>IF(COUNTA($B$5:$B85)&lt;=E$1,AVERAGE($B$5:$B85),E$2*($B85-$E84)+$E84)</f>
        <v>51.980890377240215</v>
      </c>
      <c r="F85" s="2">
        <f t="shared" si="3"/>
        <v>0.74700287590254533</v>
      </c>
      <c r="G85" s="2">
        <f>IF(COUNTA($F$5:$F85)&lt;=G$1,AVERAGE($F$5:$F85),G$2*($F85-$G84)+$G84)</f>
        <v>0.91121605688114704</v>
      </c>
      <c r="H85" s="2">
        <f t="shared" si="4"/>
        <v>-0.16421318097860171</v>
      </c>
    </row>
    <row r="86" spans="1:8">
      <c r="A86" s="1">
        <v>45589</v>
      </c>
      <c r="B86">
        <v>52.92</v>
      </c>
      <c r="C86" s="2">
        <f>IF(COUNTA($B$5:$B86)&lt;=C$1,AVERAGE($B$5:$B86),C$2*($B86-$C85)+$C85)</f>
        <v>52.834550205371784</v>
      </c>
      <c r="D86" s="2">
        <f>IF(COUNTA($B$5:$B86)&lt;=D$1,AVERAGE($B$5:$B86),D$2*($B86-$D85)+$D85)</f>
        <v>52.757448137274643</v>
      </c>
      <c r="E86" s="2">
        <f>IF(COUNTA($B$5:$B86)&lt;=E$1,AVERAGE($B$5:$B86),E$2*($B86-$E85)+$E85)</f>
        <v>52.050454053000202</v>
      </c>
      <c r="F86" s="2">
        <f t="shared" si="3"/>
        <v>0.70699408427444155</v>
      </c>
      <c r="G86" s="2">
        <f>IF(COUNTA($F$5:$F86)&lt;=G$1,AVERAGE($F$5:$F86),G$2*($F86-$G85)+$G85)</f>
        <v>0.8703716623598059</v>
      </c>
      <c r="H86" s="2">
        <f t="shared" si="4"/>
        <v>-0.16337757808536435</v>
      </c>
    </row>
    <row r="87" spans="1:8">
      <c r="A87" s="1">
        <v>45590</v>
      </c>
      <c r="B87">
        <v>51.92</v>
      </c>
      <c r="C87" s="2">
        <f>IF(COUNTA($B$5:$B87)&lt;=C$1,AVERAGE($B$5:$B87),C$2*($B87-$C86)+$C86)</f>
        <v>52.651640164297426</v>
      </c>
      <c r="D87" s="2">
        <f>IF(COUNTA($B$5:$B87)&lt;=D$1,AVERAGE($B$5:$B87),D$2*($B87-$D86)+$D86)</f>
        <v>52.628609962309312</v>
      </c>
      <c r="E87" s="2">
        <f>IF(COUNTA($B$5:$B87)&lt;=E$1,AVERAGE($B$5:$B87),E$2*($B87-$E86)+$E86)</f>
        <v>52.040790789814999</v>
      </c>
      <c r="F87" s="2">
        <f t="shared" si="3"/>
        <v>0.58781917249431359</v>
      </c>
      <c r="G87" s="2">
        <f>IF(COUNTA($F$5:$F87)&lt;=G$1,AVERAGE($F$5:$F87),G$2*($F87-$G86)+$G86)</f>
        <v>0.81386116438670741</v>
      </c>
      <c r="H87" s="2">
        <f t="shared" si="4"/>
        <v>-0.22604199189239382</v>
      </c>
    </row>
    <row r="88" spans="1:8">
      <c r="A88" s="1">
        <v>45593</v>
      </c>
      <c r="B88">
        <v>52.64</v>
      </c>
      <c r="C88" s="2">
        <f>IF(COUNTA($B$5:$B88)&lt;=C$1,AVERAGE($B$5:$B88),C$2*($B88-$C87)+$C87)</f>
        <v>52.649312131437938</v>
      </c>
      <c r="D88" s="2">
        <f>IF(COUNTA($B$5:$B88)&lt;=D$1,AVERAGE($B$5:$B88),D$2*($B88-$D87)+$D87)</f>
        <v>52.630362275800188</v>
      </c>
      <c r="E88" s="2">
        <f>IF(COUNTA($B$5:$B88)&lt;=E$1,AVERAGE($B$5:$B88),E$2*($B88-$E87)+$E87)</f>
        <v>52.085176657236111</v>
      </c>
      <c r="F88" s="2">
        <f t="shared" si="3"/>
        <v>0.54518561856407644</v>
      </c>
      <c r="G88" s="2">
        <f>IF(COUNTA($F$5:$F88)&lt;=G$1,AVERAGE($F$5:$F88),G$2*($F88-$G87)+$G87)</f>
        <v>0.76012605522218124</v>
      </c>
      <c r="H88" s="2">
        <f t="shared" si="4"/>
        <v>-0.21494043665810481</v>
      </c>
    </row>
    <row r="89" spans="1:8">
      <c r="A89" s="1">
        <v>45594</v>
      </c>
      <c r="B89">
        <v>52.5</v>
      </c>
      <c r="C89" s="2">
        <f>IF(COUNTA($B$5:$B89)&lt;=C$1,AVERAGE($B$5:$B89),C$2*($B89-$C88)+$C88)</f>
        <v>52.619449705150352</v>
      </c>
      <c r="D89" s="2">
        <f>IF(COUNTA($B$5:$B89)&lt;=D$1,AVERAGE($B$5:$B89),D$2*($B89-$D88)+$D88)</f>
        <v>52.610306541061696</v>
      </c>
      <c r="E89" s="2">
        <f>IF(COUNTA($B$5:$B89)&lt;=E$1,AVERAGE($B$5:$B89),E$2*($B89-$E88)+$E88)</f>
        <v>52.115904312255658</v>
      </c>
      <c r="F89" s="2">
        <f t="shared" si="3"/>
        <v>0.49440222880603812</v>
      </c>
      <c r="G89" s="2">
        <f>IF(COUNTA($F$5:$F89)&lt;=G$1,AVERAGE($F$5:$F89),G$2*($F89-$G88)+$G88)</f>
        <v>0.7069812899389526</v>
      </c>
      <c r="H89" s="2">
        <f t="shared" si="4"/>
        <v>-0.21257906113291447</v>
      </c>
    </row>
    <row r="90" spans="1:8">
      <c r="A90" s="1">
        <v>45595</v>
      </c>
      <c r="B90">
        <v>52.66</v>
      </c>
      <c r="C90" s="2">
        <f>IF(COUNTA($B$5:$B90)&lt;=C$1,AVERAGE($B$5:$B90),C$2*($B90-$C89)+$C89)</f>
        <v>52.627559764120278</v>
      </c>
      <c r="D90" s="2">
        <f>IF(COUNTA($B$5:$B90)&lt;=D$1,AVERAGE($B$5:$B90),D$2*($B90-$D89)+$D89)</f>
        <v>52.617951688590665</v>
      </c>
      <c r="E90" s="2">
        <f>IF(COUNTA($B$5:$B90)&lt;=E$1,AVERAGE($B$5:$B90),E$2*($B90-$E89)+$E89)</f>
        <v>52.156207696533016</v>
      </c>
      <c r="F90" s="2">
        <f t="shared" si="3"/>
        <v>0.46174399205764871</v>
      </c>
      <c r="G90" s="2">
        <f>IF(COUNTA($F$5:$F90)&lt;=G$1,AVERAGE($F$5:$F90),G$2*($F90-$G89)+$G89)</f>
        <v>0.65793383036269182</v>
      </c>
      <c r="H90" s="2">
        <f t="shared" si="4"/>
        <v>-0.19618983830504311</v>
      </c>
    </row>
    <row r="91" spans="1:8">
      <c r="A91" s="1">
        <v>45596</v>
      </c>
      <c r="B91">
        <v>55.77</v>
      </c>
      <c r="C91" s="2">
        <f>IF(COUNTA($B$5:$B91)&lt;=C$1,AVERAGE($B$5:$B91),C$2*($B91-$C90)+$C90)</f>
        <v>53.25604781129622</v>
      </c>
      <c r="D91" s="2">
        <f>IF(COUNTA($B$5:$B91)&lt;=D$1,AVERAGE($B$5:$B91),D$2*($B91-$D90)+$D90)</f>
        <v>53.102882198038259</v>
      </c>
      <c r="E91" s="2">
        <f>IF(COUNTA($B$5:$B91)&lt;=E$1,AVERAGE($B$5:$B91),E$2*($B91-$E90)+$E90)</f>
        <v>52.423896015308351</v>
      </c>
      <c r="F91" s="2">
        <f t="shared" si="3"/>
        <v>0.67898618272990774</v>
      </c>
      <c r="G91" s="2">
        <f>IF(COUNTA($F$5:$F91)&lt;=G$1,AVERAGE($F$5:$F91),G$2*($F91-$G90)+$G90)</f>
        <v>0.66214430083613496</v>
      </c>
      <c r="H91" s="2">
        <f t="shared" si="4"/>
        <v>1.6841881893772781E-2</v>
      </c>
    </row>
    <row r="92" spans="1:8">
      <c r="A92" s="1">
        <v>45597</v>
      </c>
      <c r="B92">
        <v>54.32</v>
      </c>
      <c r="C92" s="2">
        <f>IF(COUNTA($B$5:$B92)&lt;=C$1,AVERAGE($B$5:$B92),C$2*($B92-$C91)+$C91)</f>
        <v>53.468838249036978</v>
      </c>
      <c r="D92" s="2">
        <f>IF(COUNTA($B$5:$B92)&lt;=D$1,AVERAGE($B$5:$B92),D$2*($B92-$D91)+$D91)</f>
        <v>53.290131090647755</v>
      </c>
      <c r="E92" s="2">
        <f>IF(COUNTA($B$5:$B92)&lt;=E$1,AVERAGE($B$5:$B92),E$2*($B92-$E91)+$E91)</f>
        <v>52.564348162322545</v>
      </c>
      <c r="F92" s="2">
        <f t="shared" si="3"/>
        <v>0.7257829283252093</v>
      </c>
      <c r="G92" s="2">
        <f>IF(COUNTA($F$5:$F92)&lt;=G$1,AVERAGE($F$5:$F92),G$2*($F92-$G91)+$G91)</f>
        <v>0.67487202633394983</v>
      </c>
      <c r="H92" s="2">
        <f t="shared" si="4"/>
        <v>5.0910901991259472E-2</v>
      </c>
    </row>
    <row r="93" spans="1:8">
      <c r="A93" s="1">
        <v>45600</v>
      </c>
      <c r="B93">
        <v>55.45</v>
      </c>
      <c r="C93" s="2">
        <f>IF(COUNTA($B$5:$B93)&lt;=C$1,AVERAGE($B$5:$B93),C$2*($B93-$C92)+$C92)</f>
        <v>53.865070599229583</v>
      </c>
      <c r="D93" s="2">
        <f>IF(COUNTA($B$5:$B93)&lt;=D$1,AVERAGE($B$5:$B93),D$2*($B93-$D92)+$D92)</f>
        <v>53.622418615163483</v>
      </c>
      <c r="E93" s="2">
        <f>IF(COUNTA($B$5:$B93)&lt;=E$1,AVERAGE($B$5:$B93),E$2*($B93-$E92)+$E92)</f>
        <v>52.778100150298656</v>
      </c>
      <c r="F93" s="2">
        <f t="shared" si="3"/>
        <v>0.84431846486482698</v>
      </c>
      <c r="G93" s="2">
        <f>IF(COUNTA($F$5:$F93)&lt;=G$1,AVERAGE($F$5:$F93),G$2*($F93-$G92)+$G92)</f>
        <v>0.70876131404012521</v>
      </c>
      <c r="H93" s="2">
        <f t="shared" si="4"/>
        <v>0.13555715082470177</v>
      </c>
    </row>
    <row r="94" spans="1:8">
      <c r="A94" s="1">
        <v>45601</v>
      </c>
      <c r="B94">
        <v>55.95</v>
      </c>
      <c r="C94" s="2">
        <f>IF(COUNTA($B$5:$B94)&lt;=C$1,AVERAGE($B$5:$B94),C$2*($B94-$C93)+$C93)</f>
        <v>54.28205647938367</v>
      </c>
      <c r="D94" s="2">
        <f>IF(COUNTA($B$5:$B94)&lt;=D$1,AVERAGE($B$5:$B94),D$2*($B94-$D93)+$D93)</f>
        <v>53.980508058984483</v>
      </c>
      <c r="E94" s="2">
        <f>IF(COUNTA($B$5:$B94)&lt;=E$1,AVERAGE($B$5:$B94),E$2*($B94-$E93)+$E93)</f>
        <v>53.013055694720975</v>
      </c>
      <c r="F94" s="2">
        <f t="shared" si="3"/>
        <v>0.967452364263508</v>
      </c>
      <c r="G94" s="2">
        <f>IF(COUNTA($F$5:$F94)&lt;=G$1,AVERAGE($F$5:$F94),G$2*($F94-$G93)+$G93)</f>
        <v>0.76049952408480181</v>
      </c>
      <c r="H94" s="2">
        <f t="shared" si="4"/>
        <v>0.20695284017870619</v>
      </c>
    </row>
    <row r="95" spans="1:8">
      <c r="A95" s="1">
        <v>45602</v>
      </c>
      <c r="B95">
        <v>55.28</v>
      </c>
      <c r="C95" s="2">
        <f>IF(COUNTA($B$5:$B95)&lt;=C$1,AVERAGE($B$5:$B95),C$2*($B95-$C94)+$C94)</f>
        <v>54.481645183506934</v>
      </c>
      <c r="D95" s="2">
        <f>IF(COUNTA($B$5:$B95)&lt;=D$1,AVERAGE($B$5:$B95),D$2*($B95-$D94)+$D94)</f>
        <v>54.180429896063792</v>
      </c>
      <c r="E95" s="2">
        <f>IF(COUNTA($B$5:$B95)&lt;=E$1,AVERAGE($B$5:$B95),E$2*($B95-$E94)+$E94)</f>
        <v>53.180977495112018</v>
      </c>
      <c r="F95" s="2">
        <f t="shared" si="3"/>
        <v>0.99945240095177468</v>
      </c>
      <c r="G95" s="2">
        <f>IF(COUNTA($F$5:$F95)&lt;=G$1,AVERAGE($F$5:$F95),G$2*($F95-$G94)+$G94)</f>
        <v>0.80829009945819641</v>
      </c>
      <c r="H95" s="2">
        <f t="shared" si="4"/>
        <v>0.19116230149357827</v>
      </c>
    </row>
    <row r="96" spans="1:8">
      <c r="A96" s="1">
        <v>45603</v>
      </c>
      <c r="B96">
        <v>54.71</v>
      </c>
      <c r="C96" s="2">
        <f>IF(COUNTA($B$5:$B96)&lt;=C$1,AVERAGE($B$5:$B96),C$2*($B96-$C95)+$C95)</f>
        <v>54.527316146805546</v>
      </c>
      <c r="D96" s="2">
        <f>IF(COUNTA($B$5:$B96)&lt;=D$1,AVERAGE($B$5:$B96),D$2*($B96-$D95)+$D95)</f>
        <v>54.261902219746283</v>
      </c>
      <c r="E96" s="2">
        <f>IF(COUNTA($B$5:$B96)&lt;=E$1,AVERAGE($B$5:$B96),E$2*($B96-$E95)+$E95)</f>
        <v>53.294238421400017</v>
      </c>
      <c r="F96" s="2">
        <f t="shared" si="3"/>
        <v>0.96766379834626548</v>
      </c>
      <c r="G96" s="2">
        <f>IF(COUNTA($F$5:$F96)&lt;=G$1,AVERAGE($F$5:$F96),G$2*($F96-$G95)+$G95)</f>
        <v>0.8401648392358102</v>
      </c>
      <c r="H96" s="2">
        <f t="shared" si="4"/>
        <v>0.12749895911045528</v>
      </c>
    </row>
    <row r="97" spans="1:8">
      <c r="A97" s="1">
        <v>45604</v>
      </c>
      <c r="B97">
        <v>54.14</v>
      </c>
      <c r="C97" s="2">
        <f>IF(COUNTA($B$5:$B97)&lt;=C$1,AVERAGE($B$5:$B97),C$2*($B97-$C96)+$C96)</f>
        <v>54.449852917444439</v>
      </c>
      <c r="D97" s="2">
        <f>IF(COUNTA($B$5:$B97)&lt;=D$1,AVERAGE($B$5:$B97),D$2*($B97-$D96)+$D96)</f>
        <v>54.243148032093011</v>
      </c>
      <c r="E97" s="2">
        <f>IF(COUNTA($B$5:$B97)&lt;=E$1,AVERAGE($B$5:$B97),E$2*($B97-$E96)+$E96)</f>
        <v>53.35688742722224</v>
      </c>
      <c r="F97" s="2">
        <f t="shared" si="3"/>
        <v>0.88626060487077041</v>
      </c>
      <c r="G97" s="2">
        <f>IF(COUNTA($F$5:$F97)&lt;=G$1,AVERAGE($F$5:$F97),G$2*($F97-$G96)+$G96)</f>
        <v>0.84938399236280226</v>
      </c>
      <c r="H97" s="2">
        <f t="shared" si="4"/>
        <v>3.6876612507968143E-2</v>
      </c>
    </row>
    <row r="98" spans="1:8">
      <c r="A98" s="1">
        <v>45607</v>
      </c>
      <c r="B98">
        <v>59.82</v>
      </c>
      <c r="C98" s="2">
        <f>IF(COUNTA($B$5:$B98)&lt;=C$1,AVERAGE($B$5:$B98),C$2*($B98-$C97)+$C97)</f>
        <v>55.523882333955548</v>
      </c>
      <c r="D98" s="2">
        <f>IF(COUNTA($B$5:$B98)&lt;=D$1,AVERAGE($B$5:$B98),D$2*($B98-$D97)+$D97)</f>
        <v>55.101125257924856</v>
      </c>
      <c r="E98" s="2">
        <f>IF(COUNTA($B$5:$B98)&lt;=E$1,AVERAGE($B$5:$B98),E$2*($B98-$E97)+$E97)</f>
        <v>53.835636506687258</v>
      </c>
      <c r="F98" s="2">
        <f t="shared" si="3"/>
        <v>1.2654887512375979</v>
      </c>
      <c r="G98" s="2">
        <f>IF(COUNTA($F$5:$F98)&lt;=G$1,AVERAGE($F$5:$F98),G$2*($F98-$G97)+$G97)</f>
        <v>0.9326049441377614</v>
      </c>
      <c r="H98" s="2">
        <f t="shared" si="4"/>
        <v>0.33288380709983645</v>
      </c>
    </row>
    <row r="99" spans="1:8">
      <c r="A99" s="1">
        <v>45608</v>
      </c>
      <c r="B99">
        <v>59.02</v>
      </c>
      <c r="C99" s="2">
        <f>IF(COUNTA($B$5:$B99)&lt;=C$1,AVERAGE($B$5:$B99),C$2*($B99-$C98)+$C98)</f>
        <v>56.223105867164442</v>
      </c>
      <c r="D99" s="2">
        <f>IF(COUNTA($B$5:$B99)&lt;=D$1,AVERAGE($B$5:$B99),D$2*($B99-$D98)+$D98)</f>
        <v>55.704029064397957</v>
      </c>
      <c r="E99" s="2">
        <f>IF(COUNTA($B$5:$B99)&lt;=E$1,AVERAGE($B$5:$B99),E$2*($B99-$E98)+$E98)</f>
        <v>54.219663432117834</v>
      </c>
      <c r="F99" s="2">
        <f t="shared" si="3"/>
        <v>1.4843656322801237</v>
      </c>
      <c r="G99" s="2">
        <f>IF(COUNTA($F$5:$F99)&lt;=G$1,AVERAGE($F$5:$F99),G$2*($F99-$G98)+$G98)</f>
        <v>1.0429570817662339</v>
      </c>
      <c r="H99" s="2">
        <f t="shared" si="4"/>
        <v>0.44140855051388983</v>
      </c>
    </row>
    <row r="100" spans="1:8">
      <c r="A100" s="1">
        <v>45609</v>
      </c>
      <c r="B100">
        <v>58.41</v>
      </c>
      <c r="C100" s="2">
        <f>IF(COUNTA($B$5:$B100)&lt;=C$1,AVERAGE($B$5:$B100),C$2*($B100-$C99)+$C99)</f>
        <v>56.660484693731554</v>
      </c>
      <c r="D100" s="2">
        <f>IF(COUNTA($B$5:$B100)&lt;=D$1,AVERAGE($B$5:$B100),D$2*($B100-$D99)+$D99)</f>
        <v>56.120332285259806</v>
      </c>
      <c r="E100" s="2">
        <f>IF(COUNTA($B$5:$B100)&lt;=E$1,AVERAGE($B$5:$B100),E$2*($B100-$E99)+$E99)</f>
        <v>54.530058733442438</v>
      </c>
      <c r="F100" s="2">
        <f t="shared" si="3"/>
        <v>1.5902735518173685</v>
      </c>
      <c r="G100" s="2">
        <f>IF(COUNTA($F$5:$F100)&lt;=G$1,AVERAGE($F$5:$F100),G$2*($F100-$G99)+$G99)</f>
        <v>1.1524203757764608</v>
      </c>
      <c r="H100" s="2">
        <f t="shared" si="4"/>
        <v>0.43785317604090768</v>
      </c>
    </row>
    <row r="101" spans="1:8">
      <c r="A101" s="1">
        <v>45610</v>
      </c>
      <c r="B101">
        <v>58.5</v>
      </c>
      <c r="C101" s="2">
        <f>IF(COUNTA($B$5:$B101)&lt;=C$1,AVERAGE($B$5:$B101),C$2*($B101-$C100)+$C100)</f>
        <v>57.028387754985246</v>
      </c>
      <c r="D101" s="2">
        <f>IF(COUNTA($B$5:$B101)&lt;=D$1,AVERAGE($B$5:$B101),D$2*($B101-$D100)+$D100)</f>
        <v>56.486435010604453</v>
      </c>
      <c r="E101" s="2">
        <f>IF(COUNTA($B$5:$B101)&lt;=E$1,AVERAGE($B$5:$B101),E$2*($B101-$E100)+$E100)</f>
        <v>54.824128456891145</v>
      </c>
      <c r="F101" s="2">
        <f t="shared" si="3"/>
        <v>1.6623065537133073</v>
      </c>
      <c r="G101" s="2">
        <f>IF(COUNTA($F$5:$F101)&lt;=G$1,AVERAGE($F$5:$F101),G$2*($F101-$G100)+$G100)</f>
        <v>1.2543976113638302</v>
      </c>
      <c r="H101" s="2">
        <f t="shared" si="4"/>
        <v>0.40790894234947705</v>
      </c>
    </row>
    <row r="102" spans="1:8">
      <c r="A102" s="1">
        <v>45611</v>
      </c>
      <c r="B102">
        <v>56.22</v>
      </c>
      <c r="C102" s="2">
        <f>IF(COUNTA($B$5:$B102)&lt;=C$1,AVERAGE($B$5:$B102),C$2*($B102-$C101)+$C101)</f>
        <v>56.866710203988198</v>
      </c>
      <c r="D102" s="2">
        <f>IF(COUNTA($B$5:$B102)&lt;=D$1,AVERAGE($B$5:$B102),D$2*($B102-$D101)+$D101)</f>
        <v>56.445445008972996</v>
      </c>
      <c r="E102" s="2">
        <f>IF(COUNTA($B$5:$B102)&lt;=E$1,AVERAGE($B$5:$B102),E$2*($B102-$E101)+$E101)</f>
        <v>54.927526348973281</v>
      </c>
      <c r="F102" s="2">
        <f t="shared" si="3"/>
        <v>1.5179186599997152</v>
      </c>
      <c r="G102" s="2">
        <f>IF(COUNTA($F$5:$F102)&lt;=G$1,AVERAGE($F$5:$F102),G$2*($F102-$G101)+$G101)</f>
        <v>1.3071018210910073</v>
      </c>
      <c r="H102" s="2">
        <f t="shared" si="4"/>
        <v>0.21081683890870795</v>
      </c>
    </row>
    <row r="103" spans="1:8">
      <c r="A103" s="1">
        <v>45614</v>
      </c>
      <c r="B103">
        <v>56.8</v>
      </c>
      <c r="C103" s="2">
        <f>IF(COUNTA($B$5:$B103)&lt;=C$1,AVERAGE($B$5:$B103),C$2*($B103-$C102)+$C102)</f>
        <v>56.853368163190559</v>
      </c>
      <c r="D103" s="2">
        <f>IF(COUNTA($B$5:$B103)&lt;=D$1,AVERAGE($B$5:$B103),D$2*($B103-$D102)+$D102)</f>
        <v>56.499991930669459</v>
      </c>
      <c r="E103" s="2">
        <f>IF(COUNTA($B$5:$B103)&lt;=E$1,AVERAGE($B$5:$B103),E$2*($B103-$E102)+$E102)</f>
        <v>55.066228100901185</v>
      </c>
      <c r="F103" s="2">
        <f t="shared" si="3"/>
        <v>1.4337638297682744</v>
      </c>
      <c r="G103" s="2">
        <f>IF(COUNTA($F$5:$F103)&lt;=G$1,AVERAGE($F$5:$F103),G$2*($F103-$G102)+$G102)</f>
        <v>1.3324342228264607</v>
      </c>
      <c r="H103" s="2">
        <f t="shared" si="4"/>
        <v>0.1013296069418137</v>
      </c>
    </row>
    <row r="104" spans="1:8">
      <c r="A104" s="1">
        <v>45615</v>
      </c>
      <c r="B104">
        <v>58.23</v>
      </c>
      <c r="C104" s="2">
        <f>IF(COUNTA($B$5:$B104)&lt;=C$1,AVERAGE($B$5:$B104),C$2*($B104-$C103)+$C103)</f>
        <v>57.128694530552444</v>
      </c>
      <c r="D104" s="2">
        <f>IF(COUNTA($B$5:$B104)&lt;=D$1,AVERAGE($B$5:$B104),D$2*($B104-$D103)+$D103)</f>
        <v>56.766147018258771</v>
      </c>
      <c r="E104" s="2">
        <f>IF(COUNTA($B$5:$B104)&lt;=E$1,AVERAGE($B$5:$B104),E$2*($B104-$E103)+$E103)</f>
        <v>55.300581574908506</v>
      </c>
      <c r="F104" s="2">
        <f t="shared" si="3"/>
        <v>1.4655654433502647</v>
      </c>
      <c r="G104" s="2">
        <f>IF(COUNTA($F$5:$F104)&lt;=G$1,AVERAGE($F$5:$F104),G$2*($F104-$G103)+$G103)</f>
        <v>1.3590604669312216</v>
      </c>
      <c r="H104" s="2">
        <f t="shared" si="4"/>
        <v>0.10650497641904311</v>
      </c>
    </row>
    <row r="105" spans="1:8">
      <c r="A105" s="1">
        <v>45616</v>
      </c>
      <c r="B105">
        <v>57.88</v>
      </c>
      <c r="C105" s="2">
        <f>IF(COUNTA($B$5:$B105)&lt;=C$1,AVERAGE($B$5:$B105),C$2*($B105-$C104)+$C104)</f>
        <v>57.278955624441956</v>
      </c>
      <c r="D105" s="2">
        <f>IF(COUNTA($B$5:$B105)&lt;=D$1,AVERAGE($B$5:$B105),D$2*($B105-$D104)+$D104)</f>
        <v>56.937509015449727</v>
      </c>
      <c r="E105" s="2">
        <f>IF(COUNTA($B$5:$B105)&lt;=E$1,AVERAGE($B$5:$B105),E$2*($B105-$E104)+$E104)</f>
        <v>55.491649606396763</v>
      </c>
      <c r="F105" s="2">
        <f t="shared" si="3"/>
        <v>1.4458594090529644</v>
      </c>
      <c r="G105" s="2">
        <f>IF(COUNTA($F$5:$F105)&lt;=G$1,AVERAGE($F$5:$F105),G$2*($F105-$G104)+$G104)</f>
        <v>1.3764202553555702</v>
      </c>
      <c r="H105" s="2">
        <f t="shared" si="4"/>
        <v>6.9439153697394174E-2</v>
      </c>
    </row>
    <row r="106" spans="1:8">
      <c r="A106" s="1">
        <v>45617</v>
      </c>
      <c r="B106">
        <v>58.23</v>
      </c>
      <c r="C106" s="2">
        <f>IF(COUNTA($B$5:$B106)&lt;=C$1,AVERAGE($B$5:$B106),C$2*($B106-$C105)+$C105)</f>
        <v>57.469164499553564</v>
      </c>
      <c r="D106" s="2">
        <f>IF(COUNTA($B$5:$B106)&lt;=D$1,AVERAGE($B$5:$B106),D$2*($B106-$D105)+$D105)</f>
        <v>57.136353782303615</v>
      </c>
      <c r="E106" s="2">
        <f>IF(COUNTA($B$5:$B106)&lt;=E$1,AVERAGE($B$5:$B106),E$2*($B106-$E105)+$E105)</f>
        <v>55.694490376293295</v>
      </c>
      <c r="F106" s="2">
        <f t="shared" si="3"/>
        <v>1.4418634060103201</v>
      </c>
      <c r="G106" s="2">
        <f>IF(COUNTA($F$5:$F106)&lt;=G$1,AVERAGE($F$5:$F106),G$2*($F106-$G105)+$G105)</f>
        <v>1.3895088854865203</v>
      </c>
      <c r="H106" s="2">
        <f t="shared" si="4"/>
        <v>5.2354520523799852E-2</v>
      </c>
    </row>
    <row r="107" spans="1:8">
      <c r="A107" s="1">
        <v>45618</v>
      </c>
      <c r="B107">
        <v>58.87</v>
      </c>
      <c r="C107" s="2">
        <f>IF(COUNTA($B$5:$B107)&lt;=C$1,AVERAGE($B$5:$B107),C$2*($B107-$C106)+$C106)</f>
        <v>57.749331599642851</v>
      </c>
      <c r="D107" s="2">
        <f>IF(COUNTA($B$5:$B107)&lt;=D$1,AVERAGE($B$5:$B107),D$2*($B107-$D106)+$D106)</f>
        <v>57.403068585026134</v>
      </c>
      <c r="E107" s="2">
        <f>IF(COUNTA($B$5:$B107)&lt;=E$1,AVERAGE($B$5:$B107),E$2*($B107-$E106)+$E106)</f>
        <v>55.929713311382677</v>
      </c>
      <c r="F107" s="2">
        <f t="shared" si="3"/>
        <v>1.4733552736434561</v>
      </c>
      <c r="G107" s="2">
        <f>IF(COUNTA($F$5:$F107)&lt;=G$1,AVERAGE($F$5:$F107),G$2*($F107-$G106)+$G106)</f>
        <v>1.4062781631179075</v>
      </c>
      <c r="H107" s="2">
        <f t="shared" si="4"/>
        <v>6.7077110525548544E-2</v>
      </c>
    </row>
    <row r="108" spans="1:8">
      <c r="A108" s="1">
        <v>45621</v>
      </c>
      <c r="B108">
        <v>58.78</v>
      </c>
      <c r="C108" s="2">
        <f>IF(COUNTA($B$5:$B108)&lt;=C$1,AVERAGE($B$5:$B108),C$2*($B108-$C107)+$C107)</f>
        <v>57.955465279714282</v>
      </c>
      <c r="D108" s="2">
        <f>IF(COUNTA($B$5:$B108)&lt;=D$1,AVERAGE($B$5:$B108),D$2*($B108-$D107)+$D107)</f>
        <v>57.614904187329806</v>
      </c>
      <c r="E108" s="2">
        <f>IF(COUNTA($B$5:$B108)&lt;=E$1,AVERAGE($B$5:$B108),E$2*($B108-$E107)+$E107)</f>
        <v>56.140845658687667</v>
      </c>
      <c r="F108" s="2">
        <f t="shared" si="3"/>
        <v>1.4740585286421393</v>
      </c>
      <c r="G108" s="2">
        <f>IF(COUNTA($F$5:$F108)&lt;=G$1,AVERAGE($F$5:$F108),G$2*($F108-$G107)+$G107)</f>
        <v>1.4198342362227538</v>
      </c>
      <c r="H108" s="2">
        <f t="shared" si="4"/>
        <v>5.4224292419385423E-2</v>
      </c>
    </row>
    <row r="109" spans="1:8">
      <c r="A109" s="1">
        <v>45622</v>
      </c>
      <c r="B109">
        <v>58.74</v>
      </c>
      <c r="C109" s="2">
        <f>IF(COUNTA($B$5:$B109)&lt;=C$1,AVERAGE($B$5:$B109),C$2*($B109-$C108)+$C108)</f>
        <v>58.112372223771423</v>
      </c>
      <c r="D109" s="2">
        <f>IF(COUNTA($B$5:$B109)&lt;=D$1,AVERAGE($B$5:$B109),D$2*($B109-$D108)+$D108)</f>
        <v>57.787995850817531</v>
      </c>
      <c r="E109" s="2">
        <f>IF(COUNTA($B$5:$B109)&lt;=E$1,AVERAGE($B$5:$B109),E$2*($B109-$E108)+$E108)</f>
        <v>56.333375609895988</v>
      </c>
      <c r="F109" s="2">
        <f t="shared" si="3"/>
        <v>1.4546202409215425</v>
      </c>
      <c r="G109" s="2">
        <f>IF(COUNTA($F$5:$F109)&lt;=G$1,AVERAGE($F$5:$F109),G$2*($F109-$G108)+$G108)</f>
        <v>1.4267914371625117</v>
      </c>
      <c r="H109" s="2">
        <f t="shared" si="4"/>
        <v>2.7828803759030851E-2</v>
      </c>
    </row>
    <row r="110" spans="1:8">
      <c r="A110" s="1">
        <v>45623</v>
      </c>
      <c r="B110">
        <v>59.27</v>
      </c>
      <c r="C110" s="2">
        <f>IF(COUNTA($B$5:$B110)&lt;=C$1,AVERAGE($B$5:$B110),C$2*($B110-$C109)+$C109)</f>
        <v>58.343897779017141</v>
      </c>
      <c r="D110" s="2">
        <f>IF(COUNTA($B$5:$B110)&lt;=D$1,AVERAGE($B$5:$B110),D$2*($B110-$D109)+$D109)</f>
        <v>58.015996489153295</v>
      </c>
      <c r="E110" s="2">
        <f>IF(COUNTA($B$5:$B110)&lt;=E$1,AVERAGE($B$5:$B110),E$2*($B110-$E109)+$E109)</f>
        <v>56.550903342496284</v>
      </c>
      <c r="F110" s="2">
        <f t="shared" si="3"/>
        <v>1.4650931466570114</v>
      </c>
      <c r="G110" s="2">
        <f>IF(COUNTA($F$5:$F110)&lt;=G$1,AVERAGE($F$5:$F110),G$2*($F110-$G109)+$G109)</f>
        <v>1.4344517790614115</v>
      </c>
      <c r="H110" s="2">
        <f t="shared" si="4"/>
        <v>3.0641367595599878E-2</v>
      </c>
    </row>
    <row r="111" spans="1:8">
      <c r="A111" s="1">
        <v>45625</v>
      </c>
      <c r="B111">
        <v>59.22</v>
      </c>
      <c r="C111" s="2">
        <f>IF(COUNTA($B$5:$B111)&lt;=C$1,AVERAGE($B$5:$B111),C$2*($B111-$C110)+$C110)</f>
        <v>58.519118223213709</v>
      </c>
      <c r="D111" s="2">
        <f>IF(COUNTA($B$5:$B111)&lt;=D$1,AVERAGE($B$5:$B111),D$2*($B111-$D110)+$D110)</f>
        <v>58.201227798514324</v>
      </c>
      <c r="E111" s="2">
        <f>IF(COUNTA($B$5:$B111)&lt;=E$1,AVERAGE($B$5:$B111),E$2*($B111-$E110)+$E110)</f>
        <v>56.748614206015077</v>
      </c>
      <c r="F111" s="2">
        <f t="shared" si="3"/>
        <v>1.4526135924992474</v>
      </c>
      <c r="G111" s="2">
        <f>IF(COUNTA($F$5:$F111)&lt;=G$1,AVERAGE($F$5:$F111),G$2*($F111-$G110)+$G110)</f>
        <v>1.4380841417489787</v>
      </c>
      <c r="H111" s="2">
        <f t="shared" si="4"/>
        <v>1.452945075026868E-2</v>
      </c>
    </row>
    <row r="112" spans="1:8">
      <c r="A112" s="1">
        <v>45628</v>
      </c>
      <c r="B112">
        <v>59.94</v>
      </c>
      <c r="C112" s="2">
        <f>IF(COUNTA($B$5:$B112)&lt;=C$1,AVERAGE($B$5:$B112),C$2*($B112-$C111)+$C111)</f>
        <v>58.80329457857097</v>
      </c>
      <c r="D112" s="2">
        <f>IF(COUNTA($B$5:$B112)&lt;=D$1,AVERAGE($B$5:$B112),D$2*($B112-$D111)+$D111)</f>
        <v>58.468731214127502</v>
      </c>
      <c r="E112" s="2">
        <f>IF(COUNTA($B$5:$B112)&lt;=E$1,AVERAGE($B$5:$B112),E$2*($B112-$E111)+$E111)</f>
        <v>56.985013153717667</v>
      </c>
      <c r="F112" s="2">
        <f t="shared" si="3"/>
        <v>1.483718060409835</v>
      </c>
      <c r="G112" s="2">
        <f>IF(COUNTA($F$5:$F112)&lt;=G$1,AVERAGE($F$5:$F112),G$2*($F112-$G111)+$G111)</f>
        <v>1.44721092548115</v>
      </c>
      <c r="H112" s="2">
        <f t="shared" si="4"/>
        <v>3.6507134928684959E-2</v>
      </c>
    </row>
    <row r="113" spans="1:8">
      <c r="A113" s="1">
        <v>45629</v>
      </c>
      <c r="B113">
        <v>58.69</v>
      </c>
      <c r="C113" s="2">
        <f>IF(COUNTA($B$5:$B113)&lt;=C$1,AVERAGE($B$5:$B113),C$2*($B113-$C112)+$C112)</f>
        <v>58.780635662856774</v>
      </c>
      <c r="D113" s="2">
        <f>IF(COUNTA($B$5:$B113)&lt;=D$1,AVERAGE($B$5:$B113),D$2*($B113-$D112)+$D112)</f>
        <v>58.502772565800193</v>
      </c>
      <c r="E113" s="2">
        <f>IF(COUNTA($B$5:$B113)&lt;=E$1,AVERAGE($B$5:$B113),E$2*($B113-$E112)+$E112)</f>
        <v>57.111308475664508</v>
      </c>
      <c r="F113" s="2">
        <f t="shared" si="3"/>
        <v>1.3914640901356847</v>
      </c>
      <c r="G113" s="2">
        <f>IF(COUNTA($F$5:$F113)&lt;=G$1,AVERAGE($F$5:$F113),G$2*($F113-$G112)+$G112)</f>
        <v>1.4360615584120571</v>
      </c>
      <c r="H113" s="2">
        <f t="shared" si="4"/>
        <v>-4.4597468276372343E-2</v>
      </c>
    </row>
    <row r="114" spans="1:8">
      <c r="A114" s="1">
        <v>45630</v>
      </c>
      <c r="B114">
        <v>58.37</v>
      </c>
      <c r="C114" s="2">
        <f>IF(COUNTA($B$5:$B114)&lt;=C$1,AVERAGE($B$5:$B114),C$2*($B114-$C113)+$C113)</f>
        <v>58.698508530285416</v>
      </c>
      <c r="D114" s="2">
        <f>IF(COUNTA($B$5:$B114)&lt;=D$1,AVERAGE($B$5:$B114),D$2*($B114-$D113)+$D113)</f>
        <v>58.482346017215548</v>
      </c>
      <c r="E114" s="2">
        <f>IF(COUNTA($B$5:$B114)&lt;=E$1,AVERAGE($B$5:$B114),E$2*($B114-$E113)+$E113)</f>
        <v>57.204544884874544</v>
      </c>
      <c r="F114" s="2">
        <f t="shared" si="3"/>
        <v>1.2778011323410041</v>
      </c>
      <c r="G114" s="2">
        <f>IF(COUNTA($F$5:$F114)&lt;=G$1,AVERAGE($F$5:$F114),G$2*($F114-$G113)+$G113)</f>
        <v>1.4044094731978465</v>
      </c>
      <c r="H114" s="2">
        <f t="shared" si="4"/>
        <v>-0.12660834085684236</v>
      </c>
    </row>
    <row r="115" spans="1:8">
      <c r="A115" s="1">
        <v>45631</v>
      </c>
      <c r="B115">
        <v>58.84</v>
      </c>
      <c r="C115" s="2">
        <f>IF(COUNTA($B$5:$B115)&lt;=C$1,AVERAGE($B$5:$B115),C$2*($B115-$C114)+$C114)</f>
        <v>58.726806824228333</v>
      </c>
      <c r="D115" s="2">
        <f>IF(COUNTA($B$5:$B115)&lt;=D$1,AVERAGE($B$5:$B115),D$2*($B115-$D114)+$D114)</f>
        <v>58.537369706874692</v>
      </c>
      <c r="E115" s="2">
        <f>IF(COUNTA($B$5:$B115)&lt;=E$1,AVERAGE($B$5:$B115),E$2*($B115-$E114)+$E114)</f>
        <v>57.325689708217169</v>
      </c>
      <c r="F115" s="2">
        <f t="shared" si="3"/>
        <v>1.2116799986575231</v>
      </c>
      <c r="G115" s="2">
        <f>IF(COUNTA($F$5:$F115)&lt;=G$1,AVERAGE($F$5:$F115),G$2*($F115-$G114)+$G114)</f>
        <v>1.3658635782897819</v>
      </c>
      <c r="H115" s="2">
        <f t="shared" si="4"/>
        <v>-0.15418357963225882</v>
      </c>
    </row>
    <row r="116" spans="1:8">
      <c r="A116" s="1">
        <v>45632</v>
      </c>
      <c r="B116">
        <v>59.38</v>
      </c>
      <c r="C116" s="2">
        <f>IF(COUNTA($B$5:$B116)&lt;=C$1,AVERAGE($B$5:$B116),C$2*($B116-$C115)+$C115)</f>
        <v>58.857445459382667</v>
      </c>
      <c r="D116" s="2">
        <f>IF(COUNTA($B$5:$B116)&lt;=D$1,AVERAGE($B$5:$B116),D$2*($B116-$D115)+$D115)</f>
        <v>58.667005136586276</v>
      </c>
      <c r="E116" s="2">
        <f>IF(COUNTA($B$5:$B116)&lt;=E$1,AVERAGE($B$5:$B116),E$2*($B116-$E115)+$E115)</f>
        <v>57.477860840941823</v>
      </c>
      <c r="F116" s="2">
        <f t="shared" si="3"/>
        <v>1.1891442956444536</v>
      </c>
      <c r="G116" s="2">
        <f>IF(COUNTA($F$5:$F116)&lt;=G$1,AVERAGE($F$5:$F116),G$2*($F116-$G115)+$G115)</f>
        <v>1.3305197217607163</v>
      </c>
      <c r="H116" s="2">
        <f t="shared" si="4"/>
        <v>-0.14137542611626275</v>
      </c>
    </row>
    <row r="117" spans="1:8">
      <c r="A117" s="1">
        <v>45635</v>
      </c>
      <c r="B117">
        <v>58.71</v>
      </c>
      <c r="C117" s="2">
        <f>IF(COUNTA($B$5:$B117)&lt;=C$1,AVERAGE($B$5:$B117),C$2*($B117-$C116)+$C116)</f>
        <v>58.827956367506133</v>
      </c>
      <c r="D117" s="2">
        <f>IF(COUNTA($B$5:$B117)&lt;=D$1,AVERAGE($B$5:$B117),D$2*($B117-$D116)+$D116)</f>
        <v>58.673619730957618</v>
      </c>
      <c r="E117" s="2">
        <f>IF(COUNTA($B$5:$B117)&lt;=E$1,AVERAGE($B$5:$B117),E$2*($B117-$E116)+$E116)</f>
        <v>57.569130408279463</v>
      </c>
      <c r="F117" s="2">
        <f t="shared" si="3"/>
        <v>1.1044893226781554</v>
      </c>
      <c r="G117" s="2">
        <f>IF(COUNTA($F$5:$F117)&lt;=G$1,AVERAGE($F$5:$F117),G$2*($F117-$G116)+$G116)</f>
        <v>1.2853136419442042</v>
      </c>
      <c r="H117" s="2">
        <f t="shared" si="4"/>
        <v>-0.18082431926604881</v>
      </c>
    </row>
    <row r="118" spans="1:8">
      <c r="A118" s="1">
        <v>45636</v>
      </c>
      <c r="B118">
        <v>58.12</v>
      </c>
      <c r="C118" s="2">
        <f>IF(COUNTA($B$5:$B118)&lt;=C$1,AVERAGE($B$5:$B118),C$2*($B118-$C117)+$C117)</f>
        <v>58.686365094004906</v>
      </c>
      <c r="D118" s="2">
        <f>IF(COUNTA($B$5:$B118)&lt;=D$1,AVERAGE($B$5:$B118),D$2*($B118-$D117)+$D117)</f>
        <v>58.588447464656447</v>
      </c>
      <c r="E118" s="2">
        <f>IF(COUNTA($B$5:$B118)&lt;=E$1,AVERAGE($B$5:$B118),E$2*($B118-$E117)+$E117)</f>
        <v>57.609935563221725</v>
      </c>
      <c r="F118" s="2">
        <f t="shared" si="3"/>
        <v>0.97851190143472166</v>
      </c>
      <c r="G118" s="2">
        <f>IF(COUNTA($F$5:$F118)&lt;=G$1,AVERAGE($F$5:$F118),G$2*($F118-$G117)+$G117)</f>
        <v>1.2239532938423077</v>
      </c>
      <c r="H118" s="2">
        <f t="shared" si="4"/>
        <v>-0.245441392407586</v>
      </c>
    </row>
    <row r="119" spans="1:8">
      <c r="A119" s="1">
        <v>45637</v>
      </c>
      <c r="B119">
        <v>56.65</v>
      </c>
      <c r="C119" s="2">
        <f>IF(COUNTA($B$5:$B119)&lt;=C$1,AVERAGE($B$5:$B119),C$2*($B119-$C118)+$C118)</f>
        <v>58.279092075203927</v>
      </c>
      <c r="D119" s="2">
        <f>IF(COUNTA($B$5:$B119)&lt;=D$1,AVERAGE($B$5:$B119),D$2*($B119-$D118)+$D118)</f>
        <v>58.290224777786221</v>
      </c>
      <c r="E119" s="2">
        <f>IF(COUNTA($B$5:$B119)&lt;=E$1,AVERAGE($B$5:$B119),E$2*($B119-$E118)+$E118)</f>
        <v>57.538829225205298</v>
      </c>
      <c r="F119" s="2">
        <f t="shared" si="3"/>
        <v>0.75139555258092372</v>
      </c>
      <c r="G119" s="2">
        <f>IF(COUNTA($F$5:$F119)&lt;=G$1,AVERAGE($F$5:$F119),G$2*($F119-$G118)+$G118)</f>
        <v>1.129441745590031</v>
      </c>
      <c r="H119" s="2">
        <f t="shared" si="4"/>
        <v>-0.37804619300910725</v>
      </c>
    </row>
    <row r="120" spans="1:8">
      <c r="A120" s="1">
        <v>45638</v>
      </c>
      <c r="B120">
        <v>56.28</v>
      </c>
      <c r="C120" s="2">
        <f>IF(COUNTA($B$5:$B120)&lt;=C$1,AVERAGE($B$5:$B120),C$2*($B120-$C119)+$C119)</f>
        <v>57.879273660163143</v>
      </c>
      <c r="D120" s="2">
        <f>IF(COUNTA($B$5:$B120)&lt;=D$1,AVERAGE($B$5:$B120),D$2*($B120-$D119)+$D119)</f>
        <v>57.980959427357575</v>
      </c>
      <c r="E120" s="2">
        <f>IF(COUNTA($B$5:$B120)&lt;=E$1,AVERAGE($B$5:$B120),E$2*($B120-$E119)+$E119)</f>
        <v>57.445582615930832</v>
      </c>
      <c r="F120" s="2">
        <f t="shared" si="3"/>
        <v>0.53537681142674387</v>
      </c>
      <c r="G120" s="2">
        <f>IF(COUNTA($F$5:$F120)&lt;=G$1,AVERAGE($F$5:$F120),G$2*($F120-$G119)+$G119)</f>
        <v>1.0106287587573735</v>
      </c>
      <c r="H120" s="2">
        <f t="shared" si="4"/>
        <v>-0.47525194733062959</v>
      </c>
    </row>
    <row r="121" spans="1:8">
      <c r="A121" s="1">
        <v>45639</v>
      </c>
      <c r="B121">
        <v>55.78</v>
      </c>
      <c r="C121" s="2">
        <f>IF(COUNTA($B$5:$B121)&lt;=C$1,AVERAGE($B$5:$B121),C$2*($B121-$C120)+$C120)</f>
        <v>57.459418928130518</v>
      </c>
      <c r="D121" s="2">
        <f>IF(COUNTA($B$5:$B121)&lt;=D$1,AVERAGE($B$5:$B121),D$2*($B121-$D120)+$D120)</f>
        <v>57.642350284687183</v>
      </c>
      <c r="E121" s="2">
        <f>IF(COUNTA($B$5:$B121)&lt;=E$1,AVERAGE($B$5:$B121),E$2*($B121-$E120)+$E120)</f>
        <v>57.322206125861882</v>
      </c>
      <c r="F121" s="2">
        <f t="shared" si="3"/>
        <v>0.32014415882530045</v>
      </c>
      <c r="G121" s="2">
        <f>IF(COUNTA($F$5:$F121)&lt;=G$1,AVERAGE($F$5:$F121),G$2*($F121-$G120)+$G120)</f>
        <v>0.87253183877095886</v>
      </c>
      <c r="H121" s="2">
        <f t="shared" si="4"/>
        <v>-0.55238767994565841</v>
      </c>
    </row>
    <row r="122" spans="1:8">
      <c r="A122" s="1">
        <v>45642</v>
      </c>
      <c r="B122">
        <v>55.87</v>
      </c>
      <c r="C122" s="2">
        <f>IF(COUNTA($B$5:$B122)&lt;=C$1,AVERAGE($B$5:$B122),C$2*($B122-$C121)+$C121)</f>
        <v>57.141535142504416</v>
      </c>
      <c r="D122" s="2">
        <f>IF(COUNTA($B$5:$B122)&lt;=D$1,AVERAGE($B$5:$B122),D$2*($B122-$D121)+$D121)</f>
        <v>57.369681010119926</v>
      </c>
      <c r="E122" s="2">
        <f>IF(COUNTA($B$5:$B122)&lt;=E$1,AVERAGE($B$5:$B122),E$2*($B122-$E121)+$E121)</f>
        <v>57.214635301723966</v>
      </c>
      <c r="F122" s="2">
        <f t="shared" si="3"/>
        <v>0.15504570839595999</v>
      </c>
      <c r="G122" s="2">
        <f>IF(COUNTA($F$5:$F122)&lt;=G$1,AVERAGE($F$5:$F122),G$2*($F122-$G121)+$G121)</f>
        <v>0.72903461269595904</v>
      </c>
      <c r="H122" s="2">
        <f t="shared" si="4"/>
        <v>-0.57398890429999905</v>
      </c>
    </row>
    <row r="123" spans="1:8">
      <c r="A123" s="1">
        <v>45643</v>
      </c>
      <c r="B123">
        <v>57.65</v>
      </c>
      <c r="C123" s="2">
        <f>IF(COUNTA($B$5:$B123)&lt;=C$1,AVERAGE($B$5:$B123),C$2*($B123-$C122)+$C122)</f>
        <v>57.243228114003536</v>
      </c>
      <c r="D123" s="2">
        <f>IF(COUNTA($B$5:$B123)&lt;=D$1,AVERAGE($B$5:$B123),D$2*($B123-$D122)+$D122)</f>
        <v>57.412807008563014</v>
      </c>
      <c r="E123" s="2">
        <f>IF(COUNTA($B$5:$B123)&lt;=E$1,AVERAGE($B$5:$B123),E$2*($B123-$E122)+$E122)</f>
        <v>57.246884538633303</v>
      </c>
      <c r="F123" s="2">
        <f t="shared" si="3"/>
        <v>0.16592246992971127</v>
      </c>
      <c r="G123" s="2">
        <f>IF(COUNTA($F$5:$F123)&lt;=G$1,AVERAGE($F$5:$F123),G$2*($F123-$G122)+$G122)</f>
        <v>0.61641218414270949</v>
      </c>
      <c r="H123" s="2">
        <f t="shared" si="4"/>
        <v>-0.45048971421299822</v>
      </c>
    </row>
    <row r="124" spans="1:8">
      <c r="A124" s="1">
        <v>45644</v>
      </c>
      <c r="B124">
        <v>56.84</v>
      </c>
      <c r="C124" s="2">
        <f>IF(COUNTA($B$5:$B124)&lt;=C$1,AVERAGE($B$5:$B124),C$2*($B124-$C123)+$C123)</f>
        <v>57.162582491202826</v>
      </c>
      <c r="D124" s="2">
        <f>IF(COUNTA($B$5:$B124)&lt;=D$1,AVERAGE($B$5:$B124),D$2*($B124-$D123)+$D123)</f>
        <v>57.324682853399473</v>
      </c>
      <c r="E124" s="2">
        <f>IF(COUNTA($B$5:$B124)&lt;=E$1,AVERAGE($B$5:$B124),E$2*($B124-$E123)+$E123)</f>
        <v>57.216744943178988</v>
      </c>
      <c r="F124" s="2">
        <f t="shared" si="3"/>
        <v>0.10793791022048538</v>
      </c>
      <c r="G124" s="2">
        <f>IF(COUNTA($F$5:$F124)&lt;=G$1,AVERAGE($F$5:$F124),G$2*($F124-$G123)+$G123)</f>
        <v>0.51471732935826464</v>
      </c>
      <c r="H124" s="2">
        <f t="shared" si="4"/>
        <v>-0.40677941913777926</v>
      </c>
    </row>
    <row r="125" spans="1:8">
      <c r="A125" s="1">
        <v>45645</v>
      </c>
      <c r="B125">
        <v>56.3</v>
      </c>
      <c r="C125" s="2">
        <f>IF(COUNTA($B$5:$B125)&lt;=C$1,AVERAGE($B$5:$B125),C$2*($B125-$C124)+$C124)</f>
        <v>56.990065992962258</v>
      </c>
      <c r="D125" s="2">
        <f>IF(COUNTA($B$5:$B125)&lt;=D$1,AVERAGE($B$5:$B125),D$2*($B125-$D124)+$D124)</f>
        <v>57.167039337491865</v>
      </c>
      <c r="E125" s="2">
        <f>IF(COUNTA($B$5:$B125)&lt;=E$1,AVERAGE($B$5:$B125),E$2*($B125-$E124)+$E124)</f>
        <v>57.148837910350913</v>
      </c>
      <c r="F125" s="2">
        <f t="shared" si="3"/>
        <v>1.8201427140951409E-2</v>
      </c>
      <c r="G125" s="2">
        <f>IF(COUNTA($F$5:$F125)&lt;=G$1,AVERAGE($F$5:$F125),G$2*($F125-$G124)+$G124)</f>
        <v>0.415414148914802</v>
      </c>
      <c r="H125" s="2">
        <f t="shared" si="4"/>
        <v>-0.39721272177385059</v>
      </c>
    </row>
    <row r="126" spans="1:8">
      <c r="A126" s="1">
        <v>45646</v>
      </c>
      <c r="B126">
        <v>57.33</v>
      </c>
      <c r="C126" s="2">
        <f>IF(COUNTA($B$5:$B126)&lt;=C$1,AVERAGE($B$5:$B126),C$2*($B126-$C125)+$C125)</f>
        <v>57.058052794369807</v>
      </c>
      <c r="D126" s="2">
        <f>IF(COUNTA($B$5:$B126)&lt;=D$1,AVERAGE($B$5:$B126),D$2*($B126-$D125)+$D125)</f>
        <v>57.192110208646959</v>
      </c>
      <c r="E126" s="2">
        <f>IF(COUNTA($B$5:$B126)&lt;=E$1,AVERAGE($B$5:$B126),E$2*($B126-$E125)+$E125)</f>
        <v>57.162257324398993</v>
      </c>
      <c r="F126" s="2">
        <f t="shared" si="3"/>
        <v>2.9852884247965505E-2</v>
      </c>
      <c r="G126" s="2">
        <f>IF(COUNTA($F$5:$F126)&lt;=G$1,AVERAGE($F$5:$F126),G$2*($F126-$G125)+$G125)</f>
        <v>0.33830189598143467</v>
      </c>
      <c r="H126" s="2">
        <f t="shared" si="4"/>
        <v>-0.30844901173346917</v>
      </c>
    </row>
    <row r="127" spans="1:8">
      <c r="A127" s="1">
        <v>45649</v>
      </c>
      <c r="B127">
        <v>57.58</v>
      </c>
      <c r="C127" s="2">
        <f>IF(COUNTA($B$5:$B127)&lt;=C$1,AVERAGE($B$5:$B127),C$2*($B127-$C126)+$C126)</f>
        <v>57.162442235495845</v>
      </c>
      <c r="D127" s="2">
        <f>IF(COUNTA($B$5:$B127)&lt;=D$1,AVERAGE($B$5:$B127),D$2*($B127-$D126)+$D126)</f>
        <v>57.251785561162812</v>
      </c>
      <c r="E127" s="2">
        <f>IF(COUNTA($B$5:$B127)&lt;=E$1,AVERAGE($B$5:$B127),E$2*($B127-$E126)+$E126)</f>
        <v>57.193201226295365</v>
      </c>
      <c r="F127" s="2">
        <f t="shared" si="3"/>
        <v>5.8584334867447296E-2</v>
      </c>
      <c r="G127" s="2">
        <f>IF(COUNTA($F$5:$F127)&lt;=G$1,AVERAGE($F$5:$F127),G$2*($F127-$G126)+$G126)</f>
        <v>0.2823583837586372</v>
      </c>
      <c r="H127" s="2">
        <f t="shared" si="4"/>
        <v>-0.2237740488911899</v>
      </c>
    </row>
    <row r="128" spans="1:8">
      <c r="A128" s="1">
        <v>45650</v>
      </c>
      <c r="B128">
        <v>57.76</v>
      </c>
      <c r="C128" s="2">
        <f>IF(COUNTA($B$5:$B128)&lt;=C$1,AVERAGE($B$5:$B128),C$2*($B128-$C127)+$C127)</f>
        <v>57.281953788396677</v>
      </c>
      <c r="D128" s="2">
        <f>IF(COUNTA($B$5:$B128)&lt;=D$1,AVERAGE($B$5:$B128),D$2*($B128-$D127)+$D127)</f>
        <v>57.329972397906992</v>
      </c>
      <c r="E128" s="2">
        <f>IF(COUNTA($B$5:$B128)&lt;=E$1,AVERAGE($B$5:$B128),E$2*($B128-$E127)+$E127)</f>
        <v>57.235186320643855</v>
      </c>
      <c r="F128" s="2">
        <f t="shared" si="3"/>
        <v>9.4786077263137258E-2</v>
      </c>
      <c r="G128" s="2">
        <f>IF(COUNTA($F$5:$F128)&lt;=G$1,AVERAGE($F$5:$F128),G$2*($F128-$G127)+$G127)</f>
        <v>0.24484392245953721</v>
      </c>
      <c r="H128" s="2">
        <f t="shared" si="4"/>
        <v>-0.15005784519639995</v>
      </c>
    </row>
    <row r="129" spans="1:8">
      <c r="A129" s="1">
        <v>45652</v>
      </c>
      <c r="B129">
        <v>58</v>
      </c>
      <c r="C129" s="2">
        <f>IF(COUNTA($B$5:$B129)&lt;=C$1,AVERAGE($B$5:$B129),C$2*($B129-$C128)+$C128)</f>
        <v>57.425563030717342</v>
      </c>
      <c r="D129" s="2">
        <f>IF(COUNTA($B$5:$B129)&lt;=D$1,AVERAGE($B$5:$B129),D$2*($B129-$D128)+$D128)</f>
        <v>57.433053567459766</v>
      </c>
      <c r="E129" s="2">
        <f>IF(COUNTA($B$5:$B129)&lt;=E$1,AVERAGE($B$5:$B129),E$2*($B129-$E128)+$E128)</f>
        <v>57.291839185781349</v>
      </c>
      <c r="F129" s="2">
        <f t="shared" si="3"/>
        <v>0.1412143816784166</v>
      </c>
      <c r="G129" s="2">
        <f>IF(COUNTA($F$5:$F129)&lt;=G$1,AVERAGE($F$5:$F129),G$2*($F129-$G128)+$G128)</f>
        <v>0.22411801430331307</v>
      </c>
      <c r="H129" s="2">
        <f t="shared" si="4"/>
        <v>-8.2903632624896473E-2</v>
      </c>
    </row>
    <row r="130" spans="1:8">
      <c r="A130" s="1">
        <v>45653</v>
      </c>
      <c r="B130">
        <v>57.68</v>
      </c>
      <c r="C130" s="2">
        <f>IF(COUNTA($B$5:$B130)&lt;=C$1,AVERAGE($B$5:$B130),C$2*($B130-$C129)+$C129)</f>
        <v>57.476450424573876</v>
      </c>
      <c r="D130" s="2">
        <f>IF(COUNTA($B$5:$B130)&lt;=D$1,AVERAGE($B$5:$B130),D$2*($B130-$D129)+$D129)</f>
        <v>57.471045326312108</v>
      </c>
      <c r="E130" s="2">
        <f>IF(COUNTA($B$5:$B130)&lt;=E$1,AVERAGE($B$5:$B130),E$2*($B130-$E129)+$E129)</f>
        <v>57.320591838686433</v>
      </c>
      <c r="F130" s="2">
        <f t="shared" si="3"/>
        <v>0.15045348762567556</v>
      </c>
      <c r="G130" s="2">
        <f>IF(COUNTA($F$5:$F130)&lt;=G$1,AVERAGE($F$5:$F130),G$2*($F130-$G129)+$G129)</f>
        <v>0.20938510896778556</v>
      </c>
      <c r="H130" s="2">
        <f t="shared" si="4"/>
        <v>-5.8931621342109997E-2</v>
      </c>
    </row>
    <row r="131" spans="1:8">
      <c r="A131" s="1">
        <v>45656</v>
      </c>
      <c r="B131">
        <v>56.06</v>
      </c>
      <c r="C131" s="2">
        <f>IF(COUNTA($B$5:$B131)&lt;=C$1,AVERAGE($B$5:$B131),C$2*($B131-$C130)+$C130)</f>
        <v>57.193160339659102</v>
      </c>
      <c r="D131" s="2">
        <f>IF(COUNTA($B$5:$B131)&lt;=D$1,AVERAGE($B$5:$B131),D$2*($B131-$D130)+$D130)</f>
        <v>57.253961429956398</v>
      </c>
      <c r="E131" s="2">
        <f>IF(COUNTA($B$5:$B131)&lt;=E$1,AVERAGE($B$5:$B131),E$2*($B131-$E130)+$E130)</f>
        <v>57.227214665450404</v>
      </c>
      <c r="F131" s="2">
        <f t="shared" si="3"/>
        <v>2.6746764505993781E-2</v>
      </c>
      <c r="G131" s="2">
        <f>IF(COUNTA($F$5:$F131)&lt;=G$1,AVERAGE($F$5:$F131),G$2*($F131-$G130)+$G130)</f>
        <v>0.17285744007542719</v>
      </c>
      <c r="H131" s="2">
        <f t="shared" si="4"/>
        <v>-0.14611067556943341</v>
      </c>
    </row>
    <row r="132" spans="1:8">
      <c r="A132" s="1">
        <v>45657</v>
      </c>
      <c r="B132">
        <v>56.56</v>
      </c>
      <c r="C132" s="2">
        <f>IF(COUNTA($B$5:$B132)&lt;=C$1,AVERAGE($B$5:$B132),C$2*($B132-$C131)+$C131)</f>
        <v>57.066528271727279</v>
      </c>
      <c r="D132" s="2">
        <f>IF(COUNTA($B$5:$B132)&lt;=D$1,AVERAGE($B$5:$B132),D$2*($B132-$D131)+$D131)</f>
        <v>57.147198133040028</v>
      </c>
      <c r="E132" s="2">
        <f>IF(COUNTA($B$5:$B132)&lt;=E$1,AVERAGE($B$5:$B132),E$2*($B132-$E131)+$E131)</f>
        <v>57.177791356898524</v>
      </c>
      <c r="F132" s="2">
        <f t="shared" si="3"/>
        <v>-3.0593223858495833E-2</v>
      </c>
      <c r="G132" s="2">
        <f>IF(COUNTA($F$5:$F132)&lt;=G$1,AVERAGE($F$5:$F132),G$2*($F132-$G131)+$G131)</f>
        <v>0.13216730728864259</v>
      </c>
      <c r="H132" s="2">
        <f t="shared" si="4"/>
        <v>-0.16276053114713843</v>
      </c>
    </row>
    <row r="133" spans="1:8">
      <c r="A133" s="1">
        <v>45659</v>
      </c>
      <c r="B133">
        <v>56.79</v>
      </c>
      <c r="C133" s="2">
        <f>IF(COUNTA($B$5:$B133)&lt;=C$1,AVERAGE($B$5:$B133),C$2*($B133-$C132)+$C132)</f>
        <v>57.011222617381826</v>
      </c>
      <c r="D133" s="2">
        <f>IF(COUNTA($B$5:$B133)&lt;=D$1,AVERAGE($B$5:$B133),D$2*($B133-$D132)+$D132)</f>
        <v>57.092244574110794</v>
      </c>
      <c r="E133" s="2">
        <f>IF(COUNTA($B$5:$B133)&lt;=E$1,AVERAGE($B$5:$B133),E$2*($B133-$E132)+$E132)</f>
        <v>57.149066071202334</v>
      </c>
      <c r="F133" s="2">
        <f t="shared" si="3"/>
        <v>-5.6821497091540607E-2</v>
      </c>
      <c r="G133" s="2">
        <f>IF(COUNTA($F$5:$F133)&lt;=G$1,AVERAGE($F$5:$F133),G$2*($F133-$G132)+$G132)</f>
        <v>9.4369546412605948E-2</v>
      </c>
      <c r="H133" s="2">
        <f t="shared" si="4"/>
        <v>-0.15119104350414656</v>
      </c>
    </row>
    <row r="134" spans="1:8">
      <c r="A134" s="1">
        <v>45660</v>
      </c>
      <c r="B134">
        <v>56.57</v>
      </c>
      <c r="C134" s="2">
        <f>IF(COUNTA($B$5:$B134)&lt;=C$1,AVERAGE($B$5:$B134),C$2*($B134-$C133)+$C133)</f>
        <v>56.922978093905463</v>
      </c>
      <c r="D134" s="2">
        <f>IF(COUNTA($B$5:$B134)&lt;=D$1,AVERAGE($B$5:$B134),D$2*($B134-$D133)+$D133)</f>
        <v>57.011899255016829</v>
      </c>
      <c r="E134" s="2">
        <f>IF(COUNTA($B$5:$B134)&lt;=E$1,AVERAGE($B$5:$B134),E$2*($B134-$E133)+$E133)</f>
        <v>57.106172288150312</v>
      </c>
      <c r="F134" s="2">
        <f t="shared" si="3"/>
        <v>-9.4273033133482897E-2</v>
      </c>
      <c r="G134" s="2">
        <f>IF(COUNTA($F$5:$F134)&lt;=G$1,AVERAGE($F$5:$F134),G$2*($F134-$G133)+$G133)</f>
        <v>5.6641030503388173E-2</v>
      </c>
      <c r="H134" s="2">
        <f t="shared" si="4"/>
        <v>-0.15091406363687107</v>
      </c>
    </row>
    <row r="135" spans="1:8">
      <c r="A135" s="1">
        <v>45663</v>
      </c>
      <c r="B135">
        <v>56.68</v>
      </c>
      <c r="C135" s="2">
        <f>IF(COUNTA($B$5:$B135)&lt;=C$1,AVERAGE($B$5:$B135),C$2*($B135-$C134)+$C134)</f>
        <v>56.874382475124371</v>
      </c>
      <c r="D135" s="2">
        <f>IF(COUNTA($B$5:$B135)&lt;=D$1,AVERAGE($B$5:$B135),D$2*($B135-$D134)+$D134)</f>
        <v>56.960837831168085</v>
      </c>
      <c r="E135" s="2">
        <f>IF(COUNTA($B$5:$B135)&lt;=E$1,AVERAGE($B$5:$B135),E$2*($B135-$E134)+$E134)</f>
        <v>57.07460397050955</v>
      </c>
      <c r="F135" s="2">
        <f t="shared" si="3"/>
        <v>-0.11376613934146462</v>
      </c>
      <c r="G135" s="2">
        <f>IF(COUNTA($F$5:$F135)&lt;=G$1,AVERAGE($F$5:$F135),G$2*($F135-$G134)+$G134)</f>
        <v>2.2559596534417616E-2</v>
      </c>
      <c r="H135" s="2">
        <f t="shared" si="4"/>
        <v>-0.13632573587588223</v>
      </c>
    </row>
    <row r="136" spans="1:8">
      <c r="A136" s="1">
        <v>45664</v>
      </c>
      <c r="B136">
        <v>57.14</v>
      </c>
      <c r="C136" s="2">
        <f>IF(COUNTA($B$5:$B136)&lt;=C$1,AVERAGE($B$5:$B136),C$2*($B136-$C135)+$C135)</f>
        <v>56.927505980099497</v>
      </c>
      <c r="D136" s="2">
        <f>IF(COUNTA($B$5:$B136)&lt;=D$1,AVERAGE($B$5:$B136),D$2*($B136-$D135)+$D135)</f>
        <v>56.988401241757607</v>
      </c>
      <c r="E136" s="2">
        <f>IF(COUNTA($B$5:$B136)&lt;=E$1,AVERAGE($B$5:$B136),E$2*($B136-$E135)+$E135)</f>
        <v>57.079448120842173</v>
      </c>
      <c r="F136" s="2">
        <f t="shared" si="3"/>
        <v>-9.1046879084565546E-2</v>
      </c>
      <c r="G136" s="2">
        <f>IF(COUNTA($F$5:$F136)&lt;=G$1,AVERAGE($F$5:$F136),G$2*($F136-$G135)+$G135)</f>
        <v>-1.6169858937901613E-4</v>
      </c>
      <c r="H136" s="2">
        <f t="shared" si="4"/>
        <v>-9.0885180495186527E-2</v>
      </c>
    </row>
    <row r="137" spans="1:8">
      <c r="A137" s="1">
        <v>45665</v>
      </c>
      <c r="B137">
        <v>56.81</v>
      </c>
      <c r="C137" s="2">
        <f>IF(COUNTA($B$5:$B137)&lt;=C$1,AVERAGE($B$5:$B137),C$2*($B137-$C136)+$C136)</f>
        <v>56.904004784079596</v>
      </c>
      <c r="D137" s="2">
        <f>IF(COUNTA($B$5:$B137)&lt;=D$1,AVERAGE($B$5:$B137),D$2*($B137-$D136)+$D136)</f>
        <v>56.960954896871819</v>
      </c>
      <c r="E137" s="2">
        <f>IF(COUNTA($B$5:$B137)&lt;=E$1,AVERAGE($B$5:$B137),E$2*($B137-$E136)+$E136)</f>
        <v>57.059489000779791</v>
      </c>
      <c r="F137" s="2">
        <f t="shared" si="3"/>
        <v>-9.8534103907972792E-2</v>
      </c>
      <c r="G137" s="2">
        <f>IF(COUNTA($F$5:$F137)&lt;=G$1,AVERAGE($F$5:$F137),G$2*($F137-$G136)+$G136)</f>
        <v>-1.9836179653097773E-2</v>
      </c>
      <c r="H137" s="2">
        <f t="shared" si="4"/>
        <v>-7.8697924254875012E-2</v>
      </c>
    </row>
    <row r="138" spans="1:8">
      <c r="A138" s="1">
        <v>45667</v>
      </c>
      <c r="B138">
        <v>55.83</v>
      </c>
      <c r="C138" s="2">
        <f>IF(COUNTA($B$5:$B138)&lt;=C$1,AVERAGE($B$5:$B138),C$2*($B138-$C137)+$C137)</f>
        <v>56.689203827263675</v>
      </c>
      <c r="D138" s="2">
        <f>IF(COUNTA($B$5:$B138)&lt;=D$1,AVERAGE($B$5:$B138),D$2*($B138-$D137)+$D137)</f>
        <v>56.786961835814616</v>
      </c>
      <c r="E138" s="2">
        <f>IF(COUNTA($B$5:$B138)&lt;=E$1,AVERAGE($B$5:$B138),E$2*($B138-$E137)+$E137)</f>
        <v>56.968415741462771</v>
      </c>
      <c r="F138" s="2">
        <f t="shared" si="3"/>
        <v>-0.181453905648155</v>
      </c>
      <c r="G138" s="2">
        <f>IF(COUNTA($F$5:$F138)&lt;=G$1,AVERAGE($F$5:$F138),G$2*($F138-$G137)+$G137)</f>
        <v>-5.2159724852109221E-2</v>
      </c>
      <c r="H138" s="2">
        <f t="shared" si="4"/>
        <v>-0.12929418079604577</v>
      </c>
    </row>
    <row r="139" spans="1:8">
      <c r="A139" s="1">
        <v>45670</v>
      </c>
      <c r="B139">
        <v>55.36</v>
      </c>
      <c r="C139" s="2">
        <f>IF(COUNTA($B$5:$B139)&lt;=C$1,AVERAGE($B$5:$B139),C$2*($B139-$C138)+$C138)</f>
        <v>56.423363061810939</v>
      </c>
      <c r="D139" s="2">
        <f>IF(COUNTA($B$5:$B139)&lt;=D$1,AVERAGE($B$5:$B139),D$2*($B139-$D138)+$D138)</f>
        <v>56.56742924568929</v>
      </c>
      <c r="E139" s="2">
        <f>IF(COUNTA($B$5:$B139)&lt;=E$1,AVERAGE($B$5:$B139),E$2*($B139-$E138)+$E138)</f>
        <v>56.84927383468775</v>
      </c>
      <c r="F139" s="2">
        <f t="shared" si="3"/>
        <v>-0.28184458899846021</v>
      </c>
      <c r="G139" s="2">
        <f>IF(COUNTA($F$5:$F139)&lt;=G$1,AVERAGE($F$5:$F139),G$2*($F139-$G138)+$G138)</f>
        <v>-9.8096697681379422E-2</v>
      </c>
      <c r="H139" s="2">
        <f t="shared" si="4"/>
        <v>-0.1837478913170808</v>
      </c>
    </row>
    <row r="140" spans="1:8">
      <c r="A140" s="1">
        <v>45671</v>
      </c>
      <c r="B140">
        <v>55.74</v>
      </c>
      <c r="C140" s="2">
        <f>IF(COUNTA($B$5:$B140)&lt;=C$1,AVERAGE($B$5:$B140),C$2*($B140-$C139)+$C139)</f>
        <v>56.286690449448749</v>
      </c>
      <c r="D140" s="2">
        <f>IF(COUNTA($B$5:$B140)&lt;=D$1,AVERAGE($B$5:$B140),D$2*($B140-$D139)+$D139)</f>
        <v>56.440132438660171</v>
      </c>
      <c r="E140" s="2">
        <f>IF(COUNTA($B$5:$B140)&lt;=E$1,AVERAGE($B$5:$B140),E$2*($B140-$E139)+$E139)</f>
        <v>56.76710540248866</v>
      </c>
      <c r="F140" s="2">
        <f t="shared" si="3"/>
        <v>-0.32697296382848862</v>
      </c>
      <c r="G140" s="2">
        <f>IF(COUNTA($F$5:$F140)&lt;=G$1,AVERAGE($F$5:$F140),G$2*($F140-$G139)+$G139)</f>
        <v>-0.14387195091080127</v>
      </c>
      <c r="H140" s="2">
        <f t="shared" si="4"/>
        <v>-0.18310101291768735</v>
      </c>
    </row>
    <row r="141" spans="1:8">
      <c r="A141" s="1">
        <v>45672</v>
      </c>
      <c r="B141">
        <v>55.91</v>
      </c>
      <c r="C141" s="2">
        <f>IF(COUNTA($B$5:$B141)&lt;=C$1,AVERAGE($B$5:$B141),C$2*($B141-$C140)+$C140)</f>
        <v>56.211352359559001</v>
      </c>
      <c r="D141" s="2">
        <f>IF(COUNTA($B$5:$B141)&lt;=D$1,AVERAGE($B$5:$B141),D$2*($B141-$D140)+$D140)</f>
        <v>56.35857360194322</v>
      </c>
      <c r="E141" s="2">
        <f>IF(COUNTA($B$5:$B141)&lt;=E$1,AVERAGE($B$5:$B141),E$2*($B141-$E140)+$E140)</f>
        <v>56.703616113415428</v>
      </c>
      <c r="F141" s="2">
        <f t="shared" si="3"/>
        <v>-0.34504251147220799</v>
      </c>
      <c r="G141" s="2">
        <f>IF(COUNTA($F$5:$F141)&lt;=G$1,AVERAGE($F$5:$F141),G$2*($F141-$G140)+$G140)</f>
        <v>-0.18410606302308261</v>
      </c>
      <c r="H141" s="2">
        <f t="shared" si="4"/>
        <v>-0.16093644844912539</v>
      </c>
    </row>
    <row r="142" spans="1:8">
      <c r="A142" s="1">
        <v>45673</v>
      </c>
      <c r="B142">
        <v>56.38</v>
      </c>
      <c r="C142" s="2">
        <f>IF(COUNTA($B$5:$B142)&lt;=C$1,AVERAGE($B$5:$B142),C$2*($B142-$C141)+$C141)</f>
        <v>56.245081887647203</v>
      </c>
      <c r="D142" s="2">
        <f>IF(COUNTA($B$5:$B142)&lt;=D$1,AVERAGE($B$5:$B142),D$2*($B142-$D141)+$D141)</f>
        <v>56.361869970875034</v>
      </c>
      <c r="E142" s="2">
        <f>IF(COUNTA($B$5:$B142)&lt;=E$1,AVERAGE($B$5:$B142),E$2*($B142-$E141)+$E141)</f>
        <v>56.679644549458729</v>
      </c>
      <c r="F142" s="2">
        <f t="shared" si="3"/>
        <v>-0.31777457858369473</v>
      </c>
      <c r="G142" s="2">
        <f>IF(COUNTA($F$5:$F142)&lt;=G$1,AVERAGE($F$5:$F142),G$2*($F142-$G141)+$G141)</f>
        <v>-0.21083976613520503</v>
      </c>
      <c r="H142" s="2">
        <f t="shared" si="4"/>
        <v>-0.10693481244848971</v>
      </c>
    </row>
    <row r="143" spans="1:8">
      <c r="A143" s="1">
        <v>45674</v>
      </c>
      <c r="B143">
        <v>56.29</v>
      </c>
      <c r="C143" s="2">
        <f>IF(COUNTA($B$5:$B143)&lt;=C$1,AVERAGE($B$5:$B143),C$2*($B143-$C142)+$C142)</f>
        <v>56.254065510117762</v>
      </c>
      <c r="D143" s="2">
        <f>IF(COUNTA($B$5:$B143)&lt;=D$1,AVERAGE($B$5:$B143),D$2*($B143-$D142)+$D142)</f>
        <v>56.350813052278873</v>
      </c>
      <c r="E143" s="2">
        <f>IF(COUNTA($B$5:$B143)&lt;=E$1,AVERAGE($B$5:$B143),E$2*($B143-$E142)+$E142)</f>
        <v>56.650781990239565</v>
      </c>
      <c r="F143" s="2">
        <f t="shared" si="3"/>
        <v>-0.29996893796069202</v>
      </c>
      <c r="G143" s="2">
        <f>IF(COUNTA($F$5:$F143)&lt;=G$1,AVERAGE($F$5:$F143),G$2*($F143-$G142)+$G142)</f>
        <v>-0.22866560050030244</v>
      </c>
      <c r="H143" s="2">
        <f t="shared" si="4"/>
        <v>-7.1303337460389582E-2</v>
      </c>
    </row>
    <row r="144" spans="1:8">
      <c r="A144" s="1">
        <v>45678</v>
      </c>
      <c r="B144">
        <v>57.04</v>
      </c>
      <c r="C144" s="2">
        <f>IF(COUNTA($B$5:$B144)&lt;=C$1,AVERAGE($B$5:$B144),C$2*($B144-$C143)+$C143)</f>
        <v>56.411252408094207</v>
      </c>
      <c r="D144" s="2">
        <f>IF(COUNTA($B$5:$B144)&lt;=D$1,AVERAGE($B$5:$B144),D$2*($B144-$D143)+$D143)</f>
        <v>56.456841813466738</v>
      </c>
      <c r="E144" s="2">
        <f>IF(COUNTA($B$5:$B144)&lt;=E$1,AVERAGE($B$5:$B144),E$2*($B144-$E143)+$E143)</f>
        <v>56.67961295392552</v>
      </c>
      <c r="F144" s="2">
        <f t="shared" si="3"/>
        <v>-0.22277114045878221</v>
      </c>
      <c r="G144" s="2">
        <f>IF(COUNTA($F$5:$F144)&lt;=G$1,AVERAGE($F$5:$F144),G$2*($F144-$G143)+$G143)</f>
        <v>-0.2274867084919984</v>
      </c>
      <c r="H144" s="2">
        <f t="shared" si="4"/>
        <v>4.7155680332161831E-3</v>
      </c>
    </row>
    <row r="145" spans="1:8">
      <c r="A145" s="1">
        <v>45679</v>
      </c>
      <c r="B145">
        <v>57.09</v>
      </c>
      <c r="C145" s="2">
        <f>IF(COUNTA($B$5:$B145)&lt;=C$1,AVERAGE($B$5:$B145),C$2*($B145-$C144)+$C144)</f>
        <v>56.547001926475367</v>
      </c>
      <c r="D145" s="2">
        <f>IF(COUNTA($B$5:$B145)&lt;=D$1,AVERAGE($B$5:$B145),D$2*($B145-$D144)+$D144)</f>
        <v>56.554250765241086</v>
      </c>
      <c r="E145" s="2">
        <f>IF(COUNTA($B$5:$B145)&lt;=E$1,AVERAGE($B$5:$B145),E$2*($B145-$E144)+$E144)</f>
        <v>56.710011994375485</v>
      </c>
      <c r="F145" s="2">
        <f t="shared" si="3"/>
        <v>-0.1557612291343986</v>
      </c>
      <c r="G145" s="2">
        <f>IF(COUNTA($F$5:$F145)&lt;=G$1,AVERAGE($F$5:$F145),G$2*($F145-$G144)+$G144)</f>
        <v>-0.21314161262047843</v>
      </c>
      <c r="H145" s="2">
        <f t="shared" si="4"/>
        <v>5.7380383486079822E-2</v>
      </c>
    </row>
    <row r="146" spans="1:8">
      <c r="A146" s="1">
        <v>45680</v>
      </c>
      <c r="B146">
        <v>59.14</v>
      </c>
      <c r="C146" s="2">
        <f>IF(COUNTA($B$5:$B146)&lt;=C$1,AVERAGE($B$5:$B146),C$2*($B146-$C145)+$C145)</f>
        <v>57.065601541180293</v>
      </c>
      <c r="D146" s="2">
        <f>IF(COUNTA($B$5:$B146)&lt;=D$1,AVERAGE($B$5:$B146),D$2*($B146-$D145)+$D145)</f>
        <v>56.952058339819381</v>
      </c>
      <c r="E146" s="2">
        <f>IF(COUNTA($B$5:$B146)&lt;=E$1,AVERAGE($B$5:$B146),E$2*($B146-$E145)+$E145)</f>
        <v>56.890011105903227</v>
      </c>
      <c r="F146" s="2">
        <f t="shared" ref="F146:F192" si="5">D146-E146</f>
        <v>6.2047233916153743E-2</v>
      </c>
      <c r="G146" s="2">
        <f>IF(COUNTA($F$5:$F146)&lt;=G$1,AVERAGE($F$5:$F146),G$2*($F146-$G145)+$G145)</f>
        <v>-0.158103843313152</v>
      </c>
      <c r="H146" s="2">
        <f t="shared" ref="H146:H192" si="6">F146-G146</f>
        <v>0.22015107722930574</v>
      </c>
    </row>
    <row r="147" spans="1:8">
      <c r="A147" s="1">
        <v>45681</v>
      </c>
      <c r="B147">
        <v>59.67</v>
      </c>
      <c r="C147" s="2">
        <f>IF(COUNTA($B$5:$B147)&lt;=C$1,AVERAGE($B$5:$B147),C$2*($B147-$C146)+$C146)</f>
        <v>57.586481232944237</v>
      </c>
      <c r="D147" s="2">
        <f>IF(COUNTA($B$5:$B147)&lt;=D$1,AVERAGE($B$5:$B147),D$2*($B147-$D146)+$D146)</f>
        <v>57.370203210616403</v>
      </c>
      <c r="E147" s="2">
        <f>IF(COUNTA($B$5:$B147)&lt;=E$1,AVERAGE($B$5:$B147),E$2*($B147-$E146)+$E146)</f>
        <v>57.095936209169658</v>
      </c>
      <c r="F147" s="2">
        <f t="shared" si="5"/>
        <v>0.27426700144674498</v>
      </c>
      <c r="G147" s="2">
        <f>IF(COUNTA($F$5:$F147)&lt;=G$1,AVERAGE($F$5:$F147),G$2*($F147-$G146)+$G146)</f>
        <v>-7.1629674361172596E-2</v>
      </c>
      <c r="H147" s="2">
        <f t="shared" si="6"/>
        <v>0.34589667580791761</v>
      </c>
    </row>
    <row r="148" spans="1:8">
      <c r="A148" s="1">
        <v>45684</v>
      </c>
      <c r="B148">
        <v>60.6</v>
      </c>
      <c r="C148" s="2">
        <f>IF(COUNTA($B$5:$B148)&lt;=C$1,AVERAGE($B$5:$B148),C$2*($B148-$C147)+$C147)</f>
        <v>58.189184986355393</v>
      </c>
      <c r="D148" s="2">
        <f>IF(COUNTA($B$5:$B148)&lt;=D$1,AVERAGE($B$5:$B148),D$2*($B148-$D147)+$D147)</f>
        <v>57.867095024367728</v>
      </c>
      <c r="E148" s="2">
        <f>IF(COUNTA($B$5:$B148)&lt;=E$1,AVERAGE($B$5:$B148),E$2*($B148-$E147)+$E147)</f>
        <v>57.355496489971905</v>
      </c>
      <c r="F148" s="2">
        <f t="shared" si="5"/>
        <v>0.51159853439582292</v>
      </c>
      <c r="G148" s="2">
        <f>IF(COUNTA($F$5:$F148)&lt;=G$1,AVERAGE($F$5:$F148),G$2*($F148-$G147)+$G147)</f>
        <v>4.5015967390226522E-2</v>
      </c>
      <c r="H148" s="2">
        <f t="shared" si="6"/>
        <v>0.46658256700559642</v>
      </c>
    </row>
    <row r="149" spans="1:8">
      <c r="A149" s="1">
        <v>45685</v>
      </c>
      <c r="B149">
        <v>58.76</v>
      </c>
      <c r="C149" s="2">
        <f>IF(COUNTA($B$5:$B149)&lt;=C$1,AVERAGE($B$5:$B149),C$2*($B149-$C148)+$C148)</f>
        <v>58.303347989084315</v>
      </c>
      <c r="D149" s="2">
        <f>IF(COUNTA($B$5:$B149)&lt;=D$1,AVERAGE($B$5:$B149),D$2*($B149-$D148)+$D148)</f>
        <v>58.004465020618845</v>
      </c>
      <c r="E149" s="2">
        <f>IF(COUNTA($B$5:$B149)&lt;=E$1,AVERAGE($B$5:$B149),E$2*($B149-$E148)+$E148)</f>
        <v>57.459533787011026</v>
      </c>
      <c r="F149" s="2">
        <f t="shared" si="5"/>
        <v>0.54493123360781937</v>
      </c>
      <c r="G149" s="2">
        <f>IF(COUNTA($F$5:$F149)&lt;=G$1,AVERAGE($F$5:$F149),G$2*($F149-$G148)+$G148)</f>
        <v>0.14499902063374509</v>
      </c>
      <c r="H149" s="2">
        <f t="shared" si="6"/>
        <v>0.39993221297407427</v>
      </c>
    </row>
    <row r="150" spans="1:8">
      <c r="A150" s="1">
        <v>45686</v>
      </c>
      <c r="B150">
        <v>59.05</v>
      </c>
      <c r="C150" s="2">
        <f>IF(COUNTA($B$5:$B150)&lt;=C$1,AVERAGE($B$5:$B150),C$2*($B150-$C149)+$C149)</f>
        <v>58.452678391267455</v>
      </c>
      <c r="D150" s="2">
        <f>IF(COUNTA($B$5:$B150)&lt;=D$1,AVERAGE($B$5:$B150),D$2*($B150-$D149)+$D149)</f>
        <v>58.165316555908255</v>
      </c>
      <c r="E150" s="2">
        <f>IF(COUNTA($B$5:$B150)&lt;=E$1,AVERAGE($B$5:$B150),E$2*($B150-$E149)+$E149)</f>
        <v>57.577346099084281</v>
      </c>
      <c r="F150" s="2">
        <f t="shared" si="5"/>
        <v>0.58797045682397453</v>
      </c>
      <c r="G150" s="2">
        <f>IF(COUNTA($F$5:$F150)&lt;=G$1,AVERAGE($F$5:$F150),G$2*($F150-$G149)+$G149)</f>
        <v>0.233593307871791</v>
      </c>
      <c r="H150" s="2">
        <f t="shared" si="6"/>
        <v>0.35437714895218353</v>
      </c>
    </row>
    <row r="151" spans="1:8">
      <c r="A151" s="1">
        <v>45687</v>
      </c>
      <c r="B151">
        <v>59.14</v>
      </c>
      <c r="C151" s="2">
        <f>IF(COUNTA($B$5:$B151)&lt;=C$1,AVERAGE($B$5:$B151),C$2*($B151-$C150)+$C150)</f>
        <v>58.590142713013961</v>
      </c>
      <c r="D151" s="2">
        <f>IF(COUNTA($B$5:$B151)&lt;=D$1,AVERAGE($B$5:$B151),D$2*($B151-$D150)+$D150)</f>
        <v>58.315267854999291</v>
      </c>
      <c r="E151" s="2">
        <f>IF(COUNTA($B$5:$B151)&lt;=E$1,AVERAGE($B$5:$B151),E$2*($B151-$E150)+$E150)</f>
        <v>57.693098239892855</v>
      </c>
      <c r="F151" s="2">
        <f t="shared" si="5"/>
        <v>0.62216961510643642</v>
      </c>
      <c r="G151" s="2">
        <f>IF(COUNTA($F$5:$F151)&lt;=G$1,AVERAGE($F$5:$F151),G$2*($F151-$G150)+$G150)</f>
        <v>0.31130856931872009</v>
      </c>
      <c r="H151" s="2">
        <f t="shared" si="6"/>
        <v>0.31086104578771634</v>
      </c>
    </row>
    <row r="152" spans="1:8">
      <c r="A152" s="1">
        <v>45688</v>
      </c>
      <c r="B152">
        <v>58.95</v>
      </c>
      <c r="C152" s="2">
        <f>IF(COUNTA($B$5:$B152)&lt;=C$1,AVERAGE($B$5:$B152),C$2*($B152-$C151)+$C151)</f>
        <v>58.662114170411172</v>
      </c>
      <c r="D152" s="2">
        <f>IF(COUNTA($B$5:$B152)&lt;=D$1,AVERAGE($B$5:$B152),D$2*($B152-$D151)+$D151)</f>
        <v>58.412918954230172</v>
      </c>
      <c r="E152" s="2">
        <f>IF(COUNTA($B$5:$B152)&lt;=E$1,AVERAGE($B$5:$B152),E$2*($B152-$E151)+$E151)</f>
        <v>57.786202073974863</v>
      </c>
      <c r="F152" s="2">
        <f t="shared" si="5"/>
        <v>0.62671688025530869</v>
      </c>
      <c r="G152" s="2">
        <f>IF(COUNTA($F$5:$F152)&lt;=G$1,AVERAGE($F$5:$F152),G$2*($F152-$G151)+$G151)</f>
        <v>0.37439023150603779</v>
      </c>
      <c r="H152" s="2">
        <f t="shared" si="6"/>
        <v>0.25232664874927091</v>
      </c>
    </row>
    <row r="153" spans="1:8">
      <c r="A153" s="1">
        <v>45691</v>
      </c>
      <c r="B153">
        <v>59.95</v>
      </c>
      <c r="C153" s="2">
        <f>IF(COUNTA($B$5:$B153)&lt;=C$1,AVERAGE($B$5:$B153),C$2*($B153-$C152)+$C152)</f>
        <v>58.919691336328938</v>
      </c>
      <c r="D153" s="2">
        <f>IF(COUNTA($B$5:$B153)&lt;=D$1,AVERAGE($B$5:$B153),D$2*($B153-$D152)+$D152)</f>
        <v>58.649392961271687</v>
      </c>
      <c r="E153" s="2">
        <f>IF(COUNTA($B$5:$B153)&lt;=E$1,AVERAGE($B$5:$B153),E$2*($B153-$E152)+$E152)</f>
        <v>57.94648340182858</v>
      </c>
      <c r="F153" s="2">
        <f t="shared" si="5"/>
        <v>0.70290955944310696</v>
      </c>
      <c r="G153" s="2">
        <f>IF(COUNTA($F$5:$F153)&lt;=G$1,AVERAGE($F$5:$F153),G$2*($F153-$G152)+$G152)</f>
        <v>0.4400940970934516</v>
      </c>
      <c r="H153" s="2">
        <f t="shared" si="6"/>
        <v>0.26281546234965536</v>
      </c>
    </row>
    <row r="154" spans="1:8">
      <c r="A154" s="1">
        <v>45692</v>
      </c>
      <c r="B154">
        <v>59.12</v>
      </c>
      <c r="C154" s="2">
        <f>IF(COUNTA($B$5:$B154)&lt;=C$1,AVERAGE($B$5:$B154),C$2*($B154-$C153)+$C153)</f>
        <v>58.959753069063147</v>
      </c>
      <c r="D154" s="2">
        <f>IF(COUNTA($B$5:$B154)&lt;=D$1,AVERAGE($B$5:$B154),D$2*($B154-$D153)+$D153)</f>
        <v>58.721794044152965</v>
      </c>
      <c r="E154" s="2">
        <f>IF(COUNTA($B$5:$B154)&lt;=E$1,AVERAGE($B$5:$B154),E$2*($B154-$E153)+$E153)</f>
        <v>58.033410557248686</v>
      </c>
      <c r="F154" s="2">
        <f t="shared" si="5"/>
        <v>0.68838348690427864</v>
      </c>
      <c r="G154" s="2">
        <f>IF(COUNTA($F$5:$F154)&lt;=G$1,AVERAGE($F$5:$F154),G$2*($F154-$G153)+$G153)</f>
        <v>0.48975197505561702</v>
      </c>
      <c r="H154" s="2">
        <f t="shared" si="6"/>
        <v>0.19863151184866162</v>
      </c>
    </row>
    <row r="155" spans="1:8">
      <c r="A155" s="1">
        <v>45693</v>
      </c>
      <c r="B155">
        <v>59.71</v>
      </c>
      <c r="C155" s="2">
        <f>IF(COUNTA($B$5:$B155)&lt;=C$1,AVERAGE($B$5:$B155),C$2*($B155-$C154)+$C154)</f>
        <v>59.109802455250517</v>
      </c>
      <c r="D155" s="2">
        <f>IF(COUNTA($B$5:$B155)&lt;=D$1,AVERAGE($B$5:$B155),D$2*($B155-$D154)+$D154)</f>
        <v>58.873825729667892</v>
      </c>
      <c r="E155" s="2">
        <f>IF(COUNTA($B$5:$B155)&lt;=E$1,AVERAGE($B$5:$B155),E$2*($B155-$E154)+$E154)</f>
        <v>58.157602367822861</v>
      </c>
      <c r="F155" s="2">
        <f t="shared" si="5"/>
        <v>0.71622336184503155</v>
      </c>
      <c r="G155" s="2">
        <f>IF(COUNTA($F$5:$F155)&lt;=G$1,AVERAGE($F$5:$F155),G$2*($F155-$G154)+$G154)</f>
        <v>0.5350462524134999</v>
      </c>
      <c r="H155" s="2">
        <f t="shared" si="6"/>
        <v>0.18117710943153165</v>
      </c>
    </row>
    <row r="156" spans="1:8">
      <c r="A156" s="1">
        <v>45694</v>
      </c>
      <c r="B156">
        <v>57.42</v>
      </c>
      <c r="C156" s="2">
        <f>IF(COUNTA($B$5:$B156)&lt;=C$1,AVERAGE($B$5:$B156),C$2*($B156-$C155)+$C155)</f>
        <v>58.771841964200412</v>
      </c>
      <c r="D156" s="2">
        <f>IF(COUNTA($B$5:$B156)&lt;=D$1,AVERAGE($B$5:$B156),D$2*($B156-$D155)+$D155)</f>
        <v>58.650160232795912</v>
      </c>
      <c r="E156" s="2">
        <f>IF(COUNTA($B$5:$B156)&lt;=E$1,AVERAGE($B$5:$B156),E$2*($B156-$E155)+$E155)</f>
        <v>58.102965155391537</v>
      </c>
      <c r="F156" s="2">
        <f t="shared" si="5"/>
        <v>0.54719507740437479</v>
      </c>
      <c r="G156" s="2">
        <f>IF(COUNTA($F$5:$F156)&lt;=G$1,AVERAGE($F$5:$F156),G$2*($F156-$G155)+$G155)</f>
        <v>0.53747601741167483</v>
      </c>
      <c r="H156" s="2">
        <f t="shared" si="6"/>
        <v>9.7190599926999521E-3</v>
      </c>
    </row>
    <row r="157" spans="1:8">
      <c r="A157" s="1">
        <v>45695</v>
      </c>
      <c r="B157">
        <v>56.85</v>
      </c>
      <c r="C157" s="2">
        <f>IF(COUNTA($B$5:$B157)&lt;=C$1,AVERAGE($B$5:$B157),C$2*($B157-$C156)+$C156)</f>
        <v>58.387473571360331</v>
      </c>
      <c r="D157" s="2">
        <f>IF(COUNTA($B$5:$B157)&lt;=D$1,AVERAGE($B$5:$B157),D$2*($B157-$D156)+$D156)</f>
        <v>58.373212504673461</v>
      </c>
      <c r="E157" s="2">
        <f>IF(COUNTA($B$5:$B157)&lt;=E$1,AVERAGE($B$5:$B157),E$2*($B157-$E156)+$E156)</f>
        <v>58.010152921658829</v>
      </c>
      <c r="F157" s="2">
        <f t="shared" si="5"/>
        <v>0.36305958301463193</v>
      </c>
      <c r="G157" s="2">
        <f>IF(COUNTA($F$5:$F157)&lt;=G$1,AVERAGE($F$5:$F157),G$2*($F157-$G156)+$G156)</f>
        <v>0.50259273053226627</v>
      </c>
      <c r="H157" s="2">
        <f t="shared" si="6"/>
        <v>-0.13953314751763435</v>
      </c>
    </row>
    <row r="158" spans="1:8">
      <c r="A158" s="1">
        <v>45698</v>
      </c>
      <c r="B158">
        <v>55.53</v>
      </c>
      <c r="C158" s="2">
        <f>IF(COUNTA($B$5:$B158)&lt;=C$1,AVERAGE($B$5:$B158),C$2*($B158-$C157)+$C157)</f>
        <v>57.815978857088268</v>
      </c>
      <c r="D158" s="2">
        <f>IF(COUNTA($B$5:$B158)&lt;=D$1,AVERAGE($B$5:$B158),D$2*($B158-$D157)+$D157)</f>
        <v>57.935795196262163</v>
      </c>
      <c r="E158" s="2">
        <f>IF(COUNTA($B$5:$B158)&lt;=E$1,AVERAGE($B$5:$B158),E$2*($B158-$E157)+$E157)</f>
        <v>57.826437890424842</v>
      </c>
      <c r="F158" s="2">
        <f t="shared" si="5"/>
        <v>0.10935730583732095</v>
      </c>
      <c r="G158" s="2">
        <f>IF(COUNTA($F$5:$F158)&lt;=G$1,AVERAGE($F$5:$F158),G$2*($F158-$G157)+$G157)</f>
        <v>0.42394564559327719</v>
      </c>
      <c r="H158" s="2">
        <f t="shared" si="6"/>
        <v>-0.31458833975595624</v>
      </c>
    </row>
    <row r="159" spans="1:8">
      <c r="A159" s="1">
        <v>45699</v>
      </c>
      <c r="B159">
        <v>55.94</v>
      </c>
      <c r="C159" s="2">
        <f>IF(COUNTA($B$5:$B159)&lt;=C$1,AVERAGE($B$5:$B159),C$2*($B159-$C158)+$C158)</f>
        <v>57.440783085670617</v>
      </c>
      <c r="D159" s="2">
        <f>IF(COUNTA($B$5:$B159)&lt;=D$1,AVERAGE($B$5:$B159),D$2*($B159-$D158)+$D158)</f>
        <v>57.628749781452598</v>
      </c>
      <c r="E159" s="2">
        <f>IF(COUNTA($B$5:$B159)&lt;=E$1,AVERAGE($B$5:$B159),E$2*($B159-$E158)+$E158)</f>
        <v>57.686701750393375</v>
      </c>
      <c r="F159" s="2">
        <f t="shared" si="5"/>
        <v>-5.7951968940777476E-2</v>
      </c>
      <c r="G159" s="2">
        <f>IF(COUNTA($F$5:$F159)&lt;=G$1,AVERAGE($F$5:$F159),G$2*($F159-$G158)+$G158)</f>
        <v>0.32756612268646623</v>
      </c>
      <c r="H159" s="2">
        <f t="shared" si="6"/>
        <v>-0.38551809162724371</v>
      </c>
    </row>
    <row r="160" spans="1:8">
      <c r="A160" s="1">
        <v>45700</v>
      </c>
      <c r="B160">
        <v>56.15</v>
      </c>
      <c r="C160" s="2">
        <f>IF(COUNTA($B$5:$B160)&lt;=C$1,AVERAGE($B$5:$B160),C$2*($B160-$C159)+$C159)</f>
        <v>57.18262646853649</v>
      </c>
      <c r="D160" s="2">
        <f>IF(COUNTA($B$5:$B160)&lt;=D$1,AVERAGE($B$5:$B160),D$2*($B160-$D159)+$D159)</f>
        <v>57.401249815075275</v>
      </c>
      <c r="E160" s="2">
        <f>IF(COUNTA($B$5:$B160)&lt;=E$1,AVERAGE($B$5:$B160),E$2*($B160-$E159)+$E159)</f>
        <v>57.572871991104975</v>
      </c>
      <c r="F160" s="2">
        <f t="shared" si="5"/>
        <v>-0.17162217602970031</v>
      </c>
      <c r="G160" s="2">
        <f>IF(COUNTA($F$5:$F160)&lt;=G$1,AVERAGE($F$5:$F160),G$2*($F160-$G159)+$G159)</f>
        <v>0.2277284629432329</v>
      </c>
      <c r="H160" s="2">
        <f t="shared" si="6"/>
        <v>-0.39935063897293321</v>
      </c>
    </row>
    <row r="161" spans="1:8">
      <c r="A161" s="1">
        <v>45701</v>
      </c>
      <c r="B161">
        <v>55.97</v>
      </c>
      <c r="C161" s="2">
        <f>IF(COUNTA($B$5:$B161)&lt;=C$1,AVERAGE($B$5:$B161),C$2*($B161-$C160)+$C160)</f>
        <v>56.940101174829195</v>
      </c>
      <c r="D161" s="2">
        <f>IF(COUNTA($B$5:$B161)&lt;=D$1,AVERAGE($B$5:$B161),D$2*($B161-$D160)+$D160)</f>
        <v>57.181057535832927</v>
      </c>
      <c r="E161" s="2">
        <f>IF(COUNTA($B$5:$B161)&lt;=E$1,AVERAGE($B$5:$B161),E$2*($B161-$E160)+$E160)</f>
        <v>57.454140732504605</v>
      </c>
      <c r="F161" s="2">
        <f t="shared" si="5"/>
        <v>-0.2730831966716778</v>
      </c>
      <c r="G161" s="2">
        <f>IF(COUNTA($F$5:$F161)&lt;=G$1,AVERAGE($F$5:$F161),G$2*($F161-$G160)+$G160)</f>
        <v>0.12756613102025077</v>
      </c>
      <c r="H161" s="2">
        <f t="shared" si="6"/>
        <v>-0.40064932769192857</v>
      </c>
    </row>
    <row r="162" spans="1:8">
      <c r="A162" s="1">
        <v>45702</v>
      </c>
      <c r="B162">
        <v>53.9</v>
      </c>
      <c r="C162" s="2">
        <f>IF(COUNTA($B$5:$B162)&lt;=C$1,AVERAGE($B$5:$B162),C$2*($B162-$C161)+$C161)</f>
        <v>56.332080939863353</v>
      </c>
      <c r="D162" s="2">
        <f>IF(COUNTA($B$5:$B162)&lt;=D$1,AVERAGE($B$5:$B162),D$2*($B162-$D161)+$D161)</f>
        <v>56.676279453397093</v>
      </c>
      <c r="E162" s="2">
        <f>IF(COUNTA($B$5:$B162)&lt;=E$1,AVERAGE($B$5:$B162),E$2*($B162-$E161)+$E161)</f>
        <v>57.190871048615378</v>
      </c>
      <c r="F162" s="2">
        <f t="shared" si="5"/>
        <v>-0.51459159521828468</v>
      </c>
      <c r="G162" s="2">
        <f>IF(COUNTA($F$5:$F162)&lt;=G$1,AVERAGE($F$5:$F162),G$2*($F162-$G161)+$G161)</f>
        <v>-8.6541422745631258E-4</v>
      </c>
      <c r="H162" s="2">
        <f t="shared" si="6"/>
        <v>-0.51372618099082834</v>
      </c>
    </row>
    <row r="163" spans="1:8">
      <c r="A163" s="1">
        <v>45706</v>
      </c>
      <c r="B163">
        <v>54.43</v>
      </c>
      <c r="C163" s="2">
        <f>IF(COUNTA($B$5:$B163)&lt;=C$1,AVERAGE($B$5:$B163),C$2*($B163-$C162)+$C162)</f>
        <v>55.951664751890682</v>
      </c>
      <c r="D163" s="2">
        <f>IF(COUNTA($B$5:$B163)&lt;=D$1,AVERAGE($B$5:$B163),D$2*($B163-$D162)+$D162)</f>
        <v>56.33069799902831</v>
      </c>
      <c r="E163" s="2">
        <f>IF(COUNTA($B$5:$B163)&lt;=E$1,AVERAGE($B$5:$B163),E$2*($B163-$E162)+$E162)</f>
        <v>56.986362082051279</v>
      </c>
      <c r="F163" s="2">
        <f t="shared" si="5"/>
        <v>-0.65566408302296963</v>
      </c>
      <c r="G163" s="2">
        <f>IF(COUNTA($F$5:$F163)&lt;=G$1,AVERAGE($F$5:$F163),G$2*($F163-$G162)+$G162)</f>
        <v>-0.13182514798655898</v>
      </c>
      <c r="H163" s="2">
        <f t="shared" si="6"/>
        <v>-0.52383893503641066</v>
      </c>
    </row>
    <row r="164" spans="1:8">
      <c r="A164" s="1">
        <v>45707</v>
      </c>
      <c r="B164">
        <v>54.98</v>
      </c>
      <c r="C164" s="2">
        <f>IF(COUNTA($B$5:$B164)&lt;=C$1,AVERAGE($B$5:$B164),C$2*($B164-$C163)+$C163)</f>
        <v>55.757331801512542</v>
      </c>
      <c r="D164" s="2">
        <f>IF(COUNTA($B$5:$B164)&lt;=D$1,AVERAGE($B$5:$B164),D$2*($B164-$D163)+$D163)</f>
        <v>56.122898306870106</v>
      </c>
      <c r="E164" s="2">
        <f>IF(COUNTA($B$5:$B164)&lt;=E$1,AVERAGE($B$5:$B164),E$2*($B164-$E163)+$E163)</f>
        <v>56.837742668566001</v>
      </c>
      <c r="F164" s="2">
        <f t="shared" si="5"/>
        <v>-0.71484436169589571</v>
      </c>
      <c r="G164" s="2">
        <f>IF(COUNTA($F$5:$F164)&lt;=G$1,AVERAGE($F$5:$F164),G$2*($F164-$G163)+$G163)</f>
        <v>-0.24842899072842634</v>
      </c>
      <c r="H164" s="2">
        <f t="shared" si="6"/>
        <v>-0.46641537096746938</v>
      </c>
    </row>
    <row r="165" spans="1:8">
      <c r="A165" s="1">
        <v>45708</v>
      </c>
      <c r="B165">
        <v>55.79</v>
      </c>
      <c r="C165" s="2">
        <f>IF(COUNTA($B$5:$B165)&lt;=C$1,AVERAGE($B$5:$B165),C$2*($B165-$C164)+$C164)</f>
        <v>55.763865441210037</v>
      </c>
      <c r="D165" s="2">
        <f>IF(COUNTA($B$5:$B165)&lt;=D$1,AVERAGE($B$5:$B165),D$2*($B165-$D164)+$D164)</f>
        <v>56.071683182736244</v>
      </c>
      <c r="E165" s="2">
        <f>IF(COUNTA($B$5:$B165)&lt;=E$1,AVERAGE($B$5:$B165),E$2*($B165-$E164)+$E164)</f>
        <v>56.760132100524075</v>
      </c>
      <c r="F165" s="2">
        <f t="shared" si="5"/>
        <v>-0.68844891778783079</v>
      </c>
      <c r="G165" s="2">
        <f>IF(COUNTA($F$5:$F165)&lt;=G$1,AVERAGE($F$5:$F165),G$2*($F165-$G164)+$G164)</f>
        <v>-0.3364329761403072</v>
      </c>
      <c r="H165" s="2">
        <f t="shared" si="6"/>
        <v>-0.35201594164752359</v>
      </c>
    </row>
    <row r="166" spans="1:8">
      <c r="A166" s="1">
        <v>45709</v>
      </c>
      <c r="B166">
        <v>55.83</v>
      </c>
      <c r="C166" s="2">
        <f>IF(COUNTA($B$5:$B166)&lt;=C$1,AVERAGE($B$5:$B166),C$2*($B166-$C165)+$C165)</f>
        <v>55.777092352968026</v>
      </c>
      <c r="D166" s="2">
        <f>IF(COUNTA($B$5:$B166)&lt;=D$1,AVERAGE($B$5:$B166),D$2*($B166-$D165)+$D165)</f>
        <v>56.034501154622973</v>
      </c>
      <c r="E166" s="2">
        <f>IF(COUNTA($B$5:$B166)&lt;=E$1,AVERAGE($B$5:$B166),E$2*($B166-$E165)+$E165)</f>
        <v>56.691233426411181</v>
      </c>
      <c r="F166" s="2">
        <f t="shared" si="5"/>
        <v>-0.65673227178820781</v>
      </c>
      <c r="G166" s="2">
        <f>IF(COUNTA($F$5:$F166)&lt;=G$1,AVERAGE($F$5:$F166),G$2*($F166-$G165)+$G165)</f>
        <v>-0.40049283526988733</v>
      </c>
      <c r="H166" s="2">
        <f t="shared" si="6"/>
        <v>-0.25623943651832048</v>
      </c>
    </row>
    <row r="167" spans="1:8">
      <c r="A167" s="1">
        <v>45712</v>
      </c>
      <c r="B167">
        <v>57.88</v>
      </c>
      <c r="C167" s="2">
        <f>IF(COUNTA($B$5:$B167)&lt;=C$1,AVERAGE($B$5:$B167),C$2*($B167-$C166)+$C166)</f>
        <v>56.197673882374424</v>
      </c>
      <c r="D167" s="2">
        <f>IF(COUNTA($B$5:$B167)&lt;=D$1,AVERAGE($B$5:$B167),D$2*($B167-$D166)+$D166)</f>
        <v>56.318424053911748</v>
      </c>
      <c r="E167" s="2">
        <f>IF(COUNTA($B$5:$B167)&lt;=E$1,AVERAGE($B$5:$B167),E$2*($B167-$E166)+$E166)</f>
        <v>56.779290209639981</v>
      </c>
      <c r="F167" s="2">
        <f t="shared" si="5"/>
        <v>-0.4608661557282332</v>
      </c>
      <c r="G167" s="2">
        <f>IF(COUNTA($F$5:$F167)&lt;=G$1,AVERAGE($F$5:$F167),G$2*($F167-$G166)+$G166)</f>
        <v>-0.41256749936155651</v>
      </c>
      <c r="H167" s="2">
        <f t="shared" si="6"/>
        <v>-4.8298656366676684E-2</v>
      </c>
    </row>
    <row r="168" spans="1:8">
      <c r="A168" s="1">
        <v>45713</v>
      </c>
      <c r="B168">
        <v>58.21</v>
      </c>
      <c r="C168" s="2">
        <f>IF(COUNTA($B$5:$B168)&lt;=C$1,AVERAGE($B$5:$B168),C$2*($B168-$C167)+$C167)</f>
        <v>56.600139105899537</v>
      </c>
      <c r="D168" s="2">
        <f>IF(COUNTA($B$5:$B168)&lt;=D$1,AVERAGE($B$5:$B168),D$2*($B168-$D167)+$D167)</f>
        <v>56.609435737925324</v>
      </c>
      <c r="E168" s="2">
        <f>IF(COUNTA($B$5:$B168)&lt;=E$1,AVERAGE($B$5:$B168),E$2*($B168-$E167)+$E167)</f>
        <v>56.88526871262961</v>
      </c>
      <c r="F168" s="2">
        <f t="shared" si="5"/>
        <v>-0.27583297470428647</v>
      </c>
      <c r="G168" s="2">
        <f>IF(COUNTA($F$5:$F168)&lt;=G$1,AVERAGE($F$5:$F168),G$2*($F168-$G167)+$G167)</f>
        <v>-0.38522059443010248</v>
      </c>
      <c r="H168" s="2">
        <f t="shared" si="6"/>
        <v>0.10938761972581601</v>
      </c>
    </row>
    <row r="169" spans="1:8">
      <c r="A169" s="1">
        <v>45714</v>
      </c>
      <c r="B169">
        <v>57.38</v>
      </c>
      <c r="C169" s="2">
        <f>IF(COUNTA($B$5:$B169)&lt;=C$1,AVERAGE($B$5:$B169),C$2*($B169-$C168)+$C168)</f>
        <v>56.75611128471963</v>
      </c>
      <c r="D169" s="2">
        <f>IF(COUNTA($B$5:$B169)&lt;=D$1,AVERAGE($B$5:$B169),D$2*($B169-$D168)+$D168)</f>
        <v>56.727984085936811</v>
      </c>
      <c r="E169" s="2">
        <f>IF(COUNTA($B$5:$B169)&lt;=E$1,AVERAGE($B$5:$B169),E$2*($B169-$E168)+$E168)</f>
        <v>56.921915474657048</v>
      </c>
      <c r="F169" s="2">
        <f t="shared" si="5"/>
        <v>-0.19393138872023741</v>
      </c>
      <c r="G169" s="2">
        <f>IF(COUNTA($F$5:$F169)&lt;=G$1,AVERAGE($F$5:$F169),G$2*($F169-$G168)+$G168)</f>
        <v>-0.34696275328812948</v>
      </c>
      <c r="H169" s="2">
        <f t="shared" si="6"/>
        <v>0.15303136456789207</v>
      </c>
    </row>
    <row r="170" spans="1:8">
      <c r="A170" s="1">
        <v>45715</v>
      </c>
      <c r="B170">
        <v>58.8</v>
      </c>
      <c r="C170" s="2">
        <f>IF(COUNTA($B$5:$B170)&lt;=C$1,AVERAGE($B$5:$B170),C$2*($B170-$C169)+$C169)</f>
        <v>57.1648890277757</v>
      </c>
      <c r="D170" s="2">
        <f>IF(COUNTA($B$5:$B170)&lt;=D$1,AVERAGE($B$5:$B170),D$2*($B170-$D169)+$D169)</f>
        <v>57.046755765023455</v>
      </c>
      <c r="E170" s="2">
        <f>IF(COUNTA($B$5:$B170)&lt;=E$1,AVERAGE($B$5:$B170),E$2*($B170-$E169)+$E169)</f>
        <v>57.061032846904673</v>
      </c>
      <c r="F170" s="2">
        <f t="shared" si="5"/>
        <v>-1.4277081881218123E-2</v>
      </c>
      <c r="G170" s="2">
        <f>IF(COUNTA($F$5:$F170)&lt;=G$1,AVERAGE($F$5:$F170),G$2*($F170-$G169)+$G169)</f>
        <v>-0.28042561900674723</v>
      </c>
      <c r="H170" s="2">
        <f t="shared" si="6"/>
        <v>0.26614853712552911</v>
      </c>
    </row>
    <row r="171" spans="1:8">
      <c r="A171" s="1">
        <v>45716</v>
      </c>
      <c r="B171">
        <v>59.62</v>
      </c>
      <c r="C171" s="2">
        <f>IF(COUNTA($B$5:$B171)&lt;=C$1,AVERAGE($B$5:$B171),C$2*($B171-$C170)+$C170)</f>
        <v>57.65591122222056</v>
      </c>
      <c r="D171" s="2">
        <f>IF(COUNTA($B$5:$B171)&lt;=D$1,AVERAGE($B$5:$B171),D$2*($B171-$D170)+$D170)</f>
        <v>57.442639493481387</v>
      </c>
      <c r="E171" s="2">
        <f>IF(COUNTA($B$5:$B171)&lt;=E$1,AVERAGE($B$5:$B171),E$2*($B171-$E170)+$E170)</f>
        <v>57.25058596935618</v>
      </c>
      <c r="F171" s="2">
        <f t="shared" si="5"/>
        <v>0.19205352412520682</v>
      </c>
      <c r="G171" s="2">
        <f>IF(COUNTA($F$5:$F171)&lt;=G$1,AVERAGE($F$5:$F171),G$2*($F171-$G170)+$G170)</f>
        <v>-0.1859297903803564</v>
      </c>
      <c r="H171" s="2">
        <f t="shared" si="6"/>
        <v>0.37798331450556322</v>
      </c>
    </row>
    <row r="172" spans="1:8">
      <c r="A172" s="1">
        <v>45719</v>
      </c>
      <c r="B172">
        <v>59.87</v>
      </c>
      <c r="C172" s="2">
        <f>IF(COUNTA($B$5:$B172)&lt;=C$1,AVERAGE($B$5:$B172),C$2*($B172-$C171)+$C171)</f>
        <v>58.098728977776446</v>
      </c>
      <c r="D172" s="2">
        <f>IF(COUNTA($B$5:$B172)&lt;=D$1,AVERAGE($B$5:$B172),D$2*($B172-$D171)+$D171)</f>
        <v>57.816079571407329</v>
      </c>
      <c r="E172" s="2">
        <f>IF(COUNTA($B$5:$B172)&lt;=E$1,AVERAGE($B$5:$B172),E$2*($B172-$E171)+$E171)</f>
        <v>57.444616638292757</v>
      </c>
      <c r="F172" s="2">
        <f t="shared" si="5"/>
        <v>0.37146293311457157</v>
      </c>
      <c r="G172" s="2">
        <f>IF(COUNTA($F$5:$F172)&lt;=G$1,AVERAGE($F$5:$F172),G$2*($F172-$G171)+$G171)</f>
        <v>-7.4451245681370792E-2</v>
      </c>
      <c r="H172" s="2">
        <f t="shared" si="6"/>
        <v>0.44591417879594236</v>
      </c>
    </row>
    <row r="173" spans="1:8">
      <c r="A173" s="1">
        <v>45720</v>
      </c>
      <c r="B173">
        <v>59.44</v>
      </c>
      <c r="C173" s="2">
        <f>IF(COUNTA($B$5:$B173)&lt;=C$1,AVERAGE($B$5:$B173),C$2*($B173-$C172)+$C172)</f>
        <v>58.366983182221155</v>
      </c>
      <c r="D173" s="2">
        <f>IF(COUNTA($B$5:$B173)&lt;=D$1,AVERAGE($B$5:$B173),D$2*($B173-$D172)+$D172)</f>
        <v>58.065913483498505</v>
      </c>
      <c r="E173" s="2">
        <f>IF(COUNTA($B$5:$B173)&lt;=E$1,AVERAGE($B$5:$B173),E$2*($B173-$E172)+$E172)</f>
        <v>57.592422813234037</v>
      </c>
      <c r="F173" s="2">
        <f t="shared" si="5"/>
        <v>0.47349067026446789</v>
      </c>
      <c r="G173" s="2">
        <f>IF(COUNTA($F$5:$F173)&lt;=G$1,AVERAGE($F$5:$F173),G$2*($F173-$G172)+$G172)</f>
        <v>3.5137137507796956E-2</v>
      </c>
      <c r="H173" s="2">
        <f t="shared" si="6"/>
        <v>0.43835353275667094</v>
      </c>
    </row>
    <row r="174" spans="1:8">
      <c r="A174" s="1">
        <v>45721</v>
      </c>
      <c r="B174">
        <v>59.82</v>
      </c>
      <c r="C174" s="2">
        <f>IF(COUNTA($B$5:$B174)&lt;=C$1,AVERAGE($B$5:$B174),C$2*($B174-$C173)+$C173)</f>
        <v>58.657586545776923</v>
      </c>
      <c r="D174" s="2">
        <f>IF(COUNTA($B$5:$B174)&lt;=D$1,AVERAGE($B$5:$B174),D$2*($B174-$D173)+$D173)</f>
        <v>58.335772947575656</v>
      </c>
      <c r="E174" s="2">
        <f>IF(COUNTA($B$5:$B174)&lt;=E$1,AVERAGE($B$5:$B174),E$2*($B174-$E173)+$E173)</f>
        <v>57.757428530772259</v>
      </c>
      <c r="F174" s="2">
        <f t="shared" si="5"/>
        <v>0.57834441680339665</v>
      </c>
      <c r="G174" s="2">
        <f>IF(COUNTA($F$5:$F174)&lt;=G$1,AVERAGE($F$5:$F174),G$2*($F174-$G173)+$G173)</f>
        <v>0.1437785933669169</v>
      </c>
      <c r="H174" s="2">
        <f t="shared" si="6"/>
        <v>0.43456582343647976</v>
      </c>
    </row>
    <row r="175" spans="1:8">
      <c r="A175" s="1">
        <v>45722</v>
      </c>
      <c r="B175">
        <v>60.18</v>
      </c>
      <c r="C175" s="2">
        <f>IF(COUNTA($B$5:$B175)&lt;=C$1,AVERAGE($B$5:$B175),C$2*($B175-$C174)+$C174)</f>
        <v>58.962069236621538</v>
      </c>
      <c r="D175" s="2">
        <f>IF(COUNTA($B$5:$B175)&lt;=D$1,AVERAGE($B$5:$B175),D$2*($B175-$D174)+$D174)</f>
        <v>58.619500186410171</v>
      </c>
      <c r="E175" s="2">
        <f>IF(COUNTA($B$5:$B175)&lt;=E$1,AVERAGE($B$5:$B175),E$2*($B175-$E174)+$E174)</f>
        <v>57.936878269233574</v>
      </c>
      <c r="F175" s="2">
        <f t="shared" si="5"/>
        <v>0.68262191717659704</v>
      </c>
      <c r="G175" s="2">
        <f>IF(COUNTA($F$5:$F175)&lt;=G$1,AVERAGE($F$5:$F175),G$2*($F175-$G174)+$G174)</f>
        <v>0.25154725812885292</v>
      </c>
      <c r="H175" s="2">
        <f t="shared" si="6"/>
        <v>0.43107465904774411</v>
      </c>
    </row>
    <row r="176" spans="1:8">
      <c r="A176" s="1">
        <v>45723</v>
      </c>
      <c r="B176">
        <v>61.09</v>
      </c>
      <c r="C176" s="2">
        <f>IF(COUNTA($B$5:$B176)&lt;=C$1,AVERAGE($B$5:$B176),C$2*($B176-$C175)+$C175)</f>
        <v>59.38765538929723</v>
      </c>
      <c r="D176" s="2">
        <f>IF(COUNTA($B$5:$B176)&lt;=D$1,AVERAGE($B$5:$B176),D$2*($B176-$D175)+$D175)</f>
        <v>58.999577080808606</v>
      </c>
      <c r="E176" s="2">
        <f>IF(COUNTA($B$5:$B176)&lt;=E$1,AVERAGE($B$5:$B176),E$2*($B176-$E175)+$E175)</f>
        <v>58.170442841882938</v>
      </c>
      <c r="F176" s="2">
        <f t="shared" si="5"/>
        <v>0.8291342389256684</v>
      </c>
      <c r="G176" s="2">
        <f>IF(COUNTA($F$5:$F176)&lt;=G$1,AVERAGE($F$5:$F176),G$2*($F176-$G175)+$G175)</f>
        <v>0.367064654288216</v>
      </c>
      <c r="H176" s="2">
        <f t="shared" si="6"/>
        <v>0.4620695846374524</v>
      </c>
    </row>
    <row r="177" spans="1:8">
      <c r="A177" s="1">
        <v>45726</v>
      </c>
      <c r="B177">
        <v>63.11</v>
      </c>
      <c r="C177" s="2">
        <f>IF(COUNTA($B$5:$B177)&lt;=C$1,AVERAGE($B$5:$B177),C$2*($B177-$C176)+$C176)</f>
        <v>60.132124311437785</v>
      </c>
      <c r="D177" s="2">
        <f>IF(COUNTA($B$5:$B177)&lt;=D$1,AVERAGE($B$5:$B177),D$2*($B177-$D176)+$D176)</f>
        <v>59.63194983760728</v>
      </c>
      <c r="E177" s="2">
        <f>IF(COUNTA($B$5:$B177)&lt;=E$1,AVERAGE($B$5:$B177),E$2*($B177-$E176)+$E176)</f>
        <v>58.536335964706424</v>
      </c>
      <c r="F177" s="2">
        <f t="shared" si="5"/>
        <v>1.0956138729008558</v>
      </c>
      <c r="G177" s="2">
        <f>IF(COUNTA($F$5:$F177)&lt;=G$1,AVERAGE($F$5:$F177),G$2*($F177-$G176)+$G176)</f>
        <v>0.51277449801074393</v>
      </c>
      <c r="H177" s="2">
        <f t="shared" si="6"/>
        <v>0.58283937489011184</v>
      </c>
    </row>
    <row r="178" spans="1:8">
      <c r="A178" s="1">
        <v>45727</v>
      </c>
      <c r="B178">
        <v>61.51</v>
      </c>
      <c r="C178" s="2">
        <f>IF(COUNTA($B$5:$B178)&lt;=C$1,AVERAGE($B$5:$B178),C$2*($B178-$C177)+$C177)</f>
        <v>60.407699449150229</v>
      </c>
      <c r="D178" s="2">
        <f>IF(COUNTA($B$5:$B178)&lt;=D$1,AVERAGE($B$5:$B178),D$2*($B178-$D177)+$D177)</f>
        <v>59.920880631821547</v>
      </c>
      <c r="E178" s="2">
        <f>IF(COUNTA($B$5:$B178)&lt;=E$1,AVERAGE($B$5:$B178),E$2*($B178-$E177)+$E177)</f>
        <v>58.756607374728169</v>
      </c>
      <c r="F178" s="2">
        <f t="shared" si="5"/>
        <v>1.1642732570933774</v>
      </c>
      <c r="G178" s="2">
        <f>IF(COUNTA($F$5:$F178)&lt;=G$1,AVERAGE($F$5:$F178),G$2*($F178-$G177)+$G177)</f>
        <v>0.64307424982727057</v>
      </c>
      <c r="H178" s="2">
        <f t="shared" si="6"/>
        <v>0.5211990072661068</v>
      </c>
    </row>
    <row r="179" spans="1:8">
      <c r="A179" s="1">
        <v>45728</v>
      </c>
      <c r="B179">
        <v>59.81</v>
      </c>
      <c r="C179" s="2">
        <f>IF(COUNTA($B$5:$B179)&lt;=C$1,AVERAGE($B$5:$B179),C$2*($B179-$C178)+$C178)</f>
        <v>60.288159559320185</v>
      </c>
      <c r="D179" s="2">
        <f>IF(COUNTA($B$5:$B179)&lt;=D$1,AVERAGE($B$5:$B179),D$2*($B179-$D178)+$D178)</f>
        <v>59.903822073079773</v>
      </c>
      <c r="E179" s="2">
        <f>IF(COUNTA($B$5:$B179)&lt;=E$1,AVERAGE($B$5:$B179),E$2*($B179-$E178)+$E178)</f>
        <v>58.83463645808164</v>
      </c>
      <c r="F179" s="2">
        <f t="shared" si="5"/>
        <v>1.0691856149981334</v>
      </c>
      <c r="G179" s="2">
        <f>IF(COUNTA($F$5:$F179)&lt;=G$1,AVERAGE($F$5:$F179),G$2*($F179-$G178)+$G178)</f>
        <v>0.72829652286144309</v>
      </c>
      <c r="H179" s="2">
        <f t="shared" si="6"/>
        <v>0.34088909213669027</v>
      </c>
    </row>
    <row r="180" spans="1:8">
      <c r="A180" s="1">
        <v>45729</v>
      </c>
      <c r="B180">
        <v>60.28</v>
      </c>
      <c r="C180" s="2">
        <f>IF(COUNTA($B$5:$B180)&lt;=C$1,AVERAGE($B$5:$B180),C$2*($B180-$C179)+$C179)</f>
        <v>60.286527647456147</v>
      </c>
      <c r="D180" s="2">
        <f>IF(COUNTA($B$5:$B180)&lt;=D$1,AVERAGE($B$5:$B180),D$2*($B180-$D179)+$D179)</f>
        <v>59.96169560029827</v>
      </c>
      <c r="E180" s="2">
        <f>IF(COUNTA($B$5:$B180)&lt;=E$1,AVERAGE($B$5:$B180),E$2*($B180-$E179)+$E179)</f>
        <v>58.941700424149666</v>
      </c>
      <c r="F180" s="2">
        <f t="shared" si="5"/>
        <v>1.0199951761486048</v>
      </c>
      <c r="G180" s="2">
        <f>IF(COUNTA($F$5:$F180)&lt;=G$1,AVERAGE($F$5:$F180),G$2*($F180-$G179)+$G179)</f>
        <v>0.78663625351887545</v>
      </c>
      <c r="H180" s="2">
        <f t="shared" si="6"/>
        <v>0.23335892262972935</v>
      </c>
    </row>
    <row r="181" spans="1:8">
      <c r="A181" s="1">
        <v>45730</v>
      </c>
      <c r="B181">
        <v>59.01</v>
      </c>
      <c r="C181" s="2">
        <f>IF(COUNTA($B$5:$B181)&lt;=C$1,AVERAGE($B$5:$B181),C$2*($B181-$C180)+$C180)</f>
        <v>60.031222117964916</v>
      </c>
      <c r="D181" s="2">
        <f>IF(COUNTA($B$5:$B181)&lt;=D$1,AVERAGE($B$5:$B181),D$2*($B181-$D180)+$D180)</f>
        <v>59.815280892560075</v>
      </c>
      <c r="E181" s="2">
        <f>IF(COUNTA($B$5:$B181)&lt;=E$1,AVERAGE($B$5:$B181),E$2*($B181-$E180)+$E180)</f>
        <v>58.946759651990433</v>
      </c>
      <c r="F181" s="2">
        <f t="shared" si="5"/>
        <v>0.86852124056964186</v>
      </c>
      <c r="G181" s="2">
        <f>IF(COUNTA($F$5:$F181)&lt;=G$1,AVERAGE($F$5:$F181),G$2*($F181-$G180)+$G180)</f>
        <v>0.80301325092902875</v>
      </c>
      <c r="H181" s="2">
        <f t="shared" si="6"/>
        <v>6.5507989640613107E-2</v>
      </c>
    </row>
    <row r="182" spans="1:8">
      <c r="A182" s="1">
        <v>45733</v>
      </c>
      <c r="B182">
        <v>59.99</v>
      </c>
      <c r="C182" s="2">
        <f>IF(COUNTA($B$5:$B182)&lt;=C$1,AVERAGE($B$5:$B182),C$2*($B182-$C181)+$C181)</f>
        <v>60.022977694371932</v>
      </c>
      <c r="D182" s="2">
        <f>IF(COUNTA($B$5:$B182)&lt;=D$1,AVERAGE($B$5:$B182),D$2*($B182-$D181)+$D181)</f>
        <v>59.842160755243142</v>
      </c>
      <c r="E182" s="2">
        <f>IF(COUNTA($B$5:$B182)&lt;=E$1,AVERAGE($B$5:$B182),E$2*($B182-$E181)+$E181)</f>
        <v>59.024036714805959</v>
      </c>
      <c r="F182" s="2">
        <f t="shared" si="5"/>
        <v>0.81812404043718345</v>
      </c>
      <c r="G182" s="2">
        <f>IF(COUNTA($F$5:$F182)&lt;=G$1,AVERAGE($F$5:$F182),G$2*($F182-$G181)+$G181)</f>
        <v>0.80603540883065972</v>
      </c>
      <c r="H182" s="2">
        <f t="shared" si="6"/>
        <v>1.2088631606523736E-2</v>
      </c>
    </row>
    <row r="183" spans="1:8">
      <c r="A183" s="1">
        <v>45734</v>
      </c>
      <c r="B183">
        <v>59.9</v>
      </c>
      <c r="C183" s="2">
        <f>IF(COUNTA($B$5:$B183)&lt;=C$1,AVERAGE($B$5:$B183),C$2*($B183-$C182)+$C182)</f>
        <v>59.998382155497545</v>
      </c>
      <c r="D183" s="2">
        <f>IF(COUNTA($B$5:$B183)&lt;=D$1,AVERAGE($B$5:$B183),D$2*($B183-$D182)+$D182)</f>
        <v>59.851059100590348</v>
      </c>
      <c r="E183" s="2">
        <f>IF(COUNTA($B$5:$B183)&lt;=E$1,AVERAGE($B$5:$B183),E$2*($B183-$E182)+$E182)</f>
        <v>59.088922884079594</v>
      </c>
      <c r="F183" s="2">
        <f t="shared" si="5"/>
        <v>0.76213621651075414</v>
      </c>
      <c r="G183" s="2">
        <f>IF(COUNTA($F$5:$F183)&lt;=G$1,AVERAGE($F$5:$F183),G$2*($F183-$G182)+$G182)</f>
        <v>0.7972555703666786</v>
      </c>
      <c r="H183" s="2">
        <f t="shared" si="6"/>
        <v>-3.5119353855924462E-2</v>
      </c>
    </row>
    <row r="184" spans="1:8">
      <c r="A184" s="1">
        <v>45735</v>
      </c>
      <c r="B184">
        <v>60.08</v>
      </c>
      <c r="C184" s="2">
        <f>IF(COUNTA($B$5:$B184)&lt;=C$1,AVERAGE($B$5:$B184),C$2*($B184-$C183)+$C183)</f>
        <v>60.014705724398034</v>
      </c>
      <c r="D184" s="2">
        <f>IF(COUNTA($B$5:$B184)&lt;=D$1,AVERAGE($B$5:$B184),D$2*($B184-$D183)+$D183)</f>
        <v>59.886280777422598</v>
      </c>
      <c r="E184" s="2">
        <f>IF(COUNTA($B$5:$B184)&lt;=E$1,AVERAGE($B$5:$B184),E$2*($B184-$E183)+$E183)</f>
        <v>59.162336003777405</v>
      </c>
      <c r="F184" s="2">
        <f t="shared" si="5"/>
        <v>0.72394477364519361</v>
      </c>
      <c r="G184" s="2">
        <f>IF(COUNTA($F$5:$F184)&lt;=G$1,AVERAGE($F$5:$F184),G$2*($F184-$G183)+$G183)</f>
        <v>0.78259341102238156</v>
      </c>
      <c r="H184" s="2">
        <f t="shared" si="6"/>
        <v>-5.8648637377187951E-2</v>
      </c>
    </row>
    <row r="185" spans="1:8">
      <c r="A185" s="1">
        <v>45736</v>
      </c>
      <c r="B185">
        <v>60.42</v>
      </c>
      <c r="C185" s="2">
        <f>IF(COUNTA($B$5:$B185)&lt;=C$1,AVERAGE($B$5:$B185),C$2*($B185-$C184)+$C184)</f>
        <v>60.095764579518431</v>
      </c>
      <c r="D185" s="2">
        <f>IF(COUNTA($B$5:$B185)&lt;=D$1,AVERAGE($B$5:$B185),D$2*($B185-$D184)+$D184)</f>
        <v>59.968391427049895</v>
      </c>
      <c r="E185" s="2">
        <f>IF(COUNTA($B$5:$B185)&lt;=E$1,AVERAGE($B$5:$B185),E$2*($B185-$E184)+$E184)</f>
        <v>59.25549629979389</v>
      </c>
      <c r="F185" s="2">
        <f t="shared" si="5"/>
        <v>0.71289512725600446</v>
      </c>
      <c r="G185" s="2">
        <f>IF(COUNTA($F$5:$F185)&lt;=G$1,AVERAGE($F$5:$F185),G$2*($F185-$G184)+$G184)</f>
        <v>0.76865375426910609</v>
      </c>
      <c r="H185" s="2">
        <f t="shared" si="6"/>
        <v>-5.5758627013101636E-2</v>
      </c>
    </row>
    <row r="186" spans="1:8">
      <c r="A186" s="1">
        <v>45737</v>
      </c>
      <c r="B186">
        <v>60.99</v>
      </c>
      <c r="C186" s="2">
        <f>IF(COUNTA($B$5:$B186)&lt;=C$1,AVERAGE($B$5:$B186),C$2*($B186-$C185)+$C185)</f>
        <v>60.274611663614742</v>
      </c>
      <c r="D186" s="2">
        <f>IF(COUNTA($B$5:$B186)&lt;=D$1,AVERAGE($B$5:$B186),D$2*($B186-$D185)+$D185)</f>
        <v>60.125561976734524</v>
      </c>
      <c r="E186" s="2">
        <f>IF(COUNTA($B$5:$B186)&lt;=E$1,AVERAGE($B$5:$B186),E$2*($B186-$E185)+$E185)</f>
        <v>59.383978055364715</v>
      </c>
      <c r="F186" s="2">
        <f t="shared" si="5"/>
        <v>0.74158392136980922</v>
      </c>
      <c r="G186" s="2">
        <f>IF(COUNTA($F$5:$F186)&lt;=G$1,AVERAGE($F$5:$F186),G$2*($F186-$G185)+$G185)</f>
        <v>0.76323978768924672</v>
      </c>
      <c r="H186" s="2">
        <f t="shared" si="6"/>
        <v>-2.16558663194375E-2</v>
      </c>
    </row>
    <row r="187" spans="1:8">
      <c r="A187" s="1">
        <v>45740</v>
      </c>
      <c r="B187">
        <v>61.05</v>
      </c>
      <c r="C187" s="2">
        <f>IF(COUNTA($B$5:$B187)&lt;=C$1,AVERAGE($B$5:$B187),C$2*($B187-$C186)+$C186)</f>
        <v>60.42968933089179</v>
      </c>
      <c r="D187" s="2">
        <f>IF(COUNTA($B$5:$B187)&lt;=D$1,AVERAGE($B$5:$B187),D$2*($B187-$D186)+$D186)</f>
        <v>60.267783211083056</v>
      </c>
      <c r="E187" s="2">
        <f>IF(COUNTA($B$5:$B187)&lt;=E$1,AVERAGE($B$5:$B187),E$2*($B187-$E186)+$E186)</f>
        <v>59.507387088300661</v>
      </c>
      <c r="F187" s="2">
        <f t="shared" si="5"/>
        <v>0.76039612278239588</v>
      </c>
      <c r="G187" s="2">
        <f>IF(COUNTA($F$5:$F187)&lt;=G$1,AVERAGE($F$5:$F187),G$2*($F187-$G186)+$G186)</f>
        <v>0.76267105470787655</v>
      </c>
      <c r="H187" s="2">
        <f t="shared" si="6"/>
        <v>-2.2749319254806721E-3</v>
      </c>
    </row>
    <row r="188" spans="1:8">
      <c r="A188" s="1">
        <v>45741</v>
      </c>
      <c r="B188">
        <v>59.19</v>
      </c>
      <c r="C188" s="2">
        <f>IF(COUNTA($B$5:$B188)&lt;=C$1,AVERAGE($B$5:$B188),C$2*($B188-$C187)+$C187)</f>
        <v>60.181751464713429</v>
      </c>
      <c r="D188" s="2">
        <f>IF(COUNTA($B$5:$B188)&lt;=D$1,AVERAGE($B$5:$B188),D$2*($B188-$D187)+$D187)</f>
        <v>60.101970409377969</v>
      </c>
      <c r="E188" s="2">
        <f>IF(COUNTA($B$5:$B188)&lt;=E$1,AVERAGE($B$5:$B188),E$2*($B188-$E187)+$E187)</f>
        <v>59.483876933611725</v>
      </c>
      <c r="F188" s="2">
        <f t="shared" si="5"/>
        <v>0.61809347576624418</v>
      </c>
      <c r="G188" s="2">
        <f>IF(COUNTA($F$5:$F188)&lt;=G$1,AVERAGE($F$5:$F188),G$2*($F188-$G187)+$G187)</f>
        <v>0.73375553891955003</v>
      </c>
      <c r="H188" s="2">
        <f t="shared" si="6"/>
        <v>-0.11566206315330585</v>
      </c>
    </row>
    <row r="189" spans="1:8">
      <c r="A189" s="1">
        <v>45742</v>
      </c>
      <c r="B189">
        <v>59.21</v>
      </c>
      <c r="C189" s="2">
        <f>IF(COUNTA($B$5:$B189)&lt;=C$1,AVERAGE($B$5:$B189),C$2*($B189-$C188)+$C188)</f>
        <v>59.987401171770742</v>
      </c>
      <c r="D189" s="2">
        <f>IF(COUNTA($B$5:$B189)&lt;=D$1,AVERAGE($B$5:$B189),D$2*($B189-$D188)+$D188)</f>
        <v>59.96474419255059</v>
      </c>
      <c r="E189" s="2">
        <f>IF(COUNTA($B$5:$B189)&lt;=E$1,AVERAGE($B$5:$B189),E$2*($B189-$E188)+$E188)</f>
        <v>59.463589753344188</v>
      </c>
      <c r="F189" s="2">
        <f t="shared" si="5"/>
        <v>0.50115443920640246</v>
      </c>
      <c r="G189" s="2">
        <f>IF(COUNTA($F$5:$F189)&lt;=G$1,AVERAGE($F$5:$F189),G$2*($F189-$G188)+$G188)</f>
        <v>0.68723531897692047</v>
      </c>
      <c r="H189" s="2">
        <f t="shared" si="6"/>
        <v>-0.18608087977051802</v>
      </c>
    </row>
    <row r="190" spans="1:8">
      <c r="A190" s="1">
        <v>45743</v>
      </c>
      <c r="B190">
        <v>58.9</v>
      </c>
      <c r="C190" s="2">
        <f>IF(COUNTA($B$5:$B190)&lt;=C$1,AVERAGE($B$5:$B190),C$2*($B190-$C189)+$C189)</f>
        <v>59.769920937416593</v>
      </c>
      <c r="D190" s="2">
        <f>IF(COUNTA($B$5:$B190)&lt;=D$1,AVERAGE($B$5:$B190),D$2*($B190-$D189)+$D189)</f>
        <v>59.80093739369665</v>
      </c>
      <c r="E190" s="2">
        <f>IF(COUNTA($B$5:$B190)&lt;=E$1,AVERAGE($B$5:$B190),E$2*($B190-$E189)+$E189)</f>
        <v>59.421842364207578</v>
      </c>
      <c r="F190" s="2">
        <f t="shared" si="5"/>
        <v>0.37909502948907203</v>
      </c>
      <c r="G190" s="2">
        <f>IF(COUNTA($F$5:$F190)&lt;=G$1,AVERAGE($F$5:$F190),G$2*($F190-$G189)+$G189)</f>
        <v>0.62560726107935083</v>
      </c>
      <c r="H190" s="2">
        <f t="shared" si="6"/>
        <v>-0.2465122315902788</v>
      </c>
    </row>
    <row r="191" spans="1:8">
      <c r="A191" s="1">
        <v>45744</v>
      </c>
      <c r="B191">
        <v>60.02</v>
      </c>
      <c r="C191" s="2">
        <f>IF(COUNTA($B$5:$B191)&lt;=C$1,AVERAGE($B$5:$B191),C$2*($B191-$C190)+$C190)</f>
        <v>59.819936749933277</v>
      </c>
      <c r="D191" s="2">
        <f>IF(COUNTA($B$5:$B191)&lt;=D$1,AVERAGE($B$5:$B191),D$2*($B191-$D190)+$D190)</f>
        <v>59.834639333127932</v>
      </c>
      <c r="E191" s="2">
        <f>IF(COUNTA($B$5:$B191)&lt;=E$1,AVERAGE($B$5:$B191),E$2*($B191-$E190)+$E190)</f>
        <v>59.466150337229237</v>
      </c>
      <c r="F191" s="2">
        <f t="shared" si="5"/>
        <v>0.36848899589869433</v>
      </c>
      <c r="G191" s="2">
        <f>IF(COUNTA($F$5:$F191)&lt;=G$1,AVERAGE($F$5:$F191),G$2*($F191-$G190)+$G190)</f>
        <v>0.57418360804321955</v>
      </c>
      <c r="H191" s="2">
        <f t="shared" si="6"/>
        <v>-0.20569461214452522</v>
      </c>
    </row>
    <row r="192" spans="1:8">
      <c r="A192" s="1">
        <v>45747</v>
      </c>
      <c r="B192">
        <v>60.99</v>
      </c>
      <c r="C192" s="2">
        <f>IF(COUNTA($B$5:$B192)&lt;=C$1,AVERAGE($B$5:$B192),C$2*($B192-$C191)+$C191)</f>
        <v>60.053949399946625</v>
      </c>
      <c r="D192" s="2">
        <f>IF(COUNTA($B$5:$B192)&lt;=D$1,AVERAGE($B$5:$B192),D$2*($B192-$D191)+$D191)</f>
        <v>60.012387128031328</v>
      </c>
      <c r="E192" s="2">
        <f>IF(COUNTA($B$5:$B192)&lt;=E$1,AVERAGE($B$5:$B192),E$2*($B192-$E191)+$E191)</f>
        <v>59.579028090027073</v>
      </c>
      <c r="F192" s="2">
        <f t="shared" si="5"/>
        <v>0.43335903800425513</v>
      </c>
      <c r="G192" s="2">
        <f>IF(COUNTA($F$5:$F192)&lt;=G$1,AVERAGE($F$5:$F192),G$2*($F192-$G191)+$G191)</f>
        <v>0.54601869403542669</v>
      </c>
      <c r="H192" s="2">
        <f t="shared" si="6"/>
        <v>-0.11265965603117156</v>
      </c>
    </row>
    <row r="194" spans="1:2">
      <c r="A194" t="s">
        <v>9</v>
      </c>
      <c r="B194">
        <f>COUNT(B5:B192)</f>
        <v>188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7E3CE-E8B9-4C23-9280-062B6FD19BD1}">
  <dimension ref="A1:K191"/>
  <sheetViews>
    <sheetView topLeftCell="F1" workbookViewId="0">
      <selection activeCell="O4" sqref="O4"/>
    </sheetView>
  </sheetViews>
  <sheetFormatPr defaultRowHeight="14.25"/>
  <cols>
    <col min="1" max="1" width="9.85546875" bestFit="1" customWidth="1"/>
    <col min="6" max="6" width="12.28515625" bestFit="1" customWidth="1"/>
    <col min="7" max="7" width="12" bestFit="1" customWidth="1"/>
    <col min="9" max="9" width="10.7109375" bestFit="1" customWidth="1"/>
  </cols>
  <sheetData>
    <row r="1" spans="1:11">
      <c r="A1" t="s">
        <v>4</v>
      </c>
      <c r="B1" t="s">
        <v>3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</row>
    <row r="2" spans="1:11">
      <c r="A2" s="1">
        <v>45474</v>
      </c>
      <c r="B2">
        <v>41.3</v>
      </c>
    </row>
    <row r="3" spans="1:11">
      <c r="A3" s="1">
        <v>45475</v>
      </c>
      <c r="B3">
        <v>40.450000000000003</v>
      </c>
      <c r="C3">
        <f>B3-B2</f>
        <v>-0.84999999999999432</v>
      </c>
      <c r="D3">
        <f>IF(C3&gt;0,C3,0)</f>
        <v>0</v>
      </c>
      <c r="E3">
        <f>IF(C3&lt;0,-C3,0)</f>
        <v>0.84999999999999432</v>
      </c>
    </row>
    <row r="4" spans="1:11">
      <c r="A4" s="1">
        <v>45476</v>
      </c>
      <c r="B4">
        <v>40.06</v>
      </c>
      <c r="C4">
        <f t="shared" ref="C4:C67" si="0">B4-B3</f>
        <v>-0.39000000000000057</v>
      </c>
      <c r="D4">
        <f t="shared" ref="D4:D67" si="1">IF(C4&gt;0,C4,0)</f>
        <v>0</v>
      </c>
      <c r="E4">
        <f t="shared" ref="E4:E67" si="2">IF(C4&lt;0,-C4,0)</f>
        <v>0.39000000000000057</v>
      </c>
    </row>
    <row r="5" spans="1:11">
      <c r="A5" s="1">
        <v>45478</v>
      </c>
      <c r="B5">
        <v>39.659999999999997</v>
      </c>
      <c r="C5">
        <f t="shared" si="0"/>
        <v>-0.40000000000000568</v>
      </c>
      <c r="D5">
        <f t="shared" si="1"/>
        <v>0</v>
      </c>
      <c r="E5">
        <f t="shared" si="2"/>
        <v>0.40000000000000568</v>
      </c>
    </row>
    <row r="6" spans="1:11">
      <c r="A6" s="1">
        <v>45481</v>
      </c>
      <c r="B6">
        <v>39.99</v>
      </c>
      <c r="C6">
        <f t="shared" si="0"/>
        <v>0.3300000000000054</v>
      </c>
      <c r="D6">
        <f t="shared" si="1"/>
        <v>0.3300000000000054</v>
      </c>
      <c r="E6">
        <f t="shared" si="2"/>
        <v>0</v>
      </c>
    </row>
    <row r="7" spans="1:11">
      <c r="A7" s="1">
        <v>45482</v>
      </c>
      <c r="B7">
        <v>40.86</v>
      </c>
      <c r="C7">
        <f t="shared" si="0"/>
        <v>0.86999999999999744</v>
      </c>
      <c r="D7">
        <f t="shared" si="1"/>
        <v>0.86999999999999744</v>
      </c>
      <c r="E7">
        <f t="shared" si="2"/>
        <v>0</v>
      </c>
    </row>
    <row r="8" spans="1:11">
      <c r="A8" s="1">
        <v>45483</v>
      </c>
      <c r="B8">
        <v>41.12</v>
      </c>
      <c r="C8">
        <f t="shared" si="0"/>
        <v>0.25999999999999801</v>
      </c>
      <c r="D8">
        <f t="shared" si="1"/>
        <v>0.25999999999999801</v>
      </c>
      <c r="E8">
        <f t="shared" si="2"/>
        <v>0</v>
      </c>
    </row>
    <row r="9" spans="1:11">
      <c r="A9" s="1">
        <v>45484</v>
      </c>
      <c r="B9">
        <v>40.75</v>
      </c>
      <c r="C9">
        <f t="shared" si="0"/>
        <v>-0.36999999999999744</v>
      </c>
      <c r="D9">
        <f t="shared" si="1"/>
        <v>0</v>
      </c>
      <c r="E9">
        <f t="shared" si="2"/>
        <v>0.36999999999999744</v>
      </c>
    </row>
    <row r="10" spans="1:11">
      <c r="A10" s="1">
        <v>45485</v>
      </c>
      <c r="B10">
        <v>40.46</v>
      </c>
      <c r="C10">
        <f t="shared" si="0"/>
        <v>-0.28999999999999915</v>
      </c>
      <c r="D10">
        <f t="shared" si="1"/>
        <v>0</v>
      </c>
      <c r="E10">
        <f t="shared" si="2"/>
        <v>0.28999999999999915</v>
      </c>
    </row>
    <row r="11" spans="1:11">
      <c r="A11" s="1">
        <v>45488</v>
      </c>
      <c r="B11">
        <v>40.15</v>
      </c>
      <c r="C11">
        <f t="shared" si="0"/>
        <v>-0.31000000000000227</v>
      </c>
      <c r="D11">
        <f t="shared" si="1"/>
        <v>0</v>
      </c>
      <c r="E11">
        <f t="shared" si="2"/>
        <v>0.31000000000000227</v>
      </c>
    </row>
    <row r="12" spans="1:11">
      <c r="A12" s="1">
        <v>45489</v>
      </c>
      <c r="B12">
        <v>41.2</v>
      </c>
      <c r="C12">
        <f t="shared" si="0"/>
        <v>1.0500000000000043</v>
      </c>
      <c r="D12">
        <f t="shared" si="1"/>
        <v>1.0500000000000043</v>
      </c>
      <c r="E12">
        <f t="shared" si="2"/>
        <v>0</v>
      </c>
    </row>
    <row r="13" spans="1:11">
      <c r="A13" s="1">
        <v>45490</v>
      </c>
      <c r="B13">
        <v>43.15</v>
      </c>
      <c r="C13">
        <f t="shared" si="0"/>
        <v>1.9499999999999957</v>
      </c>
      <c r="D13">
        <f t="shared" si="1"/>
        <v>1.9499999999999957</v>
      </c>
      <c r="E13">
        <f t="shared" si="2"/>
        <v>0</v>
      </c>
    </row>
    <row r="14" spans="1:11">
      <c r="A14" s="1">
        <v>45491</v>
      </c>
      <c r="B14">
        <v>42.39</v>
      </c>
      <c r="C14">
        <f t="shared" si="0"/>
        <v>-0.75999999999999801</v>
      </c>
      <c r="D14">
        <f t="shared" si="1"/>
        <v>0</v>
      </c>
      <c r="E14">
        <f t="shared" si="2"/>
        <v>0.75999999999999801</v>
      </c>
    </row>
    <row r="15" spans="1:11">
      <c r="A15" s="1">
        <v>45492</v>
      </c>
      <c r="B15">
        <v>42.64</v>
      </c>
      <c r="C15">
        <f t="shared" si="0"/>
        <v>0.25</v>
      </c>
      <c r="D15">
        <f t="shared" si="1"/>
        <v>0.25</v>
      </c>
      <c r="E15">
        <f t="shared" si="2"/>
        <v>0</v>
      </c>
    </row>
    <row r="16" spans="1:11">
      <c r="A16" s="1">
        <v>45495</v>
      </c>
      <c r="B16">
        <v>42.67</v>
      </c>
      <c r="C16">
        <f t="shared" si="0"/>
        <v>3.0000000000001137E-2</v>
      </c>
      <c r="D16">
        <f t="shared" si="1"/>
        <v>3.0000000000001137E-2</v>
      </c>
      <c r="E16">
        <f t="shared" si="2"/>
        <v>0</v>
      </c>
      <c r="F16">
        <f>SUM(D3:D16)/14</f>
        <v>0.33857142857142869</v>
      </c>
      <c r="G16">
        <f>SUM(E3:E16)/14</f>
        <v>0.24071428571428552</v>
      </c>
      <c r="H16">
        <f>F16/G16</f>
        <v>1.4065281899109809</v>
      </c>
      <c r="I16">
        <f>IF(H16=0,100,100-(100/(1+H16)))</f>
        <v>58.446362515413099</v>
      </c>
      <c r="J16">
        <f>30</f>
        <v>30</v>
      </c>
      <c r="K16">
        <v>70</v>
      </c>
    </row>
    <row r="17" spans="1:11">
      <c r="A17" s="1">
        <v>45496</v>
      </c>
      <c r="B17">
        <v>42.98</v>
      </c>
      <c r="C17">
        <f t="shared" si="0"/>
        <v>0.30999999999999517</v>
      </c>
      <c r="D17">
        <f t="shared" si="1"/>
        <v>0.30999999999999517</v>
      </c>
      <c r="E17">
        <f t="shared" si="2"/>
        <v>0</v>
      </c>
      <c r="F17">
        <f>((F16*13)+D17)/14</f>
        <v>0.33653061224489772</v>
      </c>
      <c r="G17">
        <f>((G16*13)+E17)/14</f>
        <v>0.22352040816326513</v>
      </c>
      <c r="H17">
        <f t="shared" ref="H17:H80" si="3">F17/G17</f>
        <v>1.5055923305181467</v>
      </c>
      <c r="I17">
        <f t="shared" ref="I17:I80" si="4">IF(H17=0,100,100-(100/(1+H17)))</f>
        <v>60.089277580395375</v>
      </c>
      <c r="J17">
        <f>30</f>
        <v>30</v>
      </c>
      <c r="K17">
        <v>70</v>
      </c>
    </row>
    <row r="18" spans="1:11">
      <c r="A18" s="1">
        <v>45497</v>
      </c>
      <c r="B18">
        <v>44.66</v>
      </c>
      <c r="C18">
        <f t="shared" si="0"/>
        <v>1.6799999999999997</v>
      </c>
      <c r="D18">
        <f t="shared" si="1"/>
        <v>1.6799999999999997</v>
      </c>
      <c r="E18">
        <f t="shared" si="2"/>
        <v>0</v>
      </c>
      <c r="F18">
        <f t="shared" ref="F18:F81" si="5">((F17*13)+D18)/14</f>
        <v>0.43249271137026213</v>
      </c>
      <c r="G18">
        <f t="shared" ref="G18:G81" si="6">((G17*13)+E18)/14</f>
        <v>0.20755466472303191</v>
      </c>
      <c r="H18">
        <f t="shared" si="3"/>
        <v>2.0837532702403738</v>
      </c>
      <c r="I18">
        <f t="shared" si="4"/>
        <v>67.571984125628461</v>
      </c>
      <c r="J18">
        <f>30</f>
        <v>30</v>
      </c>
      <c r="K18">
        <v>70</v>
      </c>
    </row>
    <row r="19" spans="1:11">
      <c r="A19" s="1">
        <v>45498</v>
      </c>
      <c r="B19">
        <v>45.27</v>
      </c>
      <c r="C19">
        <f t="shared" si="0"/>
        <v>0.61000000000000654</v>
      </c>
      <c r="D19">
        <f t="shared" si="1"/>
        <v>0.61000000000000654</v>
      </c>
      <c r="E19">
        <f t="shared" si="2"/>
        <v>0</v>
      </c>
      <c r="F19">
        <f t="shared" si="5"/>
        <v>0.44517180341524387</v>
      </c>
      <c r="G19">
        <f t="shared" si="6"/>
        <v>0.19272933152852964</v>
      </c>
      <c r="H19">
        <f t="shared" si="3"/>
        <v>2.3098290223112472</v>
      </c>
      <c r="I19">
        <f t="shared" si="4"/>
        <v>69.786958986126052</v>
      </c>
      <c r="J19">
        <f>30</f>
        <v>30</v>
      </c>
      <c r="K19">
        <v>70</v>
      </c>
    </row>
    <row r="20" spans="1:11">
      <c r="A20" s="1">
        <v>45499</v>
      </c>
      <c r="B20">
        <v>50.45</v>
      </c>
      <c r="C20">
        <f t="shared" si="0"/>
        <v>5.18</v>
      </c>
      <c r="D20">
        <f t="shared" si="1"/>
        <v>5.18</v>
      </c>
      <c r="E20">
        <f t="shared" si="2"/>
        <v>0</v>
      </c>
      <c r="F20">
        <f t="shared" si="5"/>
        <v>0.78337381745701218</v>
      </c>
      <c r="G20">
        <f t="shared" si="6"/>
        <v>0.17896295070506324</v>
      </c>
      <c r="H20">
        <f t="shared" si="3"/>
        <v>4.377296051337674</v>
      </c>
      <c r="I20">
        <f t="shared" si="4"/>
        <v>81.403292836159977</v>
      </c>
      <c r="J20">
        <f>30</f>
        <v>30</v>
      </c>
      <c r="K20">
        <v>70</v>
      </c>
    </row>
    <row r="21" spans="1:11">
      <c r="A21" s="1">
        <v>45502</v>
      </c>
      <c r="B21">
        <v>48.98</v>
      </c>
      <c r="C21">
        <f t="shared" si="0"/>
        <v>-1.470000000000006</v>
      </c>
      <c r="D21">
        <f t="shared" si="1"/>
        <v>0</v>
      </c>
      <c r="E21">
        <f t="shared" si="2"/>
        <v>1.470000000000006</v>
      </c>
      <c r="F21">
        <f t="shared" si="5"/>
        <v>0.72741854478151136</v>
      </c>
      <c r="G21">
        <f t="shared" si="6"/>
        <v>0.27117988279755917</v>
      </c>
      <c r="H21">
        <f t="shared" si="3"/>
        <v>2.682420750673983</v>
      </c>
      <c r="I21">
        <f t="shared" si="4"/>
        <v>72.843950550273945</v>
      </c>
      <c r="J21">
        <f>30</f>
        <v>30</v>
      </c>
      <c r="K21">
        <v>70</v>
      </c>
    </row>
    <row r="22" spans="1:11">
      <c r="A22" s="1">
        <v>45503</v>
      </c>
      <c r="B22">
        <v>49.05</v>
      </c>
      <c r="C22">
        <f t="shared" si="0"/>
        <v>7.0000000000000284E-2</v>
      </c>
      <c r="D22">
        <f t="shared" si="1"/>
        <v>7.0000000000000284E-2</v>
      </c>
      <c r="E22">
        <f t="shared" si="2"/>
        <v>0</v>
      </c>
      <c r="F22">
        <f t="shared" si="5"/>
        <v>0.68046007729711777</v>
      </c>
      <c r="G22">
        <f t="shared" si="6"/>
        <v>0.25180989116916208</v>
      </c>
      <c r="H22">
        <f t="shared" si="3"/>
        <v>2.7022770000722289</v>
      </c>
      <c r="I22">
        <f t="shared" si="4"/>
        <v>72.98959532254095</v>
      </c>
      <c r="J22">
        <f>30</f>
        <v>30</v>
      </c>
      <c r="K22">
        <v>70</v>
      </c>
    </row>
    <row r="23" spans="1:11">
      <c r="A23" s="1">
        <v>45504</v>
      </c>
      <c r="B23">
        <v>47.56</v>
      </c>
      <c r="C23">
        <f t="shared" si="0"/>
        <v>-1.4899999999999949</v>
      </c>
      <c r="D23">
        <f t="shared" si="1"/>
        <v>0</v>
      </c>
      <c r="E23">
        <f t="shared" si="2"/>
        <v>1.4899999999999949</v>
      </c>
      <c r="F23">
        <f t="shared" si="5"/>
        <v>0.63185578606160941</v>
      </c>
      <c r="G23">
        <f t="shared" si="6"/>
        <v>0.3402520417999359</v>
      </c>
      <c r="H23">
        <f t="shared" si="3"/>
        <v>1.8570227608895085</v>
      </c>
      <c r="I23">
        <f t="shared" si="4"/>
        <v>64.998528759054793</v>
      </c>
      <c r="J23">
        <f>30</f>
        <v>30</v>
      </c>
      <c r="K23">
        <v>70</v>
      </c>
    </row>
    <row r="24" spans="1:11">
      <c r="A24" s="1">
        <v>45505</v>
      </c>
      <c r="B24">
        <v>48.17</v>
      </c>
      <c r="C24">
        <f t="shared" si="0"/>
        <v>0.60999999999999943</v>
      </c>
      <c r="D24">
        <f t="shared" si="1"/>
        <v>0.60999999999999943</v>
      </c>
      <c r="E24">
        <f t="shared" si="2"/>
        <v>0</v>
      </c>
      <c r="F24">
        <f t="shared" si="5"/>
        <v>0.63029465848578015</v>
      </c>
      <c r="G24">
        <f t="shared" si="6"/>
        <v>0.3159483245285119</v>
      </c>
      <c r="H24">
        <f t="shared" si="3"/>
        <v>1.9949295804190945</v>
      </c>
      <c r="I24">
        <f t="shared" si="4"/>
        <v>66.610233291025651</v>
      </c>
      <c r="J24">
        <f>30</f>
        <v>30</v>
      </c>
      <c r="K24">
        <v>70</v>
      </c>
    </row>
    <row r="25" spans="1:11">
      <c r="A25" s="1">
        <v>45506</v>
      </c>
      <c r="B25">
        <v>48.77</v>
      </c>
      <c r="C25">
        <f t="shared" si="0"/>
        <v>0.60000000000000142</v>
      </c>
      <c r="D25">
        <f t="shared" si="1"/>
        <v>0.60000000000000142</v>
      </c>
      <c r="E25">
        <f t="shared" si="2"/>
        <v>0</v>
      </c>
      <c r="F25">
        <f t="shared" si="5"/>
        <v>0.62813075430822451</v>
      </c>
      <c r="G25">
        <f t="shared" si="6"/>
        <v>0.29338058706218961</v>
      </c>
      <c r="H25">
        <f t="shared" si="3"/>
        <v>2.1410099441074331</v>
      </c>
      <c r="I25">
        <f t="shared" si="4"/>
        <v>68.163106204868583</v>
      </c>
      <c r="J25">
        <f>30</f>
        <v>30</v>
      </c>
      <c r="K25">
        <v>70</v>
      </c>
    </row>
    <row r="26" spans="1:11">
      <c r="A26" s="1">
        <v>45509</v>
      </c>
      <c r="B26">
        <v>47.59</v>
      </c>
      <c r="C26">
        <f t="shared" si="0"/>
        <v>-1.1799999999999997</v>
      </c>
      <c r="D26">
        <f t="shared" si="1"/>
        <v>0</v>
      </c>
      <c r="E26">
        <f t="shared" si="2"/>
        <v>1.1799999999999997</v>
      </c>
      <c r="F26">
        <f t="shared" si="5"/>
        <v>0.58326427185763696</v>
      </c>
      <c r="G26">
        <f t="shared" si="6"/>
        <v>0.35671054512917605</v>
      </c>
      <c r="H26">
        <f t="shared" si="3"/>
        <v>1.6351192299246964</v>
      </c>
      <c r="I26">
        <f t="shared" si="4"/>
        <v>62.051052998137891</v>
      </c>
      <c r="J26">
        <f>30</f>
        <v>30</v>
      </c>
      <c r="K26">
        <v>70</v>
      </c>
    </row>
    <row r="27" spans="1:11">
      <c r="A27" s="1">
        <v>45510</v>
      </c>
      <c r="B27">
        <v>47.31</v>
      </c>
      <c r="C27">
        <f t="shared" si="0"/>
        <v>-0.28000000000000114</v>
      </c>
      <c r="D27">
        <f t="shared" si="1"/>
        <v>0</v>
      </c>
      <c r="E27">
        <f t="shared" si="2"/>
        <v>0.28000000000000114</v>
      </c>
      <c r="F27">
        <f t="shared" si="5"/>
        <v>0.54160253815352</v>
      </c>
      <c r="G27">
        <f t="shared" si="6"/>
        <v>0.3512312204770921</v>
      </c>
      <c r="H27">
        <f t="shared" si="3"/>
        <v>1.5420113776270759</v>
      </c>
      <c r="I27">
        <f t="shared" si="4"/>
        <v>60.661073006939766</v>
      </c>
      <c r="J27">
        <f>30</f>
        <v>30</v>
      </c>
      <c r="K27">
        <v>70</v>
      </c>
    </row>
    <row r="28" spans="1:11">
      <c r="A28" s="1">
        <v>45511</v>
      </c>
      <c r="B28">
        <v>46.5</v>
      </c>
      <c r="C28">
        <f t="shared" si="0"/>
        <v>-0.81000000000000227</v>
      </c>
      <c r="D28">
        <f t="shared" si="1"/>
        <v>0</v>
      </c>
      <c r="E28">
        <f t="shared" si="2"/>
        <v>0.81000000000000227</v>
      </c>
      <c r="F28">
        <f t="shared" si="5"/>
        <v>0.50291664257112567</v>
      </c>
      <c r="G28">
        <f t="shared" si="6"/>
        <v>0.38400041901444287</v>
      </c>
      <c r="H28">
        <f t="shared" si="3"/>
        <v>1.3096773275974216</v>
      </c>
      <c r="I28">
        <f t="shared" si="4"/>
        <v>56.703908894485167</v>
      </c>
      <c r="J28">
        <f>30</f>
        <v>30</v>
      </c>
      <c r="K28">
        <v>70</v>
      </c>
    </row>
    <row r="29" spans="1:11">
      <c r="A29" s="1">
        <v>45512</v>
      </c>
      <c r="B29">
        <v>46.85</v>
      </c>
      <c r="C29">
        <f t="shared" si="0"/>
        <v>0.35000000000000142</v>
      </c>
      <c r="D29">
        <f t="shared" si="1"/>
        <v>0.35000000000000142</v>
      </c>
      <c r="E29">
        <f t="shared" si="2"/>
        <v>0</v>
      </c>
      <c r="F29">
        <f t="shared" si="5"/>
        <v>0.49199402524461677</v>
      </c>
      <c r="G29">
        <f t="shared" si="6"/>
        <v>0.35657181765626839</v>
      </c>
      <c r="H29">
        <f t="shared" si="3"/>
        <v>1.3797894305794351</v>
      </c>
      <c r="I29">
        <f t="shared" si="4"/>
        <v>57.979475530466644</v>
      </c>
      <c r="J29">
        <f>30</f>
        <v>30</v>
      </c>
      <c r="K29">
        <v>70</v>
      </c>
    </row>
    <row r="30" spans="1:11">
      <c r="A30" s="1">
        <v>45513</v>
      </c>
      <c r="B30">
        <v>46.72</v>
      </c>
      <c r="C30">
        <f t="shared" si="0"/>
        <v>-0.13000000000000256</v>
      </c>
      <c r="D30">
        <f t="shared" si="1"/>
        <v>0</v>
      </c>
      <c r="E30">
        <f t="shared" si="2"/>
        <v>0.13000000000000256</v>
      </c>
      <c r="F30">
        <f t="shared" si="5"/>
        <v>0.45685159487000127</v>
      </c>
      <c r="G30">
        <f t="shared" si="6"/>
        <v>0.34038811639510652</v>
      </c>
      <c r="H30">
        <f t="shared" si="3"/>
        <v>1.3421490729708949</v>
      </c>
      <c r="I30">
        <f t="shared" si="4"/>
        <v>57.304169425409306</v>
      </c>
      <c r="J30">
        <f>30</f>
        <v>30</v>
      </c>
      <c r="K30">
        <v>70</v>
      </c>
    </row>
    <row r="31" spans="1:11">
      <c r="A31" s="1">
        <v>45516</v>
      </c>
      <c r="B31">
        <v>47.06</v>
      </c>
      <c r="C31">
        <f t="shared" si="0"/>
        <v>0.34000000000000341</v>
      </c>
      <c r="D31">
        <f t="shared" si="1"/>
        <v>0.34000000000000341</v>
      </c>
      <c r="E31">
        <f t="shared" si="2"/>
        <v>0</v>
      </c>
      <c r="F31">
        <f t="shared" si="5"/>
        <v>0.44850505237928712</v>
      </c>
      <c r="G31">
        <f t="shared" si="6"/>
        <v>0.31607467950974177</v>
      </c>
      <c r="H31">
        <f t="shared" si="3"/>
        <v>1.4189844408763015</v>
      </c>
      <c r="I31">
        <f t="shared" si="4"/>
        <v>58.660337656502669</v>
      </c>
      <c r="J31">
        <f>30</f>
        <v>30</v>
      </c>
      <c r="K31">
        <v>70</v>
      </c>
    </row>
    <row r="32" spans="1:11">
      <c r="A32" s="1">
        <v>45517</v>
      </c>
      <c r="B32">
        <v>49.06</v>
      </c>
      <c r="C32">
        <f t="shared" si="0"/>
        <v>2</v>
      </c>
      <c r="D32">
        <f t="shared" si="1"/>
        <v>2</v>
      </c>
      <c r="E32">
        <f t="shared" si="2"/>
        <v>0</v>
      </c>
      <c r="F32">
        <f t="shared" si="5"/>
        <v>0.55932612006648086</v>
      </c>
      <c r="G32">
        <f t="shared" si="6"/>
        <v>0.29349791668761732</v>
      </c>
      <c r="H32">
        <f t="shared" si="3"/>
        <v>1.9057243280598688</v>
      </c>
      <c r="I32">
        <f t="shared" si="4"/>
        <v>65.585173020604714</v>
      </c>
      <c r="J32">
        <f>30</f>
        <v>30</v>
      </c>
      <c r="K32">
        <v>70</v>
      </c>
    </row>
    <row r="33" spans="1:11">
      <c r="A33" s="1">
        <v>45518</v>
      </c>
      <c r="B33">
        <v>48.41</v>
      </c>
      <c r="C33">
        <f t="shared" si="0"/>
        <v>-0.65000000000000568</v>
      </c>
      <c r="D33">
        <f t="shared" si="1"/>
        <v>0</v>
      </c>
      <c r="E33">
        <f t="shared" si="2"/>
        <v>0.65000000000000568</v>
      </c>
      <c r="F33">
        <f t="shared" si="5"/>
        <v>0.51937425434744655</v>
      </c>
      <c r="G33">
        <f t="shared" si="6"/>
        <v>0.31896235120993083</v>
      </c>
      <c r="H33">
        <f t="shared" si="3"/>
        <v>1.6283246357361185</v>
      </c>
      <c r="I33">
        <f t="shared" si="4"/>
        <v>61.95294955564237</v>
      </c>
      <c r="J33">
        <f>30</f>
        <v>30</v>
      </c>
      <c r="K33">
        <v>70</v>
      </c>
    </row>
    <row r="34" spans="1:11">
      <c r="A34" s="1">
        <v>45519</v>
      </c>
      <c r="B34">
        <v>49.11</v>
      </c>
      <c r="C34">
        <f t="shared" si="0"/>
        <v>0.70000000000000284</v>
      </c>
      <c r="D34">
        <f t="shared" si="1"/>
        <v>0.70000000000000284</v>
      </c>
      <c r="E34">
        <f t="shared" si="2"/>
        <v>0</v>
      </c>
      <c r="F34">
        <f t="shared" si="5"/>
        <v>0.53227609332262915</v>
      </c>
      <c r="G34">
        <f t="shared" si="6"/>
        <v>0.29617932612350722</v>
      </c>
      <c r="H34">
        <f t="shared" si="3"/>
        <v>1.79714128021437</v>
      </c>
      <c r="I34">
        <f t="shared" si="4"/>
        <v>64.249213757148482</v>
      </c>
      <c r="J34">
        <f>30</f>
        <v>30</v>
      </c>
      <c r="K34">
        <v>70</v>
      </c>
    </row>
    <row r="35" spans="1:11">
      <c r="A35" s="1">
        <v>45520</v>
      </c>
      <c r="B35">
        <v>49.36</v>
      </c>
      <c r="C35">
        <f t="shared" si="0"/>
        <v>0.25</v>
      </c>
      <c r="D35">
        <f t="shared" si="1"/>
        <v>0.25</v>
      </c>
      <c r="E35">
        <f t="shared" si="2"/>
        <v>0</v>
      </c>
      <c r="F35">
        <f t="shared" si="5"/>
        <v>0.51211351522815562</v>
      </c>
      <c r="G35">
        <f t="shared" si="6"/>
        <v>0.27502365997182815</v>
      </c>
      <c r="H35">
        <f t="shared" si="3"/>
        <v>1.8620707588598508</v>
      </c>
      <c r="I35">
        <f t="shared" si="4"/>
        <v>65.060262856730873</v>
      </c>
      <c r="J35">
        <f>30</f>
        <v>30</v>
      </c>
      <c r="K35">
        <v>70</v>
      </c>
    </row>
    <row r="36" spans="1:11">
      <c r="A36" s="1">
        <v>45523</v>
      </c>
      <c r="B36">
        <v>49.3</v>
      </c>
      <c r="C36">
        <f t="shared" si="0"/>
        <v>-6.0000000000002274E-2</v>
      </c>
      <c r="D36">
        <f t="shared" si="1"/>
        <v>0</v>
      </c>
      <c r="E36">
        <f t="shared" si="2"/>
        <v>6.0000000000002274E-2</v>
      </c>
      <c r="F36">
        <f t="shared" si="5"/>
        <v>0.47553397842614453</v>
      </c>
      <c r="G36">
        <f t="shared" si="6"/>
        <v>0.25966482711669775</v>
      </c>
      <c r="H36">
        <f t="shared" si="3"/>
        <v>1.8313376659690284</v>
      </c>
      <c r="I36">
        <f t="shared" si="4"/>
        <v>64.68100530645296</v>
      </c>
      <c r="J36">
        <f>30</f>
        <v>30</v>
      </c>
      <c r="K36">
        <v>70</v>
      </c>
    </row>
    <row r="37" spans="1:11">
      <c r="A37" s="1">
        <v>45524</v>
      </c>
      <c r="B37">
        <v>48.98</v>
      </c>
      <c r="C37">
        <f t="shared" si="0"/>
        <v>-0.32000000000000028</v>
      </c>
      <c r="D37">
        <f t="shared" si="1"/>
        <v>0</v>
      </c>
      <c r="E37">
        <f t="shared" si="2"/>
        <v>0.32000000000000028</v>
      </c>
      <c r="F37">
        <f t="shared" si="5"/>
        <v>0.44156726568141991</v>
      </c>
      <c r="G37">
        <f t="shared" si="6"/>
        <v>0.26397448232264792</v>
      </c>
      <c r="H37">
        <f t="shared" si="3"/>
        <v>1.6727649649927365</v>
      </c>
      <c r="I37">
        <f t="shared" si="4"/>
        <v>62.585561652529456</v>
      </c>
      <c r="J37">
        <f>30</f>
        <v>30</v>
      </c>
      <c r="K37">
        <v>70</v>
      </c>
    </row>
    <row r="38" spans="1:11">
      <c r="A38" s="1">
        <v>45525</v>
      </c>
      <c r="B38">
        <v>48.44</v>
      </c>
      <c r="C38">
        <f t="shared" si="0"/>
        <v>-0.53999999999999915</v>
      </c>
      <c r="D38">
        <f t="shared" si="1"/>
        <v>0</v>
      </c>
      <c r="E38">
        <f t="shared" si="2"/>
        <v>0.53999999999999915</v>
      </c>
      <c r="F38">
        <f t="shared" si="5"/>
        <v>0.4100267467041756</v>
      </c>
      <c r="G38">
        <f t="shared" si="6"/>
        <v>0.28369059072817299</v>
      </c>
      <c r="H38">
        <f t="shared" si="3"/>
        <v>1.4453307938473559</v>
      </c>
      <c r="I38">
        <f t="shared" si="4"/>
        <v>59.105737247652613</v>
      </c>
      <c r="J38">
        <f>30</f>
        <v>30</v>
      </c>
      <c r="K38">
        <v>70</v>
      </c>
    </row>
    <row r="39" spans="1:11">
      <c r="A39" s="1">
        <v>45526</v>
      </c>
      <c r="B39">
        <v>47.62</v>
      </c>
      <c r="C39">
        <f t="shared" si="0"/>
        <v>-0.82000000000000028</v>
      </c>
      <c r="D39">
        <f t="shared" si="1"/>
        <v>0</v>
      </c>
      <c r="E39">
        <f t="shared" si="2"/>
        <v>0.82000000000000028</v>
      </c>
      <c r="F39">
        <f t="shared" si="5"/>
        <v>0.38073912193959164</v>
      </c>
      <c r="G39">
        <f t="shared" si="6"/>
        <v>0.32199840567616062</v>
      </c>
      <c r="H39">
        <f t="shared" si="3"/>
        <v>1.1824254879153271</v>
      </c>
      <c r="I39">
        <f t="shared" si="4"/>
        <v>54.179420762025224</v>
      </c>
      <c r="J39">
        <f>30</f>
        <v>30</v>
      </c>
      <c r="K39">
        <v>70</v>
      </c>
    </row>
    <row r="40" spans="1:11">
      <c r="A40" s="1">
        <v>45527</v>
      </c>
      <c r="B40">
        <v>48.11</v>
      </c>
      <c r="C40">
        <f t="shared" si="0"/>
        <v>0.49000000000000199</v>
      </c>
      <c r="D40">
        <f t="shared" si="1"/>
        <v>0.49000000000000199</v>
      </c>
      <c r="E40">
        <f t="shared" si="2"/>
        <v>0</v>
      </c>
      <c r="F40">
        <f t="shared" si="5"/>
        <v>0.38854347037247811</v>
      </c>
      <c r="G40">
        <f t="shared" si="6"/>
        <v>0.29899851955643486</v>
      </c>
      <c r="H40">
        <f t="shared" si="3"/>
        <v>1.299482923691005</v>
      </c>
      <c r="I40">
        <f t="shared" si="4"/>
        <v>56.51196233304249</v>
      </c>
      <c r="J40">
        <f>30</f>
        <v>30</v>
      </c>
      <c r="K40">
        <v>70</v>
      </c>
    </row>
    <row r="41" spans="1:11">
      <c r="A41" s="1">
        <v>45530</v>
      </c>
      <c r="B41">
        <v>48.24</v>
      </c>
      <c r="C41">
        <f t="shared" si="0"/>
        <v>0.13000000000000256</v>
      </c>
      <c r="D41">
        <f t="shared" si="1"/>
        <v>0.13000000000000256</v>
      </c>
      <c r="E41">
        <f t="shared" si="2"/>
        <v>0</v>
      </c>
      <c r="F41">
        <f t="shared" si="5"/>
        <v>0.37007607963158701</v>
      </c>
      <c r="G41">
        <f t="shared" si="6"/>
        <v>0.27764148244526093</v>
      </c>
      <c r="H41">
        <f t="shared" si="3"/>
        <v>1.3329279053411993</v>
      </c>
      <c r="I41">
        <f t="shared" si="4"/>
        <v>57.135409212152808</v>
      </c>
      <c r="J41">
        <f>30</f>
        <v>30</v>
      </c>
      <c r="K41">
        <v>70</v>
      </c>
    </row>
    <row r="42" spans="1:11">
      <c r="A42" s="1">
        <v>45531</v>
      </c>
      <c r="B42">
        <v>48.12</v>
      </c>
      <c r="C42">
        <f t="shared" si="0"/>
        <v>-0.12000000000000455</v>
      </c>
      <c r="D42">
        <f t="shared" si="1"/>
        <v>0</v>
      </c>
      <c r="E42">
        <f t="shared" si="2"/>
        <v>0.12000000000000455</v>
      </c>
      <c r="F42">
        <f t="shared" si="5"/>
        <v>0.34364207394361651</v>
      </c>
      <c r="G42">
        <f t="shared" si="6"/>
        <v>0.26638137655631405</v>
      </c>
      <c r="H42">
        <f t="shared" si="3"/>
        <v>1.2900379087536145</v>
      </c>
      <c r="I42">
        <f t="shared" si="4"/>
        <v>56.332600601172402</v>
      </c>
      <c r="J42">
        <f>30</f>
        <v>30</v>
      </c>
      <c r="K42">
        <v>70</v>
      </c>
    </row>
    <row r="43" spans="1:11">
      <c r="A43" s="1">
        <v>45532</v>
      </c>
      <c r="B43">
        <v>49.06</v>
      </c>
      <c r="C43">
        <f t="shared" si="0"/>
        <v>0.94000000000000483</v>
      </c>
      <c r="D43">
        <f t="shared" si="1"/>
        <v>0.94000000000000483</v>
      </c>
      <c r="E43">
        <f t="shared" si="2"/>
        <v>0</v>
      </c>
      <c r="F43">
        <f t="shared" si="5"/>
        <v>0.38623906866192997</v>
      </c>
      <c r="G43">
        <f t="shared" si="6"/>
        <v>0.24735413537372017</v>
      </c>
      <c r="H43">
        <f t="shared" si="3"/>
        <v>1.5614821562549281</v>
      </c>
      <c r="I43">
        <f t="shared" si="4"/>
        <v>60.960102823356294</v>
      </c>
      <c r="J43">
        <f>30</f>
        <v>30</v>
      </c>
      <c r="K43">
        <v>70</v>
      </c>
    </row>
    <row r="44" spans="1:11">
      <c r="A44" s="1">
        <v>45533</v>
      </c>
      <c r="B44">
        <v>49.72</v>
      </c>
      <c r="C44">
        <f t="shared" si="0"/>
        <v>0.65999999999999659</v>
      </c>
      <c r="D44">
        <f t="shared" si="1"/>
        <v>0.65999999999999659</v>
      </c>
      <c r="E44">
        <f t="shared" si="2"/>
        <v>0</v>
      </c>
      <c r="F44">
        <f t="shared" si="5"/>
        <v>0.40579342090036336</v>
      </c>
      <c r="G44">
        <f t="shared" si="6"/>
        <v>0.22968598284702588</v>
      </c>
      <c r="H44">
        <f t="shared" si="3"/>
        <v>1.7667313253966723</v>
      </c>
      <c r="I44">
        <f t="shared" si="4"/>
        <v>63.856266388402283</v>
      </c>
      <c r="J44">
        <f>30</f>
        <v>30</v>
      </c>
      <c r="K44">
        <v>70</v>
      </c>
    </row>
    <row r="45" spans="1:11">
      <c r="A45" s="1">
        <v>45534</v>
      </c>
      <c r="B45">
        <v>49.95</v>
      </c>
      <c r="C45">
        <f t="shared" si="0"/>
        <v>0.23000000000000398</v>
      </c>
      <c r="D45">
        <f t="shared" si="1"/>
        <v>0.23000000000000398</v>
      </c>
      <c r="E45">
        <f t="shared" si="2"/>
        <v>0</v>
      </c>
      <c r="F45">
        <f t="shared" si="5"/>
        <v>0.39323674797890912</v>
      </c>
      <c r="G45">
        <f t="shared" si="6"/>
        <v>0.21327984121509544</v>
      </c>
      <c r="H45">
        <f t="shared" si="3"/>
        <v>1.8437595683612913</v>
      </c>
      <c r="I45">
        <f t="shared" si="4"/>
        <v>64.835283153834013</v>
      </c>
      <c r="J45">
        <f>30</f>
        <v>30</v>
      </c>
      <c r="K45">
        <v>70</v>
      </c>
    </row>
    <row r="46" spans="1:11">
      <c r="A46" s="1">
        <v>45538</v>
      </c>
      <c r="B46">
        <v>50.52</v>
      </c>
      <c r="C46">
        <f t="shared" si="0"/>
        <v>0.57000000000000028</v>
      </c>
      <c r="D46">
        <f t="shared" si="1"/>
        <v>0.57000000000000028</v>
      </c>
      <c r="E46">
        <f t="shared" si="2"/>
        <v>0</v>
      </c>
      <c r="F46">
        <f t="shared" si="5"/>
        <v>0.40586269455184415</v>
      </c>
      <c r="G46">
        <f t="shared" si="6"/>
        <v>0.19804556684258862</v>
      </c>
      <c r="H46">
        <f t="shared" si="3"/>
        <v>2.0493399626280633</v>
      </c>
      <c r="I46">
        <f t="shared" si="4"/>
        <v>67.206017949597424</v>
      </c>
      <c r="J46">
        <f>30</f>
        <v>30</v>
      </c>
      <c r="K46">
        <v>70</v>
      </c>
    </row>
    <row r="47" spans="1:11">
      <c r="A47" s="1">
        <v>45539</v>
      </c>
      <c r="B47">
        <v>49.96</v>
      </c>
      <c r="C47">
        <f t="shared" si="0"/>
        <v>-0.56000000000000227</v>
      </c>
      <c r="D47">
        <f t="shared" si="1"/>
        <v>0</v>
      </c>
      <c r="E47">
        <f t="shared" si="2"/>
        <v>0.56000000000000227</v>
      </c>
      <c r="F47">
        <f t="shared" si="5"/>
        <v>0.37687250208385531</v>
      </c>
      <c r="G47">
        <f t="shared" si="6"/>
        <v>0.22389945492526103</v>
      </c>
      <c r="H47">
        <f t="shared" si="3"/>
        <v>1.6832220614813804</v>
      </c>
      <c r="I47">
        <f t="shared" si="4"/>
        <v>62.731373807805163</v>
      </c>
      <c r="J47">
        <f>30</f>
        <v>30</v>
      </c>
      <c r="K47">
        <v>70</v>
      </c>
    </row>
    <row r="48" spans="1:11">
      <c r="A48" s="1">
        <v>45540</v>
      </c>
      <c r="B48">
        <v>49.8</v>
      </c>
      <c r="C48">
        <f t="shared" si="0"/>
        <v>-0.16000000000000369</v>
      </c>
      <c r="D48">
        <f t="shared" si="1"/>
        <v>0</v>
      </c>
      <c r="E48">
        <f t="shared" si="2"/>
        <v>0.16000000000000369</v>
      </c>
      <c r="F48">
        <f t="shared" si="5"/>
        <v>0.3499530376492942</v>
      </c>
      <c r="G48">
        <f t="shared" si="6"/>
        <v>0.21933520814488552</v>
      </c>
      <c r="H48">
        <f t="shared" si="3"/>
        <v>1.5955169286735165</v>
      </c>
      <c r="I48">
        <f t="shared" si="4"/>
        <v>61.472029369075734</v>
      </c>
      <c r="J48">
        <f>30</f>
        <v>30</v>
      </c>
      <c r="K48">
        <v>70</v>
      </c>
    </row>
    <row r="49" spans="1:11">
      <c r="A49" s="1">
        <v>45541</v>
      </c>
      <c r="B49">
        <v>48.7</v>
      </c>
      <c r="C49">
        <f t="shared" si="0"/>
        <v>-1.0999999999999943</v>
      </c>
      <c r="D49">
        <f t="shared" si="1"/>
        <v>0</v>
      </c>
      <c r="E49">
        <f t="shared" si="2"/>
        <v>1.0999999999999943</v>
      </c>
      <c r="F49">
        <f t="shared" si="5"/>
        <v>0.32495639210291605</v>
      </c>
      <c r="G49">
        <f t="shared" si="6"/>
        <v>0.28223983613453613</v>
      </c>
      <c r="H49">
        <f t="shared" si="3"/>
        <v>1.1513484295959486</v>
      </c>
      <c r="I49">
        <f t="shared" si="4"/>
        <v>53.517524811738049</v>
      </c>
      <c r="J49">
        <f>30</f>
        <v>30</v>
      </c>
      <c r="K49">
        <v>70</v>
      </c>
    </row>
    <row r="50" spans="1:11">
      <c r="A50" s="1">
        <v>45544</v>
      </c>
      <c r="B50">
        <v>48.5</v>
      </c>
      <c r="C50">
        <f t="shared" si="0"/>
        <v>-0.20000000000000284</v>
      </c>
      <c r="D50">
        <f t="shared" si="1"/>
        <v>0</v>
      </c>
      <c r="E50">
        <f t="shared" si="2"/>
        <v>0.20000000000000284</v>
      </c>
      <c r="F50">
        <f t="shared" si="5"/>
        <v>0.30174522123842207</v>
      </c>
      <c r="G50">
        <f t="shared" si="6"/>
        <v>0.27636556212492663</v>
      </c>
      <c r="H50">
        <f t="shared" si="3"/>
        <v>1.0918336529282291</v>
      </c>
      <c r="I50">
        <f t="shared" si="4"/>
        <v>52.195051523329226</v>
      </c>
      <c r="J50">
        <f>30</f>
        <v>30</v>
      </c>
      <c r="K50">
        <v>70</v>
      </c>
    </row>
    <row r="51" spans="1:11">
      <c r="A51" s="1">
        <v>45545</v>
      </c>
      <c r="B51">
        <v>49.28</v>
      </c>
      <c r="C51">
        <f t="shared" si="0"/>
        <v>0.78000000000000114</v>
      </c>
      <c r="D51">
        <f t="shared" si="1"/>
        <v>0.78000000000000114</v>
      </c>
      <c r="E51">
        <f t="shared" si="2"/>
        <v>0</v>
      </c>
      <c r="F51">
        <f t="shared" si="5"/>
        <v>0.33590627686424918</v>
      </c>
      <c r="G51">
        <f t="shared" si="6"/>
        <v>0.25662516483028902</v>
      </c>
      <c r="H51">
        <f t="shared" si="3"/>
        <v>1.3089374032604721</v>
      </c>
      <c r="I51">
        <f t="shared" si="4"/>
        <v>56.690034186812923</v>
      </c>
      <c r="J51">
        <f>30</f>
        <v>30</v>
      </c>
      <c r="K51">
        <v>70</v>
      </c>
    </row>
    <row r="52" spans="1:11">
      <c r="A52" s="1">
        <v>45546</v>
      </c>
      <c r="B52">
        <v>48.59</v>
      </c>
      <c r="C52">
        <f t="shared" si="0"/>
        <v>-0.68999999999999773</v>
      </c>
      <c r="D52">
        <f t="shared" si="1"/>
        <v>0</v>
      </c>
      <c r="E52">
        <f t="shared" si="2"/>
        <v>0.68999999999999773</v>
      </c>
      <c r="F52">
        <f t="shared" si="5"/>
        <v>0.31191297137394569</v>
      </c>
      <c r="G52">
        <f t="shared" si="6"/>
        <v>0.28758051019955388</v>
      </c>
      <c r="H52">
        <f t="shared" si="3"/>
        <v>1.0846109534944053</v>
      </c>
      <c r="I52">
        <f t="shared" si="4"/>
        <v>52.029418327495904</v>
      </c>
      <c r="J52">
        <f>30</f>
        <v>30</v>
      </c>
      <c r="K52">
        <v>70</v>
      </c>
    </row>
    <row r="53" spans="1:11">
      <c r="A53" s="1">
        <v>45547</v>
      </c>
      <c r="B53">
        <v>48.24</v>
      </c>
      <c r="C53">
        <f t="shared" si="0"/>
        <v>-0.35000000000000142</v>
      </c>
      <c r="D53">
        <f t="shared" si="1"/>
        <v>0</v>
      </c>
      <c r="E53">
        <f t="shared" si="2"/>
        <v>0.35000000000000142</v>
      </c>
      <c r="F53">
        <f t="shared" si="5"/>
        <v>0.28963347341866391</v>
      </c>
      <c r="G53">
        <f t="shared" si="6"/>
        <v>0.29203904518530016</v>
      </c>
      <c r="H53">
        <f t="shared" si="3"/>
        <v>0.99176284196823783</v>
      </c>
      <c r="I53">
        <f t="shared" si="4"/>
        <v>49.793219406994702</v>
      </c>
      <c r="J53">
        <f>30</f>
        <v>30</v>
      </c>
      <c r="K53">
        <v>70</v>
      </c>
    </row>
    <row r="54" spans="1:11">
      <c r="A54" s="1">
        <v>45548</v>
      </c>
      <c r="B54">
        <v>49.13</v>
      </c>
      <c r="C54">
        <f t="shared" si="0"/>
        <v>0.89000000000000057</v>
      </c>
      <c r="D54">
        <f t="shared" si="1"/>
        <v>0.89000000000000057</v>
      </c>
      <c r="E54">
        <f t="shared" si="2"/>
        <v>0</v>
      </c>
      <c r="F54">
        <f t="shared" si="5"/>
        <v>0.33251679674590223</v>
      </c>
      <c r="G54">
        <f t="shared" si="6"/>
        <v>0.27117911338635015</v>
      </c>
      <c r="H54">
        <f t="shared" si="3"/>
        <v>1.2261888188717691</v>
      </c>
      <c r="I54">
        <f t="shared" si="4"/>
        <v>55.080180462553969</v>
      </c>
      <c r="J54">
        <f>30</f>
        <v>30</v>
      </c>
      <c r="K54">
        <v>70</v>
      </c>
    </row>
    <row r="55" spans="1:11">
      <c r="A55" s="1">
        <v>45551</v>
      </c>
      <c r="B55">
        <v>49.99</v>
      </c>
      <c r="C55">
        <f t="shared" si="0"/>
        <v>0.85999999999999943</v>
      </c>
      <c r="D55">
        <f t="shared" si="1"/>
        <v>0.85999999999999943</v>
      </c>
      <c r="E55">
        <f t="shared" si="2"/>
        <v>0</v>
      </c>
      <c r="F55">
        <f t="shared" si="5"/>
        <v>0.37019416840690916</v>
      </c>
      <c r="G55">
        <f t="shared" si="6"/>
        <v>0.25180917671589659</v>
      </c>
      <c r="H55">
        <f t="shared" si="3"/>
        <v>1.4701377179139914</v>
      </c>
      <c r="I55">
        <f t="shared" si="4"/>
        <v>59.516427252303536</v>
      </c>
      <c r="J55">
        <f>30</f>
        <v>30</v>
      </c>
      <c r="K55">
        <v>70</v>
      </c>
    </row>
    <row r="56" spans="1:11">
      <c r="A56" s="1">
        <v>45552</v>
      </c>
      <c r="B56">
        <v>49.49</v>
      </c>
      <c r="C56">
        <f t="shared" si="0"/>
        <v>-0.5</v>
      </c>
      <c r="D56">
        <f t="shared" si="1"/>
        <v>0</v>
      </c>
      <c r="E56">
        <f t="shared" si="2"/>
        <v>0.5</v>
      </c>
      <c r="F56">
        <f t="shared" si="5"/>
        <v>0.34375172780641566</v>
      </c>
      <c r="G56">
        <f t="shared" si="6"/>
        <v>0.26953709266476111</v>
      </c>
      <c r="H56">
        <f t="shared" si="3"/>
        <v>1.2753410835144667</v>
      </c>
      <c r="I56">
        <f t="shared" si="4"/>
        <v>56.050545245928092</v>
      </c>
      <c r="J56">
        <f>30</f>
        <v>30</v>
      </c>
      <c r="K56">
        <v>70</v>
      </c>
    </row>
    <row r="57" spans="1:11">
      <c r="A57" s="1">
        <v>45553</v>
      </c>
      <c r="B57">
        <v>49.74</v>
      </c>
      <c r="C57">
        <f t="shared" si="0"/>
        <v>0.25</v>
      </c>
      <c r="D57">
        <f t="shared" si="1"/>
        <v>0.25</v>
      </c>
      <c r="E57">
        <f t="shared" si="2"/>
        <v>0</v>
      </c>
      <c r="F57">
        <f t="shared" si="5"/>
        <v>0.33705517582024314</v>
      </c>
      <c r="G57">
        <f t="shared" si="6"/>
        <v>0.25028444318870674</v>
      </c>
      <c r="H57">
        <f t="shared" si="3"/>
        <v>1.3466884778216677</v>
      </c>
      <c r="I57">
        <f t="shared" si="4"/>
        <v>57.386759706245378</v>
      </c>
      <c r="J57">
        <f>30</f>
        <v>30</v>
      </c>
      <c r="K57">
        <v>70</v>
      </c>
    </row>
    <row r="58" spans="1:11">
      <c r="A58" s="1">
        <v>45554</v>
      </c>
      <c r="B58">
        <v>49.02</v>
      </c>
      <c r="C58">
        <f t="shared" si="0"/>
        <v>-0.71999999999999886</v>
      </c>
      <c r="D58">
        <f t="shared" si="1"/>
        <v>0</v>
      </c>
      <c r="E58">
        <f t="shared" si="2"/>
        <v>0.71999999999999886</v>
      </c>
      <c r="F58">
        <f t="shared" si="5"/>
        <v>0.31297980611879722</v>
      </c>
      <c r="G58">
        <f t="shared" si="6"/>
        <v>0.2838355543895133</v>
      </c>
      <c r="H58">
        <f t="shared" si="3"/>
        <v>1.1026800599099318</v>
      </c>
      <c r="I58">
        <f t="shared" si="4"/>
        <v>52.441647254559733</v>
      </c>
      <c r="J58">
        <f>30</f>
        <v>30</v>
      </c>
      <c r="K58">
        <v>70</v>
      </c>
    </row>
    <row r="59" spans="1:11">
      <c r="A59" s="1">
        <v>45555</v>
      </c>
      <c r="B59">
        <v>49.41</v>
      </c>
      <c r="C59">
        <f t="shared" si="0"/>
        <v>0.38999999999999346</v>
      </c>
      <c r="D59">
        <f t="shared" si="1"/>
        <v>0.38999999999999346</v>
      </c>
      <c r="E59">
        <f t="shared" si="2"/>
        <v>0</v>
      </c>
      <c r="F59">
        <f t="shared" si="5"/>
        <v>0.31848124853888266</v>
      </c>
      <c r="G59">
        <f t="shared" si="6"/>
        <v>0.2635615862188338</v>
      </c>
      <c r="H59">
        <f t="shared" si="3"/>
        <v>1.2083750637107236</v>
      </c>
      <c r="I59">
        <f t="shared" si="4"/>
        <v>54.717836818909554</v>
      </c>
      <c r="J59">
        <f>30</f>
        <v>30</v>
      </c>
      <c r="K59">
        <v>70</v>
      </c>
    </row>
    <row r="60" spans="1:11">
      <c r="A60" s="1">
        <v>45558</v>
      </c>
      <c r="B60">
        <v>50.01</v>
      </c>
      <c r="C60">
        <f t="shared" si="0"/>
        <v>0.60000000000000142</v>
      </c>
      <c r="D60">
        <f t="shared" si="1"/>
        <v>0.60000000000000142</v>
      </c>
      <c r="E60">
        <f t="shared" si="2"/>
        <v>0</v>
      </c>
      <c r="F60">
        <f t="shared" si="5"/>
        <v>0.33858973078610538</v>
      </c>
      <c r="G60">
        <f t="shared" si="6"/>
        <v>0.24473575863177424</v>
      </c>
      <c r="H60">
        <f t="shared" si="3"/>
        <v>1.3834910463392578</v>
      </c>
      <c r="I60">
        <f t="shared" si="4"/>
        <v>58.044734359884671</v>
      </c>
      <c r="J60">
        <f>30</f>
        <v>30</v>
      </c>
      <c r="K60">
        <v>70</v>
      </c>
    </row>
    <row r="61" spans="1:11">
      <c r="A61" s="1">
        <v>45559</v>
      </c>
      <c r="B61">
        <v>50.94</v>
      </c>
      <c r="C61">
        <f t="shared" si="0"/>
        <v>0.92999999999999972</v>
      </c>
      <c r="D61">
        <f t="shared" si="1"/>
        <v>0.92999999999999972</v>
      </c>
      <c r="E61">
        <f t="shared" si="2"/>
        <v>0</v>
      </c>
      <c r="F61">
        <f t="shared" si="5"/>
        <v>0.38083332144424065</v>
      </c>
      <c r="G61">
        <f t="shared" si="6"/>
        <v>0.22725463301521895</v>
      </c>
      <c r="H61">
        <f t="shared" si="3"/>
        <v>1.6758000327268872</v>
      </c>
      <c r="I61">
        <f t="shared" si="4"/>
        <v>62.627999560157427</v>
      </c>
      <c r="J61">
        <f>30</f>
        <v>30</v>
      </c>
      <c r="K61">
        <v>70</v>
      </c>
    </row>
    <row r="62" spans="1:11">
      <c r="A62" s="1">
        <v>45560</v>
      </c>
      <c r="B62">
        <v>49.95</v>
      </c>
      <c r="C62">
        <f t="shared" si="0"/>
        <v>-0.98999999999999488</v>
      </c>
      <c r="D62">
        <f t="shared" si="1"/>
        <v>0</v>
      </c>
      <c r="E62">
        <f t="shared" si="2"/>
        <v>0.98999999999999488</v>
      </c>
      <c r="F62">
        <f t="shared" si="5"/>
        <v>0.35363094134108058</v>
      </c>
      <c r="G62">
        <f t="shared" si="6"/>
        <v>0.28173644494270295</v>
      </c>
      <c r="H62">
        <f t="shared" si="3"/>
        <v>1.255183515263703</v>
      </c>
      <c r="I62">
        <f t="shared" si="4"/>
        <v>55.657710637217562</v>
      </c>
      <c r="J62">
        <f>30</f>
        <v>30</v>
      </c>
      <c r="K62">
        <v>70</v>
      </c>
    </row>
    <row r="63" spans="1:11">
      <c r="A63" s="1">
        <v>45561</v>
      </c>
      <c r="B63">
        <v>50.12</v>
      </c>
      <c r="C63">
        <f t="shared" si="0"/>
        <v>0.1699999999999946</v>
      </c>
      <c r="D63">
        <f t="shared" si="1"/>
        <v>0.1699999999999946</v>
      </c>
      <c r="E63">
        <f t="shared" si="2"/>
        <v>0</v>
      </c>
      <c r="F63">
        <f t="shared" si="5"/>
        <v>0.34051444553100302</v>
      </c>
      <c r="G63">
        <f t="shared" si="6"/>
        <v>0.2616124131610813</v>
      </c>
      <c r="H63">
        <f t="shared" si="3"/>
        <v>1.3015989624366171</v>
      </c>
      <c r="I63">
        <f t="shared" si="4"/>
        <v>56.5519442648107</v>
      </c>
      <c r="J63">
        <f>30</f>
        <v>30</v>
      </c>
      <c r="K63">
        <v>70</v>
      </c>
    </row>
    <row r="64" spans="1:11">
      <c r="A64" s="1">
        <v>45562</v>
      </c>
      <c r="B64">
        <v>50.91</v>
      </c>
      <c r="C64">
        <f t="shared" si="0"/>
        <v>0.78999999999999915</v>
      </c>
      <c r="D64">
        <f t="shared" si="1"/>
        <v>0.78999999999999915</v>
      </c>
      <c r="E64">
        <f t="shared" si="2"/>
        <v>0</v>
      </c>
      <c r="F64">
        <f t="shared" si="5"/>
        <v>0.37262055656450277</v>
      </c>
      <c r="G64">
        <f t="shared" si="6"/>
        <v>0.24292581222100407</v>
      </c>
      <c r="H64">
        <f t="shared" si="3"/>
        <v>1.5338862229490362</v>
      </c>
      <c r="I64">
        <f t="shared" si="4"/>
        <v>60.534928879475856</v>
      </c>
      <c r="J64">
        <f>30</f>
        <v>30</v>
      </c>
      <c r="K64">
        <v>70</v>
      </c>
    </row>
    <row r="65" spans="1:11">
      <c r="A65" s="1">
        <v>45565</v>
      </c>
      <c r="B65">
        <v>51.74</v>
      </c>
      <c r="C65">
        <f t="shared" si="0"/>
        <v>0.8300000000000054</v>
      </c>
      <c r="D65">
        <f t="shared" si="1"/>
        <v>0.8300000000000054</v>
      </c>
      <c r="E65">
        <f t="shared" si="2"/>
        <v>0</v>
      </c>
      <c r="F65">
        <f t="shared" si="5"/>
        <v>0.40529051680989581</v>
      </c>
      <c r="G65">
        <f t="shared" si="6"/>
        <v>0.22557396849093234</v>
      </c>
      <c r="H65">
        <f t="shared" si="3"/>
        <v>1.7967078361091464</v>
      </c>
      <c r="I65">
        <f t="shared" si="4"/>
        <v>64.24367296831312</v>
      </c>
      <c r="J65">
        <f>30</f>
        <v>30</v>
      </c>
      <c r="K65">
        <v>70</v>
      </c>
    </row>
    <row r="66" spans="1:11">
      <c r="A66" s="1">
        <v>45566</v>
      </c>
      <c r="B66">
        <v>52.9</v>
      </c>
      <c r="C66">
        <f t="shared" si="0"/>
        <v>1.1599999999999966</v>
      </c>
      <c r="D66">
        <f t="shared" si="1"/>
        <v>1.1599999999999966</v>
      </c>
      <c r="E66">
        <f t="shared" si="2"/>
        <v>0</v>
      </c>
      <c r="F66">
        <f t="shared" si="5"/>
        <v>0.45919833703776014</v>
      </c>
      <c r="G66">
        <f t="shared" si="6"/>
        <v>0.20946154217015148</v>
      </c>
      <c r="H66">
        <f t="shared" si="3"/>
        <v>2.1922799396976678</v>
      </c>
      <c r="I66">
        <f t="shared" si="4"/>
        <v>68.674426463529159</v>
      </c>
      <c r="J66">
        <f>30</f>
        <v>30</v>
      </c>
      <c r="K66">
        <v>70</v>
      </c>
    </row>
    <row r="67" spans="1:11">
      <c r="A67" s="1">
        <v>45567</v>
      </c>
      <c r="B67">
        <v>53.76</v>
      </c>
      <c r="C67">
        <f t="shared" si="0"/>
        <v>0.85999999999999943</v>
      </c>
      <c r="D67">
        <f t="shared" si="1"/>
        <v>0.85999999999999943</v>
      </c>
      <c r="E67">
        <f t="shared" si="2"/>
        <v>0</v>
      </c>
      <c r="F67">
        <f t="shared" si="5"/>
        <v>0.48782702724934868</v>
      </c>
      <c r="G67">
        <f t="shared" si="6"/>
        <v>0.1945000034437121</v>
      </c>
      <c r="H67">
        <f t="shared" si="3"/>
        <v>2.5081080648439413</v>
      </c>
      <c r="I67">
        <f t="shared" si="4"/>
        <v>71.494606736281227</v>
      </c>
      <c r="J67">
        <f>30</f>
        <v>30</v>
      </c>
      <c r="K67">
        <v>70</v>
      </c>
    </row>
    <row r="68" spans="1:11">
      <c r="A68" s="1">
        <v>45568</v>
      </c>
      <c r="B68">
        <v>54.2</v>
      </c>
      <c r="C68">
        <f t="shared" ref="C68:C131" si="7">B68-B67</f>
        <v>0.44000000000000483</v>
      </c>
      <c r="D68">
        <f t="shared" ref="D68:D131" si="8">IF(C68&gt;0,C68,0)</f>
        <v>0.44000000000000483</v>
      </c>
      <c r="E68">
        <f t="shared" ref="E68:E131" si="9">IF(C68&lt;0,-C68,0)</f>
        <v>0</v>
      </c>
      <c r="F68">
        <f t="shared" si="5"/>
        <v>0.48441081101725264</v>
      </c>
      <c r="G68">
        <f t="shared" si="6"/>
        <v>0.18060714605487552</v>
      </c>
      <c r="H68">
        <f t="shared" si="3"/>
        <v>2.6821242769102263</v>
      </c>
      <c r="I68">
        <f t="shared" si="4"/>
        <v>72.841764025435666</v>
      </c>
      <c r="J68">
        <f>30</f>
        <v>30</v>
      </c>
      <c r="K68">
        <v>70</v>
      </c>
    </row>
    <row r="69" spans="1:11">
      <c r="A69" s="1">
        <v>45569</v>
      </c>
      <c r="B69">
        <v>53.96</v>
      </c>
      <c r="C69">
        <f t="shared" si="7"/>
        <v>-0.24000000000000199</v>
      </c>
      <c r="D69">
        <f t="shared" si="8"/>
        <v>0</v>
      </c>
      <c r="E69">
        <f t="shared" si="9"/>
        <v>0.24000000000000199</v>
      </c>
      <c r="F69">
        <f t="shared" si="5"/>
        <v>0.44981003880173459</v>
      </c>
      <c r="G69">
        <f t="shared" si="6"/>
        <v>0.18484949276524171</v>
      </c>
      <c r="H69">
        <f t="shared" si="3"/>
        <v>2.4333853021332983</v>
      </c>
      <c r="I69">
        <f t="shared" si="4"/>
        <v>70.874227271298082</v>
      </c>
      <c r="J69">
        <f>30</f>
        <v>30</v>
      </c>
      <c r="K69">
        <v>70</v>
      </c>
    </row>
    <row r="70" spans="1:11">
      <c r="A70" s="1">
        <v>45572</v>
      </c>
      <c r="B70">
        <v>53.44</v>
      </c>
      <c r="C70">
        <f t="shared" si="7"/>
        <v>-0.52000000000000313</v>
      </c>
      <c r="D70">
        <f t="shared" si="8"/>
        <v>0</v>
      </c>
      <c r="E70">
        <f t="shared" si="9"/>
        <v>0.52000000000000313</v>
      </c>
      <c r="F70">
        <f t="shared" si="5"/>
        <v>0.41768075031589641</v>
      </c>
      <c r="G70">
        <f t="shared" si="6"/>
        <v>0.2087888147105818</v>
      </c>
      <c r="H70">
        <f t="shared" si="3"/>
        <v>2.0004939004748685</v>
      </c>
      <c r="I70">
        <f t="shared" si="4"/>
        <v>66.672153546396601</v>
      </c>
      <c r="J70">
        <f>30</f>
        <v>30</v>
      </c>
      <c r="K70">
        <v>70</v>
      </c>
    </row>
    <row r="71" spans="1:11">
      <c r="A71" s="1">
        <v>45573</v>
      </c>
      <c r="B71">
        <v>52.48</v>
      </c>
      <c r="C71">
        <f t="shared" si="7"/>
        <v>-0.96000000000000085</v>
      </c>
      <c r="D71">
        <f t="shared" si="8"/>
        <v>0</v>
      </c>
      <c r="E71">
        <f t="shared" si="9"/>
        <v>0.96000000000000085</v>
      </c>
      <c r="F71">
        <f t="shared" si="5"/>
        <v>0.38784641100761813</v>
      </c>
      <c r="G71">
        <f t="shared" si="6"/>
        <v>0.26244675651696886</v>
      </c>
      <c r="H71">
        <f t="shared" si="3"/>
        <v>1.4778098847738719</v>
      </c>
      <c r="I71">
        <f t="shared" si="4"/>
        <v>59.641778566426964</v>
      </c>
      <c r="J71">
        <f>30</f>
        <v>30</v>
      </c>
      <c r="K71">
        <v>70</v>
      </c>
    </row>
    <row r="72" spans="1:11">
      <c r="A72" s="1">
        <v>45574</v>
      </c>
      <c r="B72">
        <v>52.8</v>
      </c>
      <c r="C72">
        <f t="shared" si="7"/>
        <v>0.32000000000000028</v>
      </c>
      <c r="D72">
        <f t="shared" si="8"/>
        <v>0.32000000000000028</v>
      </c>
      <c r="E72">
        <f t="shared" si="9"/>
        <v>0</v>
      </c>
      <c r="F72">
        <f t="shared" si="5"/>
        <v>0.38300023879278827</v>
      </c>
      <c r="G72">
        <f t="shared" si="6"/>
        <v>0.24370055962289966</v>
      </c>
      <c r="H72">
        <f t="shared" si="3"/>
        <v>1.5716018025787051</v>
      </c>
      <c r="I72">
        <f t="shared" si="4"/>
        <v>61.113730788443306</v>
      </c>
      <c r="J72">
        <f>30</f>
        <v>30</v>
      </c>
      <c r="K72">
        <v>70</v>
      </c>
    </row>
    <row r="73" spans="1:11">
      <c r="A73" s="1">
        <v>45575</v>
      </c>
      <c r="B73">
        <v>52.4</v>
      </c>
      <c r="C73">
        <f t="shared" si="7"/>
        <v>-0.39999999999999858</v>
      </c>
      <c r="D73">
        <f t="shared" si="8"/>
        <v>0</v>
      </c>
      <c r="E73">
        <f t="shared" si="9"/>
        <v>0.39999999999999858</v>
      </c>
      <c r="F73">
        <f t="shared" si="5"/>
        <v>0.35564307887901769</v>
      </c>
      <c r="G73">
        <f t="shared" si="6"/>
        <v>0.25486480536412104</v>
      </c>
      <c r="H73">
        <f t="shared" si="3"/>
        <v>1.3954185567949111</v>
      </c>
      <c r="I73">
        <f t="shared" si="4"/>
        <v>58.253642263755026</v>
      </c>
      <c r="J73">
        <f>30</f>
        <v>30</v>
      </c>
      <c r="K73">
        <v>70</v>
      </c>
    </row>
    <row r="74" spans="1:11">
      <c r="A74" s="1">
        <v>45576</v>
      </c>
      <c r="B74">
        <v>52.2</v>
      </c>
      <c r="C74">
        <f t="shared" si="7"/>
        <v>-0.19999999999999574</v>
      </c>
      <c r="D74">
        <f t="shared" si="8"/>
        <v>0</v>
      </c>
      <c r="E74">
        <f t="shared" si="9"/>
        <v>0.19999999999999574</v>
      </c>
      <c r="F74">
        <f t="shared" si="5"/>
        <v>0.3302400018162307</v>
      </c>
      <c r="G74">
        <f t="shared" si="6"/>
        <v>0.25094589069525497</v>
      </c>
      <c r="H74">
        <f t="shared" si="3"/>
        <v>1.3159809108700224</v>
      </c>
      <c r="I74">
        <f t="shared" si="4"/>
        <v>56.821751193780806</v>
      </c>
      <c r="J74">
        <f>30</f>
        <v>30</v>
      </c>
      <c r="K74">
        <v>70</v>
      </c>
    </row>
    <row r="75" spans="1:11">
      <c r="A75" s="1">
        <v>45579</v>
      </c>
      <c r="B75">
        <v>52.67</v>
      </c>
      <c r="C75">
        <f t="shared" si="7"/>
        <v>0.46999999999999886</v>
      </c>
      <c r="D75">
        <f t="shared" si="8"/>
        <v>0.46999999999999886</v>
      </c>
      <c r="E75">
        <f t="shared" si="9"/>
        <v>0</v>
      </c>
      <c r="F75">
        <f t="shared" si="5"/>
        <v>0.34022285882935704</v>
      </c>
      <c r="G75">
        <f t="shared" si="6"/>
        <v>0.23302118421702248</v>
      </c>
      <c r="H75">
        <f t="shared" si="3"/>
        <v>1.4600511965147904</v>
      </c>
      <c r="I75">
        <f t="shared" si="4"/>
        <v>59.350439477978242</v>
      </c>
      <c r="J75">
        <f>30</f>
        <v>30</v>
      </c>
      <c r="K75">
        <v>70</v>
      </c>
    </row>
    <row r="76" spans="1:11">
      <c r="A76" s="1">
        <v>45580</v>
      </c>
      <c r="B76">
        <v>52.76</v>
      </c>
      <c r="C76">
        <f t="shared" si="7"/>
        <v>8.9999999999996305E-2</v>
      </c>
      <c r="D76">
        <f t="shared" si="8"/>
        <v>8.9999999999996305E-2</v>
      </c>
      <c r="E76">
        <f t="shared" si="9"/>
        <v>0</v>
      </c>
      <c r="F76">
        <f t="shared" si="5"/>
        <v>0.32234979748440268</v>
      </c>
      <c r="G76">
        <f t="shared" si="6"/>
        <v>0.2163768139158066</v>
      </c>
      <c r="H76">
        <f t="shared" si="3"/>
        <v>1.4897612717868687</v>
      </c>
      <c r="I76">
        <f t="shared" si="4"/>
        <v>59.835506667580489</v>
      </c>
      <c r="J76">
        <f>30</f>
        <v>30</v>
      </c>
      <c r="K76">
        <v>70</v>
      </c>
    </row>
    <row r="77" spans="1:11">
      <c r="A77" s="1">
        <v>45581</v>
      </c>
      <c r="B77">
        <v>53.37</v>
      </c>
      <c r="C77">
        <f t="shared" si="7"/>
        <v>0.60999999999999943</v>
      </c>
      <c r="D77">
        <f t="shared" si="8"/>
        <v>0.60999999999999943</v>
      </c>
      <c r="E77">
        <f t="shared" si="9"/>
        <v>0</v>
      </c>
      <c r="F77">
        <f t="shared" si="5"/>
        <v>0.34289624052123102</v>
      </c>
      <c r="G77">
        <f t="shared" si="6"/>
        <v>0.20092132720753469</v>
      </c>
      <c r="H77">
        <f t="shared" si="3"/>
        <v>1.7066194280463232</v>
      </c>
      <c r="I77">
        <f t="shared" si="4"/>
        <v>63.053542376963783</v>
      </c>
      <c r="J77">
        <f>30</f>
        <v>30</v>
      </c>
      <c r="K77">
        <v>70</v>
      </c>
    </row>
    <row r="78" spans="1:11">
      <c r="A78" s="1">
        <v>45582</v>
      </c>
      <c r="B78">
        <v>53.18</v>
      </c>
      <c r="C78">
        <f t="shared" si="7"/>
        <v>-0.18999999999999773</v>
      </c>
      <c r="D78">
        <f t="shared" si="8"/>
        <v>0</v>
      </c>
      <c r="E78">
        <f t="shared" si="9"/>
        <v>0.18999999999999773</v>
      </c>
      <c r="F78">
        <f t="shared" si="5"/>
        <v>0.31840365191257164</v>
      </c>
      <c r="G78">
        <f t="shared" si="6"/>
        <v>0.20014123240699636</v>
      </c>
      <c r="H78">
        <f t="shared" si="3"/>
        <v>1.5908948300322407</v>
      </c>
      <c r="I78">
        <f t="shared" si="4"/>
        <v>61.40329632802748</v>
      </c>
      <c r="J78">
        <f>30</f>
        <v>30</v>
      </c>
      <c r="K78">
        <v>70</v>
      </c>
    </row>
    <row r="79" spans="1:11">
      <c r="A79" s="1">
        <v>45583</v>
      </c>
      <c r="B79">
        <v>53.22</v>
      </c>
      <c r="C79">
        <f t="shared" si="7"/>
        <v>3.9999999999999147E-2</v>
      </c>
      <c r="D79">
        <f t="shared" si="8"/>
        <v>3.9999999999999147E-2</v>
      </c>
      <c r="E79">
        <f t="shared" si="9"/>
        <v>0</v>
      </c>
      <c r="F79">
        <f t="shared" si="5"/>
        <v>0.29851767677595931</v>
      </c>
      <c r="G79">
        <f t="shared" si="6"/>
        <v>0.18584543009221091</v>
      </c>
      <c r="H79">
        <f t="shared" si="3"/>
        <v>1.6062685890519008</v>
      </c>
      <c r="I79">
        <f t="shared" si="4"/>
        <v>61.630969110371829</v>
      </c>
      <c r="J79">
        <f>30</f>
        <v>30</v>
      </c>
      <c r="K79">
        <v>70</v>
      </c>
    </row>
    <row r="80" spans="1:11">
      <c r="A80" s="1">
        <v>45586</v>
      </c>
      <c r="B80">
        <v>52.12</v>
      </c>
      <c r="C80">
        <f t="shared" si="7"/>
        <v>-1.1000000000000014</v>
      </c>
      <c r="D80">
        <f t="shared" si="8"/>
        <v>0</v>
      </c>
      <c r="E80">
        <f t="shared" si="9"/>
        <v>1.1000000000000014</v>
      </c>
      <c r="F80">
        <f t="shared" si="5"/>
        <v>0.27719498557767647</v>
      </c>
      <c r="G80">
        <f t="shared" si="6"/>
        <v>0.25114218508562453</v>
      </c>
      <c r="H80">
        <f t="shared" si="3"/>
        <v>1.1037372533936085</v>
      </c>
      <c r="I80">
        <f t="shared" si="4"/>
        <v>52.46554680785983</v>
      </c>
      <c r="J80">
        <f>30</f>
        <v>30</v>
      </c>
      <c r="K80">
        <v>70</v>
      </c>
    </row>
    <row r="81" spans="1:11">
      <c r="A81" s="1">
        <v>45587</v>
      </c>
      <c r="B81">
        <v>52.76</v>
      </c>
      <c r="C81">
        <f t="shared" si="7"/>
        <v>0.64000000000000057</v>
      </c>
      <c r="D81">
        <f t="shared" si="8"/>
        <v>0.64000000000000057</v>
      </c>
      <c r="E81">
        <f t="shared" si="9"/>
        <v>0</v>
      </c>
      <c r="F81">
        <f t="shared" si="5"/>
        <v>0.30310962946498538</v>
      </c>
      <c r="G81">
        <f t="shared" si="6"/>
        <v>0.2332034575795085</v>
      </c>
      <c r="H81">
        <f t="shared" ref="H81:H144" si="10">F81/G81</f>
        <v>1.2997647316684533</v>
      </c>
      <c r="I81">
        <f t="shared" ref="I81:I144" si="11">IF(H81=0,100,100-(100/(1+H81)))</f>
        <v>56.517291258984081</v>
      </c>
      <c r="J81">
        <f>30</f>
        <v>30</v>
      </c>
      <c r="K81">
        <v>70</v>
      </c>
    </row>
    <row r="82" spans="1:11">
      <c r="A82" s="1">
        <v>45588</v>
      </c>
      <c r="B82">
        <v>53.06</v>
      </c>
      <c r="C82">
        <f t="shared" si="7"/>
        <v>0.30000000000000426</v>
      </c>
      <c r="D82">
        <f t="shared" si="8"/>
        <v>0.30000000000000426</v>
      </c>
      <c r="E82">
        <f t="shared" si="9"/>
        <v>0</v>
      </c>
      <c r="F82">
        <f t="shared" ref="F82:F145" si="12">((F81*13)+D82)/14</f>
        <v>0.30288751307462958</v>
      </c>
      <c r="G82">
        <f t="shared" ref="G82:G145" si="13">((G81*13)+E82)/14</f>
        <v>0.21654606775240073</v>
      </c>
      <c r="H82">
        <f t="shared" si="10"/>
        <v>1.3987209106052751</v>
      </c>
      <c r="I82">
        <f t="shared" si="11"/>
        <v>58.311115078924814</v>
      </c>
      <c r="J82">
        <f>30</f>
        <v>30</v>
      </c>
      <c r="K82">
        <v>70</v>
      </c>
    </row>
    <row r="83" spans="1:11">
      <c r="A83" s="1">
        <v>45589</v>
      </c>
      <c r="B83">
        <v>52.92</v>
      </c>
      <c r="C83">
        <f t="shared" si="7"/>
        <v>-0.14000000000000057</v>
      </c>
      <c r="D83">
        <f t="shared" si="8"/>
        <v>0</v>
      </c>
      <c r="E83">
        <f t="shared" si="9"/>
        <v>0.14000000000000057</v>
      </c>
      <c r="F83">
        <f t="shared" si="12"/>
        <v>0.28125269071215603</v>
      </c>
      <c r="G83">
        <f t="shared" si="13"/>
        <v>0.21107849148437216</v>
      </c>
      <c r="H83">
        <f t="shared" si="10"/>
        <v>1.3324554706369949</v>
      </c>
      <c r="I83">
        <f t="shared" si="11"/>
        <v>57.126727065580397</v>
      </c>
      <c r="J83">
        <f>30</f>
        <v>30</v>
      </c>
      <c r="K83">
        <v>70</v>
      </c>
    </row>
    <row r="84" spans="1:11">
      <c r="A84" s="1">
        <v>45590</v>
      </c>
      <c r="B84">
        <v>51.92</v>
      </c>
      <c r="C84">
        <f t="shared" si="7"/>
        <v>-1</v>
      </c>
      <c r="D84">
        <f t="shared" si="8"/>
        <v>0</v>
      </c>
      <c r="E84">
        <f t="shared" si="9"/>
        <v>1</v>
      </c>
      <c r="F84">
        <f t="shared" si="12"/>
        <v>0.2611632128041449</v>
      </c>
      <c r="G84">
        <f t="shared" si="13"/>
        <v>0.26743002780691699</v>
      </c>
      <c r="H84">
        <f t="shared" si="10"/>
        <v>0.97656652450675174</v>
      </c>
      <c r="I84">
        <f t="shared" si="11"/>
        <v>49.407217637182846</v>
      </c>
      <c r="J84">
        <f>30</f>
        <v>30</v>
      </c>
      <c r="K84">
        <v>70</v>
      </c>
    </row>
    <row r="85" spans="1:11">
      <c r="A85" s="1">
        <v>45593</v>
      </c>
      <c r="B85">
        <v>52.64</v>
      </c>
      <c r="C85">
        <f t="shared" si="7"/>
        <v>0.71999999999999886</v>
      </c>
      <c r="D85">
        <f t="shared" si="8"/>
        <v>0.71999999999999886</v>
      </c>
      <c r="E85">
        <f t="shared" si="9"/>
        <v>0</v>
      </c>
      <c r="F85">
        <f t="shared" si="12"/>
        <v>0.29393726903242012</v>
      </c>
      <c r="G85">
        <f t="shared" si="13"/>
        <v>0.24832788296356578</v>
      </c>
      <c r="H85">
        <f t="shared" si="10"/>
        <v>1.1836659883882072</v>
      </c>
      <c r="I85">
        <f t="shared" si="11"/>
        <v>54.205450590082542</v>
      </c>
      <c r="J85">
        <f>30</f>
        <v>30</v>
      </c>
      <c r="K85">
        <v>70</v>
      </c>
    </row>
    <row r="86" spans="1:11">
      <c r="A86" s="1">
        <v>45594</v>
      </c>
      <c r="B86">
        <v>52.5</v>
      </c>
      <c r="C86">
        <f t="shared" si="7"/>
        <v>-0.14000000000000057</v>
      </c>
      <c r="D86">
        <f t="shared" si="8"/>
        <v>0</v>
      </c>
      <c r="E86">
        <f t="shared" si="9"/>
        <v>0.14000000000000057</v>
      </c>
      <c r="F86">
        <f t="shared" si="12"/>
        <v>0.2729417498158187</v>
      </c>
      <c r="G86">
        <f t="shared" si="13"/>
        <v>0.24059017703759686</v>
      </c>
      <c r="H86">
        <f t="shared" si="10"/>
        <v>1.1344675546465319</v>
      </c>
      <c r="I86">
        <f t="shared" si="11"/>
        <v>53.149908611958267</v>
      </c>
      <c r="J86">
        <f>30</f>
        <v>30</v>
      </c>
      <c r="K86">
        <v>70</v>
      </c>
    </row>
    <row r="87" spans="1:11">
      <c r="A87" s="1">
        <v>45595</v>
      </c>
      <c r="B87">
        <v>52.66</v>
      </c>
      <c r="C87">
        <f t="shared" si="7"/>
        <v>0.15999999999999659</v>
      </c>
      <c r="D87">
        <f t="shared" si="8"/>
        <v>0.15999999999999659</v>
      </c>
      <c r="E87">
        <f t="shared" si="9"/>
        <v>0</v>
      </c>
      <c r="F87">
        <f t="shared" si="12"/>
        <v>0.26487448197183144</v>
      </c>
      <c r="G87">
        <f t="shared" si="13"/>
        <v>0.22340516439205424</v>
      </c>
      <c r="H87">
        <f t="shared" si="10"/>
        <v>1.1856238090673794</v>
      </c>
      <c r="I87">
        <f t="shared" si="11"/>
        <v>54.24647206663132</v>
      </c>
      <c r="J87">
        <f>30</f>
        <v>30</v>
      </c>
      <c r="K87">
        <v>70</v>
      </c>
    </row>
    <row r="88" spans="1:11">
      <c r="A88" s="1">
        <v>45596</v>
      </c>
      <c r="B88">
        <v>55.77</v>
      </c>
      <c r="C88">
        <f t="shared" si="7"/>
        <v>3.1100000000000065</v>
      </c>
      <c r="D88">
        <f t="shared" si="8"/>
        <v>3.1100000000000065</v>
      </c>
      <c r="E88">
        <f t="shared" si="9"/>
        <v>0</v>
      </c>
      <c r="F88">
        <f t="shared" si="12"/>
        <v>0.46809773325955822</v>
      </c>
      <c r="G88">
        <f t="shared" si="13"/>
        <v>0.20744765264976464</v>
      </c>
      <c r="H88">
        <f t="shared" si="10"/>
        <v>2.2564619424730297</v>
      </c>
      <c r="I88">
        <f t="shared" si="11"/>
        <v>69.291825985825042</v>
      </c>
      <c r="J88">
        <f>30</f>
        <v>30</v>
      </c>
      <c r="K88">
        <v>70</v>
      </c>
    </row>
    <row r="89" spans="1:11">
      <c r="A89" s="1">
        <v>45597</v>
      </c>
      <c r="B89">
        <v>54.32</v>
      </c>
      <c r="C89">
        <f t="shared" si="7"/>
        <v>-1.4500000000000028</v>
      </c>
      <c r="D89">
        <f t="shared" si="8"/>
        <v>0</v>
      </c>
      <c r="E89">
        <f t="shared" si="9"/>
        <v>1.4500000000000028</v>
      </c>
      <c r="F89">
        <f t="shared" si="12"/>
        <v>0.43466218088387548</v>
      </c>
      <c r="G89">
        <f t="shared" si="13"/>
        <v>0.29620139174621024</v>
      </c>
      <c r="H89">
        <f t="shared" si="10"/>
        <v>1.4674548904763436</v>
      </c>
      <c r="I89">
        <f t="shared" si="11"/>
        <v>59.47241005865159</v>
      </c>
      <c r="J89">
        <f>30</f>
        <v>30</v>
      </c>
      <c r="K89">
        <v>70</v>
      </c>
    </row>
    <row r="90" spans="1:11">
      <c r="A90" s="1">
        <v>45600</v>
      </c>
      <c r="B90">
        <v>55.45</v>
      </c>
      <c r="C90">
        <f t="shared" si="7"/>
        <v>1.1300000000000026</v>
      </c>
      <c r="D90">
        <f t="shared" si="8"/>
        <v>1.1300000000000026</v>
      </c>
      <c r="E90">
        <f t="shared" si="9"/>
        <v>0</v>
      </c>
      <c r="F90">
        <f t="shared" si="12"/>
        <v>0.48432916796359882</v>
      </c>
      <c r="G90">
        <f t="shared" si="13"/>
        <v>0.27504414947862382</v>
      </c>
      <c r="H90">
        <f t="shared" si="10"/>
        <v>1.7609142709695791</v>
      </c>
      <c r="I90">
        <f t="shared" si="11"/>
        <v>63.780114054435323</v>
      </c>
      <c r="J90">
        <f>30</f>
        <v>30</v>
      </c>
      <c r="K90">
        <v>70</v>
      </c>
    </row>
    <row r="91" spans="1:11">
      <c r="A91" s="1">
        <v>45601</v>
      </c>
      <c r="B91">
        <v>55.95</v>
      </c>
      <c r="C91">
        <f t="shared" si="7"/>
        <v>0.5</v>
      </c>
      <c r="D91">
        <f t="shared" si="8"/>
        <v>0.5</v>
      </c>
      <c r="E91">
        <f t="shared" si="9"/>
        <v>0</v>
      </c>
      <c r="F91">
        <f t="shared" si="12"/>
        <v>0.48544851310905607</v>
      </c>
      <c r="G91">
        <f t="shared" si="13"/>
        <v>0.25539813880157924</v>
      </c>
      <c r="H91">
        <f t="shared" si="10"/>
        <v>1.9007519607893646</v>
      </c>
      <c r="I91">
        <f t="shared" si="11"/>
        <v>65.5261803312588</v>
      </c>
      <c r="J91">
        <f>30</f>
        <v>30</v>
      </c>
      <c r="K91">
        <v>70</v>
      </c>
    </row>
    <row r="92" spans="1:11">
      <c r="A92" s="1">
        <v>45602</v>
      </c>
      <c r="B92">
        <v>55.28</v>
      </c>
      <c r="C92">
        <f t="shared" si="7"/>
        <v>-0.67000000000000171</v>
      </c>
      <c r="D92">
        <f t="shared" si="8"/>
        <v>0</v>
      </c>
      <c r="E92">
        <f t="shared" si="9"/>
        <v>0.67000000000000171</v>
      </c>
      <c r="F92">
        <f t="shared" si="12"/>
        <v>0.45077361931555204</v>
      </c>
      <c r="G92">
        <f t="shared" si="13"/>
        <v>0.28501255745860943</v>
      </c>
      <c r="H92">
        <f t="shared" si="10"/>
        <v>1.5815921352202702</v>
      </c>
      <c r="I92">
        <f t="shared" si="11"/>
        <v>61.264214189485955</v>
      </c>
      <c r="J92">
        <f>30</f>
        <v>30</v>
      </c>
      <c r="K92">
        <v>70</v>
      </c>
    </row>
    <row r="93" spans="1:11">
      <c r="A93" s="1">
        <v>45603</v>
      </c>
      <c r="B93">
        <v>54.71</v>
      </c>
      <c r="C93">
        <f t="shared" si="7"/>
        <v>-0.57000000000000028</v>
      </c>
      <c r="D93">
        <f t="shared" si="8"/>
        <v>0</v>
      </c>
      <c r="E93">
        <f t="shared" si="9"/>
        <v>0.57000000000000028</v>
      </c>
      <c r="F93">
        <f t="shared" si="12"/>
        <v>0.41857550365015544</v>
      </c>
      <c r="G93">
        <f t="shared" si="13"/>
        <v>0.30536880335442307</v>
      </c>
      <c r="H93">
        <f t="shared" si="10"/>
        <v>1.3707212362630907</v>
      </c>
      <c r="I93">
        <f t="shared" si="11"/>
        <v>57.81874373486967</v>
      </c>
      <c r="J93">
        <f>30</f>
        <v>30</v>
      </c>
      <c r="K93">
        <v>70</v>
      </c>
    </row>
    <row r="94" spans="1:11">
      <c r="A94" s="1">
        <v>45604</v>
      </c>
      <c r="B94">
        <v>54.14</v>
      </c>
      <c r="C94">
        <f t="shared" si="7"/>
        <v>-0.57000000000000028</v>
      </c>
      <c r="D94">
        <f t="shared" si="8"/>
        <v>0</v>
      </c>
      <c r="E94">
        <f t="shared" si="9"/>
        <v>0.57000000000000028</v>
      </c>
      <c r="F94">
        <f t="shared" si="12"/>
        <v>0.3886772533894301</v>
      </c>
      <c r="G94">
        <f t="shared" si="13"/>
        <v>0.32427103168624999</v>
      </c>
      <c r="H94">
        <f t="shared" si="10"/>
        <v>1.1986184870361676</v>
      </c>
      <c r="I94">
        <f t="shared" si="11"/>
        <v>54.516892953627298</v>
      </c>
      <c r="J94">
        <f>30</f>
        <v>30</v>
      </c>
      <c r="K94">
        <v>70</v>
      </c>
    </row>
    <row r="95" spans="1:11">
      <c r="A95" s="1">
        <v>45607</v>
      </c>
      <c r="B95">
        <v>59.82</v>
      </c>
      <c r="C95">
        <f t="shared" si="7"/>
        <v>5.68</v>
      </c>
      <c r="D95">
        <f t="shared" si="8"/>
        <v>5.68</v>
      </c>
      <c r="E95">
        <f t="shared" si="9"/>
        <v>0</v>
      </c>
      <c r="F95">
        <f t="shared" si="12"/>
        <v>0.76662887814732794</v>
      </c>
      <c r="G95">
        <f t="shared" si="13"/>
        <v>0.30110881513723214</v>
      </c>
      <c r="H95">
        <f t="shared" si="10"/>
        <v>2.5460193777386833</v>
      </c>
      <c r="I95">
        <f t="shared" si="11"/>
        <v>71.799364485207477</v>
      </c>
      <c r="J95">
        <f>30</f>
        <v>30</v>
      </c>
      <c r="K95">
        <v>70</v>
      </c>
    </row>
    <row r="96" spans="1:11">
      <c r="A96" s="1">
        <v>45608</v>
      </c>
      <c r="B96">
        <v>59.02</v>
      </c>
      <c r="C96">
        <f t="shared" si="7"/>
        <v>-0.79999999999999716</v>
      </c>
      <c r="D96">
        <f t="shared" si="8"/>
        <v>0</v>
      </c>
      <c r="E96">
        <f t="shared" si="9"/>
        <v>0.79999999999999716</v>
      </c>
      <c r="F96">
        <f t="shared" si="12"/>
        <v>0.71186967256537592</v>
      </c>
      <c r="G96">
        <f t="shared" si="13"/>
        <v>0.33674389977028685</v>
      </c>
      <c r="H96">
        <f t="shared" si="10"/>
        <v>2.1139794159626493</v>
      </c>
      <c r="I96">
        <f t="shared" si="11"/>
        <v>67.886749832902723</v>
      </c>
      <c r="J96">
        <f>30</f>
        <v>30</v>
      </c>
      <c r="K96">
        <v>70</v>
      </c>
    </row>
    <row r="97" spans="1:11">
      <c r="A97" s="1">
        <v>45609</v>
      </c>
      <c r="B97">
        <v>58.41</v>
      </c>
      <c r="C97">
        <f t="shared" si="7"/>
        <v>-0.61000000000000654</v>
      </c>
      <c r="D97">
        <f t="shared" si="8"/>
        <v>0</v>
      </c>
      <c r="E97">
        <f t="shared" si="9"/>
        <v>0.61000000000000654</v>
      </c>
      <c r="F97">
        <f t="shared" si="12"/>
        <v>0.6610218388107062</v>
      </c>
      <c r="G97">
        <f t="shared" si="13"/>
        <v>0.35626219264383824</v>
      </c>
      <c r="H97">
        <f t="shared" si="10"/>
        <v>1.855436396170002</v>
      </c>
      <c r="I97">
        <f t="shared" si="11"/>
        <v>64.979083360382305</v>
      </c>
      <c r="J97">
        <f>30</f>
        <v>30</v>
      </c>
      <c r="K97">
        <v>70</v>
      </c>
    </row>
    <row r="98" spans="1:11">
      <c r="A98" s="1">
        <v>45610</v>
      </c>
      <c r="B98">
        <v>58.5</v>
      </c>
      <c r="C98">
        <f t="shared" si="7"/>
        <v>9.0000000000003411E-2</v>
      </c>
      <c r="D98">
        <f t="shared" si="8"/>
        <v>9.0000000000003411E-2</v>
      </c>
      <c r="E98">
        <f t="shared" si="9"/>
        <v>0</v>
      </c>
      <c r="F98">
        <f t="shared" si="12"/>
        <v>0.62023456460994175</v>
      </c>
      <c r="G98">
        <f t="shared" si="13"/>
        <v>0.33081489316927837</v>
      </c>
      <c r="H98">
        <f t="shared" si="10"/>
        <v>1.8748689294727943</v>
      </c>
      <c r="I98">
        <f t="shared" si="11"/>
        <v>65.215805501665614</v>
      </c>
      <c r="J98">
        <f>30</f>
        <v>30</v>
      </c>
      <c r="K98">
        <v>70</v>
      </c>
    </row>
    <row r="99" spans="1:11">
      <c r="A99" s="1">
        <v>45611</v>
      </c>
      <c r="B99">
        <v>56.22</v>
      </c>
      <c r="C99">
        <f t="shared" si="7"/>
        <v>-2.2800000000000011</v>
      </c>
      <c r="D99">
        <f t="shared" si="8"/>
        <v>0</v>
      </c>
      <c r="E99">
        <f t="shared" si="9"/>
        <v>2.2800000000000011</v>
      </c>
      <c r="F99">
        <f t="shared" si="12"/>
        <v>0.57593209570923165</v>
      </c>
      <c r="G99">
        <f t="shared" si="13"/>
        <v>0.47004240080004428</v>
      </c>
      <c r="H99">
        <f t="shared" si="10"/>
        <v>1.2252768999753125</v>
      </c>
      <c r="I99">
        <f t="shared" si="11"/>
        <v>55.061772311971865</v>
      </c>
      <c r="J99">
        <f>30</f>
        <v>30</v>
      </c>
      <c r="K99">
        <v>70</v>
      </c>
    </row>
    <row r="100" spans="1:11">
      <c r="A100" s="1">
        <v>45614</v>
      </c>
      <c r="B100">
        <v>56.8</v>
      </c>
      <c r="C100">
        <f t="shared" si="7"/>
        <v>0.57999999999999829</v>
      </c>
      <c r="D100">
        <f t="shared" si="8"/>
        <v>0.57999999999999829</v>
      </c>
      <c r="E100">
        <f t="shared" si="9"/>
        <v>0</v>
      </c>
      <c r="F100">
        <f t="shared" si="12"/>
        <v>0.57622266030142932</v>
      </c>
      <c r="G100">
        <f t="shared" si="13"/>
        <v>0.4364679436000411</v>
      </c>
      <c r="H100">
        <f t="shared" si="10"/>
        <v>1.3201946872631107</v>
      </c>
      <c r="I100">
        <f t="shared" si="11"/>
        <v>56.900168529409285</v>
      </c>
      <c r="J100">
        <f>30</f>
        <v>30</v>
      </c>
      <c r="K100">
        <v>70</v>
      </c>
    </row>
    <row r="101" spans="1:11">
      <c r="A101" s="1">
        <v>45615</v>
      </c>
      <c r="B101">
        <v>58.23</v>
      </c>
      <c r="C101">
        <f t="shared" si="7"/>
        <v>1.4299999999999997</v>
      </c>
      <c r="D101">
        <f t="shared" si="8"/>
        <v>1.4299999999999997</v>
      </c>
      <c r="E101">
        <f t="shared" si="9"/>
        <v>0</v>
      </c>
      <c r="F101">
        <f t="shared" si="12"/>
        <v>0.63720675599418442</v>
      </c>
      <c r="G101">
        <f t="shared" si="13"/>
        <v>0.40529166191432386</v>
      </c>
      <c r="H101">
        <f t="shared" si="10"/>
        <v>1.5722177776479547</v>
      </c>
      <c r="I101">
        <f t="shared" si="11"/>
        <v>61.123042975217921</v>
      </c>
      <c r="J101">
        <f>30</f>
        <v>30</v>
      </c>
      <c r="K101">
        <v>70</v>
      </c>
    </row>
    <row r="102" spans="1:11">
      <c r="A102" s="1">
        <v>45616</v>
      </c>
      <c r="B102">
        <v>57.88</v>
      </c>
      <c r="C102">
        <f t="shared" si="7"/>
        <v>-0.34999999999999432</v>
      </c>
      <c r="D102">
        <f t="shared" si="8"/>
        <v>0</v>
      </c>
      <c r="E102">
        <f t="shared" si="9"/>
        <v>0.34999999999999432</v>
      </c>
      <c r="F102">
        <f t="shared" si="12"/>
        <v>0.59169198770888554</v>
      </c>
      <c r="G102">
        <f t="shared" si="13"/>
        <v>0.4013422574918718</v>
      </c>
      <c r="H102">
        <f t="shared" si="10"/>
        <v>1.4742828014338081</v>
      </c>
      <c r="I102">
        <f t="shared" si="11"/>
        <v>59.58424803258076</v>
      </c>
      <c r="J102">
        <f>30</f>
        <v>30</v>
      </c>
      <c r="K102">
        <v>70</v>
      </c>
    </row>
    <row r="103" spans="1:11">
      <c r="A103" s="1">
        <v>45617</v>
      </c>
      <c r="B103">
        <v>58.23</v>
      </c>
      <c r="C103">
        <f t="shared" si="7"/>
        <v>0.34999999999999432</v>
      </c>
      <c r="D103">
        <f t="shared" si="8"/>
        <v>0.34999999999999432</v>
      </c>
      <c r="E103">
        <f t="shared" si="9"/>
        <v>0</v>
      </c>
      <c r="F103">
        <f t="shared" si="12"/>
        <v>0.57442827430110754</v>
      </c>
      <c r="G103">
        <f t="shared" si="13"/>
        <v>0.37267495338530948</v>
      </c>
      <c r="H103">
        <f t="shared" si="10"/>
        <v>1.5413653884789109</v>
      </c>
      <c r="I103">
        <f t="shared" si="11"/>
        <v>60.651073453135673</v>
      </c>
      <c r="J103">
        <f>30</f>
        <v>30</v>
      </c>
      <c r="K103">
        <v>70</v>
      </c>
    </row>
    <row r="104" spans="1:11">
      <c r="A104" s="1">
        <v>45618</v>
      </c>
      <c r="B104">
        <v>58.87</v>
      </c>
      <c r="C104">
        <f t="shared" si="7"/>
        <v>0.64000000000000057</v>
      </c>
      <c r="D104">
        <f t="shared" si="8"/>
        <v>0.64000000000000057</v>
      </c>
      <c r="E104">
        <f t="shared" si="9"/>
        <v>0</v>
      </c>
      <c r="F104">
        <f t="shared" si="12"/>
        <v>0.57911196899388551</v>
      </c>
      <c r="G104">
        <f t="shared" si="13"/>
        <v>0.34605531385778737</v>
      </c>
      <c r="H104">
        <f t="shared" si="10"/>
        <v>1.6734664829677304</v>
      </c>
      <c r="I104">
        <f t="shared" si="11"/>
        <v>62.595379206327969</v>
      </c>
      <c r="J104">
        <f>30</f>
        <v>30</v>
      </c>
      <c r="K104">
        <v>70</v>
      </c>
    </row>
    <row r="105" spans="1:11">
      <c r="A105" s="1">
        <v>45621</v>
      </c>
      <c r="B105">
        <v>58.78</v>
      </c>
      <c r="C105">
        <f t="shared" si="7"/>
        <v>-8.9999999999996305E-2</v>
      </c>
      <c r="D105">
        <f t="shared" si="8"/>
        <v>0</v>
      </c>
      <c r="E105">
        <f t="shared" si="9"/>
        <v>8.9999999999996305E-2</v>
      </c>
      <c r="F105">
        <f t="shared" si="12"/>
        <v>0.53774682835146514</v>
      </c>
      <c r="G105">
        <f t="shared" si="13"/>
        <v>0.3277656485822309</v>
      </c>
      <c r="H105">
        <f t="shared" si="10"/>
        <v>1.6406442550569893</v>
      </c>
      <c r="I105">
        <f t="shared" si="11"/>
        <v>62.1304536540679</v>
      </c>
      <c r="J105">
        <f>30</f>
        <v>30</v>
      </c>
      <c r="K105">
        <v>70</v>
      </c>
    </row>
    <row r="106" spans="1:11">
      <c r="A106" s="1">
        <v>45622</v>
      </c>
      <c r="B106">
        <v>58.74</v>
      </c>
      <c r="C106">
        <f t="shared" si="7"/>
        <v>-3.9999999999999147E-2</v>
      </c>
      <c r="D106">
        <f t="shared" si="8"/>
        <v>0</v>
      </c>
      <c r="E106">
        <f t="shared" si="9"/>
        <v>3.9999999999999147E-2</v>
      </c>
      <c r="F106">
        <f t="shared" si="12"/>
        <v>0.49933634061207482</v>
      </c>
      <c r="G106">
        <f t="shared" si="13"/>
        <v>0.30721095939778575</v>
      </c>
      <c r="H106">
        <f t="shared" si="10"/>
        <v>1.6253858312571443</v>
      </c>
      <c r="I106">
        <f t="shared" si="11"/>
        <v>61.910360447052533</v>
      </c>
      <c r="J106">
        <f>30</f>
        <v>30</v>
      </c>
      <c r="K106">
        <v>70</v>
      </c>
    </row>
    <row r="107" spans="1:11">
      <c r="A107" s="1">
        <v>45623</v>
      </c>
      <c r="B107">
        <v>59.27</v>
      </c>
      <c r="C107">
        <f t="shared" si="7"/>
        <v>0.53000000000000114</v>
      </c>
      <c r="D107">
        <f t="shared" si="8"/>
        <v>0.53000000000000114</v>
      </c>
      <c r="E107">
        <f t="shared" si="9"/>
        <v>0</v>
      </c>
      <c r="F107">
        <f t="shared" si="12"/>
        <v>0.50152660199692678</v>
      </c>
      <c r="G107">
        <f t="shared" si="13"/>
        <v>0.28526731944080103</v>
      </c>
      <c r="H107">
        <f t="shared" si="10"/>
        <v>1.7580934366405896</v>
      </c>
      <c r="I107">
        <f t="shared" si="11"/>
        <v>63.743070241375904</v>
      </c>
      <c r="J107">
        <f>30</f>
        <v>30</v>
      </c>
      <c r="K107">
        <v>70</v>
      </c>
    </row>
    <row r="108" spans="1:11">
      <c r="A108" s="1">
        <v>45625</v>
      </c>
      <c r="B108">
        <v>59.22</v>
      </c>
      <c r="C108">
        <f t="shared" si="7"/>
        <v>-5.0000000000004263E-2</v>
      </c>
      <c r="D108">
        <f t="shared" si="8"/>
        <v>0</v>
      </c>
      <c r="E108">
        <f t="shared" si="9"/>
        <v>5.0000000000004263E-2</v>
      </c>
      <c r="F108">
        <f t="shared" si="12"/>
        <v>0.4657032732828606</v>
      </c>
      <c r="G108">
        <f t="shared" si="13"/>
        <v>0.26846251090931555</v>
      </c>
      <c r="H108">
        <f t="shared" si="10"/>
        <v>1.7347050495261567</v>
      </c>
      <c r="I108">
        <f t="shared" si="11"/>
        <v>63.432985207188231</v>
      </c>
      <c r="J108">
        <f>30</f>
        <v>30</v>
      </c>
      <c r="K108">
        <v>70</v>
      </c>
    </row>
    <row r="109" spans="1:11">
      <c r="A109" s="1">
        <v>45628</v>
      </c>
      <c r="B109">
        <v>59.94</v>
      </c>
      <c r="C109">
        <f t="shared" si="7"/>
        <v>0.71999999999999886</v>
      </c>
      <c r="D109">
        <f t="shared" si="8"/>
        <v>0.71999999999999886</v>
      </c>
      <c r="E109">
        <f t="shared" si="9"/>
        <v>0</v>
      </c>
      <c r="F109">
        <f t="shared" si="12"/>
        <v>0.48386732519122766</v>
      </c>
      <c r="G109">
        <f t="shared" si="13"/>
        <v>0.24928661727293586</v>
      </c>
      <c r="H109">
        <f t="shared" si="10"/>
        <v>1.9410080271635961</v>
      </c>
      <c r="I109">
        <f t="shared" si="11"/>
        <v>65.998052682486815</v>
      </c>
      <c r="J109">
        <f>30</f>
        <v>30</v>
      </c>
      <c r="K109">
        <v>70</v>
      </c>
    </row>
    <row r="110" spans="1:11">
      <c r="A110" s="1">
        <v>45629</v>
      </c>
      <c r="B110">
        <v>58.69</v>
      </c>
      <c r="C110">
        <f t="shared" si="7"/>
        <v>-1.25</v>
      </c>
      <c r="D110">
        <f t="shared" si="8"/>
        <v>0</v>
      </c>
      <c r="E110">
        <f t="shared" si="9"/>
        <v>1.25</v>
      </c>
      <c r="F110">
        <f t="shared" si="12"/>
        <v>0.44930537339185422</v>
      </c>
      <c r="G110">
        <f t="shared" si="13"/>
        <v>0.32076614461058334</v>
      </c>
      <c r="H110">
        <f t="shared" si="10"/>
        <v>1.4007256717734977</v>
      </c>
      <c r="I110">
        <f t="shared" si="11"/>
        <v>58.345927993460997</v>
      </c>
      <c r="J110">
        <f>30</f>
        <v>30</v>
      </c>
      <c r="K110">
        <v>70</v>
      </c>
    </row>
    <row r="111" spans="1:11">
      <c r="A111" s="1">
        <v>45630</v>
      </c>
      <c r="B111">
        <v>58.37</v>
      </c>
      <c r="C111">
        <f t="shared" si="7"/>
        <v>-0.32000000000000028</v>
      </c>
      <c r="D111">
        <f t="shared" si="8"/>
        <v>0</v>
      </c>
      <c r="E111">
        <f t="shared" si="9"/>
        <v>0.32000000000000028</v>
      </c>
      <c r="F111">
        <f t="shared" si="12"/>
        <v>0.4172121324352932</v>
      </c>
      <c r="G111">
        <f t="shared" si="13"/>
        <v>0.3207114199955417</v>
      </c>
      <c r="H111">
        <f t="shared" si="10"/>
        <v>1.3008957786445303</v>
      </c>
      <c r="I111">
        <f t="shared" si="11"/>
        <v>56.538665971689284</v>
      </c>
      <c r="J111">
        <f>30</f>
        <v>30</v>
      </c>
      <c r="K111">
        <v>70</v>
      </c>
    </row>
    <row r="112" spans="1:11">
      <c r="A112" s="1">
        <v>45631</v>
      </c>
      <c r="B112">
        <v>58.84</v>
      </c>
      <c r="C112">
        <f t="shared" si="7"/>
        <v>0.47000000000000597</v>
      </c>
      <c r="D112">
        <f t="shared" si="8"/>
        <v>0.47000000000000597</v>
      </c>
      <c r="E112">
        <f t="shared" si="9"/>
        <v>0</v>
      </c>
      <c r="F112">
        <f t="shared" si="12"/>
        <v>0.42098269440420127</v>
      </c>
      <c r="G112">
        <f t="shared" si="13"/>
        <v>0.29780346142443159</v>
      </c>
      <c r="H112">
        <f t="shared" si="10"/>
        <v>1.4136259276187988</v>
      </c>
      <c r="I112">
        <f t="shared" si="11"/>
        <v>58.568559089578308</v>
      </c>
      <c r="J112">
        <f>30</f>
        <v>30</v>
      </c>
      <c r="K112">
        <v>70</v>
      </c>
    </row>
    <row r="113" spans="1:11">
      <c r="A113" s="1">
        <v>45632</v>
      </c>
      <c r="B113">
        <v>59.38</v>
      </c>
      <c r="C113">
        <f t="shared" si="7"/>
        <v>0.53999999999999915</v>
      </c>
      <c r="D113">
        <f t="shared" si="8"/>
        <v>0.53999999999999915</v>
      </c>
      <c r="E113">
        <f t="shared" si="9"/>
        <v>0</v>
      </c>
      <c r="F113">
        <f t="shared" si="12"/>
        <v>0.42948393051818684</v>
      </c>
      <c r="G113">
        <f t="shared" si="13"/>
        <v>0.27653178560840075</v>
      </c>
      <c r="H113">
        <f t="shared" si="10"/>
        <v>1.5531087306049622</v>
      </c>
      <c r="I113">
        <f t="shared" si="11"/>
        <v>60.832063749864318</v>
      </c>
      <c r="J113">
        <f>30</f>
        <v>30</v>
      </c>
      <c r="K113">
        <v>70</v>
      </c>
    </row>
    <row r="114" spans="1:11">
      <c r="A114" s="1">
        <v>45635</v>
      </c>
      <c r="B114">
        <v>58.71</v>
      </c>
      <c r="C114">
        <f t="shared" si="7"/>
        <v>-0.67000000000000171</v>
      </c>
      <c r="D114">
        <f t="shared" si="8"/>
        <v>0</v>
      </c>
      <c r="E114">
        <f t="shared" si="9"/>
        <v>0.67000000000000171</v>
      </c>
      <c r="F114">
        <f t="shared" si="12"/>
        <v>0.3988065069097449</v>
      </c>
      <c r="G114">
        <f t="shared" si="13"/>
        <v>0.30463665806494372</v>
      </c>
      <c r="H114">
        <f t="shared" si="10"/>
        <v>1.3091218550090766</v>
      </c>
      <c r="I114">
        <f t="shared" si="11"/>
        <v>56.693493769904613</v>
      </c>
      <c r="J114">
        <f>30</f>
        <v>30</v>
      </c>
      <c r="K114">
        <v>70</v>
      </c>
    </row>
    <row r="115" spans="1:11">
      <c r="A115" s="1">
        <v>45636</v>
      </c>
      <c r="B115">
        <v>58.12</v>
      </c>
      <c r="C115">
        <f t="shared" si="7"/>
        <v>-0.59000000000000341</v>
      </c>
      <c r="D115">
        <f t="shared" si="8"/>
        <v>0</v>
      </c>
      <c r="E115">
        <f t="shared" si="9"/>
        <v>0.59000000000000341</v>
      </c>
      <c r="F115">
        <f t="shared" si="12"/>
        <v>0.37032032784476315</v>
      </c>
      <c r="G115">
        <f t="shared" si="13"/>
        <v>0.32501975391744803</v>
      </c>
      <c r="H115">
        <f t="shared" si="10"/>
        <v>1.1393779097464367</v>
      </c>
      <c r="I115">
        <f t="shared" si="11"/>
        <v>53.257440144433303</v>
      </c>
      <c r="J115">
        <f>30</f>
        <v>30</v>
      </c>
      <c r="K115">
        <v>70</v>
      </c>
    </row>
    <row r="116" spans="1:11">
      <c r="A116" s="1">
        <v>45637</v>
      </c>
      <c r="B116">
        <v>56.65</v>
      </c>
      <c r="C116">
        <f t="shared" si="7"/>
        <v>-1.4699999999999989</v>
      </c>
      <c r="D116">
        <f t="shared" si="8"/>
        <v>0</v>
      </c>
      <c r="E116">
        <f t="shared" si="9"/>
        <v>1.4699999999999989</v>
      </c>
      <c r="F116">
        <f t="shared" si="12"/>
        <v>0.34386887585585152</v>
      </c>
      <c r="G116">
        <f t="shared" si="13"/>
        <v>0.40680405720905882</v>
      </c>
      <c r="H116">
        <f t="shared" si="10"/>
        <v>0.84529362419592446</v>
      </c>
      <c r="I116">
        <f t="shared" si="11"/>
        <v>45.80808241638271</v>
      </c>
      <c r="J116">
        <f>30</f>
        <v>30</v>
      </c>
      <c r="K116">
        <v>70</v>
      </c>
    </row>
    <row r="117" spans="1:11">
      <c r="A117" s="1">
        <v>45638</v>
      </c>
      <c r="B117">
        <v>56.28</v>
      </c>
      <c r="C117">
        <f t="shared" si="7"/>
        <v>-0.36999999999999744</v>
      </c>
      <c r="D117">
        <f t="shared" si="8"/>
        <v>0</v>
      </c>
      <c r="E117">
        <f t="shared" si="9"/>
        <v>0.36999999999999744</v>
      </c>
      <c r="F117">
        <f t="shared" si="12"/>
        <v>0.31930681329471927</v>
      </c>
      <c r="G117">
        <f t="shared" si="13"/>
        <v>0.4041751959798402</v>
      </c>
      <c r="H117">
        <f t="shared" si="10"/>
        <v>0.79002080402441599</v>
      </c>
      <c r="I117">
        <f t="shared" si="11"/>
        <v>44.134727498599517</v>
      </c>
      <c r="J117">
        <f>30</f>
        <v>30</v>
      </c>
      <c r="K117">
        <v>70</v>
      </c>
    </row>
    <row r="118" spans="1:11">
      <c r="A118" s="1">
        <v>45639</v>
      </c>
      <c r="B118">
        <v>55.78</v>
      </c>
      <c r="C118">
        <f t="shared" si="7"/>
        <v>-0.5</v>
      </c>
      <c r="D118">
        <f t="shared" si="8"/>
        <v>0</v>
      </c>
      <c r="E118">
        <f t="shared" si="9"/>
        <v>0.5</v>
      </c>
      <c r="F118">
        <f t="shared" si="12"/>
        <v>0.29649918377366785</v>
      </c>
      <c r="G118">
        <f t="shared" si="13"/>
        <v>0.41101982483842303</v>
      </c>
      <c r="H118">
        <f t="shared" si="10"/>
        <v>0.72137441032248351</v>
      </c>
      <c r="I118">
        <f t="shared" si="11"/>
        <v>41.906885916082643</v>
      </c>
      <c r="J118">
        <f>30</f>
        <v>30</v>
      </c>
      <c r="K118">
        <v>70</v>
      </c>
    </row>
    <row r="119" spans="1:11">
      <c r="A119" s="1">
        <v>45642</v>
      </c>
      <c r="B119">
        <v>55.87</v>
      </c>
      <c r="C119">
        <f t="shared" si="7"/>
        <v>8.9999999999996305E-2</v>
      </c>
      <c r="D119">
        <f t="shared" si="8"/>
        <v>8.9999999999996305E-2</v>
      </c>
      <c r="E119">
        <f t="shared" si="9"/>
        <v>0</v>
      </c>
      <c r="F119">
        <f t="shared" si="12"/>
        <v>0.28174924207554847</v>
      </c>
      <c r="G119">
        <f t="shared" si="13"/>
        <v>0.38166126592139282</v>
      </c>
      <c r="H119">
        <f t="shared" si="10"/>
        <v>0.7382180672575186</v>
      </c>
      <c r="I119">
        <f t="shared" si="11"/>
        <v>42.469819015415332</v>
      </c>
      <c r="J119">
        <f>30</f>
        <v>30</v>
      </c>
      <c r="K119">
        <v>70</v>
      </c>
    </row>
    <row r="120" spans="1:11">
      <c r="A120" s="1">
        <v>45643</v>
      </c>
      <c r="B120">
        <v>57.65</v>
      </c>
      <c r="C120">
        <f t="shared" si="7"/>
        <v>1.7800000000000011</v>
      </c>
      <c r="D120">
        <f t="shared" si="8"/>
        <v>1.7800000000000011</v>
      </c>
      <c r="E120">
        <f t="shared" si="9"/>
        <v>0</v>
      </c>
      <c r="F120">
        <f t="shared" si="12"/>
        <v>0.38876715335586648</v>
      </c>
      <c r="G120">
        <f t="shared" si="13"/>
        <v>0.35439974692700765</v>
      </c>
      <c r="H120">
        <f t="shared" si="10"/>
        <v>1.0969735636858036</v>
      </c>
      <c r="I120">
        <f t="shared" si="11"/>
        <v>52.312226662394238</v>
      </c>
      <c r="J120">
        <f>30</f>
        <v>30</v>
      </c>
      <c r="K120">
        <v>70</v>
      </c>
    </row>
    <row r="121" spans="1:11">
      <c r="A121" s="1">
        <v>45644</v>
      </c>
      <c r="B121">
        <v>56.84</v>
      </c>
      <c r="C121">
        <f t="shared" si="7"/>
        <v>-0.80999999999999517</v>
      </c>
      <c r="D121">
        <f t="shared" si="8"/>
        <v>0</v>
      </c>
      <c r="E121">
        <f t="shared" si="9"/>
        <v>0.80999999999999517</v>
      </c>
      <c r="F121">
        <f t="shared" si="12"/>
        <v>0.36099807097330455</v>
      </c>
      <c r="G121">
        <f t="shared" si="13"/>
        <v>0.38694262214650677</v>
      </c>
      <c r="H121">
        <f t="shared" si="10"/>
        <v>0.93294987502467763</v>
      </c>
      <c r="I121">
        <f t="shared" si="11"/>
        <v>48.265601042177401</v>
      </c>
      <c r="J121">
        <f>30</f>
        <v>30</v>
      </c>
      <c r="K121">
        <v>70</v>
      </c>
    </row>
    <row r="122" spans="1:11">
      <c r="A122" s="1">
        <v>45645</v>
      </c>
      <c r="B122">
        <v>56.3</v>
      </c>
      <c r="C122">
        <f t="shared" si="7"/>
        <v>-0.54000000000000625</v>
      </c>
      <c r="D122">
        <f t="shared" si="8"/>
        <v>0</v>
      </c>
      <c r="E122">
        <f t="shared" si="9"/>
        <v>0.54000000000000625</v>
      </c>
      <c r="F122">
        <f t="shared" si="12"/>
        <v>0.33521249447521134</v>
      </c>
      <c r="G122">
        <f t="shared" si="13"/>
        <v>0.39787529199318528</v>
      </c>
      <c r="H122">
        <f t="shared" si="10"/>
        <v>0.84250643661721214</v>
      </c>
      <c r="I122">
        <f t="shared" si="11"/>
        <v>45.726105476409039</v>
      </c>
      <c r="J122">
        <f>30</f>
        <v>30</v>
      </c>
      <c r="K122">
        <v>70</v>
      </c>
    </row>
    <row r="123" spans="1:11">
      <c r="A123" s="1">
        <v>45646</v>
      </c>
      <c r="B123">
        <v>57.33</v>
      </c>
      <c r="C123">
        <f t="shared" si="7"/>
        <v>1.0300000000000011</v>
      </c>
      <c r="D123">
        <f t="shared" si="8"/>
        <v>1.0300000000000011</v>
      </c>
      <c r="E123">
        <f t="shared" si="9"/>
        <v>0</v>
      </c>
      <c r="F123">
        <f t="shared" si="12"/>
        <v>0.38484017344126775</v>
      </c>
      <c r="G123">
        <f t="shared" si="13"/>
        <v>0.36945562827938633</v>
      </c>
      <c r="H123">
        <f t="shared" si="10"/>
        <v>1.0416411173204472</v>
      </c>
      <c r="I123">
        <f t="shared" si="11"/>
        <v>51.019795226672819</v>
      </c>
      <c r="J123">
        <f>30</f>
        <v>30</v>
      </c>
      <c r="K123">
        <v>70</v>
      </c>
    </row>
    <row r="124" spans="1:11">
      <c r="A124" s="1">
        <v>45649</v>
      </c>
      <c r="B124">
        <v>57.58</v>
      </c>
      <c r="C124">
        <f t="shared" si="7"/>
        <v>0.25</v>
      </c>
      <c r="D124">
        <f t="shared" si="8"/>
        <v>0.25</v>
      </c>
      <c r="E124">
        <f t="shared" si="9"/>
        <v>0</v>
      </c>
      <c r="F124">
        <f t="shared" si="12"/>
        <v>0.3752087324811772</v>
      </c>
      <c r="G124">
        <f t="shared" si="13"/>
        <v>0.34306594054514444</v>
      </c>
      <c r="H124">
        <f t="shared" si="10"/>
        <v>1.0936927515595301</v>
      </c>
      <c r="I124">
        <f t="shared" si="11"/>
        <v>52.237500022143678</v>
      </c>
      <c r="J124">
        <f>30</f>
        <v>30</v>
      </c>
      <c r="K124">
        <v>70</v>
      </c>
    </row>
    <row r="125" spans="1:11">
      <c r="A125" s="1">
        <v>45650</v>
      </c>
      <c r="B125">
        <v>57.76</v>
      </c>
      <c r="C125">
        <f t="shared" si="7"/>
        <v>0.17999999999999972</v>
      </c>
      <c r="D125">
        <f t="shared" si="8"/>
        <v>0.17999999999999972</v>
      </c>
      <c r="E125">
        <f t="shared" si="9"/>
        <v>0</v>
      </c>
      <c r="F125">
        <f t="shared" si="12"/>
        <v>0.36126525158966455</v>
      </c>
      <c r="G125">
        <f t="shared" si="13"/>
        <v>0.31856123050620555</v>
      </c>
      <c r="H125">
        <f t="shared" si="10"/>
        <v>1.1340527879541422</v>
      </c>
      <c r="I125">
        <f t="shared" si="11"/>
        <v>53.140802999598129</v>
      </c>
      <c r="J125">
        <f>30</f>
        <v>30</v>
      </c>
      <c r="K125">
        <v>70</v>
      </c>
    </row>
    <row r="126" spans="1:11">
      <c r="A126" s="1">
        <v>45652</v>
      </c>
      <c r="B126">
        <v>58</v>
      </c>
      <c r="C126">
        <f t="shared" si="7"/>
        <v>0.24000000000000199</v>
      </c>
      <c r="D126">
        <f t="shared" si="8"/>
        <v>0.24000000000000199</v>
      </c>
      <c r="E126">
        <f t="shared" si="9"/>
        <v>0</v>
      </c>
      <c r="F126">
        <f t="shared" si="12"/>
        <v>0.35260344790468867</v>
      </c>
      <c r="G126">
        <f t="shared" si="13"/>
        <v>0.29580685689861941</v>
      </c>
      <c r="H126">
        <f t="shared" si="10"/>
        <v>1.1920056607258935</v>
      </c>
      <c r="I126">
        <f t="shared" si="11"/>
        <v>54.379679855897585</v>
      </c>
      <c r="J126">
        <f>30</f>
        <v>30</v>
      </c>
      <c r="K126">
        <v>70</v>
      </c>
    </row>
    <row r="127" spans="1:11">
      <c r="A127" s="1">
        <v>45653</v>
      </c>
      <c r="B127">
        <v>57.68</v>
      </c>
      <c r="C127">
        <f t="shared" si="7"/>
        <v>-0.32000000000000028</v>
      </c>
      <c r="D127">
        <f t="shared" si="8"/>
        <v>0</v>
      </c>
      <c r="E127">
        <f t="shared" si="9"/>
        <v>0.32000000000000028</v>
      </c>
      <c r="F127">
        <f t="shared" si="12"/>
        <v>0.32741748734006804</v>
      </c>
      <c r="G127">
        <f t="shared" si="13"/>
        <v>0.29753493854871804</v>
      </c>
      <c r="H127">
        <f t="shared" si="10"/>
        <v>1.100433747166325</v>
      </c>
      <c r="I127">
        <f t="shared" si="11"/>
        <v>52.390785886529848</v>
      </c>
      <c r="J127">
        <f>30</f>
        <v>30</v>
      </c>
      <c r="K127">
        <v>70</v>
      </c>
    </row>
    <row r="128" spans="1:11">
      <c r="A128" s="1">
        <v>45656</v>
      </c>
      <c r="B128">
        <v>56.06</v>
      </c>
      <c r="C128">
        <f t="shared" si="7"/>
        <v>-1.6199999999999974</v>
      </c>
      <c r="D128">
        <f t="shared" si="8"/>
        <v>0</v>
      </c>
      <c r="E128">
        <f t="shared" si="9"/>
        <v>1.6199999999999974</v>
      </c>
      <c r="F128">
        <f t="shared" si="12"/>
        <v>0.30403052395863461</v>
      </c>
      <c r="G128">
        <f t="shared" si="13"/>
        <v>0.39199672865238089</v>
      </c>
      <c r="H128">
        <f t="shared" si="10"/>
        <v>0.77559454387244675</v>
      </c>
      <c r="I128">
        <f t="shared" si="11"/>
        <v>43.680836176761936</v>
      </c>
      <c r="J128">
        <f>30</f>
        <v>30</v>
      </c>
      <c r="K128">
        <v>70</v>
      </c>
    </row>
    <row r="129" spans="1:11">
      <c r="A129" s="1">
        <v>45657</v>
      </c>
      <c r="B129">
        <v>56.56</v>
      </c>
      <c r="C129">
        <f t="shared" si="7"/>
        <v>0.5</v>
      </c>
      <c r="D129">
        <f t="shared" si="8"/>
        <v>0.5</v>
      </c>
      <c r="E129">
        <f t="shared" si="9"/>
        <v>0</v>
      </c>
      <c r="F129">
        <f t="shared" si="12"/>
        <v>0.31802834367587501</v>
      </c>
      <c r="G129">
        <f t="shared" si="13"/>
        <v>0.36399696232006795</v>
      </c>
      <c r="H129">
        <f t="shared" si="10"/>
        <v>0.87371153223039255</v>
      </c>
      <c r="I129">
        <f t="shared" si="11"/>
        <v>46.629991714378825</v>
      </c>
      <c r="J129">
        <f>30</f>
        <v>30</v>
      </c>
      <c r="K129">
        <v>70</v>
      </c>
    </row>
    <row r="130" spans="1:11">
      <c r="A130" s="1">
        <v>45659</v>
      </c>
      <c r="B130">
        <v>56.79</v>
      </c>
      <c r="C130">
        <f t="shared" si="7"/>
        <v>0.22999999999999687</v>
      </c>
      <c r="D130">
        <f t="shared" si="8"/>
        <v>0.22999999999999687</v>
      </c>
      <c r="E130">
        <f t="shared" si="9"/>
        <v>0</v>
      </c>
      <c r="F130">
        <f t="shared" si="12"/>
        <v>0.31174060484188371</v>
      </c>
      <c r="G130">
        <f t="shared" si="13"/>
        <v>0.33799717929720596</v>
      </c>
      <c r="H130">
        <f t="shared" si="10"/>
        <v>0.92231717877078956</v>
      </c>
      <c r="I130">
        <f t="shared" si="11"/>
        <v>47.979448394700292</v>
      </c>
      <c r="J130">
        <f>30</f>
        <v>30</v>
      </c>
      <c r="K130">
        <v>70</v>
      </c>
    </row>
    <row r="131" spans="1:11">
      <c r="A131" s="1">
        <v>45660</v>
      </c>
      <c r="B131">
        <v>56.57</v>
      </c>
      <c r="C131">
        <f t="shared" si="7"/>
        <v>-0.21999999999999886</v>
      </c>
      <c r="D131">
        <f t="shared" si="8"/>
        <v>0</v>
      </c>
      <c r="E131">
        <f t="shared" si="9"/>
        <v>0.21999999999999886</v>
      </c>
      <c r="F131">
        <f t="shared" si="12"/>
        <v>0.2894734187817492</v>
      </c>
      <c r="G131">
        <f t="shared" si="13"/>
        <v>0.32956880934740546</v>
      </c>
      <c r="H131">
        <f t="shared" si="10"/>
        <v>0.87833985065197462</v>
      </c>
      <c r="I131">
        <f t="shared" si="11"/>
        <v>46.761497944426914</v>
      </c>
      <c r="J131">
        <f>30</f>
        <v>30</v>
      </c>
      <c r="K131">
        <v>70</v>
      </c>
    </row>
    <row r="132" spans="1:11">
      <c r="A132" s="1">
        <v>45663</v>
      </c>
      <c r="B132">
        <v>56.68</v>
      </c>
      <c r="C132">
        <f t="shared" ref="C132:C189" si="14">B132-B131</f>
        <v>0.10999999999999943</v>
      </c>
      <c r="D132">
        <f t="shared" ref="D132:D189" si="15">IF(C132&gt;0,C132,0)</f>
        <v>0.10999999999999943</v>
      </c>
      <c r="E132">
        <f t="shared" ref="E132:E189" si="16">IF(C132&lt;0,-C132,0)</f>
        <v>0</v>
      </c>
      <c r="F132">
        <f t="shared" si="12"/>
        <v>0.27665388886876707</v>
      </c>
      <c r="G132">
        <f t="shared" si="13"/>
        <v>0.30602818010830507</v>
      </c>
      <c r="H132">
        <f t="shared" si="10"/>
        <v>0.90401442367450513</v>
      </c>
      <c r="I132">
        <f t="shared" si="11"/>
        <v>47.479389464386124</v>
      </c>
      <c r="J132">
        <f>30</f>
        <v>30</v>
      </c>
      <c r="K132">
        <v>70</v>
      </c>
    </row>
    <row r="133" spans="1:11">
      <c r="A133" s="1">
        <v>45664</v>
      </c>
      <c r="B133">
        <v>57.14</v>
      </c>
      <c r="C133">
        <f t="shared" si="14"/>
        <v>0.46000000000000085</v>
      </c>
      <c r="D133">
        <f t="shared" si="15"/>
        <v>0.46000000000000085</v>
      </c>
      <c r="E133">
        <f t="shared" si="16"/>
        <v>0</v>
      </c>
      <c r="F133">
        <f t="shared" si="12"/>
        <v>0.28975003966385515</v>
      </c>
      <c r="G133">
        <f t="shared" si="13"/>
        <v>0.28416902438628328</v>
      </c>
      <c r="H133">
        <f t="shared" si="10"/>
        <v>1.0196397735102378</v>
      </c>
      <c r="I133">
        <f t="shared" si="11"/>
        <v>50.486219715214432</v>
      </c>
      <c r="J133">
        <f>30</f>
        <v>30</v>
      </c>
      <c r="K133">
        <v>70</v>
      </c>
    </row>
    <row r="134" spans="1:11">
      <c r="A134" s="1">
        <v>45665</v>
      </c>
      <c r="B134">
        <v>56.81</v>
      </c>
      <c r="C134">
        <f t="shared" si="14"/>
        <v>-0.32999999999999829</v>
      </c>
      <c r="D134">
        <f t="shared" si="15"/>
        <v>0</v>
      </c>
      <c r="E134">
        <f t="shared" si="16"/>
        <v>0.32999999999999829</v>
      </c>
      <c r="F134">
        <f t="shared" si="12"/>
        <v>0.26905360825929409</v>
      </c>
      <c r="G134">
        <f t="shared" si="13"/>
        <v>0.28744266550154862</v>
      </c>
      <c r="H134">
        <f t="shared" si="10"/>
        <v>0.93602530365431968</v>
      </c>
      <c r="I134">
        <f t="shared" si="11"/>
        <v>48.347782536082413</v>
      </c>
      <c r="J134">
        <f>30</f>
        <v>30</v>
      </c>
      <c r="K134">
        <v>70</v>
      </c>
    </row>
    <row r="135" spans="1:11">
      <c r="A135" s="1">
        <v>45667</v>
      </c>
      <c r="B135">
        <v>55.83</v>
      </c>
      <c r="C135">
        <f t="shared" si="14"/>
        <v>-0.98000000000000398</v>
      </c>
      <c r="D135">
        <f t="shared" si="15"/>
        <v>0</v>
      </c>
      <c r="E135">
        <f t="shared" si="16"/>
        <v>0.98000000000000398</v>
      </c>
      <c r="F135">
        <f t="shared" si="12"/>
        <v>0.24983549338363023</v>
      </c>
      <c r="G135">
        <f t="shared" si="13"/>
        <v>0.33691104653715254</v>
      </c>
      <c r="H135">
        <f t="shared" si="10"/>
        <v>0.74154734892635787</v>
      </c>
      <c r="I135">
        <f t="shared" si="11"/>
        <v>42.579798326098484</v>
      </c>
      <c r="J135">
        <f>30</f>
        <v>30</v>
      </c>
      <c r="K135">
        <v>70</v>
      </c>
    </row>
    <row r="136" spans="1:11">
      <c r="A136" s="1">
        <v>45670</v>
      </c>
      <c r="B136">
        <v>55.36</v>
      </c>
      <c r="C136">
        <f t="shared" si="14"/>
        <v>-0.46999999999999886</v>
      </c>
      <c r="D136">
        <f t="shared" si="15"/>
        <v>0</v>
      </c>
      <c r="E136">
        <f t="shared" si="16"/>
        <v>0.46999999999999886</v>
      </c>
      <c r="F136">
        <f t="shared" si="12"/>
        <v>0.23199010099908521</v>
      </c>
      <c r="G136">
        <f t="shared" si="13"/>
        <v>0.34641740035592727</v>
      </c>
      <c r="H136">
        <f t="shared" si="10"/>
        <v>0.66968374210050219</v>
      </c>
      <c r="I136">
        <f t="shared" si="11"/>
        <v>40.108418451629888</v>
      </c>
      <c r="J136">
        <f>30</f>
        <v>30</v>
      </c>
      <c r="K136">
        <v>70</v>
      </c>
    </row>
    <row r="137" spans="1:11">
      <c r="A137" s="1">
        <v>45671</v>
      </c>
      <c r="B137">
        <v>55.74</v>
      </c>
      <c r="C137">
        <f t="shared" si="14"/>
        <v>0.38000000000000256</v>
      </c>
      <c r="D137">
        <f t="shared" si="15"/>
        <v>0.38000000000000256</v>
      </c>
      <c r="E137">
        <f t="shared" si="16"/>
        <v>0</v>
      </c>
      <c r="F137">
        <f t="shared" si="12"/>
        <v>0.24256223664200788</v>
      </c>
      <c r="G137">
        <f t="shared" si="13"/>
        <v>0.32167330033050384</v>
      </c>
      <c r="H137">
        <f t="shared" si="10"/>
        <v>0.75406394124966802</v>
      </c>
      <c r="I137">
        <f t="shared" si="11"/>
        <v>42.989535530411821</v>
      </c>
      <c r="J137">
        <f>30</f>
        <v>30</v>
      </c>
      <c r="K137">
        <v>70</v>
      </c>
    </row>
    <row r="138" spans="1:11">
      <c r="A138" s="1">
        <v>45672</v>
      </c>
      <c r="B138">
        <v>55.91</v>
      </c>
      <c r="C138">
        <f t="shared" si="14"/>
        <v>0.1699999999999946</v>
      </c>
      <c r="D138">
        <f t="shared" si="15"/>
        <v>0.1699999999999946</v>
      </c>
      <c r="E138">
        <f t="shared" si="16"/>
        <v>0</v>
      </c>
      <c r="F138">
        <f t="shared" si="12"/>
        <v>0.23737921973900694</v>
      </c>
      <c r="G138">
        <f t="shared" si="13"/>
        <v>0.29869663602118213</v>
      </c>
      <c r="H138">
        <f t="shared" si="10"/>
        <v>0.79471674974663309</v>
      </c>
      <c r="I138">
        <f t="shared" si="11"/>
        <v>44.280901142691526</v>
      </c>
      <c r="J138">
        <f>30</f>
        <v>30</v>
      </c>
      <c r="K138">
        <v>70</v>
      </c>
    </row>
    <row r="139" spans="1:11">
      <c r="A139" s="1">
        <v>45673</v>
      </c>
      <c r="B139">
        <v>56.38</v>
      </c>
      <c r="C139">
        <f t="shared" si="14"/>
        <v>0.47000000000000597</v>
      </c>
      <c r="D139">
        <f t="shared" si="15"/>
        <v>0.47000000000000597</v>
      </c>
      <c r="E139">
        <f t="shared" si="16"/>
        <v>0</v>
      </c>
      <c r="F139">
        <f t="shared" si="12"/>
        <v>0.25399498975764973</v>
      </c>
      <c r="G139">
        <f t="shared" si="13"/>
        <v>0.27736116201966909</v>
      </c>
      <c r="H139">
        <f t="shared" si="10"/>
        <v>0.91575542843895952</v>
      </c>
      <c r="I139">
        <f t="shared" si="11"/>
        <v>47.801270185367905</v>
      </c>
      <c r="J139">
        <f>30</f>
        <v>30</v>
      </c>
      <c r="K139">
        <v>70</v>
      </c>
    </row>
    <row r="140" spans="1:11">
      <c r="A140" s="1">
        <v>45674</v>
      </c>
      <c r="B140">
        <v>56.29</v>
      </c>
      <c r="C140">
        <f t="shared" si="14"/>
        <v>-9.0000000000003411E-2</v>
      </c>
      <c r="D140">
        <f t="shared" si="15"/>
        <v>0</v>
      </c>
      <c r="E140">
        <f t="shared" si="16"/>
        <v>9.0000000000003411E-2</v>
      </c>
      <c r="F140">
        <f t="shared" si="12"/>
        <v>0.2358524904892462</v>
      </c>
      <c r="G140">
        <f t="shared" si="13"/>
        <v>0.26397822187540726</v>
      </c>
      <c r="H140">
        <f t="shared" si="10"/>
        <v>0.89345434942949242</v>
      </c>
      <c r="I140">
        <f t="shared" si="11"/>
        <v>47.186474271148647</v>
      </c>
      <c r="J140">
        <f>30</f>
        <v>30</v>
      </c>
      <c r="K140">
        <v>70</v>
      </c>
    </row>
    <row r="141" spans="1:11">
      <c r="A141" s="1">
        <v>45678</v>
      </c>
      <c r="B141">
        <v>57.04</v>
      </c>
      <c r="C141">
        <f t="shared" si="14"/>
        <v>0.75</v>
      </c>
      <c r="D141">
        <f t="shared" si="15"/>
        <v>0.75</v>
      </c>
      <c r="E141">
        <f t="shared" si="16"/>
        <v>0</v>
      </c>
      <c r="F141">
        <f t="shared" si="12"/>
        <v>0.27257731259715717</v>
      </c>
      <c r="G141">
        <f t="shared" si="13"/>
        <v>0.24512263459859246</v>
      </c>
      <c r="H141">
        <f t="shared" si="10"/>
        <v>1.112003846741954</v>
      </c>
      <c r="I141">
        <f t="shared" si="11"/>
        <v>52.651601390658797</v>
      </c>
      <c r="J141">
        <f>30</f>
        <v>30</v>
      </c>
      <c r="K141">
        <v>70</v>
      </c>
    </row>
    <row r="142" spans="1:11">
      <c r="A142" s="1">
        <v>45679</v>
      </c>
      <c r="B142">
        <v>57.09</v>
      </c>
      <c r="C142">
        <f t="shared" si="14"/>
        <v>5.0000000000004263E-2</v>
      </c>
      <c r="D142">
        <f t="shared" si="15"/>
        <v>5.0000000000004263E-2</v>
      </c>
      <c r="E142">
        <f t="shared" si="16"/>
        <v>0</v>
      </c>
      <c r="F142">
        <f t="shared" si="12"/>
        <v>0.25667893312593199</v>
      </c>
      <c r="G142">
        <f t="shared" si="13"/>
        <v>0.22761387498440727</v>
      </c>
      <c r="H142">
        <f t="shared" si="10"/>
        <v>1.1276945798823372</v>
      </c>
      <c r="I142">
        <f t="shared" si="11"/>
        <v>53.000773256878787</v>
      </c>
      <c r="J142">
        <f>30</f>
        <v>30</v>
      </c>
      <c r="K142">
        <v>70</v>
      </c>
    </row>
    <row r="143" spans="1:11">
      <c r="A143" s="1">
        <v>45680</v>
      </c>
      <c r="B143">
        <v>59.14</v>
      </c>
      <c r="C143">
        <f t="shared" si="14"/>
        <v>2.0499999999999972</v>
      </c>
      <c r="D143">
        <f t="shared" si="15"/>
        <v>2.0499999999999972</v>
      </c>
      <c r="E143">
        <f t="shared" si="16"/>
        <v>0</v>
      </c>
      <c r="F143">
        <f t="shared" si="12"/>
        <v>0.38477329504550806</v>
      </c>
      <c r="G143">
        <f t="shared" si="13"/>
        <v>0.2113557410569496</v>
      </c>
      <c r="H143">
        <f t="shared" si="10"/>
        <v>1.8205007970038121</v>
      </c>
      <c r="I143">
        <f t="shared" si="11"/>
        <v>64.545303406320983</v>
      </c>
      <c r="J143">
        <f>30</f>
        <v>30</v>
      </c>
      <c r="K143">
        <v>70</v>
      </c>
    </row>
    <row r="144" spans="1:11">
      <c r="A144" s="1">
        <v>45681</v>
      </c>
      <c r="B144">
        <v>59.67</v>
      </c>
      <c r="C144">
        <f t="shared" si="14"/>
        <v>0.53000000000000114</v>
      </c>
      <c r="D144">
        <f t="shared" si="15"/>
        <v>0.53000000000000114</v>
      </c>
      <c r="E144">
        <f t="shared" si="16"/>
        <v>0</v>
      </c>
      <c r="F144">
        <f t="shared" si="12"/>
        <v>0.39514663111368614</v>
      </c>
      <c r="G144">
        <f t="shared" si="13"/>
        <v>0.19625890241002461</v>
      </c>
      <c r="H144">
        <f t="shared" si="10"/>
        <v>2.013394685598235</v>
      </c>
      <c r="I144">
        <f t="shared" si="11"/>
        <v>66.814834950786576</v>
      </c>
      <c r="J144">
        <f>30</f>
        <v>30</v>
      </c>
      <c r="K144">
        <v>70</v>
      </c>
    </row>
    <row r="145" spans="1:11">
      <c r="A145" s="1">
        <v>45684</v>
      </c>
      <c r="B145">
        <v>60.6</v>
      </c>
      <c r="C145">
        <f t="shared" si="14"/>
        <v>0.92999999999999972</v>
      </c>
      <c r="D145">
        <f t="shared" si="15"/>
        <v>0.92999999999999972</v>
      </c>
      <c r="E145">
        <f t="shared" si="16"/>
        <v>0</v>
      </c>
      <c r="F145">
        <f t="shared" si="12"/>
        <v>0.43335044317699423</v>
      </c>
      <c r="G145">
        <f t="shared" si="13"/>
        <v>0.18224040938073713</v>
      </c>
      <c r="H145">
        <f t="shared" ref="H145:H189" si="17">F145/G145</f>
        <v>2.377905343000176</v>
      </c>
      <c r="I145">
        <f t="shared" ref="I145:I189" si="18">IF(H145=0,100,100-(100/(1+H145)))</f>
        <v>70.395854872835969</v>
      </c>
      <c r="J145">
        <f>30</f>
        <v>30</v>
      </c>
      <c r="K145">
        <v>70</v>
      </c>
    </row>
    <row r="146" spans="1:11">
      <c r="A146" s="1">
        <v>45685</v>
      </c>
      <c r="B146">
        <v>58.76</v>
      </c>
      <c r="C146">
        <f t="shared" si="14"/>
        <v>-1.8400000000000034</v>
      </c>
      <c r="D146">
        <f t="shared" si="15"/>
        <v>0</v>
      </c>
      <c r="E146">
        <f t="shared" si="16"/>
        <v>1.8400000000000034</v>
      </c>
      <c r="F146">
        <f t="shared" ref="F146:F189" si="19">((F145*13)+D146)/14</f>
        <v>0.4023968400929232</v>
      </c>
      <c r="G146">
        <f t="shared" ref="G146:G189" si="20">((G145*13)+E146)/14</f>
        <v>0.3006518087106847</v>
      </c>
      <c r="H146">
        <f t="shared" si="17"/>
        <v>1.3384148321560476</v>
      </c>
      <c r="I146">
        <f t="shared" si="18"/>
        <v>57.235987975752465</v>
      </c>
      <c r="J146">
        <f>30</f>
        <v>30</v>
      </c>
      <c r="K146">
        <v>70</v>
      </c>
    </row>
    <row r="147" spans="1:11">
      <c r="A147" s="1">
        <v>45686</v>
      </c>
      <c r="B147">
        <v>59.05</v>
      </c>
      <c r="C147">
        <f t="shared" si="14"/>
        <v>0.28999999999999915</v>
      </c>
      <c r="D147">
        <f t="shared" si="15"/>
        <v>0.28999999999999915</v>
      </c>
      <c r="E147">
        <f t="shared" si="16"/>
        <v>0</v>
      </c>
      <c r="F147">
        <f t="shared" si="19"/>
        <v>0.394368494372</v>
      </c>
      <c r="G147">
        <f t="shared" si="20"/>
        <v>0.27917667951706437</v>
      </c>
      <c r="H147">
        <f t="shared" si="17"/>
        <v>1.4126125973494668</v>
      </c>
      <c r="I147">
        <f t="shared" si="18"/>
        <v>58.551157318061954</v>
      </c>
      <c r="J147">
        <f>30</f>
        <v>30</v>
      </c>
      <c r="K147">
        <v>70</v>
      </c>
    </row>
    <row r="148" spans="1:11">
      <c r="A148" s="1">
        <v>45687</v>
      </c>
      <c r="B148">
        <v>59.14</v>
      </c>
      <c r="C148">
        <f t="shared" si="14"/>
        <v>9.0000000000003411E-2</v>
      </c>
      <c r="D148">
        <f t="shared" si="15"/>
        <v>9.0000000000003411E-2</v>
      </c>
      <c r="E148">
        <f t="shared" si="16"/>
        <v>0</v>
      </c>
      <c r="F148">
        <f t="shared" si="19"/>
        <v>0.37262788763114313</v>
      </c>
      <c r="G148">
        <f t="shared" si="20"/>
        <v>0.25923548812298836</v>
      </c>
      <c r="H148">
        <f t="shared" si="17"/>
        <v>1.4374107894300272</v>
      </c>
      <c r="I148">
        <f t="shared" si="18"/>
        <v>58.972857413425842</v>
      </c>
      <c r="J148">
        <f>30</f>
        <v>30</v>
      </c>
      <c r="K148">
        <v>70</v>
      </c>
    </row>
    <row r="149" spans="1:11">
      <c r="A149" s="1">
        <v>45688</v>
      </c>
      <c r="B149">
        <v>58.95</v>
      </c>
      <c r="C149">
        <f t="shared" si="14"/>
        <v>-0.18999999999999773</v>
      </c>
      <c r="D149">
        <f t="shared" si="15"/>
        <v>0</v>
      </c>
      <c r="E149">
        <f t="shared" si="16"/>
        <v>0.18999999999999773</v>
      </c>
      <c r="F149">
        <f t="shared" si="19"/>
        <v>0.34601160994320435</v>
      </c>
      <c r="G149">
        <f t="shared" si="20"/>
        <v>0.25429009611420333</v>
      </c>
      <c r="H149">
        <f t="shared" si="17"/>
        <v>1.3606963669863426</v>
      </c>
      <c r="I149">
        <f t="shared" si="18"/>
        <v>57.639617954061713</v>
      </c>
      <c r="J149">
        <f>30</f>
        <v>30</v>
      </c>
      <c r="K149">
        <v>70</v>
      </c>
    </row>
    <row r="150" spans="1:11">
      <c r="A150" s="1">
        <v>45691</v>
      </c>
      <c r="B150">
        <v>59.95</v>
      </c>
      <c r="C150">
        <f t="shared" si="14"/>
        <v>1</v>
      </c>
      <c r="D150">
        <f t="shared" si="15"/>
        <v>1</v>
      </c>
      <c r="E150">
        <f t="shared" si="16"/>
        <v>0</v>
      </c>
      <c r="F150">
        <f t="shared" si="19"/>
        <v>0.39272506637583265</v>
      </c>
      <c r="G150">
        <f t="shared" si="20"/>
        <v>0.23612651782033164</v>
      </c>
      <c r="H150">
        <f t="shared" si="17"/>
        <v>1.6631976365935173</v>
      </c>
      <c r="I150">
        <f t="shared" si="18"/>
        <v>62.451153220491179</v>
      </c>
      <c r="J150">
        <f>30</f>
        <v>30</v>
      </c>
      <c r="K150">
        <v>70</v>
      </c>
    </row>
    <row r="151" spans="1:11">
      <c r="A151" s="1">
        <v>45692</v>
      </c>
      <c r="B151">
        <v>59.12</v>
      </c>
      <c r="C151">
        <f t="shared" si="14"/>
        <v>-0.8300000000000054</v>
      </c>
      <c r="D151">
        <f t="shared" si="15"/>
        <v>0</v>
      </c>
      <c r="E151">
        <f t="shared" si="16"/>
        <v>0.8300000000000054</v>
      </c>
      <c r="F151">
        <f t="shared" si="19"/>
        <v>0.36467327592041604</v>
      </c>
      <c r="G151">
        <f t="shared" si="20"/>
        <v>0.2785460522617369</v>
      </c>
      <c r="H151">
        <f t="shared" si="17"/>
        <v>1.3092028156900581</v>
      </c>
      <c r="I151">
        <f t="shared" si="18"/>
        <v>56.695012096580591</v>
      </c>
      <c r="J151">
        <f>30</f>
        <v>30</v>
      </c>
      <c r="K151">
        <v>70</v>
      </c>
    </row>
    <row r="152" spans="1:11">
      <c r="A152" s="1">
        <v>45693</v>
      </c>
      <c r="B152">
        <v>59.71</v>
      </c>
      <c r="C152">
        <f t="shared" si="14"/>
        <v>0.59000000000000341</v>
      </c>
      <c r="D152">
        <f t="shared" si="15"/>
        <v>0.59000000000000341</v>
      </c>
      <c r="E152">
        <f t="shared" si="16"/>
        <v>0</v>
      </c>
      <c r="F152">
        <f t="shared" si="19"/>
        <v>0.38076804192610086</v>
      </c>
      <c r="G152">
        <f t="shared" si="20"/>
        <v>0.25864990567161283</v>
      </c>
      <c r="H152">
        <f t="shared" si="17"/>
        <v>1.4721367902199496</v>
      </c>
      <c r="I152">
        <f t="shared" si="18"/>
        <v>59.549163947718746</v>
      </c>
      <c r="J152">
        <f>30</f>
        <v>30</v>
      </c>
      <c r="K152">
        <v>70</v>
      </c>
    </row>
    <row r="153" spans="1:11">
      <c r="A153" s="1">
        <v>45694</v>
      </c>
      <c r="B153">
        <v>57.42</v>
      </c>
      <c r="C153">
        <f t="shared" si="14"/>
        <v>-2.2899999999999991</v>
      </c>
      <c r="D153">
        <f t="shared" si="15"/>
        <v>0</v>
      </c>
      <c r="E153">
        <f t="shared" si="16"/>
        <v>2.2899999999999991</v>
      </c>
      <c r="F153">
        <f t="shared" si="19"/>
        <v>0.35357032464566507</v>
      </c>
      <c r="G153">
        <f t="shared" si="20"/>
        <v>0.40374634098078327</v>
      </c>
      <c r="H153">
        <f t="shared" si="17"/>
        <v>0.87572391067809974</v>
      </c>
      <c r="I153">
        <f t="shared" si="18"/>
        <v>46.687249956818732</v>
      </c>
      <c r="J153">
        <f>30</f>
        <v>30</v>
      </c>
      <c r="K153">
        <v>70</v>
      </c>
    </row>
    <row r="154" spans="1:11">
      <c r="A154" s="1">
        <v>45695</v>
      </c>
      <c r="B154">
        <v>56.85</v>
      </c>
      <c r="C154">
        <f t="shared" si="14"/>
        <v>-0.57000000000000028</v>
      </c>
      <c r="D154">
        <f t="shared" si="15"/>
        <v>0</v>
      </c>
      <c r="E154">
        <f t="shared" si="16"/>
        <v>0.57000000000000028</v>
      </c>
      <c r="F154">
        <f t="shared" si="19"/>
        <v>0.32831530145668897</v>
      </c>
      <c r="G154">
        <f t="shared" si="20"/>
        <v>0.41562160233929873</v>
      </c>
      <c r="H154">
        <f t="shared" si="17"/>
        <v>0.78993800998020314</v>
      </c>
      <c r="I154">
        <f t="shared" si="18"/>
        <v>44.132143436014296</v>
      </c>
      <c r="J154">
        <f>30</f>
        <v>30</v>
      </c>
      <c r="K154">
        <v>70</v>
      </c>
    </row>
    <row r="155" spans="1:11">
      <c r="A155" s="1">
        <v>45698</v>
      </c>
      <c r="B155">
        <v>55.53</v>
      </c>
      <c r="C155">
        <f t="shared" si="14"/>
        <v>-1.3200000000000003</v>
      </c>
      <c r="D155">
        <f t="shared" si="15"/>
        <v>0</v>
      </c>
      <c r="E155">
        <f t="shared" si="16"/>
        <v>1.3200000000000003</v>
      </c>
      <c r="F155">
        <f t="shared" si="19"/>
        <v>0.30486420849549695</v>
      </c>
      <c r="G155">
        <f t="shared" si="20"/>
        <v>0.48022005931506312</v>
      </c>
      <c r="H155">
        <f t="shared" si="17"/>
        <v>0.63484271966965344</v>
      </c>
      <c r="I155">
        <f t="shared" si="18"/>
        <v>38.832036380718861</v>
      </c>
      <c r="J155">
        <f>30</f>
        <v>30</v>
      </c>
      <c r="K155">
        <v>70</v>
      </c>
    </row>
    <row r="156" spans="1:11">
      <c r="A156" s="1">
        <v>45699</v>
      </c>
      <c r="B156">
        <v>55.94</v>
      </c>
      <c r="C156">
        <f t="shared" si="14"/>
        <v>0.40999999999999659</v>
      </c>
      <c r="D156">
        <f t="shared" si="15"/>
        <v>0.40999999999999659</v>
      </c>
      <c r="E156">
        <f t="shared" si="16"/>
        <v>0</v>
      </c>
      <c r="F156">
        <f t="shared" si="19"/>
        <v>0.31237390788867547</v>
      </c>
      <c r="G156">
        <f t="shared" si="20"/>
        <v>0.44591862650684433</v>
      </c>
      <c r="H156">
        <f t="shared" si="17"/>
        <v>0.7005177387087258</v>
      </c>
      <c r="I156">
        <f t="shared" si="18"/>
        <v>41.194379968106546</v>
      </c>
      <c r="J156">
        <f>30</f>
        <v>30</v>
      </c>
      <c r="K156">
        <v>70</v>
      </c>
    </row>
    <row r="157" spans="1:11">
      <c r="A157" s="1">
        <v>45700</v>
      </c>
      <c r="B157">
        <v>56.15</v>
      </c>
      <c r="C157">
        <f t="shared" si="14"/>
        <v>0.21000000000000085</v>
      </c>
      <c r="D157">
        <f t="shared" si="15"/>
        <v>0.21000000000000085</v>
      </c>
      <c r="E157">
        <f t="shared" si="16"/>
        <v>0</v>
      </c>
      <c r="F157">
        <f t="shared" si="19"/>
        <v>0.30506148589662729</v>
      </c>
      <c r="G157">
        <f t="shared" si="20"/>
        <v>0.41406729604206971</v>
      </c>
      <c r="H157">
        <f t="shared" si="17"/>
        <v>0.73674373420119776</v>
      </c>
      <c r="I157">
        <f t="shared" si="18"/>
        <v>42.420981270449637</v>
      </c>
      <c r="J157">
        <f>30</f>
        <v>30</v>
      </c>
      <c r="K157">
        <v>70</v>
      </c>
    </row>
    <row r="158" spans="1:11">
      <c r="A158" s="1">
        <v>45701</v>
      </c>
      <c r="B158">
        <v>55.97</v>
      </c>
      <c r="C158">
        <f t="shared" si="14"/>
        <v>-0.17999999999999972</v>
      </c>
      <c r="D158">
        <f t="shared" si="15"/>
        <v>0</v>
      </c>
      <c r="E158">
        <f t="shared" si="16"/>
        <v>0.17999999999999972</v>
      </c>
      <c r="F158">
        <f t="shared" si="19"/>
        <v>0.28327137976115391</v>
      </c>
      <c r="G158">
        <f t="shared" si="20"/>
        <v>0.39734820346763616</v>
      </c>
      <c r="H158">
        <f t="shared" si="17"/>
        <v>0.71290464456378555</v>
      </c>
      <c r="I158">
        <f t="shared" si="18"/>
        <v>41.619634042462202</v>
      </c>
      <c r="J158">
        <f>30</f>
        <v>30</v>
      </c>
      <c r="K158">
        <v>70</v>
      </c>
    </row>
    <row r="159" spans="1:11">
      <c r="A159" s="1">
        <v>45702</v>
      </c>
      <c r="B159">
        <v>53.9</v>
      </c>
      <c r="C159">
        <f t="shared" si="14"/>
        <v>-2.0700000000000003</v>
      </c>
      <c r="D159">
        <f t="shared" si="15"/>
        <v>0</v>
      </c>
      <c r="E159">
        <f t="shared" si="16"/>
        <v>2.0700000000000003</v>
      </c>
      <c r="F159">
        <f t="shared" si="19"/>
        <v>0.26303770977821433</v>
      </c>
      <c r="G159">
        <f t="shared" si="20"/>
        <v>0.51682333179137641</v>
      </c>
      <c r="H159">
        <f t="shared" si="17"/>
        <v>0.50895091919803948</v>
      </c>
      <c r="I159">
        <f t="shared" si="18"/>
        <v>33.728792151074799</v>
      </c>
      <c r="J159">
        <f>30</f>
        <v>30</v>
      </c>
      <c r="K159">
        <v>70</v>
      </c>
    </row>
    <row r="160" spans="1:11">
      <c r="A160" s="1">
        <v>45706</v>
      </c>
      <c r="B160">
        <v>54.43</v>
      </c>
      <c r="C160">
        <f t="shared" si="14"/>
        <v>0.53000000000000114</v>
      </c>
      <c r="D160">
        <f t="shared" si="15"/>
        <v>0.53000000000000114</v>
      </c>
      <c r="E160">
        <f t="shared" si="16"/>
        <v>0</v>
      </c>
      <c r="F160">
        <f t="shared" si="19"/>
        <v>0.28210644479405628</v>
      </c>
      <c r="G160">
        <f t="shared" si="20"/>
        <v>0.47990737952056378</v>
      </c>
      <c r="H160">
        <f t="shared" si="17"/>
        <v>0.58783518827296588</v>
      </c>
      <c r="I160">
        <f t="shared" si="18"/>
        <v>37.021171505358438</v>
      </c>
      <c r="J160">
        <f>30</f>
        <v>30</v>
      </c>
      <c r="K160">
        <v>70</v>
      </c>
    </row>
    <row r="161" spans="1:11">
      <c r="A161" s="1">
        <v>45707</v>
      </c>
      <c r="B161">
        <v>54.98</v>
      </c>
      <c r="C161">
        <f t="shared" si="14"/>
        <v>0.54999999999999716</v>
      </c>
      <c r="D161">
        <f t="shared" si="15"/>
        <v>0.54999999999999716</v>
      </c>
      <c r="E161">
        <f t="shared" si="16"/>
        <v>0</v>
      </c>
      <c r="F161">
        <f t="shared" si="19"/>
        <v>0.3012416987373378</v>
      </c>
      <c r="G161">
        <f t="shared" si="20"/>
        <v>0.44562828098338064</v>
      </c>
      <c r="H161">
        <f t="shared" si="17"/>
        <v>0.67599322482984958</v>
      </c>
      <c r="I161">
        <f t="shared" si="18"/>
        <v>40.333887680153232</v>
      </c>
      <c r="J161">
        <f>30</f>
        <v>30</v>
      </c>
      <c r="K161">
        <v>70</v>
      </c>
    </row>
    <row r="162" spans="1:11">
      <c r="A162" s="1">
        <v>45708</v>
      </c>
      <c r="B162">
        <v>55.79</v>
      </c>
      <c r="C162">
        <f t="shared" si="14"/>
        <v>0.81000000000000227</v>
      </c>
      <c r="D162">
        <f t="shared" si="15"/>
        <v>0.81000000000000227</v>
      </c>
      <c r="E162">
        <f t="shared" si="16"/>
        <v>0</v>
      </c>
      <c r="F162">
        <f t="shared" si="19"/>
        <v>0.33758157739895672</v>
      </c>
      <c r="G162">
        <f t="shared" si="20"/>
        <v>0.41379768948456774</v>
      </c>
      <c r="H162">
        <f t="shared" si="17"/>
        <v>0.81581310378860039</v>
      </c>
      <c r="I162">
        <f t="shared" si="18"/>
        <v>44.928252918014984</v>
      </c>
      <c r="J162">
        <f>30</f>
        <v>30</v>
      </c>
      <c r="K162">
        <v>70</v>
      </c>
    </row>
    <row r="163" spans="1:11">
      <c r="A163" s="1">
        <v>45709</v>
      </c>
      <c r="B163">
        <v>55.83</v>
      </c>
      <c r="C163">
        <f t="shared" si="14"/>
        <v>3.9999999999999147E-2</v>
      </c>
      <c r="D163">
        <f t="shared" si="15"/>
        <v>3.9999999999999147E-2</v>
      </c>
      <c r="E163">
        <f t="shared" si="16"/>
        <v>0</v>
      </c>
      <c r="F163">
        <f t="shared" si="19"/>
        <v>0.31632575044188832</v>
      </c>
      <c r="G163">
        <f t="shared" si="20"/>
        <v>0.38424071166424145</v>
      </c>
      <c r="H163">
        <f t="shared" si="17"/>
        <v>0.82324891881394702</v>
      </c>
      <c r="I163">
        <f t="shared" si="18"/>
        <v>45.152853805035235</v>
      </c>
      <c r="J163">
        <f>30</f>
        <v>30</v>
      </c>
      <c r="K163">
        <v>70</v>
      </c>
    </row>
    <row r="164" spans="1:11">
      <c r="A164" s="1">
        <v>45712</v>
      </c>
      <c r="B164">
        <v>57.88</v>
      </c>
      <c r="C164">
        <f t="shared" si="14"/>
        <v>2.0500000000000043</v>
      </c>
      <c r="D164">
        <f t="shared" si="15"/>
        <v>2.0500000000000043</v>
      </c>
      <c r="E164">
        <f t="shared" si="16"/>
        <v>0</v>
      </c>
      <c r="F164">
        <f t="shared" si="19"/>
        <v>0.44015962541032516</v>
      </c>
      <c r="G164">
        <f t="shared" si="20"/>
        <v>0.35679494654536709</v>
      </c>
      <c r="H164">
        <f t="shared" si="17"/>
        <v>1.233648709635965</v>
      </c>
      <c r="I164">
        <f t="shared" si="18"/>
        <v>55.230202686483416</v>
      </c>
      <c r="J164">
        <f>30</f>
        <v>30</v>
      </c>
      <c r="K164">
        <v>70</v>
      </c>
    </row>
    <row r="165" spans="1:11">
      <c r="A165" s="1">
        <v>45713</v>
      </c>
      <c r="B165">
        <v>58.21</v>
      </c>
      <c r="C165">
        <f t="shared" si="14"/>
        <v>0.32999999999999829</v>
      </c>
      <c r="D165">
        <f t="shared" si="15"/>
        <v>0.32999999999999829</v>
      </c>
      <c r="E165">
        <f t="shared" si="16"/>
        <v>0</v>
      </c>
      <c r="F165">
        <f t="shared" si="19"/>
        <v>0.43229108073815897</v>
      </c>
      <c r="G165">
        <f t="shared" si="20"/>
        <v>0.33130959322069803</v>
      </c>
      <c r="H165">
        <f t="shared" si="17"/>
        <v>1.3047949397897249</v>
      </c>
      <c r="I165">
        <f t="shared" si="18"/>
        <v>56.612192141864313</v>
      </c>
      <c r="J165">
        <f>30</f>
        <v>30</v>
      </c>
      <c r="K165">
        <v>70</v>
      </c>
    </row>
    <row r="166" spans="1:11">
      <c r="A166" s="1">
        <v>45714</v>
      </c>
      <c r="B166">
        <v>57.38</v>
      </c>
      <c r="C166">
        <f t="shared" si="14"/>
        <v>-0.82999999999999829</v>
      </c>
      <c r="D166">
        <f t="shared" si="15"/>
        <v>0</v>
      </c>
      <c r="E166">
        <f t="shared" si="16"/>
        <v>0.82999999999999829</v>
      </c>
      <c r="F166">
        <f t="shared" si="19"/>
        <v>0.40141314639971909</v>
      </c>
      <c r="G166">
        <f t="shared" si="20"/>
        <v>0.36693033656207658</v>
      </c>
      <c r="H166">
        <f t="shared" si="17"/>
        <v>1.0939764483927013</v>
      </c>
      <c r="I166">
        <f t="shared" si="18"/>
        <v>52.24397099749703</v>
      </c>
      <c r="J166">
        <f>30</f>
        <v>30</v>
      </c>
      <c r="K166">
        <v>70</v>
      </c>
    </row>
    <row r="167" spans="1:11">
      <c r="A167" s="1">
        <v>45715</v>
      </c>
      <c r="B167">
        <v>58.8</v>
      </c>
      <c r="C167">
        <f t="shared" si="14"/>
        <v>1.4199999999999946</v>
      </c>
      <c r="D167">
        <f t="shared" si="15"/>
        <v>1.4199999999999946</v>
      </c>
      <c r="E167">
        <f t="shared" si="16"/>
        <v>0</v>
      </c>
      <c r="F167">
        <f t="shared" si="19"/>
        <v>0.47416935022831019</v>
      </c>
      <c r="G167">
        <f t="shared" si="20"/>
        <v>0.34072102680764255</v>
      </c>
      <c r="H167">
        <f t="shared" si="17"/>
        <v>1.3916644789169623</v>
      </c>
      <c r="I167">
        <f t="shared" si="18"/>
        <v>58.188115063161433</v>
      </c>
      <c r="J167">
        <f>30</f>
        <v>30</v>
      </c>
      <c r="K167">
        <v>70</v>
      </c>
    </row>
    <row r="168" spans="1:11">
      <c r="A168" s="1">
        <v>45716</v>
      </c>
      <c r="B168">
        <v>59.62</v>
      </c>
      <c r="C168">
        <f t="shared" si="14"/>
        <v>0.82000000000000028</v>
      </c>
      <c r="D168">
        <f t="shared" si="15"/>
        <v>0.82000000000000028</v>
      </c>
      <c r="E168">
        <f t="shared" si="16"/>
        <v>0</v>
      </c>
      <c r="F168">
        <f t="shared" si="19"/>
        <v>0.49887153949771662</v>
      </c>
      <c r="G168">
        <f t="shared" si="20"/>
        <v>0.31638381060709664</v>
      </c>
      <c r="H168">
        <f t="shared" si="17"/>
        <v>1.5767922465452684</v>
      </c>
      <c r="I168">
        <f t="shared" si="18"/>
        <v>61.192059571713237</v>
      </c>
      <c r="J168">
        <f>30</f>
        <v>30</v>
      </c>
      <c r="K168">
        <v>70</v>
      </c>
    </row>
    <row r="169" spans="1:11">
      <c r="A169" s="1">
        <v>45719</v>
      </c>
      <c r="B169">
        <v>59.87</v>
      </c>
      <c r="C169">
        <f t="shared" si="14"/>
        <v>0.25</v>
      </c>
      <c r="D169">
        <f t="shared" si="15"/>
        <v>0.25</v>
      </c>
      <c r="E169">
        <f t="shared" si="16"/>
        <v>0</v>
      </c>
      <c r="F169">
        <f t="shared" si="19"/>
        <v>0.4810950009621654</v>
      </c>
      <c r="G169">
        <f t="shared" si="20"/>
        <v>0.293784966992304</v>
      </c>
      <c r="H169">
        <f t="shared" si="17"/>
        <v>1.6375752846971512</v>
      </c>
      <c r="I169">
        <f t="shared" si="18"/>
        <v>62.08639026146998</v>
      </c>
      <c r="J169">
        <f>30</f>
        <v>30</v>
      </c>
      <c r="K169">
        <v>70</v>
      </c>
    </row>
    <row r="170" spans="1:11">
      <c r="A170" s="1">
        <v>45720</v>
      </c>
      <c r="B170">
        <v>59.44</v>
      </c>
      <c r="C170">
        <f t="shared" si="14"/>
        <v>-0.42999999999999972</v>
      </c>
      <c r="D170">
        <f t="shared" si="15"/>
        <v>0</v>
      </c>
      <c r="E170">
        <f t="shared" si="16"/>
        <v>0.42999999999999972</v>
      </c>
      <c r="F170">
        <f t="shared" si="19"/>
        <v>0.44673107232201076</v>
      </c>
      <c r="G170">
        <f t="shared" si="20"/>
        <v>0.30351461220713943</v>
      </c>
      <c r="H170">
        <f t="shared" si="17"/>
        <v>1.4718601818654138</v>
      </c>
      <c r="I170">
        <f t="shared" si="18"/>
        <v>59.544637381336834</v>
      </c>
      <c r="J170">
        <f>30</f>
        <v>30</v>
      </c>
      <c r="K170">
        <v>70</v>
      </c>
    </row>
    <row r="171" spans="1:11">
      <c r="A171" s="1">
        <v>45721</v>
      </c>
      <c r="B171">
        <v>59.82</v>
      </c>
      <c r="C171">
        <f t="shared" si="14"/>
        <v>0.38000000000000256</v>
      </c>
      <c r="D171">
        <f t="shared" si="15"/>
        <v>0.38000000000000256</v>
      </c>
      <c r="E171">
        <f t="shared" si="16"/>
        <v>0</v>
      </c>
      <c r="F171">
        <f t="shared" si="19"/>
        <v>0.44196456715615307</v>
      </c>
      <c r="G171">
        <f t="shared" si="20"/>
        <v>0.28183499704948661</v>
      </c>
      <c r="H171">
        <f t="shared" si="17"/>
        <v>1.5681677995389258</v>
      </c>
      <c r="I171">
        <f t="shared" si="18"/>
        <v>61.061734354759281</v>
      </c>
      <c r="J171">
        <f>30</f>
        <v>30</v>
      </c>
      <c r="K171">
        <v>70</v>
      </c>
    </row>
    <row r="172" spans="1:11">
      <c r="A172" s="1">
        <v>45722</v>
      </c>
      <c r="B172">
        <v>60.18</v>
      </c>
      <c r="C172">
        <f t="shared" si="14"/>
        <v>0.35999999999999943</v>
      </c>
      <c r="D172">
        <f t="shared" si="15"/>
        <v>0.35999999999999943</v>
      </c>
      <c r="E172">
        <f t="shared" si="16"/>
        <v>0</v>
      </c>
      <c r="F172">
        <f t="shared" si="19"/>
        <v>0.43610995521642781</v>
      </c>
      <c r="G172">
        <f t="shared" si="20"/>
        <v>0.26170392583166613</v>
      </c>
      <c r="H172">
        <f t="shared" si="17"/>
        <v>1.6664249641289048</v>
      </c>
      <c r="I172">
        <f t="shared" si="18"/>
        <v>62.496600749959967</v>
      </c>
      <c r="J172">
        <f>30</f>
        <v>30</v>
      </c>
      <c r="K172">
        <v>70</v>
      </c>
    </row>
    <row r="173" spans="1:11">
      <c r="A173" s="1">
        <v>45723</v>
      </c>
      <c r="B173">
        <v>61.09</v>
      </c>
      <c r="C173">
        <f t="shared" si="14"/>
        <v>0.91000000000000369</v>
      </c>
      <c r="D173">
        <f t="shared" si="15"/>
        <v>0.91000000000000369</v>
      </c>
      <c r="E173">
        <f t="shared" si="16"/>
        <v>0</v>
      </c>
      <c r="F173">
        <f t="shared" si="19"/>
        <v>0.46995924412954038</v>
      </c>
      <c r="G173">
        <f t="shared" si="20"/>
        <v>0.24301078827226141</v>
      </c>
      <c r="H173">
        <f t="shared" si="17"/>
        <v>1.9339028010682935</v>
      </c>
      <c r="I173">
        <f t="shared" si="18"/>
        <v>65.915707922025234</v>
      </c>
      <c r="J173">
        <f>30</f>
        <v>30</v>
      </c>
      <c r="K173">
        <v>70</v>
      </c>
    </row>
    <row r="174" spans="1:11">
      <c r="A174" s="1">
        <v>45726</v>
      </c>
      <c r="B174">
        <v>63.11</v>
      </c>
      <c r="C174">
        <f t="shared" si="14"/>
        <v>2.019999999999996</v>
      </c>
      <c r="D174">
        <f t="shared" si="15"/>
        <v>2.019999999999996</v>
      </c>
      <c r="E174">
        <f t="shared" si="16"/>
        <v>0</v>
      </c>
      <c r="F174">
        <f t="shared" si="19"/>
        <v>0.5806764409774301</v>
      </c>
      <c r="G174">
        <f t="shared" si="20"/>
        <v>0.22565287482424276</v>
      </c>
      <c r="H174">
        <f t="shared" si="17"/>
        <v>2.5733172751719171</v>
      </c>
      <c r="I174">
        <f t="shared" si="18"/>
        <v>72.014799610765351</v>
      </c>
      <c r="J174">
        <f>30</f>
        <v>30</v>
      </c>
      <c r="K174">
        <v>70</v>
      </c>
    </row>
    <row r="175" spans="1:11">
      <c r="A175" s="1">
        <v>45727</v>
      </c>
      <c r="B175">
        <v>61.51</v>
      </c>
      <c r="C175">
        <f t="shared" si="14"/>
        <v>-1.6000000000000014</v>
      </c>
      <c r="D175">
        <f t="shared" si="15"/>
        <v>0</v>
      </c>
      <c r="E175">
        <f t="shared" si="16"/>
        <v>1.6000000000000014</v>
      </c>
      <c r="F175">
        <f t="shared" si="19"/>
        <v>0.53919955233618511</v>
      </c>
      <c r="G175">
        <f t="shared" si="20"/>
        <v>0.32382052662251126</v>
      </c>
      <c r="H175">
        <f t="shared" si="17"/>
        <v>1.6651185085766615</v>
      </c>
      <c r="I175">
        <f t="shared" si="18"/>
        <v>62.478216380176576</v>
      </c>
      <c r="J175">
        <f>30</f>
        <v>30</v>
      </c>
      <c r="K175">
        <v>70</v>
      </c>
    </row>
    <row r="176" spans="1:11">
      <c r="A176" s="1">
        <v>45728</v>
      </c>
      <c r="B176">
        <v>59.81</v>
      </c>
      <c r="C176">
        <f t="shared" si="14"/>
        <v>-1.6999999999999957</v>
      </c>
      <c r="D176">
        <f t="shared" si="15"/>
        <v>0</v>
      </c>
      <c r="E176">
        <f t="shared" si="16"/>
        <v>1.6999999999999957</v>
      </c>
      <c r="F176">
        <f t="shared" si="19"/>
        <v>0.50068529859788613</v>
      </c>
      <c r="G176">
        <f t="shared" si="20"/>
        <v>0.42211906043518871</v>
      </c>
      <c r="H176">
        <f t="shared" si="17"/>
        <v>1.1861234081249461</v>
      </c>
      <c r="I176">
        <f t="shared" si="18"/>
        <v>54.256928209843963</v>
      </c>
      <c r="J176">
        <f>30</f>
        <v>30</v>
      </c>
      <c r="K176">
        <v>70</v>
      </c>
    </row>
    <row r="177" spans="1:11">
      <c r="A177" s="1">
        <v>45729</v>
      </c>
      <c r="B177">
        <v>60.28</v>
      </c>
      <c r="C177">
        <f t="shared" si="14"/>
        <v>0.46999999999999886</v>
      </c>
      <c r="D177">
        <f t="shared" si="15"/>
        <v>0.46999999999999886</v>
      </c>
      <c r="E177">
        <f t="shared" si="16"/>
        <v>0</v>
      </c>
      <c r="F177">
        <f t="shared" si="19"/>
        <v>0.49849349155517991</v>
      </c>
      <c r="G177">
        <f t="shared" si="20"/>
        <v>0.39196769897553235</v>
      </c>
      <c r="H177">
        <f t="shared" si="17"/>
        <v>1.2717718650237482</v>
      </c>
      <c r="I177">
        <f t="shared" si="18"/>
        <v>55.981495527961101</v>
      </c>
      <c r="J177">
        <f>30</f>
        <v>30</v>
      </c>
      <c r="K177">
        <v>70</v>
      </c>
    </row>
    <row r="178" spans="1:11">
      <c r="A178" s="1">
        <v>45730</v>
      </c>
      <c r="B178">
        <v>59.01</v>
      </c>
      <c r="C178">
        <f t="shared" si="14"/>
        <v>-1.2700000000000031</v>
      </c>
      <c r="D178">
        <f t="shared" si="15"/>
        <v>0</v>
      </c>
      <c r="E178">
        <f t="shared" si="16"/>
        <v>1.2700000000000031</v>
      </c>
      <c r="F178">
        <f t="shared" si="19"/>
        <v>0.46288681358695277</v>
      </c>
      <c r="G178">
        <f t="shared" si="20"/>
        <v>0.45468429190585169</v>
      </c>
      <c r="H178">
        <f t="shared" si="17"/>
        <v>1.0180400375098058</v>
      </c>
      <c r="I178">
        <f t="shared" si="18"/>
        <v>50.446969266577753</v>
      </c>
      <c r="J178">
        <f>30</f>
        <v>30</v>
      </c>
      <c r="K178">
        <v>70</v>
      </c>
    </row>
    <row r="179" spans="1:11">
      <c r="A179" s="1">
        <v>45733</v>
      </c>
      <c r="B179">
        <v>59.99</v>
      </c>
      <c r="C179">
        <f t="shared" si="14"/>
        <v>0.98000000000000398</v>
      </c>
      <c r="D179">
        <f t="shared" si="15"/>
        <v>0.98000000000000398</v>
      </c>
      <c r="E179">
        <f t="shared" si="16"/>
        <v>0</v>
      </c>
      <c r="F179">
        <f t="shared" si="19"/>
        <v>0.49982346975931352</v>
      </c>
      <c r="G179">
        <f t="shared" si="20"/>
        <v>0.42220684248400514</v>
      </c>
      <c r="H179">
        <f t="shared" si="17"/>
        <v>1.183835550410931</v>
      </c>
      <c r="I179">
        <f t="shared" si="18"/>
        <v>54.209006268268212</v>
      </c>
      <c r="J179">
        <f>30</f>
        <v>30</v>
      </c>
      <c r="K179">
        <v>70</v>
      </c>
    </row>
    <row r="180" spans="1:11">
      <c r="A180" s="1">
        <v>45734</v>
      </c>
      <c r="B180">
        <v>59.9</v>
      </c>
      <c r="C180">
        <f t="shared" si="14"/>
        <v>-9.0000000000003411E-2</v>
      </c>
      <c r="D180">
        <f t="shared" si="15"/>
        <v>0</v>
      </c>
      <c r="E180">
        <f t="shared" si="16"/>
        <v>9.0000000000003411E-2</v>
      </c>
      <c r="F180">
        <f t="shared" si="19"/>
        <v>0.46412179334793396</v>
      </c>
      <c r="G180">
        <f t="shared" si="20"/>
        <v>0.39847778230657649</v>
      </c>
      <c r="H180">
        <f t="shared" si="17"/>
        <v>1.16473694132049</v>
      </c>
      <c r="I180">
        <f t="shared" si="18"/>
        <v>53.805010626833955</v>
      </c>
      <c r="J180">
        <f>30</f>
        <v>30</v>
      </c>
      <c r="K180">
        <v>70</v>
      </c>
    </row>
    <row r="181" spans="1:11">
      <c r="A181" s="1">
        <v>45735</v>
      </c>
      <c r="B181">
        <v>60.08</v>
      </c>
      <c r="C181">
        <f t="shared" si="14"/>
        <v>0.17999999999999972</v>
      </c>
      <c r="D181">
        <f t="shared" si="15"/>
        <v>0.17999999999999972</v>
      </c>
      <c r="E181">
        <f t="shared" si="16"/>
        <v>0</v>
      </c>
      <c r="F181">
        <f t="shared" si="19"/>
        <v>0.44382737953736723</v>
      </c>
      <c r="G181">
        <f t="shared" si="20"/>
        <v>0.37001508357039242</v>
      </c>
      <c r="H181">
        <f t="shared" si="17"/>
        <v>1.1994845595339969</v>
      </c>
      <c r="I181">
        <f t="shared" si="18"/>
        <v>54.534802453358928</v>
      </c>
      <c r="J181">
        <f>30</f>
        <v>30</v>
      </c>
      <c r="K181">
        <v>70</v>
      </c>
    </row>
    <row r="182" spans="1:11">
      <c r="A182" s="1">
        <v>45736</v>
      </c>
      <c r="B182">
        <v>60.42</v>
      </c>
      <c r="C182">
        <f t="shared" si="14"/>
        <v>0.34000000000000341</v>
      </c>
      <c r="D182">
        <f t="shared" si="15"/>
        <v>0.34000000000000341</v>
      </c>
      <c r="E182">
        <f t="shared" si="16"/>
        <v>0</v>
      </c>
      <c r="F182">
        <f t="shared" si="19"/>
        <v>0.43641113814184124</v>
      </c>
      <c r="G182">
        <f t="shared" si="20"/>
        <v>0.34358543474393582</v>
      </c>
      <c r="H182">
        <f t="shared" si="17"/>
        <v>1.2701677487204477</v>
      </c>
      <c r="I182">
        <f t="shared" si="18"/>
        <v>55.950391746881358</v>
      </c>
      <c r="J182">
        <f>30</f>
        <v>30</v>
      </c>
      <c r="K182">
        <v>70</v>
      </c>
    </row>
    <row r="183" spans="1:11">
      <c r="A183" s="1">
        <v>45737</v>
      </c>
      <c r="B183">
        <v>60.99</v>
      </c>
      <c r="C183">
        <f t="shared" si="14"/>
        <v>0.57000000000000028</v>
      </c>
      <c r="D183">
        <f t="shared" si="15"/>
        <v>0.57000000000000028</v>
      </c>
      <c r="E183">
        <f t="shared" si="16"/>
        <v>0</v>
      </c>
      <c r="F183">
        <f t="shared" si="19"/>
        <v>0.44595319970313829</v>
      </c>
      <c r="G183">
        <f t="shared" si="20"/>
        <v>0.31904361797651187</v>
      </c>
      <c r="H183">
        <f t="shared" si="17"/>
        <v>1.3977812893783368</v>
      </c>
      <c r="I183">
        <f t="shared" si="18"/>
        <v>58.294778409115615</v>
      </c>
      <c r="J183">
        <f>30</f>
        <v>30</v>
      </c>
      <c r="K183">
        <v>70</v>
      </c>
    </row>
    <row r="184" spans="1:11">
      <c r="A184" s="1">
        <v>45740</v>
      </c>
      <c r="B184">
        <v>61.05</v>
      </c>
      <c r="C184">
        <f t="shared" si="14"/>
        <v>5.9999999999995168E-2</v>
      </c>
      <c r="D184">
        <f t="shared" si="15"/>
        <v>5.9999999999995168E-2</v>
      </c>
      <c r="E184">
        <f t="shared" si="16"/>
        <v>0</v>
      </c>
      <c r="F184">
        <f t="shared" si="19"/>
        <v>0.41838511401005668</v>
      </c>
      <c r="G184">
        <f t="shared" si="20"/>
        <v>0.29625478812104677</v>
      </c>
      <c r="H184">
        <f t="shared" si="17"/>
        <v>1.4122476016796348</v>
      </c>
      <c r="I184">
        <f t="shared" si="18"/>
        <v>58.544885719703672</v>
      </c>
      <c r="J184">
        <f>30</f>
        <v>30</v>
      </c>
      <c r="K184">
        <v>70</v>
      </c>
    </row>
    <row r="185" spans="1:11">
      <c r="A185" s="1">
        <v>45741</v>
      </c>
      <c r="B185">
        <v>59.19</v>
      </c>
      <c r="C185">
        <f t="shared" si="14"/>
        <v>-1.8599999999999994</v>
      </c>
      <c r="D185">
        <f t="shared" si="15"/>
        <v>0</v>
      </c>
      <c r="E185">
        <f t="shared" si="16"/>
        <v>1.8599999999999994</v>
      </c>
      <c r="F185">
        <f t="shared" si="19"/>
        <v>0.38850046300933838</v>
      </c>
      <c r="G185">
        <f t="shared" si="20"/>
        <v>0.40795087468382907</v>
      </c>
      <c r="H185">
        <f t="shared" si="17"/>
        <v>0.95232168164962216</v>
      </c>
      <c r="I185">
        <f t="shared" si="18"/>
        <v>48.778932826528568</v>
      </c>
      <c r="J185">
        <f>30</f>
        <v>30</v>
      </c>
      <c r="K185">
        <v>70</v>
      </c>
    </row>
    <row r="186" spans="1:11">
      <c r="A186" s="1">
        <v>45742</v>
      </c>
      <c r="B186">
        <v>59.21</v>
      </c>
      <c r="C186">
        <f t="shared" si="14"/>
        <v>2.0000000000003126E-2</v>
      </c>
      <c r="D186">
        <f t="shared" si="15"/>
        <v>2.0000000000003126E-2</v>
      </c>
      <c r="E186">
        <f t="shared" si="16"/>
        <v>0</v>
      </c>
      <c r="F186">
        <f t="shared" si="19"/>
        <v>0.36217900136581443</v>
      </c>
      <c r="G186">
        <f t="shared" si="20"/>
        <v>0.37881152649212702</v>
      </c>
      <c r="H186">
        <f t="shared" si="17"/>
        <v>0.95609287478569305</v>
      </c>
      <c r="I186">
        <f t="shared" si="18"/>
        <v>48.877683013412202</v>
      </c>
      <c r="J186">
        <f>30</f>
        <v>30</v>
      </c>
      <c r="K186">
        <v>70</v>
      </c>
    </row>
    <row r="187" spans="1:11">
      <c r="A187" s="1">
        <v>45743</v>
      </c>
      <c r="B187">
        <v>58.9</v>
      </c>
      <c r="C187">
        <f t="shared" si="14"/>
        <v>-0.31000000000000227</v>
      </c>
      <c r="D187">
        <f t="shared" si="15"/>
        <v>0</v>
      </c>
      <c r="E187">
        <f t="shared" si="16"/>
        <v>0.31000000000000227</v>
      </c>
      <c r="F187">
        <f t="shared" si="19"/>
        <v>0.33630907269682769</v>
      </c>
      <c r="G187">
        <f t="shared" si="20"/>
        <v>0.37389641745697527</v>
      </c>
      <c r="H187">
        <f t="shared" si="17"/>
        <v>0.89947123586849342</v>
      </c>
      <c r="I187">
        <f t="shared" si="18"/>
        <v>47.35376976936579</v>
      </c>
      <c r="J187">
        <f>30</f>
        <v>30</v>
      </c>
      <c r="K187">
        <v>70</v>
      </c>
    </row>
    <row r="188" spans="1:11">
      <c r="A188" s="1">
        <v>45744</v>
      </c>
      <c r="B188">
        <v>60.02</v>
      </c>
      <c r="C188">
        <f t="shared" si="14"/>
        <v>1.1200000000000045</v>
      </c>
      <c r="D188">
        <f t="shared" si="15"/>
        <v>1.1200000000000045</v>
      </c>
      <c r="E188">
        <f t="shared" si="16"/>
        <v>0</v>
      </c>
      <c r="F188">
        <f t="shared" si="19"/>
        <v>0.392286996075626</v>
      </c>
      <c r="G188">
        <f t="shared" si="20"/>
        <v>0.34718953049576273</v>
      </c>
      <c r="H188">
        <f t="shared" si="17"/>
        <v>1.1298929305715735</v>
      </c>
      <c r="I188">
        <f t="shared" si="18"/>
        <v>53.049283104966122</v>
      </c>
      <c r="J188">
        <f>30</f>
        <v>30</v>
      </c>
      <c r="K188">
        <v>70</v>
      </c>
    </row>
    <row r="189" spans="1:11">
      <c r="A189" s="1">
        <v>45747</v>
      </c>
      <c r="B189">
        <v>60.99</v>
      </c>
      <c r="C189">
        <f t="shared" si="14"/>
        <v>0.96999999999999886</v>
      </c>
      <c r="D189">
        <f t="shared" si="15"/>
        <v>0.96999999999999886</v>
      </c>
      <c r="E189">
        <f t="shared" si="16"/>
        <v>0</v>
      </c>
      <c r="F189">
        <f t="shared" si="19"/>
        <v>0.43355221064165267</v>
      </c>
      <c r="G189">
        <f t="shared" si="20"/>
        <v>0.32239027831749395</v>
      </c>
      <c r="H189">
        <f t="shared" si="17"/>
        <v>1.3448054727465606</v>
      </c>
      <c r="I189">
        <f t="shared" si="18"/>
        <v>57.352538979335385</v>
      </c>
      <c r="J189">
        <f>30</f>
        <v>30</v>
      </c>
      <c r="K189">
        <v>70</v>
      </c>
    </row>
    <row r="191" spans="1:11">
      <c r="A191" t="s">
        <v>44</v>
      </c>
      <c r="B191">
        <f>COUNT(B2:B189)</f>
        <v>188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31CE2-0002-4E28-883F-7649B1C7EBB1}">
  <dimension ref="A1:F191"/>
  <sheetViews>
    <sheetView topLeftCell="B1" workbookViewId="0">
      <selection activeCell="T14" sqref="T14"/>
    </sheetView>
  </sheetViews>
  <sheetFormatPr defaultRowHeight="14.25"/>
  <cols>
    <col min="1" max="1" width="9.85546875" bestFit="1" customWidth="1"/>
    <col min="3" max="3" width="9.5703125" bestFit="1" customWidth="1"/>
    <col min="5" max="5" width="10.28515625" bestFit="1" customWidth="1"/>
  </cols>
  <sheetData>
    <row r="1" spans="1:6">
      <c r="A1" t="s">
        <v>4</v>
      </c>
      <c r="B1" t="s">
        <v>3</v>
      </c>
      <c r="C1" t="s">
        <v>45</v>
      </c>
      <c r="D1" t="s">
        <v>46</v>
      </c>
      <c r="E1" t="s">
        <v>47</v>
      </c>
      <c r="F1" t="s">
        <v>48</v>
      </c>
    </row>
    <row r="2" spans="1:6">
      <c r="A2" s="1">
        <v>45474</v>
      </c>
      <c r="B2">
        <v>41.3</v>
      </c>
    </row>
    <row r="3" spans="1:6">
      <c r="A3" s="1">
        <v>45475</v>
      </c>
      <c r="B3">
        <v>40.450000000000003</v>
      </c>
    </row>
    <row r="4" spans="1:6">
      <c r="A4" s="1">
        <v>45476</v>
      </c>
      <c r="B4">
        <v>40.06</v>
      </c>
    </row>
    <row r="5" spans="1:6">
      <c r="A5" s="1">
        <v>45478</v>
      </c>
      <c r="B5">
        <v>39.659999999999997</v>
      </c>
    </row>
    <row r="6" spans="1:6">
      <c r="A6" s="1">
        <v>45481</v>
      </c>
      <c r="B6">
        <v>39.99</v>
      </c>
    </row>
    <row r="7" spans="1:6">
      <c r="A7" s="1">
        <v>45482</v>
      </c>
      <c r="B7">
        <v>40.86</v>
      </c>
    </row>
    <row r="8" spans="1:6">
      <c r="A8" s="1">
        <v>45483</v>
      </c>
      <c r="B8">
        <v>41.12</v>
      </c>
    </row>
    <row r="9" spans="1:6">
      <c r="A9" s="1">
        <v>45484</v>
      </c>
      <c r="B9">
        <v>40.75</v>
      </c>
    </row>
    <row r="10" spans="1:6">
      <c r="A10" s="1">
        <v>45485</v>
      </c>
      <c r="B10">
        <v>40.46</v>
      </c>
    </row>
    <row r="11" spans="1:6">
      <c r="A11" s="1">
        <v>45488</v>
      </c>
      <c r="B11">
        <v>40.15</v>
      </c>
    </row>
    <row r="12" spans="1:6">
      <c r="A12" s="1">
        <v>45489</v>
      </c>
      <c r="B12">
        <v>41.2</v>
      </c>
    </row>
    <row r="13" spans="1:6">
      <c r="A13" s="1">
        <v>45490</v>
      </c>
      <c r="B13">
        <v>43.15</v>
      </c>
    </row>
    <row r="14" spans="1:6">
      <c r="A14" s="1">
        <v>45491</v>
      </c>
      <c r="B14">
        <v>42.39</v>
      </c>
    </row>
    <row r="15" spans="1:6">
      <c r="A15" s="1">
        <v>45492</v>
      </c>
      <c r="B15">
        <v>42.64</v>
      </c>
    </row>
    <row r="16" spans="1:6">
      <c r="A16" s="1">
        <v>45495</v>
      </c>
      <c r="B16">
        <v>42.67</v>
      </c>
    </row>
    <row r="17" spans="1:6">
      <c r="A17" s="1">
        <v>45496</v>
      </c>
      <c r="B17">
        <v>42.98</v>
      </c>
    </row>
    <row r="18" spans="1:6">
      <c r="A18" s="1">
        <v>45497</v>
      </c>
      <c r="B18">
        <v>44.66</v>
      </c>
    </row>
    <row r="19" spans="1:6">
      <c r="A19" s="1">
        <v>45498</v>
      </c>
      <c r="B19">
        <v>45.27</v>
      </c>
    </row>
    <row r="20" spans="1:6">
      <c r="A20" s="1">
        <v>45499</v>
      </c>
      <c r="B20">
        <v>50.45</v>
      </c>
    </row>
    <row r="21" spans="1:6">
      <c r="A21" s="1">
        <v>45502</v>
      </c>
      <c r="B21">
        <v>48.98</v>
      </c>
      <c r="C21">
        <f>AVERAGE(B2:B21)</f>
        <v>42.459499999999998</v>
      </c>
      <c r="D21">
        <f>_xlfn.STDEV.S(B2:B21)</f>
        <v>2.9308207490663594</v>
      </c>
      <c r="E21">
        <f>C21+2*D21</f>
        <v>48.321141498132718</v>
      </c>
      <c r="F21">
        <f>C21-2*D21</f>
        <v>36.597858501867279</v>
      </c>
    </row>
    <row r="22" spans="1:6">
      <c r="A22" s="1">
        <v>45503</v>
      </c>
      <c r="B22">
        <v>49.05</v>
      </c>
      <c r="C22">
        <f t="shared" ref="C22:C85" si="0">AVERAGE(B3:B22)</f>
        <v>42.846999999999994</v>
      </c>
      <c r="D22">
        <f t="shared" ref="D22:D85" si="1">_xlfn.STDEV.S(B3:B22)</f>
        <v>3.2629629738047981</v>
      </c>
      <c r="E22">
        <f t="shared" ref="E22:E85" si="2">C22+2*D22</f>
        <v>49.372925947609588</v>
      </c>
      <c r="F22">
        <f t="shared" ref="F22:F85" si="3">C22-2*D22</f>
        <v>36.321074052390401</v>
      </c>
    </row>
    <row r="23" spans="1:6">
      <c r="A23" s="1">
        <v>45504</v>
      </c>
      <c r="B23">
        <v>47.56</v>
      </c>
      <c r="C23">
        <f t="shared" si="0"/>
        <v>43.202500000000001</v>
      </c>
      <c r="D23">
        <f t="shared" si="1"/>
        <v>3.3735096124456438</v>
      </c>
      <c r="E23">
        <f t="shared" si="2"/>
        <v>49.94951922489129</v>
      </c>
      <c r="F23">
        <f t="shared" si="3"/>
        <v>36.455480775108711</v>
      </c>
    </row>
    <row r="24" spans="1:6">
      <c r="A24" s="1">
        <v>45505</v>
      </c>
      <c r="B24">
        <v>48.17</v>
      </c>
      <c r="C24">
        <f t="shared" si="0"/>
        <v>43.607999999999997</v>
      </c>
      <c r="D24">
        <f t="shared" si="1"/>
        <v>3.4621481010615667</v>
      </c>
      <c r="E24">
        <f t="shared" si="2"/>
        <v>50.532296202123128</v>
      </c>
      <c r="F24">
        <f t="shared" si="3"/>
        <v>36.683703797876866</v>
      </c>
    </row>
    <row r="25" spans="1:6">
      <c r="A25" s="1">
        <v>45506</v>
      </c>
      <c r="B25">
        <v>48.77</v>
      </c>
      <c r="C25">
        <f t="shared" si="0"/>
        <v>44.063499999999991</v>
      </c>
      <c r="D25">
        <f t="shared" si="1"/>
        <v>3.5142780571773056</v>
      </c>
      <c r="E25">
        <f t="shared" si="2"/>
        <v>51.092056114354605</v>
      </c>
      <c r="F25">
        <f t="shared" si="3"/>
        <v>37.034943885645376</v>
      </c>
    </row>
    <row r="26" spans="1:6">
      <c r="A26" s="1">
        <v>45509</v>
      </c>
      <c r="B26">
        <v>47.59</v>
      </c>
      <c r="C26">
        <f t="shared" si="0"/>
        <v>44.443499999999993</v>
      </c>
      <c r="D26">
        <f t="shared" si="1"/>
        <v>3.4611197990185052</v>
      </c>
      <c r="E26">
        <f t="shared" si="2"/>
        <v>51.365739598037003</v>
      </c>
      <c r="F26">
        <f t="shared" si="3"/>
        <v>37.521260401962984</v>
      </c>
    </row>
    <row r="27" spans="1:6">
      <c r="A27" s="1">
        <v>45510</v>
      </c>
      <c r="B27">
        <v>47.31</v>
      </c>
      <c r="C27">
        <f t="shared" si="0"/>
        <v>44.765999999999998</v>
      </c>
      <c r="D27">
        <f t="shared" si="1"/>
        <v>3.4097606028020584</v>
      </c>
      <c r="E27">
        <f t="shared" si="2"/>
        <v>51.585521205604117</v>
      </c>
      <c r="F27">
        <f t="shared" si="3"/>
        <v>37.94647879439588</v>
      </c>
    </row>
    <row r="28" spans="1:6">
      <c r="A28" s="1">
        <v>45511</v>
      </c>
      <c r="B28">
        <v>46.5</v>
      </c>
      <c r="C28">
        <f t="shared" si="0"/>
        <v>45.035000000000004</v>
      </c>
      <c r="D28">
        <f t="shared" si="1"/>
        <v>3.3179662445540341</v>
      </c>
      <c r="E28">
        <f t="shared" si="2"/>
        <v>51.670932489108068</v>
      </c>
      <c r="F28">
        <f t="shared" si="3"/>
        <v>38.399067510891939</v>
      </c>
    </row>
    <row r="29" spans="1:6">
      <c r="A29" s="1">
        <v>45512</v>
      </c>
      <c r="B29">
        <v>46.85</v>
      </c>
      <c r="C29">
        <f t="shared" si="0"/>
        <v>45.339999999999989</v>
      </c>
      <c r="D29">
        <f t="shared" si="1"/>
        <v>3.1808770720303579</v>
      </c>
      <c r="E29">
        <f t="shared" si="2"/>
        <v>51.701754144060708</v>
      </c>
      <c r="F29">
        <f t="shared" si="3"/>
        <v>38.978245855939271</v>
      </c>
    </row>
    <row r="30" spans="1:6">
      <c r="A30" s="1">
        <v>45513</v>
      </c>
      <c r="B30">
        <v>46.72</v>
      </c>
      <c r="C30">
        <f t="shared" si="0"/>
        <v>45.653000000000006</v>
      </c>
      <c r="D30">
        <f t="shared" si="1"/>
        <v>2.9768600554063149</v>
      </c>
      <c r="E30">
        <f t="shared" si="2"/>
        <v>51.606720110812638</v>
      </c>
      <c r="F30">
        <f t="shared" si="3"/>
        <v>39.699279889187373</v>
      </c>
    </row>
    <row r="31" spans="1:6">
      <c r="A31" s="1">
        <v>45516</v>
      </c>
      <c r="B31">
        <v>47.06</v>
      </c>
      <c r="C31">
        <f t="shared" si="0"/>
        <v>45.9985</v>
      </c>
      <c r="D31">
        <f t="shared" si="1"/>
        <v>2.691912399841617</v>
      </c>
      <c r="E31">
        <f t="shared" si="2"/>
        <v>51.382324799683232</v>
      </c>
      <c r="F31">
        <f t="shared" si="3"/>
        <v>40.614675200316768</v>
      </c>
    </row>
    <row r="32" spans="1:6">
      <c r="A32" s="1">
        <v>45517</v>
      </c>
      <c r="B32">
        <v>49.06</v>
      </c>
      <c r="C32">
        <f t="shared" si="0"/>
        <v>46.391500000000008</v>
      </c>
      <c r="D32">
        <f t="shared" si="1"/>
        <v>2.522943717168499</v>
      </c>
      <c r="E32">
        <f t="shared" si="2"/>
        <v>51.437387434337005</v>
      </c>
      <c r="F32">
        <f t="shared" si="3"/>
        <v>41.345612565663011</v>
      </c>
    </row>
    <row r="33" spans="1:6">
      <c r="A33" s="1">
        <v>45518</v>
      </c>
      <c r="B33">
        <v>48.41</v>
      </c>
      <c r="C33">
        <f t="shared" si="0"/>
        <v>46.654499999999999</v>
      </c>
      <c r="D33">
        <f t="shared" si="1"/>
        <v>2.4400527927852194</v>
      </c>
      <c r="E33">
        <f t="shared" si="2"/>
        <v>51.534605585570439</v>
      </c>
      <c r="F33">
        <f t="shared" si="3"/>
        <v>41.774394414429558</v>
      </c>
    </row>
    <row r="34" spans="1:6">
      <c r="A34" s="1">
        <v>45519</v>
      </c>
      <c r="B34">
        <v>49.11</v>
      </c>
      <c r="C34">
        <f t="shared" si="0"/>
        <v>46.990500000000011</v>
      </c>
      <c r="D34">
        <f t="shared" si="1"/>
        <v>2.2792992344139464</v>
      </c>
      <c r="E34">
        <f t="shared" si="2"/>
        <v>51.549098468827907</v>
      </c>
      <c r="F34">
        <f t="shared" si="3"/>
        <v>42.431901531172116</v>
      </c>
    </row>
    <row r="35" spans="1:6">
      <c r="A35" s="1">
        <v>45520</v>
      </c>
      <c r="B35">
        <v>49.36</v>
      </c>
      <c r="C35">
        <f t="shared" si="0"/>
        <v>47.326500000000003</v>
      </c>
      <c r="D35">
        <f t="shared" si="1"/>
        <v>2.091821857666309</v>
      </c>
      <c r="E35">
        <f t="shared" si="2"/>
        <v>51.510143715332617</v>
      </c>
      <c r="F35">
        <f t="shared" si="3"/>
        <v>43.142856284667388</v>
      </c>
    </row>
    <row r="36" spans="1:6">
      <c r="A36" s="1">
        <v>45523</v>
      </c>
      <c r="B36">
        <v>49.3</v>
      </c>
      <c r="C36">
        <f t="shared" si="0"/>
        <v>47.658000000000001</v>
      </c>
      <c r="D36">
        <f t="shared" si="1"/>
        <v>1.8231337970936925</v>
      </c>
      <c r="E36">
        <f t="shared" si="2"/>
        <v>51.304267594187387</v>
      </c>
      <c r="F36">
        <f t="shared" si="3"/>
        <v>44.011732405812616</v>
      </c>
    </row>
    <row r="37" spans="1:6">
      <c r="A37" s="1">
        <v>45524</v>
      </c>
      <c r="B37">
        <v>48.98</v>
      </c>
      <c r="C37">
        <f t="shared" si="0"/>
        <v>47.957999999999998</v>
      </c>
      <c r="D37">
        <f t="shared" si="1"/>
        <v>1.472851155519725</v>
      </c>
      <c r="E37">
        <f t="shared" si="2"/>
        <v>50.903702311039446</v>
      </c>
      <c r="F37">
        <f t="shared" si="3"/>
        <v>45.012297688960551</v>
      </c>
    </row>
    <row r="38" spans="1:6">
      <c r="A38" s="1">
        <v>45525</v>
      </c>
      <c r="B38">
        <v>48.44</v>
      </c>
      <c r="C38">
        <f t="shared" si="0"/>
        <v>48.146999999999991</v>
      </c>
      <c r="D38">
        <f t="shared" si="1"/>
        <v>1.2535763575508769</v>
      </c>
      <c r="E38">
        <f t="shared" si="2"/>
        <v>50.654152715101745</v>
      </c>
      <c r="F38">
        <f t="shared" si="3"/>
        <v>45.639847284898238</v>
      </c>
    </row>
    <row r="39" spans="1:6">
      <c r="A39" s="1">
        <v>45526</v>
      </c>
      <c r="B39">
        <v>47.62</v>
      </c>
      <c r="C39">
        <f t="shared" si="0"/>
        <v>48.264499999999991</v>
      </c>
      <c r="D39">
        <f t="shared" si="1"/>
        <v>1.0657859714042517</v>
      </c>
      <c r="E39">
        <f t="shared" si="2"/>
        <v>50.396071942808497</v>
      </c>
      <c r="F39">
        <f t="shared" si="3"/>
        <v>46.132928057191485</v>
      </c>
    </row>
    <row r="40" spans="1:6">
      <c r="A40" s="1">
        <v>45527</v>
      </c>
      <c r="B40">
        <v>48.11</v>
      </c>
      <c r="C40">
        <f t="shared" si="0"/>
        <v>48.147499999999994</v>
      </c>
      <c r="D40">
        <f t="shared" si="1"/>
        <v>0.93346482469741021</v>
      </c>
      <c r="E40">
        <f t="shared" si="2"/>
        <v>50.014429649394813</v>
      </c>
      <c r="F40">
        <f t="shared" si="3"/>
        <v>46.280570350605174</v>
      </c>
    </row>
    <row r="41" spans="1:6">
      <c r="A41" s="1">
        <v>45530</v>
      </c>
      <c r="B41">
        <v>48.24</v>
      </c>
      <c r="C41">
        <f t="shared" si="0"/>
        <v>48.110500000000002</v>
      </c>
      <c r="D41">
        <f t="shared" si="1"/>
        <v>0.91317534489621122</v>
      </c>
      <c r="E41">
        <f t="shared" si="2"/>
        <v>49.936850689792422</v>
      </c>
      <c r="F41">
        <f t="shared" si="3"/>
        <v>46.284149310207582</v>
      </c>
    </row>
    <row r="42" spans="1:6">
      <c r="A42" s="1">
        <v>45531</v>
      </c>
      <c r="B42">
        <v>48.12</v>
      </c>
      <c r="C42">
        <f t="shared" si="0"/>
        <v>48.064000000000007</v>
      </c>
      <c r="D42">
        <f t="shared" si="1"/>
        <v>0.88609373390356216</v>
      </c>
      <c r="E42">
        <f t="shared" si="2"/>
        <v>49.836187467807129</v>
      </c>
      <c r="F42">
        <f t="shared" si="3"/>
        <v>46.291812532192885</v>
      </c>
    </row>
    <row r="43" spans="1:6">
      <c r="A43" s="1">
        <v>45532</v>
      </c>
      <c r="B43">
        <v>49.06</v>
      </c>
      <c r="C43">
        <f t="shared" si="0"/>
        <v>48.138999999999996</v>
      </c>
      <c r="D43">
        <f t="shared" si="1"/>
        <v>0.90447949556346274</v>
      </c>
      <c r="E43">
        <f t="shared" si="2"/>
        <v>49.947958991126924</v>
      </c>
      <c r="F43">
        <f t="shared" si="3"/>
        <v>46.330041008873067</v>
      </c>
    </row>
    <row r="44" spans="1:6">
      <c r="A44" s="1">
        <v>45533</v>
      </c>
      <c r="B44">
        <v>49.72</v>
      </c>
      <c r="C44">
        <f t="shared" si="0"/>
        <v>48.216500000000011</v>
      </c>
      <c r="D44">
        <f t="shared" si="1"/>
        <v>0.97121884898903099</v>
      </c>
      <c r="E44">
        <f t="shared" si="2"/>
        <v>50.158937697978075</v>
      </c>
      <c r="F44">
        <f t="shared" si="3"/>
        <v>46.274062302021946</v>
      </c>
    </row>
    <row r="45" spans="1:6">
      <c r="A45" s="1">
        <v>45534</v>
      </c>
      <c r="B45">
        <v>49.95</v>
      </c>
      <c r="C45">
        <f t="shared" si="0"/>
        <v>48.275500000000008</v>
      </c>
      <c r="D45">
        <f t="shared" si="1"/>
        <v>1.0400175858837042</v>
      </c>
      <c r="E45">
        <f t="shared" si="2"/>
        <v>50.355535171767414</v>
      </c>
      <c r="F45">
        <f t="shared" si="3"/>
        <v>46.195464828232602</v>
      </c>
    </row>
    <row r="46" spans="1:6">
      <c r="A46" s="1">
        <v>45538</v>
      </c>
      <c r="B46">
        <v>50.52</v>
      </c>
      <c r="C46">
        <f t="shared" si="0"/>
        <v>48.422000000000004</v>
      </c>
      <c r="D46">
        <f t="shared" si="1"/>
        <v>1.1399381331319791</v>
      </c>
      <c r="E46">
        <f t="shared" si="2"/>
        <v>50.701876266263966</v>
      </c>
      <c r="F46">
        <f t="shared" si="3"/>
        <v>46.142123733736042</v>
      </c>
    </row>
    <row r="47" spans="1:6">
      <c r="A47" s="1">
        <v>45539</v>
      </c>
      <c r="B47">
        <v>49.96</v>
      </c>
      <c r="C47">
        <f t="shared" si="0"/>
        <v>48.554500000000004</v>
      </c>
      <c r="D47">
        <f t="shared" si="1"/>
        <v>1.1577540644213744</v>
      </c>
      <c r="E47">
        <f t="shared" si="2"/>
        <v>50.870008128842755</v>
      </c>
      <c r="F47">
        <f t="shared" si="3"/>
        <v>46.238991871157253</v>
      </c>
    </row>
    <row r="48" spans="1:6">
      <c r="A48" s="1">
        <v>45540</v>
      </c>
      <c r="B48">
        <v>49.8</v>
      </c>
      <c r="C48">
        <f t="shared" si="0"/>
        <v>48.719500000000004</v>
      </c>
      <c r="D48">
        <f t="shared" si="1"/>
        <v>1.0822319772727007</v>
      </c>
      <c r="E48">
        <f t="shared" si="2"/>
        <v>50.883963954545408</v>
      </c>
      <c r="F48">
        <f t="shared" si="3"/>
        <v>46.5550360454546</v>
      </c>
    </row>
    <row r="49" spans="1:6">
      <c r="A49" s="1">
        <v>45541</v>
      </c>
      <c r="B49">
        <v>48.7</v>
      </c>
      <c r="C49">
        <f t="shared" si="0"/>
        <v>48.812000000000012</v>
      </c>
      <c r="D49">
        <f t="shared" si="1"/>
        <v>0.9890857022097681</v>
      </c>
      <c r="E49">
        <f t="shared" si="2"/>
        <v>50.790171404419546</v>
      </c>
      <c r="F49">
        <f t="shared" si="3"/>
        <v>46.833828595580478</v>
      </c>
    </row>
    <row r="50" spans="1:6">
      <c r="A50" s="1">
        <v>45544</v>
      </c>
      <c r="B50">
        <v>48.5</v>
      </c>
      <c r="C50">
        <f t="shared" si="0"/>
        <v>48.90100000000001</v>
      </c>
      <c r="D50">
        <f t="shared" si="1"/>
        <v>0.86298075846086209</v>
      </c>
      <c r="E50">
        <f t="shared" si="2"/>
        <v>50.626961516921732</v>
      </c>
      <c r="F50">
        <f t="shared" si="3"/>
        <v>47.175038483078289</v>
      </c>
    </row>
    <row r="51" spans="1:6">
      <c r="A51" s="1">
        <v>45545</v>
      </c>
      <c r="B51">
        <v>49.28</v>
      </c>
      <c r="C51">
        <f t="shared" si="0"/>
        <v>49.012</v>
      </c>
      <c r="D51">
        <f t="shared" si="1"/>
        <v>0.7489613861172939</v>
      </c>
      <c r="E51">
        <f t="shared" si="2"/>
        <v>50.509922772234589</v>
      </c>
      <c r="F51">
        <f t="shared" si="3"/>
        <v>47.514077227765412</v>
      </c>
    </row>
    <row r="52" spans="1:6">
      <c r="A52" s="1">
        <v>45546</v>
      </c>
      <c r="B52">
        <v>48.59</v>
      </c>
      <c r="C52">
        <f t="shared" si="0"/>
        <v>48.988500000000002</v>
      </c>
      <c r="D52">
        <f t="shared" si="1"/>
        <v>0.75472738194173972</v>
      </c>
      <c r="E52">
        <f t="shared" si="2"/>
        <v>50.497954763883484</v>
      </c>
      <c r="F52">
        <f t="shared" si="3"/>
        <v>47.479045236116519</v>
      </c>
    </row>
    <row r="53" spans="1:6">
      <c r="A53" s="1">
        <v>45547</v>
      </c>
      <c r="B53">
        <v>48.24</v>
      </c>
      <c r="C53">
        <f t="shared" si="0"/>
        <v>48.980000000000004</v>
      </c>
      <c r="D53">
        <f t="shared" si="1"/>
        <v>0.76250280413634552</v>
      </c>
      <c r="E53">
        <f t="shared" si="2"/>
        <v>50.505005608272697</v>
      </c>
      <c r="F53">
        <f t="shared" si="3"/>
        <v>47.454994391727311</v>
      </c>
    </row>
    <row r="54" spans="1:6">
      <c r="A54" s="1">
        <v>45548</v>
      </c>
      <c r="B54">
        <v>49.13</v>
      </c>
      <c r="C54">
        <f t="shared" si="0"/>
        <v>48.981000000000009</v>
      </c>
      <c r="D54">
        <f t="shared" si="1"/>
        <v>0.76269535892538154</v>
      </c>
      <c r="E54">
        <f t="shared" si="2"/>
        <v>50.50639071785077</v>
      </c>
      <c r="F54">
        <f t="shared" si="3"/>
        <v>47.455609282149247</v>
      </c>
    </row>
    <row r="55" spans="1:6">
      <c r="A55" s="1">
        <v>45551</v>
      </c>
      <c r="B55">
        <v>49.99</v>
      </c>
      <c r="C55">
        <f t="shared" si="0"/>
        <v>49.012500000000003</v>
      </c>
      <c r="D55">
        <f t="shared" si="1"/>
        <v>0.79163305561152719</v>
      </c>
      <c r="E55">
        <f t="shared" si="2"/>
        <v>50.595766111223057</v>
      </c>
      <c r="F55">
        <f t="shared" si="3"/>
        <v>47.429233888776949</v>
      </c>
    </row>
    <row r="56" spans="1:6">
      <c r="A56" s="1">
        <v>45552</v>
      </c>
      <c r="B56">
        <v>49.49</v>
      </c>
      <c r="C56">
        <f t="shared" si="0"/>
        <v>49.021999999999998</v>
      </c>
      <c r="D56">
        <f t="shared" si="1"/>
        <v>0.79639054159177658</v>
      </c>
      <c r="E56">
        <f t="shared" si="2"/>
        <v>50.614781083183551</v>
      </c>
      <c r="F56">
        <f t="shared" si="3"/>
        <v>47.429218916816446</v>
      </c>
    </row>
    <row r="57" spans="1:6">
      <c r="A57" s="1">
        <v>45553</v>
      </c>
      <c r="B57">
        <v>49.74</v>
      </c>
      <c r="C57">
        <f t="shared" si="0"/>
        <v>49.06</v>
      </c>
      <c r="D57">
        <f t="shared" si="1"/>
        <v>0.81225482130723181</v>
      </c>
      <c r="E57">
        <f t="shared" si="2"/>
        <v>50.684509642614465</v>
      </c>
      <c r="F57">
        <f t="shared" si="3"/>
        <v>47.43549035738554</v>
      </c>
    </row>
    <row r="58" spans="1:6">
      <c r="A58" s="1">
        <v>45554</v>
      </c>
      <c r="B58">
        <v>49.02</v>
      </c>
      <c r="C58">
        <f t="shared" si="0"/>
        <v>49.088999999999999</v>
      </c>
      <c r="D58">
        <f t="shared" si="1"/>
        <v>0.79920289236081699</v>
      </c>
      <c r="E58">
        <f t="shared" si="2"/>
        <v>50.687405784721633</v>
      </c>
      <c r="F58">
        <f t="shared" si="3"/>
        <v>47.490594215278364</v>
      </c>
    </row>
    <row r="59" spans="1:6">
      <c r="A59" s="1">
        <v>45555</v>
      </c>
      <c r="B59">
        <v>49.41</v>
      </c>
      <c r="C59">
        <f t="shared" si="0"/>
        <v>49.1785</v>
      </c>
      <c r="D59">
        <f t="shared" si="1"/>
        <v>0.72259237253247111</v>
      </c>
      <c r="E59">
        <f t="shared" si="2"/>
        <v>50.623684745064942</v>
      </c>
      <c r="F59">
        <f t="shared" si="3"/>
        <v>47.733315254935057</v>
      </c>
    </row>
    <row r="60" spans="1:6">
      <c r="A60" s="1">
        <v>45558</v>
      </c>
      <c r="B60">
        <v>50.01</v>
      </c>
      <c r="C60">
        <f t="shared" si="0"/>
        <v>49.273499999999999</v>
      </c>
      <c r="D60">
        <f t="shared" si="1"/>
        <v>0.69924225905054194</v>
      </c>
      <c r="E60">
        <f t="shared" si="2"/>
        <v>50.671984518101084</v>
      </c>
      <c r="F60">
        <f t="shared" si="3"/>
        <v>47.875015481898913</v>
      </c>
    </row>
    <row r="61" spans="1:6">
      <c r="A61" s="1">
        <v>45559</v>
      </c>
      <c r="B61">
        <v>50.94</v>
      </c>
      <c r="C61">
        <f t="shared" si="0"/>
        <v>49.408500000000004</v>
      </c>
      <c r="D61">
        <f t="shared" si="1"/>
        <v>0.74813645673415508</v>
      </c>
      <c r="E61">
        <f t="shared" si="2"/>
        <v>50.904772913468314</v>
      </c>
      <c r="F61">
        <f t="shared" si="3"/>
        <v>47.912227086531693</v>
      </c>
    </row>
    <row r="62" spans="1:6">
      <c r="A62" s="1">
        <v>45560</v>
      </c>
      <c r="B62">
        <v>49.95</v>
      </c>
      <c r="C62">
        <f t="shared" si="0"/>
        <v>49.5</v>
      </c>
      <c r="D62">
        <f t="shared" si="1"/>
        <v>0.69206023467690414</v>
      </c>
      <c r="E62">
        <f t="shared" si="2"/>
        <v>50.88412046935381</v>
      </c>
      <c r="F62">
        <f t="shared" si="3"/>
        <v>48.11587953064619</v>
      </c>
    </row>
    <row r="63" spans="1:6">
      <c r="A63" s="1">
        <v>45561</v>
      </c>
      <c r="B63">
        <v>50.12</v>
      </c>
      <c r="C63">
        <f t="shared" si="0"/>
        <v>49.553000000000004</v>
      </c>
      <c r="D63">
        <f t="shared" si="1"/>
        <v>0.69716040591742334</v>
      </c>
      <c r="E63">
        <f t="shared" si="2"/>
        <v>50.94732081183485</v>
      </c>
      <c r="F63">
        <f t="shared" si="3"/>
        <v>48.158679188165159</v>
      </c>
    </row>
    <row r="64" spans="1:6">
      <c r="A64" s="1">
        <v>45562</v>
      </c>
      <c r="B64">
        <v>50.91</v>
      </c>
      <c r="C64">
        <f t="shared" si="0"/>
        <v>49.612499999999997</v>
      </c>
      <c r="D64">
        <f t="shared" si="1"/>
        <v>0.7601030054850243</v>
      </c>
      <c r="E64">
        <f t="shared" si="2"/>
        <v>51.132706010970047</v>
      </c>
      <c r="F64">
        <f t="shared" si="3"/>
        <v>48.092293989029947</v>
      </c>
    </row>
    <row r="65" spans="1:6">
      <c r="A65" s="1">
        <v>45565</v>
      </c>
      <c r="B65">
        <v>51.74</v>
      </c>
      <c r="C65">
        <f t="shared" si="0"/>
        <v>49.701999999999998</v>
      </c>
      <c r="D65">
        <f t="shared" si="1"/>
        <v>0.89529530558946013</v>
      </c>
      <c r="E65">
        <f t="shared" si="2"/>
        <v>51.492590611178919</v>
      </c>
      <c r="F65">
        <f t="shared" si="3"/>
        <v>47.911409388821077</v>
      </c>
    </row>
    <row r="66" spans="1:6">
      <c r="A66" s="1">
        <v>45566</v>
      </c>
      <c r="B66">
        <v>52.9</v>
      </c>
      <c r="C66">
        <f t="shared" si="0"/>
        <v>49.820999999999998</v>
      </c>
      <c r="D66">
        <f t="shared" si="1"/>
        <v>1.1356514476397737</v>
      </c>
      <c r="E66">
        <f t="shared" si="2"/>
        <v>52.092302895279545</v>
      </c>
      <c r="F66">
        <f t="shared" si="3"/>
        <v>47.549697104720451</v>
      </c>
    </row>
    <row r="67" spans="1:6">
      <c r="A67" s="1">
        <v>45567</v>
      </c>
      <c r="B67">
        <v>53.76</v>
      </c>
      <c r="C67">
        <f t="shared" si="0"/>
        <v>50.010999999999996</v>
      </c>
      <c r="D67">
        <f t="shared" si="1"/>
        <v>1.4378123001721446</v>
      </c>
      <c r="E67">
        <f t="shared" si="2"/>
        <v>52.886624600344284</v>
      </c>
      <c r="F67">
        <f t="shared" si="3"/>
        <v>47.135375399655707</v>
      </c>
    </row>
    <row r="68" spans="1:6">
      <c r="A68" s="1">
        <v>45568</v>
      </c>
      <c r="B68">
        <v>54.2</v>
      </c>
      <c r="C68">
        <f t="shared" si="0"/>
        <v>50.231000000000002</v>
      </c>
      <c r="D68">
        <f t="shared" si="1"/>
        <v>1.7139363741798701</v>
      </c>
      <c r="E68">
        <f t="shared" si="2"/>
        <v>53.658872748359741</v>
      </c>
      <c r="F68">
        <f t="shared" si="3"/>
        <v>46.803127251640262</v>
      </c>
    </row>
    <row r="69" spans="1:6">
      <c r="A69" s="1">
        <v>45569</v>
      </c>
      <c r="B69">
        <v>53.96</v>
      </c>
      <c r="C69">
        <f t="shared" si="0"/>
        <v>50.494</v>
      </c>
      <c r="D69">
        <f t="shared" si="1"/>
        <v>1.8636704023032211</v>
      </c>
      <c r="E69">
        <f t="shared" si="2"/>
        <v>54.221340804606442</v>
      </c>
      <c r="F69">
        <f t="shared" si="3"/>
        <v>46.766659195393558</v>
      </c>
    </row>
    <row r="70" spans="1:6">
      <c r="A70" s="1">
        <v>45572</v>
      </c>
      <c r="B70">
        <v>53.44</v>
      </c>
      <c r="C70">
        <f t="shared" si="0"/>
        <v>50.741</v>
      </c>
      <c r="D70">
        <f t="shared" si="1"/>
        <v>1.9122153038873657</v>
      </c>
      <c r="E70">
        <f t="shared" si="2"/>
        <v>54.565430607774729</v>
      </c>
      <c r="F70">
        <f t="shared" si="3"/>
        <v>46.91656939222527</v>
      </c>
    </row>
    <row r="71" spans="1:6">
      <c r="A71" s="1">
        <v>45573</v>
      </c>
      <c r="B71">
        <v>52.48</v>
      </c>
      <c r="C71">
        <f t="shared" si="0"/>
        <v>50.900999999999996</v>
      </c>
      <c r="D71">
        <f t="shared" si="1"/>
        <v>1.9174047701598051</v>
      </c>
      <c r="E71">
        <f t="shared" si="2"/>
        <v>54.735809540319607</v>
      </c>
      <c r="F71">
        <f t="shared" si="3"/>
        <v>47.066190459680385</v>
      </c>
    </row>
    <row r="72" spans="1:6">
      <c r="A72" s="1">
        <v>45574</v>
      </c>
      <c r="B72">
        <v>52.8</v>
      </c>
      <c r="C72">
        <f t="shared" si="0"/>
        <v>51.111499999999999</v>
      </c>
      <c r="D72">
        <f t="shared" si="1"/>
        <v>1.8810922778786621</v>
      </c>
      <c r="E72">
        <f t="shared" si="2"/>
        <v>54.873684555757322</v>
      </c>
      <c r="F72">
        <f t="shared" si="3"/>
        <v>47.349315444242677</v>
      </c>
    </row>
    <row r="73" spans="1:6">
      <c r="A73" s="1">
        <v>45575</v>
      </c>
      <c r="B73">
        <v>52.4</v>
      </c>
      <c r="C73">
        <f t="shared" si="0"/>
        <v>51.319500000000005</v>
      </c>
      <c r="D73">
        <f t="shared" si="1"/>
        <v>1.7738019678229666</v>
      </c>
      <c r="E73">
        <f t="shared" si="2"/>
        <v>54.867103935645936</v>
      </c>
      <c r="F73">
        <f t="shared" si="3"/>
        <v>47.771896064354074</v>
      </c>
    </row>
    <row r="74" spans="1:6">
      <c r="A74" s="1">
        <v>45576</v>
      </c>
      <c r="B74">
        <v>52.2</v>
      </c>
      <c r="C74">
        <f t="shared" si="0"/>
        <v>51.472999999999999</v>
      </c>
      <c r="D74">
        <f t="shared" si="1"/>
        <v>1.7058910312579507</v>
      </c>
      <c r="E74">
        <f t="shared" si="2"/>
        <v>54.884782062515903</v>
      </c>
      <c r="F74">
        <f t="shared" si="3"/>
        <v>48.061217937484095</v>
      </c>
    </row>
    <row r="75" spans="1:6">
      <c r="A75" s="1">
        <v>45579</v>
      </c>
      <c r="B75">
        <v>52.67</v>
      </c>
      <c r="C75">
        <f t="shared" si="0"/>
        <v>51.607000000000006</v>
      </c>
      <c r="D75">
        <f t="shared" si="1"/>
        <v>1.6884377706220495</v>
      </c>
      <c r="E75">
        <f t="shared" si="2"/>
        <v>54.983875541244103</v>
      </c>
      <c r="F75">
        <f t="shared" si="3"/>
        <v>48.23012445875591</v>
      </c>
    </row>
    <row r="76" spans="1:6">
      <c r="A76" s="1">
        <v>45580</v>
      </c>
      <c r="B76">
        <v>52.76</v>
      </c>
      <c r="C76">
        <f t="shared" si="0"/>
        <v>51.770500000000006</v>
      </c>
      <c r="D76">
        <f t="shared" si="1"/>
        <v>1.6299611716395672</v>
      </c>
      <c r="E76">
        <f t="shared" si="2"/>
        <v>55.030422343279142</v>
      </c>
      <c r="F76">
        <f t="shared" si="3"/>
        <v>48.510577656720869</v>
      </c>
    </row>
    <row r="77" spans="1:6">
      <c r="A77" s="1">
        <v>45581</v>
      </c>
      <c r="B77">
        <v>53.37</v>
      </c>
      <c r="C77">
        <f t="shared" si="0"/>
        <v>51.951999999999998</v>
      </c>
      <c r="D77">
        <f t="shared" si="1"/>
        <v>1.5936604670413728</v>
      </c>
      <c r="E77">
        <f t="shared" si="2"/>
        <v>55.139320934082747</v>
      </c>
      <c r="F77">
        <f t="shared" si="3"/>
        <v>48.76467906591725</v>
      </c>
    </row>
    <row r="78" spans="1:6">
      <c r="A78" s="1">
        <v>45582</v>
      </c>
      <c r="B78">
        <v>53.18</v>
      </c>
      <c r="C78">
        <f t="shared" si="0"/>
        <v>52.160000000000004</v>
      </c>
      <c r="D78">
        <f t="shared" si="1"/>
        <v>1.4564087049278012</v>
      </c>
      <c r="E78">
        <f t="shared" si="2"/>
        <v>55.072817409855602</v>
      </c>
      <c r="F78">
        <f t="shared" si="3"/>
        <v>49.247182590144405</v>
      </c>
    </row>
    <row r="79" spans="1:6">
      <c r="A79" s="1">
        <v>45583</v>
      </c>
      <c r="B79">
        <v>53.22</v>
      </c>
      <c r="C79">
        <f t="shared" si="0"/>
        <v>52.35049999999999</v>
      </c>
      <c r="D79">
        <f t="shared" si="1"/>
        <v>1.3206197707695311</v>
      </c>
      <c r="E79">
        <f t="shared" si="2"/>
        <v>54.991739541539054</v>
      </c>
      <c r="F79">
        <f t="shared" si="3"/>
        <v>49.709260458460925</v>
      </c>
    </row>
    <row r="80" spans="1:6">
      <c r="A80" s="1">
        <v>45586</v>
      </c>
      <c r="B80">
        <v>52.12</v>
      </c>
      <c r="C80">
        <f t="shared" si="0"/>
        <v>52.455999999999996</v>
      </c>
      <c r="D80">
        <f t="shared" si="1"/>
        <v>1.2028317465573961</v>
      </c>
      <c r="E80">
        <f t="shared" si="2"/>
        <v>54.86166349311479</v>
      </c>
      <c r="F80">
        <f t="shared" si="3"/>
        <v>50.050336506885202</v>
      </c>
    </row>
    <row r="81" spans="1:6">
      <c r="A81" s="1">
        <v>45587</v>
      </c>
      <c r="B81">
        <v>52.76</v>
      </c>
      <c r="C81">
        <f t="shared" si="0"/>
        <v>52.54699999999999</v>
      </c>
      <c r="D81">
        <f t="shared" si="1"/>
        <v>1.1497784683650105</v>
      </c>
      <c r="E81">
        <f t="shared" si="2"/>
        <v>54.846556936730011</v>
      </c>
      <c r="F81">
        <f t="shared" si="3"/>
        <v>50.247443063269969</v>
      </c>
    </row>
    <row r="82" spans="1:6">
      <c r="A82" s="1">
        <v>45588</v>
      </c>
      <c r="B82">
        <v>53.06</v>
      </c>
      <c r="C82">
        <f t="shared" si="0"/>
        <v>52.702500000000001</v>
      </c>
      <c r="D82">
        <f t="shared" si="1"/>
        <v>0.97745574674360924</v>
      </c>
      <c r="E82">
        <f t="shared" si="2"/>
        <v>54.657411493487217</v>
      </c>
      <c r="F82">
        <f t="shared" si="3"/>
        <v>50.747588506512784</v>
      </c>
    </row>
    <row r="83" spans="1:6">
      <c r="A83" s="1">
        <v>45589</v>
      </c>
      <c r="B83">
        <v>52.92</v>
      </c>
      <c r="C83">
        <f t="shared" si="0"/>
        <v>52.842500000000008</v>
      </c>
      <c r="D83">
        <f t="shared" si="1"/>
        <v>0.7656773746854898</v>
      </c>
      <c r="E83">
        <f t="shared" si="2"/>
        <v>54.373854749370985</v>
      </c>
      <c r="F83">
        <f t="shared" si="3"/>
        <v>51.311145250629032</v>
      </c>
    </row>
    <row r="84" spans="1:6">
      <c r="A84" s="1">
        <v>45590</v>
      </c>
      <c r="B84">
        <v>51.92</v>
      </c>
      <c r="C84">
        <f t="shared" si="0"/>
        <v>52.892999999999994</v>
      </c>
      <c r="D84">
        <f t="shared" si="1"/>
        <v>0.65712371662219604</v>
      </c>
      <c r="E84">
        <f t="shared" si="2"/>
        <v>54.207247433244383</v>
      </c>
      <c r="F84">
        <f t="shared" si="3"/>
        <v>51.578752566755604</v>
      </c>
    </row>
    <row r="85" spans="1:6">
      <c r="A85" s="1">
        <v>45593</v>
      </c>
      <c r="B85">
        <v>52.64</v>
      </c>
      <c r="C85">
        <f t="shared" si="0"/>
        <v>52.938000000000002</v>
      </c>
      <c r="D85">
        <f t="shared" si="1"/>
        <v>0.60256120021123183</v>
      </c>
      <c r="E85">
        <f t="shared" si="2"/>
        <v>54.143122400422463</v>
      </c>
      <c r="F85">
        <f t="shared" si="3"/>
        <v>51.732877599577542</v>
      </c>
    </row>
    <row r="86" spans="1:6">
      <c r="A86" s="1">
        <v>45594</v>
      </c>
      <c r="B86">
        <v>52.5</v>
      </c>
      <c r="C86">
        <f t="shared" ref="C86:C149" si="4">AVERAGE(B67:B86)</f>
        <v>52.918000000000006</v>
      </c>
      <c r="D86">
        <f t="shared" ref="D86:D149" si="5">_xlfn.STDEV.S(B67:B86)</f>
        <v>0.61047522472251081</v>
      </c>
      <c r="E86">
        <f t="shared" ref="E86:E149" si="6">C86+2*D86</f>
        <v>54.138950449445026</v>
      </c>
      <c r="F86">
        <f t="shared" ref="F86:F149" si="7">C86-2*D86</f>
        <v>51.697049550554986</v>
      </c>
    </row>
    <row r="87" spans="1:6">
      <c r="A87" s="1">
        <v>45595</v>
      </c>
      <c r="B87">
        <v>52.66</v>
      </c>
      <c r="C87">
        <f t="shared" si="4"/>
        <v>52.862999999999985</v>
      </c>
      <c r="D87">
        <f t="shared" si="5"/>
        <v>0.57938351992259418</v>
      </c>
      <c r="E87">
        <f t="shared" si="6"/>
        <v>54.021767039845173</v>
      </c>
      <c r="F87">
        <f t="shared" si="7"/>
        <v>51.704232960154798</v>
      </c>
    </row>
    <row r="88" spans="1:6">
      <c r="A88" s="1">
        <v>45596</v>
      </c>
      <c r="B88">
        <v>55.77</v>
      </c>
      <c r="C88">
        <f t="shared" si="4"/>
        <v>52.941499999999998</v>
      </c>
      <c r="D88">
        <f t="shared" si="5"/>
        <v>0.82455266979323938</v>
      </c>
      <c r="E88">
        <f t="shared" si="6"/>
        <v>54.590605339586475</v>
      </c>
      <c r="F88">
        <f t="shared" si="7"/>
        <v>51.292394660413521</v>
      </c>
    </row>
    <row r="89" spans="1:6">
      <c r="A89" s="1">
        <v>45597</v>
      </c>
      <c r="B89">
        <v>54.32</v>
      </c>
      <c r="C89">
        <f t="shared" si="4"/>
        <v>52.959499999999991</v>
      </c>
      <c r="D89">
        <f t="shared" si="5"/>
        <v>0.85144752905674881</v>
      </c>
      <c r="E89">
        <f t="shared" si="6"/>
        <v>54.662395058113489</v>
      </c>
      <c r="F89">
        <f t="shared" si="7"/>
        <v>51.256604941886494</v>
      </c>
    </row>
    <row r="90" spans="1:6">
      <c r="A90" s="1">
        <v>45600</v>
      </c>
      <c r="B90">
        <v>55.45</v>
      </c>
      <c r="C90">
        <f t="shared" si="4"/>
        <v>53.059999999999988</v>
      </c>
      <c r="D90">
        <f t="shared" si="5"/>
        <v>1.0142147597759412</v>
      </c>
      <c r="E90">
        <f t="shared" si="6"/>
        <v>55.088429519551873</v>
      </c>
      <c r="F90">
        <f t="shared" si="7"/>
        <v>51.031570480448103</v>
      </c>
    </row>
    <row r="91" spans="1:6">
      <c r="A91" s="1">
        <v>45601</v>
      </c>
      <c r="B91">
        <v>55.95</v>
      </c>
      <c r="C91">
        <f t="shared" si="4"/>
        <v>53.233499999999992</v>
      </c>
      <c r="D91">
        <f t="shared" si="5"/>
        <v>1.1911439658447771</v>
      </c>
      <c r="E91">
        <f t="shared" si="6"/>
        <v>55.615787931689546</v>
      </c>
      <c r="F91">
        <f t="shared" si="7"/>
        <v>50.851212068310438</v>
      </c>
    </row>
    <row r="92" spans="1:6">
      <c r="A92" s="1">
        <v>45602</v>
      </c>
      <c r="B92">
        <v>55.28</v>
      </c>
      <c r="C92">
        <f t="shared" si="4"/>
        <v>53.357500000000002</v>
      </c>
      <c r="D92">
        <f t="shared" si="5"/>
        <v>1.2701092990679779</v>
      </c>
      <c r="E92">
        <f t="shared" si="6"/>
        <v>55.89771859813596</v>
      </c>
      <c r="F92">
        <f t="shared" si="7"/>
        <v>50.817281401864044</v>
      </c>
    </row>
    <row r="93" spans="1:6">
      <c r="A93" s="1">
        <v>45603</v>
      </c>
      <c r="B93">
        <v>54.71</v>
      </c>
      <c r="C93">
        <f t="shared" si="4"/>
        <v>53.472999999999999</v>
      </c>
      <c r="D93">
        <f t="shared" si="5"/>
        <v>1.2834169031801099</v>
      </c>
      <c r="E93">
        <f t="shared" si="6"/>
        <v>56.039833806360221</v>
      </c>
      <c r="F93">
        <f t="shared" si="7"/>
        <v>50.906166193639777</v>
      </c>
    </row>
    <row r="94" spans="1:6">
      <c r="A94" s="1">
        <v>45604</v>
      </c>
      <c r="B94">
        <v>54.14</v>
      </c>
      <c r="C94">
        <f t="shared" si="4"/>
        <v>53.570000000000007</v>
      </c>
      <c r="D94">
        <f t="shared" si="5"/>
        <v>1.2551410069663185</v>
      </c>
      <c r="E94">
        <f t="shared" si="6"/>
        <v>56.080282013932646</v>
      </c>
      <c r="F94">
        <f t="shared" si="7"/>
        <v>51.059717986067369</v>
      </c>
    </row>
    <row r="95" spans="1:6">
      <c r="A95" s="1">
        <v>45607</v>
      </c>
      <c r="B95">
        <v>59.82</v>
      </c>
      <c r="C95">
        <f t="shared" si="4"/>
        <v>53.927500000000009</v>
      </c>
      <c r="D95">
        <f t="shared" si="5"/>
        <v>1.8585304749494405</v>
      </c>
      <c r="E95">
        <f t="shared" si="6"/>
        <v>57.644560949898889</v>
      </c>
      <c r="F95">
        <f t="shared" si="7"/>
        <v>50.21043905010113</v>
      </c>
    </row>
    <row r="96" spans="1:6">
      <c r="A96" s="1">
        <v>45608</v>
      </c>
      <c r="B96">
        <v>59.02</v>
      </c>
      <c r="C96">
        <f t="shared" si="4"/>
        <v>54.240500000000011</v>
      </c>
      <c r="D96">
        <f t="shared" si="5"/>
        <v>2.1550393206816931</v>
      </c>
      <c r="E96">
        <f t="shared" si="6"/>
        <v>58.550578641363401</v>
      </c>
      <c r="F96">
        <f t="shared" si="7"/>
        <v>49.930421358636622</v>
      </c>
    </row>
    <row r="97" spans="1:6">
      <c r="A97" s="1">
        <v>45609</v>
      </c>
      <c r="B97">
        <v>58.41</v>
      </c>
      <c r="C97">
        <f t="shared" si="4"/>
        <v>54.492500000000021</v>
      </c>
      <c r="D97">
        <f t="shared" si="5"/>
        <v>2.3350484611222688</v>
      </c>
      <c r="E97">
        <f t="shared" si="6"/>
        <v>59.16259692224456</v>
      </c>
      <c r="F97">
        <f t="shared" si="7"/>
        <v>49.822403077755482</v>
      </c>
    </row>
    <row r="98" spans="1:6">
      <c r="A98" s="1">
        <v>45610</v>
      </c>
      <c r="B98">
        <v>58.5</v>
      </c>
      <c r="C98">
        <f t="shared" si="4"/>
        <v>54.758500000000005</v>
      </c>
      <c r="D98">
        <f t="shared" si="5"/>
        <v>2.4764028985182271</v>
      </c>
      <c r="E98">
        <f t="shared" si="6"/>
        <v>59.711305797036459</v>
      </c>
      <c r="F98">
        <f t="shared" si="7"/>
        <v>49.805694202963551</v>
      </c>
    </row>
    <row r="99" spans="1:6">
      <c r="A99" s="1">
        <v>45611</v>
      </c>
      <c r="B99">
        <v>56.22</v>
      </c>
      <c r="C99">
        <f t="shared" si="4"/>
        <v>54.908500000000018</v>
      </c>
      <c r="D99">
        <f t="shared" si="5"/>
        <v>2.469155566287049</v>
      </c>
      <c r="E99">
        <f t="shared" si="6"/>
        <v>59.846811132574118</v>
      </c>
      <c r="F99">
        <f t="shared" si="7"/>
        <v>49.970188867425918</v>
      </c>
    </row>
    <row r="100" spans="1:6">
      <c r="A100" s="1">
        <v>45614</v>
      </c>
      <c r="B100">
        <v>56.8</v>
      </c>
      <c r="C100">
        <f t="shared" si="4"/>
        <v>55.142499999999998</v>
      </c>
      <c r="D100">
        <f t="shared" si="5"/>
        <v>2.4120833428038049</v>
      </c>
      <c r="E100">
        <f t="shared" si="6"/>
        <v>59.966666685607606</v>
      </c>
      <c r="F100">
        <f t="shared" si="7"/>
        <v>50.31833331439239</v>
      </c>
    </row>
    <row r="101" spans="1:6">
      <c r="A101" s="1">
        <v>45615</v>
      </c>
      <c r="B101">
        <v>58.23</v>
      </c>
      <c r="C101">
        <f t="shared" si="4"/>
        <v>55.416000000000011</v>
      </c>
      <c r="D101">
        <f t="shared" si="5"/>
        <v>2.4376982240587011</v>
      </c>
      <c r="E101">
        <f t="shared" si="6"/>
        <v>60.291396448117411</v>
      </c>
      <c r="F101">
        <f t="shared" si="7"/>
        <v>50.540603551882612</v>
      </c>
    </row>
    <row r="102" spans="1:6">
      <c r="A102" s="1">
        <v>45616</v>
      </c>
      <c r="B102">
        <v>57.88</v>
      </c>
      <c r="C102">
        <f t="shared" si="4"/>
        <v>55.657000000000004</v>
      </c>
      <c r="D102">
        <f t="shared" si="5"/>
        <v>2.4307679098546093</v>
      </c>
      <c r="E102">
        <f t="shared" si="6"/>
        <v>60.518535819709221</v>
      </c>
      <c r="F102">
        <f t="shared" si="7"/>
        <v>50.795464180290786</v>
      </c>
    </row>
    <row r="103" spans="1:6">
      <c r="A103" s="1">
        <v>45617</v>
      </c>
      <c r="B103">
        <v>58.23</v>
      </c>
      <c r="C103">
        <f t="shared" si="4"/>
        <v>55.922499999999999</v>
      </c>
      <c r="D103">
        <f t="shared" si="5"/>
        <v>2.405950681998807</v>
      </c>
      <c r="E103">
        <f t="shared" si="6"/>
        <v>60.734401363997613</v>
      </c>
      <c r="F103">
        <f t="shared" si="7"/>
        <v>51.110598636002386</v>
      </c>
    </row>
    <row r="104" spans="1:6">
      <c r="A104" s="1">
        <v>45618</v>
      </c>
      <c r="B104">
        <v>58.87</v>
      </c>
      <c r="C104">
        <f t="shared" si="4"/>
        <v>56.269999999999996</v>
      </c>
      <c r="D104">
        <f t="shared" si="5"/>
        <v>2.2968628490548624</v>
      </c>
      <c r="E104">
        <f t="shared" si="6"/>
        <v>60.863725698109718</v>
      </c>
      <c r="F104">
        <f t="shared" si="7"/>
        <v>51.676274301890274</v>
      </c>
    </row>
    <row r="105" spans="1:6">
      <c r="A105" s="1">
        <v>45621</v>
      </c>
      <c r="B105">
        <v>58.78</v>
      </c>
      <c r="C105">
        <f t="shared" si="4"/>
        <v>56.576999999999984</v>
      </c>
      <c r="D105">
        <f t="shared" si="5"/>
        <v>2.1941815402511589</v>
      </c>
      <c r="E105">
        <f t="shared" si="6"/>
        <v>60.9653630805023</v>
      </c>
      <c r="F105">
        <f t="shared" si="7"/>
        <v>52.188636919497668</v>
      </c>
    </row>
    <row r="106" spans="1:6">
      <c r="A106" s="1">
        <v>45622</v>
      </c>
      <c r="B106">
        <v>58.74</v>
      </c>
      <c r="C106">
        <f t="shared" si="4"/>
        <v>56.888999999999996</v>
      </c>
      <c r="D106">
        <f t="shared" si="5"/>
        <v>2.0207343636463087</v>
      </c>
      <c r="E106">
        <f t="shared" si="6"/>
        <v>60.930468727292613</v>
      </c>
      <c r="F106">
        <f t="shared" si="7"/>
        <v>52.847531272707378</v>
      </c>
    </row>
    <row r="107" spans="1:6">
      <c r="A107" s="1">
        <v>45623</v>
      </c>
      <c r="B107">
        <v>59.27</v>
      </c>
      <c r="C107">
        <f t="shared" si="4"/>
        <v>57.219499999999996</v>
      </c>
      <c r="D107">
        <f t="shared" si="5"/>
        <v>1.8235895054015103</v>
      </c>
      <c r="E107">
        <f t="shared" si="6"/>
        <v>60.866679010803018</v>
      </c>
      <c r="F107">
        <f t="shared" si="7"/>
        <v>53.572320989196974</v>
      </c>
    </row>
    <row r="108" spans="1:6">
      <c r="A108" s="1">
        <v>45625</v>
      </c>
      <c r="B108">
        <v>59.22</v>
      </c>
      <c r="C108">
        <f t="shared" si="4"/>
        <v>57.391999999999996</v>
      </c>
      <c r="D108">
        <f t="shared" si="5"/>
        <v>1.8423371884075597</v>
      </c>
      <c r="E108">
        <f t="shared" si="6"/>
        <v>61.076674376815113</v>
      </c>
      <c r="F108">
        <f t="shared" si="7"/>
        <v>53.707325623184879</v>
      </c>
    </row>
    <row r="109" spans="1:6">
      <c r="A109" s="1">
        <v>45628</v>
      </c>
      <c r="B109">
        <v>59.94</v>
      </c>
      <c r="C109">
        <f t="shared" si="4"/>
        <v>57.673000000000002</v>
      </c>
      <c r="D109">
        <f t="shared" si="5"/>
        <v>1.7765403990547703</v>
      </c>
      <c r="E109">
        <f t="shared" si="6"/>
        <v>61.226080798109543</v>
      </c>
      <c r="F109">
        <f t="shared" si="7"/>
        <v>54.119919201890461</v>
      </c>
    </row>
    <row r="110" spans="1:6">
      <c r="A110" s="1">
        <v>45629</v>
      </c>
      <c r="B110">
        <v>58.69</v>
      </c>
      <c r="C110">
        <f t="shared" si="4"/>
        <v>57.835000000000001</v>
      </c>
      <c r="D110">
        <f t="shared" si="5"/>
        <v>1.7096244586088731</v>
      </c>
      <c r="E110">
        <f t="shared" si="6"/>
        <v>61.254248917217744</v>
      </c>
      <c r="F110">
        <f t="shared" si="7"/>
        <v>54.415751082782258</v>
      </c>
    </row>
    <row r="111" spans="1:6">
      <c r="A111" s="1">
        <v>45630</v>
      </c>
      <c r="B111">
        <v>58.37</v>
      </c>
      <c r="C111">
        <f t="shared" si="4"/>
        <v>57.955999999999996</v>
      </c>
      <c r="D111">
        <f t="shared" si="5"/>
        <v>1.6539216553710343</v>
      </c>
      <c r="E111">
        <f t="shared" si="6"/>
        <v>61.263843310742061</v>
      </c>
      <c r="F111">
        <f t="shared" si="7"/>
        <v>54.648156689257931</v>
      </c>
    </row>
    <row r="112" spans="1:6">
      <c r="A112" s="1">
        <v>45631</v>
      </c>
      <c r="B112">
        <v>58.84</v>
      </c>
      <c r="C112">
        <f t="shared" si="4"/>
        <v>58.133999999999993</v>
      </c>
      <c r="D112">
        <f t="shared" si="5"/>
        <v>1.5382916019505468</v>
      </c>
      <c r="E112">
        <f t="shared" si="6"/>
        <v>61.210583203901088</v>
      </c>
      <c r="F112">
        <f t="shared" si="7"/>
        <v>55.057416796098899</v>
      </c>
    </row>
    <row r="113" spans="1:6">
      <c r="A113" s="1">
        <v>45632</v>
      </c>
      <c r="B113">
        <v>59.38</v>
      </c>
      <c r="C113">
        <f t="shared" si="4"/>
        <v>58.367500000000007</v>
      </c>
      <c r="D113">
        <f t="shared" si="5"/>
        <v>1.3317731551739984</v>
      </c>
      <c r="E113">
        <f t="shared" si="6"/>
        <v>61.031046310348003</v>
      </c>
      <c r="F113">
        <f t="shared" si="7"/>
        <v>55.70395368965201</v>
      </c>
    </row>
    <row r="114" spans="1:6">
      <c r="A114" s="1">
        <v>45635</v>
      </c>
      <c r="B114">
        <v>58.71</v>
      </c>
      <c r="C114">
        <f t="shared" si="4"/>
        <v>58.596000000000018</v>
      </c>
      <c r="D114">
        <f t="shared" si="5"/>
        <v>0.88555899681619543</v>
      </c>
      <c r="E114">
        <f t="shared" si="6"/>
        <v>60.367117993632405</v>
      </c>
      <c r="F114">
        <f t="shared" si="7"/>
        <v>56.824882006367631</v>
      </c>
    </row>
    <row r="115" spans="1:6">
      <c r="A115" s="1">
        <v>45636</v>
      </c>
      <c r="B115">
        <v>58.12</v>
      </c>
      <c r="C115">
        <f t="shared" si="4"/>
        <v>58.511000000000003</v>
      </c>
      <c r="D115">
        <f t="shared" si="5"/>
        <v>0.84242694513811578</v>
      </c>
      <c r="E115">
        <f t="shared" si="6"/>
        <v>60.195853890276233</v>
      </c>
      <c r="F115">
        <f t="shared" si="7"/>
        <v>56.826146109723773</v>
      </c>
    </row>
    <row r="116" spans="1:6">
      <c r="A116" s="1">
        <v>45637</v>
      </c>
      <c r="B116">
        <v>56.65</v>
      </c>
      <c r="C116">
        <f t="shared" si="4"/>
        <v>58.392500000000005</v>
      </c>
      <c r="D116">
        <f t="shared" si="5"/>
        <v>0.92927178620228224</v>
      </c>
      <c r="E116">
        <f t="shared" si="6"/>
        <v>60.251043572404569</v>
      </c>
      <c r="F116">
        <f t="shared" si="7"/>
        <v>56.533956427595442</v>
      </c>
    </row>
    <row r="117" spans="1:6">
      <c r="A117" s="1">
        <v>45638</v>
      </c>
      <c r="B117">
        <v>56.28</v>
      </c>
      <c r="C117">
        <f t="shared" si="4"/>
        <v>58.286000000000016</v>
      </c>
      <c r="D117">
        <f t="shared" si="5"/>
        <v>1.0423374541966022</v>
      </c>
      <c r="E117">
        <f t="shared" si="6"/>
        <v>60.370674908393219</v>
      </c>
      <c r="F117">
        <f t="shared" si="7"/>
        <v>56.201325091606812</v>
      </c>
    </row>
    <row r="118" spans="1:6">
      <c r="A118" s="1">
        <v>45639</v>
      </c>
      <c r="B118">
        <v>55.78</v>
      </c>
      <c r="C118">
        <f t="shared" si="4"/>
        <v>58.150000000000013</v>
      </c>
      <c r="D118">
        <f t="shared" si="5"/>
        <v>1.1811501976775369</v>
      </c>
      <c r="E118">
        <f t="shared" si="6"/>
        <v>60.512300395355084</v>
      </c>
      <c r="F118">
        <f t="shared" si="7"/>
        <v>55.787699604644942</v>
      </c>
    </row>
    <row r="119" spans="1:6">
      <c r="A119" s="1">
        <v>45642</v>
      </c>
      <c r="B119">
        <v>55.87</v>
      </c>
      <c r="C119">
        <f t="shared" si="4"/>
        <v>58.132500000000007</v>
      </c>
      <c r="D119">
        <f t="shared" si="5"/>
        <v>1.2134026753850429</v>
      </c>
      <c r="E119">
        <f t="shared" si="6"/>
        <v>60.559305350770096</v>
      </c>
      <c r="F119">
        <f t="shared" si="7"/>
        <v>55.705694649229919</v>
      </c>
    </row>
    <row r="120" spans="1:6">
      <c r="A120" s="1">
        <v>45643</v>
      </c>
      <c r="B120">
        <v>57.65</v>
      </c>
      <c r="C120">
        <f t="shared" si="4"/>
        <v>58.175000000000011</v>
      </c>
      <c r="D120">
        <f t="shared" si="5"/>
        <v>1.1786633821499051</v>
      </c>
      <c r="E120">
        <f t="shared" si="6"/>
        <v>60.532326764299825</v>
      </c>
      <c r="F120">
        <f t="shared" si="7"/>
        <v>55.817673235700198</v>
      </c>
    </row>
    <row r="121" spans="1:6">
      <c r="A121" s="1">
        <v>45644</v>
      </c>
      <c r="B121">
        <v>56.84</v>
      </c>
      <c r="C121">
        <f t="shared" si="4"/>
        <v>58.105499999999992</v>
      </c>
      <c r="D121">
        <f t="shared" si="5"/>
        <v>1.2156500318759507</v>
      </c>
      <c r="E121">
        <f t="shared" si="6"/>
        <v>60.53680006375189</v>
      </c>
      <c r="F121">
        <f t="shared" si="7"/>
        <v>55.674199936248094</v>
      </c>
    </row>
    <row r="122" spans="1:6">
      <c r="A122" s="1">
        <v>45645</v>
      </c>
      <c r="B122">
        <v>56.3</v>
      </c>
      <c r="C122">
        <f t="shared" si="4"/>
        <v>58.026499999999999</v>
      </c>
      <c r="D122">
        <f t="shared" si="5"/>
        <v>1.2806752947278699</v>
      </c>
      <c r="E122">
        <f t="shared" si="6"/>
        <v>60.587850589455741</v>
      </c>
      <c r="F122">
        <f t="shared" si="7"/>
        <v>55.465149410544257</v>
      </c>
    </row>
    <row r="123" spans="1:6">
      <c r="A123" s="1">
        <v>45646</v>
      </c>
      <c r="B123">
        <v>57.33</v>
      </c>
      <c r="C123">
        <f t="shared" si="4"/>
        <v>57.981499999999997</v>
      </c>
      <c r="D123">
        <f t="shared" si="5"/>
        <v>1.2889337698880792</v>
      </c>
      <c r="E123">
        <f t="shared" si="6"/>
        <v>60.559367539776154</v>
      </c>
      <c r="F123">
        <f t="shared" si="7"/>
        <v>55.403632460223839</v>
      </c>
    </row>
    <row r="124" spans="1:6">
      <c r="A124" s="1">
        <v>45649</v>
      </c>
      <c r="B124">
        <v>57.58</v>
      </c>
      <c r="C124">
        <f t="shared" si="4"/>
        <v>57.916999999999994</v>
      </c>
      <c r="D124">
        <f t="shared" si="5"/>
        <v>1.2743258279535399</v>
      </c>
      <c r="E124">
        <f t="shared" si="6"/>
        <v>60.465651655907074</v>
      </c>
      <c r="F124">
        <f t="shared" si="7"/>
        <v>55.368348344092915</v>
      </c>
    </row>
    <row r="125" spans="1:6">
      <c r="A125" s="1">
        <v>45650</v>
      </c>
      <c r="B125">
        <v>57.76</v>
      </c>
      <c r="C125">
        <f t="shared" si="4"/>
        <v>57.866</v>
      </c>
      <c r="D125">
        <f t="shared" si="5"/>
        <v>1.2582795271405529</v>
      </c>
      <c r="E125">
        <f t="shared" si="6"/>
        <v>60.382559054281103</v>
      </c>
      <c r="F125">
        <f t="shared" si="7"/>
        <v>55.349440945718897</v>
      </c>
    </row>
    <row r="126" spans="1:6">
      <c r="A126" s="1">
        <v>45652</v>
      </c>
      <c r="B126">
        <v>58</v>
      </c>
      <c r="C126">
        <f t="shared" si="4"/>
        <v>57.828999999999994</v>
      </c>
      <c r="D126">
        <f t="shared" si="5"/>
        <v>1.2420013560463827</v>
      </c>
      <c r="E126">
        <f t="shared" si="6"/>
        <v>60.313002712092761</v>
      </c>
      <c r="F126">
        <f t="shared" si="7"/>
        <v>55.344997287907226</v>
      </c>
    </row>
    <row r="127" spans="1:6">
      <c r="A127" s="1">
        <v>45653</v>
      </c>
      <c r="B127">
        <v>57.68</v>
      </c>
      <c r="C127">
        <f t="shared" si="4"/>
        <v>57.749499999999998</v>
      </c>
      <c r="D127">
        <f t="shared" si="5"/>
        <v>1.1949035415815832</v>
      </c>
      <c r="E127">
        <f t="shared" si="6"/>
        <v>60.13930708316316</v>
      </c>
      <c r="F127">
        <f t="shared" si="7"/>
        <v>55.359692916836835</v>
      </c>
    </row>
    <row r="128" spans="1:6">
      <c r="A128" s="1">
        <v>45656</v>
      </c>
      <c r="B128">
        <v>56.06</v>
      </c>
      <c r="C128">
        <f t="shared" si="4"/>
        <v>57.591500000000011</v>
      </c>
      <c r="D128">
        <f t="shared" si="5"/>
        <v>1.1991412497458773</v>
      </c>
      <c r="E128">
        <f t="shared" si="6"/>
        <v>59.989782499491767</v>
      </c>
      <c r="F128">
        <f t="shared" si="7"/>
        <v>55.193217500508254</v>
      </c>
    </row>
    <row r="129" spans="1:6">
      <c r="A129" s="1">
        <v>45657</v>
      </c>
      <c r="B129">
        <v>56.56</v>
      </c>
      <c r="C129">
        <f t="shared" si="4"/>
        <v>57.422499999999992</v>
      </c>
      <c r="D129">
        <f t="shared" si="5"/>
        <v>1.0833227394893623</v>
      </c>
      <c r="E129">
        <f t="shared" si="6"/>
        <v>59.589145478978715</v>
      </c>
      <c r="F129">
        <f t="shared" si="7"/>
        <v>55.25585452102127</v>
      </c>
    </row>
    <row r="130" spans="1:6">
      <c r="A130" s="1">
        <v>45659</v>
      </c>
      <c r="B130">
        <v>56.79</v>
      </c>
      <c r="C130">
        <f t="shared" si="4"/>
        <v>57.327500000000001</v>
      </c>
      <c r="D130">
        <f t="shared" si="5"/>
        <v>1.0490892039739694</v>
      </c>
      <c r="E130">
        <f t="shared" si="6"/>
        <v>59.425678407947942</v>
      </c>
      <c r="F130">
        <f t="shared" si="7"/>
        <v>55.229321592052059</v>
      </c>
    </row>
    <row r="131" spans="1:6">
      <c r="A131" s="1">
        <v>45660</v>
      </c>
      <c r="B131">
        <v>56.57</v>
      </c>
      <c r="C131">
        <f t="shared" si="4"/>
        <v>57.23749999999999</v>
      </c>
      <c r="D131">
        <f t="shared" si="5"/>
        <v>1.0320183341904656</v>
      </c>
      <c r="E131">
        <f t="shared" si="6"/>
        <v>59.301536668380919</v>
      </c>
      <c r="F131">
        <f t="shared" si="7"/>
        <v>55.173463331619061</v>
      </c>
    </row>
    <row r="132" spans="1:6">
      <c r="A132" s="1">
        <v>45663</v>
      </c>
      <c r="B132">
        <v>56.68</v>
      </c>
      <c r="C132">
        <f t="shared" si="4"/>
        <v>57.129499999999993</v>
      </c>
      <c r="D132">
        <f t="shared" si="5"/>
        <v>0.96642844917170212</v>
      </c>
      <c r="E132">
        <f t="shared" si="6"/>
        <v>59.062356898343396</v>
      </c>
      <c r="F132">
        <f t="shared" si="7"/>
        <v>55.196643101656591</v>
      </c>
    </row>
    <row r="133" spans="1:6">
      <c r="A133" s="1">
        <v>45664</v>
      </c>
      <c r="B133">
        <v>57.14</v>
      </c>
      <c r="C133">
        <f t="shared" si="4"/>
        <v>57.017499999999998</v>
      </c>
      <c r="D133">
        <f t="shared" si="5"/>
        <v>0.80883851097861592</v>
      </c>
      <c r="E133">
        <f t="shared" si="6"/>
        <v>58.635177021957233</v>
      </c>
      <c r="F133">
        <f t="shared" si="7"/>
        <v>55.399822978042764</v>
      </c>
    </row>
    <row r="134" spans="1:6">
      <c r="A134" s="1">
        <v>45665</v>
      </c>
      <c r="B134">
        <v>56.81</v>
      </c>
      <c r="C134">
        <f t="shared" si="4"/>
        <v>56.922499999999992</v>
      </c>
      <c r="D134">
        <f t="shared" si="5"/>
        <v>0.70442865986706171</v>
      </c>
      <c r="E134">
        <f t="shared" si="6"/>
        <v>58.331357319734117</v>
      </c>
      <c r="F134">
        <f t="shared" si="7"/>
        <v>55.513642680265868</v>
      </c>
    </row>
    <row r="135" spans="1:6">
      <c r="A135" s="1">
        <v>45667</v>
      </c>
      <c r="B135">
        <v>55.83</v>
      </c>
      <c r="C135">
        <f t="shared" si="4"/>
        <v>56.807999999999993</v>
      </c>
      <c r="D135">
        <f t="shared" si="5"/>
        <v>0.68539347131871298</v>
      </c>
      <c r="E135">
        <f t="shared" si="6"/>
        <v>58.178786942637416</v>
      </c>
      <c r="F135">
        <f t="shared" si="7"/>
        <v>55.43721305736257</v>
      </c>
    </row>
    <row r="136" spans="1:6">
      <c r="A136" s="1">
        <v>45670</v>
      </c>
      <c r="B136">
        <v>55.36</v>
      </c>
      <c r="C136">
        <f t="shared" si="4"/>
        <v>56.743499999999983</v>
      </c>
      <c r="D136">
        <f t="shared" si="5"/>
        <v>0.75790761136725682</v>
      </c>
      <c r="E136">
        <f t="shared" si="6"/>
        <v>58.2593152227345</v>
      </c>
      <c r="F136">
        <f t="shared" si="7"/>
        <v>55.227684777265466</v>
      </c>
    </row>
    <row r="137" spans="1:6">
      <c r="A137" s="1">
        <v>45671</v>
      </c>
      <c r="B137">
        <v>55.74</v>
      </c>
      <c r="C137">
        <f t="shared" si="4"/>
        <v>56.716499999999996</v>
      </c>
      <c r="D137">
        <f t="shared" si="5"/>
        <v>0.78444264491286697</v>
      </c>
      <c r="E137">
        <f t="shared" si="6"/>
        <v>58.285385289825733</v>
      </c>
      <c r="F137">
        <f t="shared" si="7"/>
        <v>55.14761471017426</v>
      </c>
    </row>
    <row r="138" spans="1:6">
      <c r="A138" s="1">
        <v>45672</v>
      </c>
      <c r="B138">
        <v>55.91</v>
      </c>
      <c r="C138">
        <f t="shared" si="4"/>
        <v>56.722999999999999</v>
      </c>
      <c r="D138">
        <f t="shared" si="5"/>
        <v>0.7767753858098233</v>
      </c>
      <c r="E138">
        <f t="shared" si="6"/>
        <v>58.276550771619647</v>
      </c>
      <c r="F138">
        <f t="shared" si="7"/>
        <v>55.169449228380351</v>
      </c>
    </row>
    <row r="139" spans="1:6">
      <c r="A139" s="1">
        <v>45673</v>
      </c>
      <c r="B139">
        <v>56.38</v>
      </c>
      <c r="C139">
        <f t="shared" si="4"/>
        <v>56.748500000000014</v>
      </c>
      <c r="D139">
        <f t="shared" si="5"/>
        <v>0.75537564722530748</v>
      </c>
      <c r="E139">
        <f t="shared" si="6"/>
        <v>58.259251294450628</v>
      </c>
      <c r="F139">
        <f t="shared" si="7"/>
        <v>55.2377487055494</v>
      </c>
    </row>
    <row r="140" spans="1:6">
      <c r="A140" s="1">
        <v>45674</v>
      </c>
      <c r="B140">
        <v>56.29</v>
      </c>
      <c r="C140">
        <f t="shared" si="4"/>
        <v>56.680499999999995</v>
      </c>
      <c r="D140">
        <f t="shared" si="5"/>
        <v>0.73076365968470902</v>
      </c>
      <c r="E140">
        <f t="shared" si="6"/>
        <v>58.142027319369411</v>
      </c>
      <c r="F140">
        <f t="shared" si="7"/>
        <v>55.218972680630579</v>
      </c>
    </row>
    <row r="141" spans="1:6">
      <c r="A141" s="1">
        <v>45678</v>
      </c>
      <c r="B141">
        <v>57.04</v>
      </c>
      <c r="C141">
        <f t="shared" si="4"/>
        <v>56.6905</v>
      </c>
      <c r="D141">
        <f t="shared" si="5"/>
        <v>0.73442046611776224</v>
      </c>
      <c r="E141">
        <f t="shared" si="6"/>
        <v>58.159340932235523</v>
      </c>
      <c r="F141">
        <f t="shared" si="7"/>
        <v>55.221659067764477</v>
      </c>
    </row>
    <row r="142" spans="1:6">
      <c r="A142" s="1">
        <v>45679</v>
      </c>
      <c r="B142">
        <v>57.09</v>
      </c>
      <c r="C142">
        <f t="shared" si="4"/>
        <v>56.73</v>
      </c>
      <c r="D142">
        <f t="shared" si="5"/>
        <v>0.73355658483711694</v>
      </c>
      <c r="E142">
        <f t="shared" si="6"/>
        <v>58.197113169674232</v>
      </c>
      <c r="F142">
        <f t="shared" si="7"/>
        <v>55.262886830325762</v>
      </c>
    </row>
    <row r="143" spans="1:6">
      <c r="A143" s="1">
        <v>45680</v>
      </c>
      <c r="B143">
        <v>59.14</v>
      </c>
      <c r="C143">
        <f t="shared" si="4"/>
        <v>56.820500000000003</v>
      </c>
      <c r="D143">
        <f t="shared" si="5"/>
        <v>0.90345229682124262</v>
      </c>
      <c r="E143">
        <f t="shared" si="6"/>
        <v>58.627404593642488</v>
      </c>
      <c r="F143">
        <f t="shared" si="7"/>
        <v>55.013595406357517</v>
      </c>
    </row>
    <row r="144" spans="1:6">
      <c r="A144" s="1">
        <v>45681</v>
      </c>
      <c r="B144">
        <v>59.67</v>
      </c>
      <c r="C144">
        <f t="shared" si="4"/>
        <v>56.924999999999997</v>
      </c>
      <c r="D144">
        <f t="shared" si="5"/>
        <v>1.0962303830087814</v>
      </c>
      <c r="E144">
        <f t="shared" si="6"/>
        <v>59.117460766017558</v>
      </c>
      <c r="F144">
        <f t="shared" si="7"/>
        <v>54.732539233982436</v>
      </c>
    </row>
    <row r="145" spans="1:6">
      <c r="A145" s="1">
        <v>45684</v>
      </c>
      <c r="B145">
        <v>60.6</v>
      </c>
      <c r="C145">
        <f t="shared" si="4"/>
        <v>57.066999999999993</v>
      </c>
      <c r="D145">
        <f t="shared" si="5"/>
        <v>1.3618451105992775</v>
      </c>
      <c r="E145">
        <f t="shared" si="6"/>
        <v>59.790690221198545</v>
      </c>
      <c r="F145">
        <f t="shared" si="7"/>
        <v>54.343309778801441</v>
      </c>
    </row>
    <row r="146" spans="1:6">
      <c r="A146" s="1">
        <v>45685</v>
      </c>
      <c r="B146">
        <v>58.76</v>
      </c>
      <c r="C146">
        <f t="shared" si="4"/>
        <v>57.104999999999997</v>
      </c>
      <c r="D146">
        <f t="shared" si="5"/>
        <v>1.3993363088490052</v>
      </c>
      <c r="E146">
        <f t="shared" si="6"/>
        <v>59.903672617698007</v>
      </c>
      <c r="F146">
        <f t="shared" si="7"/>
        <v>54.306327382301987</v>
      </c>
    </row>
    <row r="147" spans="1:6">
      <c r="A147" s="1">
        <v>45686</v>
      </c>
      <c r="B147">
        <v>59.05</v>
      </c>
      <c r="C147">
        <f t="shared" si="4"/>
        <v>57.17349999999999</v>
      </c>
      <c r="D147">
        <f t="shared" si="5"/>
        <v>1.4611324915608224</v>
      </c>
      <c r="E147">
        <f t="shared" si="6"/>
        <v>60.095764983121633</v>
      </c>
      <c r="F147">
        <f t="shared" si="7"/>
        <v>54.251235016878347</v>
      </c>
    </row>
    <row r="148" spans="1:6">
      <c r="A148" s="1">
        <v>45687</v>
      </c>
      <c r="B148">
        <v>59.14</v>
      </c>
      <c r="C148">
        <f t="shared" si="4"/>
        <v>57.327500000000001</v>
      </c>
      <c r="D148">
        <f t="shared" si="5"/>
        <v>1.4994064615180589</v>
      </c>
      <c r="E148">
        <f t="shared" si="6"/>
        <v>60.32631292303612</v>
      </c>
      <c r="F148">
        <f t="shared" si="7"/>
        <v>54.328687076963881</v>
      </c>
    </row>
    <row r="149" spans="1:6">
      <c r="A149" s="1">
        <v>45688</v>
      </c>
      <c r="B149">
        <v>58.95</v>
      </c>
      <c r="C149">
        <f t="shared" si="4"/>
        <v>57.447000000000003</v>
      </c>
      <c r="D149">
        <f t="shared" si="5"/>
        <v>1.5299470235066452</v>
      </c>
      <c r="E149">
        <f t="shared" si="6"/>
        <v>60.50689404701329</v>
      </c>
      <c r="F149">
        <f t="shared" si="7"/>
        <v>54.387105952986715</v>
      </c>
    </row>
    <row r="150" spans="1:6">
      <c r="A150" s="1">
        <v>45691</v>
      </c>
      <c r="B150">
        <v>59.95</v>
      </c>
      <c r="C150">
        <f t="shared" ref="C150:C189" si="8">AVERAGE(B131:B150)</f>
        <v>57.604999999999997</v>
      </c>
      <c r="D150">
        <f t="shared" ref="D150:D189" si="9">_xlfn.STDEV.S(B131:B150)</f>
        <v>1.6190981895389862</v>
      </c>
      <c r="E150">
        <f t="shared" ref="E150:E189" si="10">C150+2*D150</f>
        <v>60.843196379077966</v>
      </c>
      <c r="F150">
        <f t="shared" ref="F150:F189" si="11">C150-2*D150</f>
        <v>54.366803620922028</v>
      </c>
    </row>
    <row r="151" spans="1:6">
      <c r="A151" s="1">
        <v>45692</v>
      </c>
      <c r="B151">
        <v>59.12</v>
      </c>
      <c r="C151">
        <f t="shared" si="8"/>
        <v>57.732499999999995</v>
      </c>
      <c r="D151">
        <f t="shared" si="9"/>
        <v>1.6336426040890151</v>
      </c>
      <c r="E151">
        <f t="shared" si="10"/>
        <v>60.999785208178025</v>
      </c>
      <c r="F151">
        <f t="shared" si="11"/>
        <v>54.465214791821964</v>
      </c>
    </row>
    <row r="152" spans="1:6">
      <c r="A152" s="1">
        <v>45693</v>
      </c>
      <c r="B152">
        <v>59.71</v>
      </c>
      <c r="C152">
        <f t="shared" si="8"/>
        <v>57.883999999999993</v>
      </c>
      <c r="D152">
        <f t="shared" si="9"/>
        <v>1.670970093278626</v>
      </c>
      <c r="E152">
        <f t="shared" si="10"/>
        <v>61.225940186557246</v>
      </c>
      <c r="F152">
        <f t="shared" si="11"/>
        <v>54.542059813442741</v>
      </c>
    </row>
    <row r="153" spans="1:6">
      <c r="A153" s="1">
        <v>45694</v>
      </c>
      <c r="B153">
        <v>57.42</v>
      </c>
      <c r="C153">
        <f t="shared" si="8"/>
        <v>57.898000000000003</v>
      </c>
      <c r="D153">
        <f t="shared" si="9"/>
        <v>1.6655727638199864</v>
      </c>
      <c r="E153">
        <f t="shared" si="10"/>
        <v>61.229145527639979</v>
      </c>
      <c r="F153">
        <f t="shared" si="11"/>
        <v>54.566854472360028</v>
      </c>
    </row>
    <row r="154" spans="1:6">
      <c r="A154" s="1">
        <v>45695</v>
      </c>
      <c r="B154">
        <v>56.85</v>
      </c>
      <c r="C154">
        <f t="shared" si="8"/>
        <v>57.9</v>
      </c>
      <c r="D154">
        <f t="shared" si="9"/>
        <v>1.664221012650474</v>
      </c>
      <c r="E154">
        <f t="shared" si="10"/>
        <v>61.22844202530095</v>
      </c>
      <c r="F154">
        <f t="shared" si="11"/>
        <v>54.571557974699047</v>
      </c>
    </row>
    <row r="155" spans="1:6">
      <c r="A155" s="1">
        <v>45698</v>
      </c>
      <c r="B155">
        <v>55.53</v>
      </c>
      <c r="C155">
        <f t="shared" si="8"/>
        <v>57.885000000000005</v>
      </c>
      <c r="D155">
        <f t="shared" si="9"/>
        <v>1.685081600398034</v>
      </c>
      <c r="E155">
        <f t="shared" si="10"/>
        <v>61.255163200796076</v>
      </c>
      <c r="F155">
        <f t="shared" si="11"/>
        <v>54.514836799203934</v>
      </c>
    </row>
    <row r="156" spans="1:6">
      <c r="A156" s="1">
        <v>45699</v>
      </c>
      <c r="B156">
        <v>55.94</v>
      </c>
      <c r="C156">
        <f t="shared" si="8"/>
        <v>57.914000000000001</v>
      </c>
      <c r="D156">
        <f t="shared" si="9"/>
        <v>1.6438254485386088</v>
      </c>
      <c r="E156">
        <f t="shared" si="10"/>
        <v>61.201650897077222</v>
      </c>
      <c r="F156">
        <f t="shared" si="11"/>
        <v>54.626349102922781</v>
      </c>
    </row>
    <row r="157" spans="1:6">
      <c r="A157" s="1">
        <v>45700</v>
      </c>
      <c r="B157">
        <v>56.15</v>
      </c>
      <c r="C157">
        <f t="shared" si="8"/>
        <v>57.934500000000014</v>
      </c>
      <c r="D157">
        <f t="shared" si="9"/>
        <v>1.6176346441966631</v>
      </c>
      <c r="E157">
        <f t="shared" si="10"/>
        <v>61.16976928839334</v>
      </c>
      <c r="F157">
        <f t="shared" si="11"/>
        <v>54.699230711606688</v>
      </c>
    </row>
    <row r="158" spans="1:6">
      <c r="A158" s="1">
        <v>45701</v>
      </c>
      <c r="B158">
        <v>55.97</v>
      </c>
      <c r="C158">
        <f t="shared" si="8"/>
        <v>57.937500000000014</v>
      </c>
      <c r="D158">
        <f t="shared" si="9"/>
        <v>1.6137334124060858</v>
      </c>
      <c r="E158">
        <f t="shared" si="10"/>
        <v>61.164966824812183</v>
      </c>
      <c r="F158">
        <f t="shared" si="11"/>
        <v>54.710033175187846</v>
      </c>
    </row>
    <row r="159" spans="1:6">
      <c r="A159" s="1">
        <v>45702</v>
      </c>
      <c r="B159">
        <v>53.9</v>
      </c>
      <c r="C159">
        <f t="shared" si="8"/>
        <v>57.813500000000019</v>
      </c>
      <c r="D159">
        <f t="shared" si="9"/>
        <v>1.821605061477378</v>
      </c>
      <c r="E159">
        <f t="shared" si="10"/>
        <v>61.456710122954775</v>
      </c>
      <c r="F159">
        <f t="shared" si="11"/>
        <v>54.170289877045263</v>
      </c>
    </row>
    <row r="160" spans="1:6">
      <c r="A160" s="1">
        <v>45706</v>
      </c>
      <c r="B160">
        <v>54.43</v>
      </c>
      <c r="C160">
        <f t="shared" si="8"/>
        <v>57.720500000000001</v>
      </c>
      <c r="D160">
        <f t="shared" si="9"/>
        <v>1.9466664488704521</v>
      </c>
      <c r="E160">
        <f t="shared" si="10"/>
        <v>61.613832897740906</v>
      </c>
      <c r="F160">
        <f t="shared" si="11"/>
        <v>53.827167102259097</v>
      </c>
    </row>
    <row r="161" spans="1:6">
      <c r="A161" s="1">
        <v>45707</v>
      </c>
      <c r="B161">
        <v>54.98</v>
      </c>
      <c r="C161">
        <f t="shared" si="8"/>
        <v>57.617500000000007</v>
      </c>
      <c r="D161">
        <f t="shared" si="9"/>
        <v>2.0369711131455639</v>
      </c>
      <c r="E161">
        <f t="shared" si="10"/>
        <v>61.691442226291137</v>
      </c>
      <c r="F161">
        <f t="shared" si="11"/>
        <v>53.543557773708876</v>
      </c>
    </row>
    <row r="162" spans="1:6">
      <c r="A162" s="1">
        <v>45708</v>
      </c>
      <c r="B162">
        <v>55.79</v>
      </c>
      <c r="C162">
        <f t="shared" si="8"/>
        <v>57.552499999999995</v>
      </c>
      <c r="D162">
        <f t="shared" si="9"/>
        <v>2.0750748242691857</v>
      </c>
      <c r="E162">
        <f t="shared" si="10"/>
        <v>61.702649648538369</v>
      </c>
      <c r="F162">
        <f t="shared" si="11"/>
        <v>53.402350351461621</v>
      </c>
    </row>
    <row r="163" spans="1:6">
      <c r="A163" s="1">
        <v>45709</v>
      </c>
      <c r="B163">
        <v>55.83</v>
      </c>
      <c r="C163">
        <f t="shared" si="8"/>
        <v>57.386999999999979</v>
      </c>
      <c r="D163">
        <f t="shared" si="9"/>
        <v>2.0737941328066203</v>
      </c>
      <c r="E163">
        <f t="shared" si="10"/>
        <v>61.534588265613223</v>
      </c>
      <c r="F163">
        <f t="shared" si="11"/>
        <v>53.239411734386735</v>
      </c>
    </row>
    <row r="164" spans="1:6">
      <c r="A164" s="1">
        <v>45712</v>
      </c>
      <c r="B164">
        <v>57.88</v>
      </c>
      <c r="C164">
        <f t="shared" si="8"/>
        <v>57.297499999999999</v>
      </c>
      <c r="D164">
        <f t="shared" si="9"/>
        <v>2.0076508267388697</v>
      </c>
      <c r="E164">
        <f t="shared" si="10"/>
        <v>61.312801653477742</v>
      </c>
      <c r="F164">
        <f t="shared" si="11"/>
        <v>53.282198346522257</v>
      </c>
    </row>
    <row r="165" spans="1:6">
      <c r="A165" s="1">
        <v>45713</v>
      </c>
      <c r="B165">
        <v>58.21</v>
      </c>
      <c r="C165">
        <f t="shared" si="8"/>
        <v>57.177999999999997</v>
      </c>
      <c r="D165">
        <f t="shared" si="9"/>
        <v>1.8669299313099716</v>
      </c>
      <c r="E165">
        <f t="shared" si="10"/>
        <v>60.911859862619941</v>
      </c>
      <c r="F165">
        <f t="shared" si="11"/>
        <v>53.444140137380053</v>
      </c>
    </row>
    <row r="166" spans="1:6">
      <c r="A166" s="1">
        <v>45714</v>
      </c>
      <c r="B166">
        <v>57.38</v>
      </c>
      <c r="C166">
        <f t="shared" si="8"/>
        <v>57.109000000000016</v>
      </c>
      <c r="D166">
        <f t="shared" si="9"/>
        <v>1.8305302654235416</v>
      </c>
      <c r="E166">
        <f t="shared" si="10"/>
        <v>60.770060530847097</v>
      </c>
      <c r="F166">
        <f t="shared" si="11"/>
        <v>53.447939469152935</v>
      </c>
    </row>
    <row r="167" spans="1:6">
      <c r="A167" s="1">
        <v>45715</v>
      </c>
      <c r="B167">
        <v>58.8</v>
      </c>
      <c r="C167">
        <f t="shared" si="8"/>
        <v>57.096500000000006</v>
      </c>
      <c r="D167">
        <f t="shared" si="9"/>
        <v>1.8173846882988645</v>
      </c>
      <c r="E167">
        <f t="shared" si="10"/>
        <v>60.731269376597737</v>
      </c>
      <c r="F167">
        <f t="shared" si="11"/>
        <v>53.461730623402275</v>
      </c>
    </row>
    <row r="168" spans="1:6">
      <c r="A168" s="1">
        <v>45716</v>
      </c>
      <c r="B168">
        <v>59.62</v>
      </c>
      <c r="C168">
        <f t="shared" si="8"/>
        <v>57.120500000000007</v>
      </c>
      <c r="D168">
        <f t="shared" si="9"/>
        <v>1.8486907885254769</v>
      </c>
      <c r="E168">
        <f t="shared" si="10"/>
        <v>60.817881577050962</v>
      </c>
      <c r="F168">
        <f t="shared" si="11"/>
        <v>53.423118422949052</v>
      </c>
    </row>
    <row r="169" spans="1:6">
      <c r="A169" s="1">
        <v>45719</v>
      </c>
      <c r="B169">
        <v>59.87</v>
      </c>
      <c r="C169">
        <f t="shared" si="8"/>
        <v>57.166499999999985</v>
      </c>
      <c r="D169">
        <f t="shared" si="9"/>
        <v>1.9071314226234897</v>
      </c>
      <c r="E169">
        <f t="shared" si="10"/>
        <v>60.980762845246964</v>
      </c>
      <c r="F169">
        <f t="shared" si="11"/>
        <v>53.352237154753006</v>
      </c>
    </row>
    <row r="170" spans="1:6">
      <c r="A170" s="1">
        <v>45720</v>
      </c>
      <c r="B170">
        <v>59.44</v>
      </c>
      <c r="C170">
        <f t="shared" si="8"/>
        <v>57.140999999999998</v>
      </c>
      <c r="D170">
        <f t="shared" si="9"/>
        <v>1.8710225180787896</v>
      </c>
      <c r="E170">
        <f t="shared" si="10"/>
        <v>60.883045036157576</v>
      </c>
      <c r="F170">
        <f t="shared" si="11"/>
        <v>53.398954963842421</v>
      </c>
    </row>
    <row r="171" spans="1:6">
      <c r="A171" s="1">
        <v>45721</v>
      </c>
      <c r="B171">
        <v>59.82</v>
      </c>
      <c r="C171">
        <f t="shared" si="8"/>
        <v>57.175999999999988</v>
      </c>
      <c r="D171">
        <f t="shared" si="9"/>
        <v>1.9159974728035196</v>
      </c>
      <c r="E171">
        <f t="shared" si="10"/>
        <v>61.007994945607024</v>
      </c>
      <c r="F171">
        <f t="shared" si="11"/>
        <v>53.344005054392952</v>
      </c>
    </row>
    <row r="172" spans="1:6">
      <c r="A172" s="1">
        <v>45722</v>
      </c>
      <c r="B172">
        <v>60.18</v>
      </c>
      <c r="C172">
        <f t="shared" si="8"/>
        <v>57.1995</v>
      </c>
      <c r="D172">
        <f t="shared" si="9"/>
        <v>1.951270773516312</v>
      </c>
      <c r="E172">
        <f t="shared" si="10"/>
        <v>61.102041547032627</v>
      </c>
      <c r="F172">
        <f t="shared" si="11"/>
        <v>53.296958452967374</v>
      </c>
    </row>
    <row r="173" spans="1:6">
      <c r="A173" s="1">
        <v>45723</v>
      </c>
      <c r="B173">
        <v>61.09</v>
      </c>
      <c r="C173">
        <f t="shared" si="8"/>
        <v>57.382999999999996</v>
      </c>
      <c r="D173">
        <f t="shared" si="9"/>
        <v>2.1368400181478013</v>
      </c>
      <c r="E173">
        <f t="shared" si="10"/>
        <v>61.656680036295597</v>
      </c>
      <c r="F173">
        <f t="shared" si="11"/>
        <v>53.109319963704394</v>
      </c>
    </row>
    <row r="174" spans="1:6">
      <c r="A174" s="1">
        <v>45726</v>
      </c>
      <c r="B174">
        <v>63.11</v>
      </c>
      <c r="C174">
        <f t="shared" si="8"/>
        <v>57.695999999999991</v>
      </c>
      <c r="D174">
        <f t="shared" si="9"/>
        <v>2.4848030738449829</v>
      </c>
      <c r="E174">
        <f t="shared" si="10"/>
        <v>62.665606147689957</v>
      </c>
      <c r="F174">
        <f t="shared" si="11"/>
        <v>52.726393852310025</v>
      </c>
    </row>
    <row r="175" spans="1:6">
      <c r="A175" s="1">
        <v>45727</v>
      </c>
      <c r="B175">
        <v>61.51</v>
      </c>
      <c r="C175">
        <f t="shared" si="8"/>
        <v>57.99499999999999</v>
      </c>
      <c r="D175">
        <f t="shared" si="9"/>
        <v>2.5688180775970642</v>
      </c>
      <c r="E175">
        <f t="shared" si="10"/>
        <v>63.13263615519412</v>
      </c>
      <c r="F175">
        <f t="shared" si="11"/>
        <v>52.85736384480586</v>
      </c>
    </row>
    <row r="176" spans="1:6">
      <c r="A176" s="1">
        <v>45728</v>
      </c>
      <c r="B176">
        <v>59.81</v>
      </c>
      <c r="C176">
        <f t="shared" si="8"/>
        <v>58.188499999999998</v>
      </c>
      <c r="D176">
        <f t="shared" si="9"/>
        <v>2.5515738693062207</v>
      </c>
      <c r="E176">
        <f t="shared" si="10"/>
        <v>63.29164773861244</v>
      </c>
      <c r="F176">
        <f t="shared" si="11"/>
        <v>53.085352261387555</v>
      </c>
    </row>
    <row r="177" spans="1:6">
      <c r="A177" s="1">
        <v>45729</v>
      </c>
      <c r="B177">
        <v>60.28</v>
      </c>
      <c r="C177">
        <f t="shared" si="8"/>
        <v>58.394999999999996</v>
      </c>
      <c r="D177">
        <f t="shared" si="9"/>
        <v>2.5450271428601186</v>
      </c>
      <c r="E177">
        <f t="shared" si="10"/>
        <v>63.485054285720231</v>
      </c>
      <c r="F177">
        <f t="shared" si="11"/>
        <v>53.304945714279761</v>
      </c>
    </row>
    <row r="178" spans="1:6">
      <c r="A178" s="1">
        <v>45730</v>
      </c>
      <c r="B178">
        <v>59.01</v>
      </c>
      <c r="C178">
        <f t="shared" si="8"/>
        <v>58.54699999999999</v>
      </c>
      <c r="D178">
        <f t="shared" si="9"/>
        <v>2.4825879960023047</v>
      </c>
      <c r="E178">
        <f t="shared" si="10"/>
        <v>63.5121759920046</v>
      </c>
      <c r="F178">
        <f t="shared" si="11"/>
        <v>53.58182400799538</v>
      </c>
    </row>
    <row r="179" spans="1:6">
      <c r="A179" s="1">
        <v>45733</v>
      </c>
      <c r="B179">
        <v>59.99</v>
      </c>
      <c r="C179">
        <f t="shared" si="8"/>
        <v>58.851500000000001</v>
      </c>
      <c r="D179">
        <f t="shared" si="9"/>
        <v>2.2446996634176632</v>
      </c>
      <c r="E179">
        <f t="shared" si="10"/>
        <v>63.340899326835327</v>
      </c>
      <c r="F179">
        <f t="shared" si="11"/>
        <v>54.362100673164676</v>
      </c>
    </row>
    <row r="180" spans="1:6">
      <c r="A180" s="1">
        <v>45734</v>
      </c>
      <c r="B180">
        <v>59.9</v>
      </c>
      <c r="C180">
        <f t="shared" si="8"/>
        <v>59.125</v>
      </c>
      <c r="D180">
        <f t="shared" si="9"/>
        <v>1.997215166438667</v>
      </c>
      <c r="E180">
        <f t="shared" si="10"/>
        <v>63.119430332877336</v>
      </c>
      <c r="F180">
        <f t="shared" si="11"/>
        <v>55.130569667122664</v>
      </c>
    </row>
    <row r="181" spans="1:6">
      <c r="A181" s="1">
        <v>45735</v>
      </c>
      <c r="B181">
        <v>60.08</v>
      </c>
      <c r="C181">
        <f t="shared" si="8"/>
        <v>59.38000000000001</v>
      </c>
      <c r="D181">
        <f t="shared" si="9"/>
        <v>1.7504736201202353</v>
      </c>
      <c r="E181">
        <f t="shared" si="10"/>
        <v>62.880947240240481</v>
      </c>
      <c r="F181">
        <f t="shared" si="11"/>
        <v>55.879052759759539</v>
      </c>
    </row>
    <row r="182" spans="1:6">
      <c r="A182" s="1">
        <v>45736</v>
      </c>
      <c r="B182">
        <v>60.42</v>
      </c>
      <c r="C182">
        <f t="shared" si="8"/>
        <v>59.611499999999999</v>
      </c>
      <c r="D182">
        <f t="shared" si="9"/>
        <v>1.5447816231292679</v>
      </c>
      <c r="E182">
        <f t="shared" si="10"/>
        <v>62.701063246258535</v>
      </c>
      <c r="F182">
        <f t="shared" si="11"/>
        <v>56.521936753741464</v>
      </c>
    </row>
    <row r="183" spans="1:6">
      <c r="A183" s="1">
        <v>45737</v>
      </c>
      <c r="B183">
        <v>60.99</v>
      </c>
      <c r="C183">
        <f t="shared" si="8"/>
        <v>59.869500000000002</v>
      </c>
      <c r="D183">
        <f t="shared" si="9"/>
        <v>1.2898366889690049</v>
      </c>
      <c r="E183">
        <f t="shared" si="10"/>
        <v>62.44917337793801</v>
      </c>
      <c r="F183">
        <f t="shared" si="11"/>
        <v>57.289826622061994</v>
      </c>
    </row>
    <row r="184" spans="1:6">
      <c r="A184" s="1">
        <v>45740</v>
      </c>
      <c r="B184">
        <v>61.05</v>
      </c>
      <c r="C184">
        <f t="shared" si="8"/>
        <v>60.027999999999999</v>
      </c>
      <c r="D184">
        <f t="shared" si="9"/>
        <v>1.2256667358496847</v>
      </c>
      <c r="E184">
        <f t="shared" si="10"/>
        <v>62.47933347169937</v>
      </c>
      <c r="F184">
        <f t="shared" si="11"/>
        <v>57.576666528300628</v>
      </c>
    </row>
    <row r="185" spans="1:6">
      <c r="A185" s="1">
        <v>45741</v>
      </c>
      <c r="B185">
        <v>59.19</v>
      </c>
      <c r="C185">
        <f t="shared" si="8"/>
        <v>60.076999999999998</v>
      </c>
      <c r="D185">
        <f t="shared" si="9"/>
        <v>1.1673636514543539</v>
      </c>
      <c r="E185">
        <f t="shared" si="10"/>
        <v>62.411727302908709</v>
      </c>
      <c r="F185">
        <f t="shared" si="11"/>
        <v>57.742272697091288</v>
      </c>
    </row>
    <row r="186" spans="1:6">
      <c r="A186" s="1">
        <v>45742</v>
      </c>
      <c r="B186">
        <v>59.21</v>
      </c>
      <c r="C186">
        <f t="shared" si="8"/>
        <v>60.168500000000009</v>
      </c>
      <c r="D186">
        <f t="shared" si="9"/>
        <v>1.0053136457423575</v>
      </c>
      <c r="E186">
        <f t="shared" si="10"/>
        <v>62.179127291484726</v>
      </c>
      <c r="F186">
        <f t="shared" si="11"/>
        <v>58.157872708515292</v>
      </c>
    </row>
    <row r="187" spans="1:6">
      <c r="A187" s="1">
        <v>45743</v>
      </c>
      <c r="B187">
        <v>58.9</v>
      </c>
      <c r="C187">
        <f t="shared" si="8"/>
        <v>60.173500000000011</v>
      </c>
      <c r="D187">
        <f t="shared" si="9"/>
        <v>0.9983738093309017</v>
      </c>
      <c r="E187">
        <f t="shared" si="10"/>
        <v>62.170247618661811</v>
      </c>
      <c r="F187">
        <f t="shared" si="11"/>
        <v>58.176752381338211</v>
      </c>
    </row>
    <row r="188" spans="1:6">
      <c r="A188" s="1">
        <v>45744</v>
      </c>
      <c r="B188">
        <v>60.02</v>
      </c>
      <c r="C188">
        <f t="shared" si="8"/>
        <v>60.193500000000007</v>
      </c>
      <c r="D188">
        <f t="shared" si="9"/>
        <v>0.99067906003912309</v>
      </c>
      <c r="E188">
        <f t="shared" si="10"/>
        <v>62.174858120078255</v>
      </c>
      <c r="F188">
        <f t="shared" si="11"/>
        <v>58.212141879921759</v>
      </c>
    </row>
    <row r="189" spans="1:6">
      <c r="A189" s="1">
        <v>45747</v>
      </c>
      <c r="B189">
        <v>60.99</v>
      </c>
      <c r="C189">
        <f t="shared" si="8"/>
        <v>60.249499999999998</v>
      </c>
      <c r="D189">
        <f t="shared" si="9"/>
        <v>1.0030085007773264</v>
      </c>
      <c r="E189">
        <f t="shared" si="10"/>
        <v>62.255517001554651</v>
      </c>
      <c r="F189">
        <f t="shared" si="11"/>
        <v>58.243482998445344</v>
      </c>
    </row>
    <row r="191" spans="1:6">
      <c r="A191" t="s">
        <v>49</v>
      </c>
      <c r="B191">
        <f>COUNT(B2:B189)</f>
        <v>188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42C40-1F60-4E89-9306-8EBDAE231822}">
  <dimension ref="A1:F189"/>
  <sheetViews>
    <sheetView workbookViewId="0">
      <selection activeCell="G37" sqref="G37"/>
    </sheetView>
  </sheetViews>
  <sheetFormatPr defaultRowHeight="14.25"/>
  <cols>
    <col min="1" max="1" width="9.85546875" bestFit="1" customWidth="1"/>
  </cols>
  <sheetData>
    <row r="1" spans="1:6">
      <c r="A1" t="s">
        <v>4</v>
      </c>
      <c r="B1" t="s">
        <v>3</v>
      </c>
      <c r="C1" t="s">
        <v>50</v>
      </c>
      <c r="D1" t="s">
        <v>51</v>
      </c>
      <c r="E1" t="s">
        <v>52</v>
      </c>
      <c r="F1" t="s">
        <v>53</v>
      </c>
    </row>
    <row r="2" spans="1:6">
      <c r="A2" s="1">
        <v>45474</v>
      </c>
      <c r="B2">
        <v>41.3</v>
      </c>
    </row>
    <row r="3" spans="1:6">
      <c r="A3" s="1">
        <v>45475</v>
      </c>
      <c r="B3">
        <v>40.450000000000003</v>
      </c>
    </row>
    <row r="4" spans="1:6">
      <c r="A4" s="1">
        <v>45476</v>
      </c>
      <c r="B4">
        <v>40.06</v>
      </c>
    </row>
    <row r="5" spans="1:6">
      <c r="A5" s="1">
        <v>45478</v>
      </c>
      <c r="B5">
        <v>39.659999999999997</v>
      </c>
    </row>
    <row r="6" spans="1:6">
      <c r="A6" s="1">
        <v>45481</v>
      </c>
      <c r="B6">
        <v>39.99</v>
      </c>
    </row>
    <row r="7" spans="1:6">
      <c r="A7" s="1">
        <v>45482</v>
      </c>
      <c r="B7">
        <v>40.86</v>
      </c>
    </row>
    <row r="8" spans="1:6">
      <c r="A8" s="1">
        <v>45483</v>
      </c>
      <c r="B8">
        <v>41.12</v>
      </c>
    </row>
    <row r="9" spans="1:6">
      <c r="A9" s="1">
        <v>45484</v>
      </c>
      <c r="B9">
        <v>40.75</v>
      </c>
    </row>
    <row r="10" spans="1:6">
      <c r="A10" s="1">
        <v>45485</v>
      </c>
      <c r="B10">
        <v>40.46</v>
      </c>
    </row>
    <row r="11" spans="1:6">
      <c r="A11" s="1">
        <v>45488</v>
      </c>
      <c r="B11">
        <v>40.15</v>
      </c>
    </row>
    <row r="12" spans="1:6">
      <c r="A12" s="1">
        <v>45489</v>
      </c>
      <c r="B12">
        <v>41.2</v>
      </c>
      <c r="E12">
        <v>80</v>
      </c>
      <c r="F12">
        <v>20</v>
      </c>
    </row>
    <row r="13" spans="1:6">
      <c r="A13" s="1">
        <v>45490</v>
      </c>
      <c r="B13">
        <v>43.15</v>
      </c>
      <c r="E13">
        <v>80</v>
      </c>
      <c r="F13">
        <v>20</v>
      </c>
    </row>
    <row r="14" spans="1:6">
      <c r="A14" s="1">
        <v>45491</v>
      </c>
      <c r="B14">
        <v>42.39</v>
      </c>
      <c r="E14">
        <v>80</v>
      </c>
      <c r="F14">
        <v>20</v>
      </c>
    </row>
    <row r="15" spans="1:6">
      <c r="A15" s="1">
        <v>45492</v>
      </c>
      <c r="B15">
        <v>42.64</v>
      </c>
      <c r="C15">
        <f>(B15-MIN(B2:B15))/(MAX(B2:B15)-MIN(B2:B15))*100</f>
        <v>85.386819484240746</v>
      </c>
      <c r="E15">
        <v>80</v>
      </c>
      <c r="F15">
        <v>20</v>
      </c>
    </row>
    <row r="16" spans="1:6">
      <c r="A16" s="1">
        <v>45495</v>
      </c>
      <c r="B16">
        <v>42.67</v>
      </c>
      <c r="C16">
        <f t="shared" ref="C16:C79" si="0">(B16-MIN(B3:B16))/(MAX(B3:B16)-MIN(B3:B16))*100</f>
        <v>86.246418338108981</v>
      </c>
      <c r="E16">
        <v>80</v>
      </c>
      <c r="F16">
        <v>20</v>
      </c>
    </row>
    <row r="17" spans="1:6">
      <c r="A17" s="1">
        <v>45496</v>
      </c>
      <c r="B17">
        <v>42.98</v>
      </c>
      <c r="C17">
        <f t="shared" si="0"/>
        <v>95.128939828080178</v>
      </c>
      <c r="D17">
        <f>AVERAGE(C15:C17)</f>
        <v>88.920725883476621</v>
      </c>
      <c r="E17">
        <v>80</v>
      </c>
      <c r="F17">
        <v>20</v>
      </c>
    </row>
    <row r="18" spans="1:6">
      <c r="A18" s="1">
        <v>45497</v>
      </c>
      <c r="B18">
        <v>44.66</v>
      </c>
      <c r="C18">
        <f t="shared" si="0"/>
        <v>100</v>
      </c>
      <c r="D18">
        <f t="shared" ref="D18:D81" si="1">AVERAGE(C16:C18)</f>
        <v>93.791786055396372</v>
      </c>
      <c r="E18">
        <v>80</v>
      </c>
      <c r="F18">
        <v>20</v>
      </c>
    </row>
    <row r="19" spans="1:6">
      <c r="A19" s="1">
        <v>45498</v>
      </c>
      <c r="B19">
        <v>45.27</v>
      </c>
      <c r="C19">
        <f t="shared" si="0"/>
        <v>100</v>
      </c>
      <c r="D19">
        <f t="shared" si="1"/>
        <v>98.376313276026735</v>
      </c>
      <c r="E19">
        <v>80</v>
      </c>
      <c r="F19">
        <v>20</v>
      </c>
    </row>
    <row r="20" spans="1:6">
      <c r="A20" s="1">
        <v>45499</v>
      </c>
      <c r="B20">
        <v>50.45</v>
      </c>
      <c r="C20">
        <f t="shared" si="0"/>
        <v>100</v>
      </c>
      <c r="D20">
        <f t="shared" si="1"/>
        <v>100</v>
      </c>
      <c r="E20">
        <v>80</v>
      </c>
      <c r="F20">
        <v>20</v>
      </c>
    </row>
    <row r="21" spans="1:6">
      <c r="A21" s="1">
        <v>45502</v>
      </c>
      <c r="B21">
        <v>48.98</v>
      </c>
      <c r="C21">
        <f t="shared" si="0"/>
        <v>85.728155339805781</v>
      </c>
      <c r="D21">
        <f t="shared" si="1"/>
        <v>95.242718446601927</v>
      </c>
      <c r="E21">
        <v>80</v>
      </c>
      <c r="F21">
        <v>20</v>
      </c>
    </row>
    <row r="22" spans="1:6">
      <c r="A22" s="1">
        <v>45503</v>
      </c>
      <c r="B22">
        <v>49.05</v>
      </c>
      <c r="C22">
        <f t="shared" si="0"/>
        <v>86.407766990291208</v>
      </c>
      <c r="D22">
        <f t="shared" si="1"/>
        <v>90.711974110032315</v>
      </c>
      <c r="E22">
        <v>80</v>
      </c>
      <c r="F22">
        <v>20</v>
      </c>
    </row>
    <row r="23" spans="1:6">
      <c r="A23" s="1">
        <v>45504</v>
      </c>
      <c r="B23">
        <v>47.56</v>
      </c>
      <c r="C23">
        <f t="shared" si="0"/>
        <v>71.941747572815544</v>
      </c>
      <c r="D23">
        <f t="shared" si="1"/>
        <v>81.359223300970839</v>
      </c>
      <c r="E23">
        <v>80</v>
      </c>
      <c r="F23">
        <v>20</v>
      </c>
    </row>
    <row r="24" spans="1:6">
      <c r="A24" s="1">
        <v>45505</v>
      </c>
      <c r="B24">
        <v>48.17</v>
      </c>
      <c r="C24">
        <f t="shared" si="0"/>
        <v>77.864077669902912</v>
      </c>
      <c r="D24">
        <f t="shared" si="1"/>
        <v>78.737864077669897</v>
      </c>
      <c r="E24">
        <v>80</v>
      </c>
      <c r="F24">
        <v>20</v>
      </c>
    </row>
    <row r="25" spans="1:6">
      <c r="A25" s="1">
        <v>45506</v>
      </c>
      <c r="B25">
        <v>48.77</v>
      </c>
      <c r="C25">
        <f t="shared" si="0"/>
        <v>81.837837837837839</v>
      </c>
      <c r="D25">
        <f t="shared" si="1"/>
        <v>77.214554360185431</v>
      </c>
      <c r="E25">
        <v>80</v>
      </c>
      <c r="F25">
        <v>20</v>
      </c>
    </row>
    <row r="26" spans="1:6">
      <c r="A26" s="1">
        <v>45509</v>
      </c>
      <c r="B26">
        <v>47.59</v>
      </c>
      <c r="C26">
        <f t="shared" si="0"/>
        <v>64.516129032258078</v>
      </c>
      <c r="D26">
        <f t="shared" si="1"/>
        <v>74.73934817999961</v>
      </c>
      <c r="E26">
        <v>80</v>
      </c>
      <c r="F26">
        <v>20</v>
      </c>
    </row>
    <row r="27" spans="1:6">
      <c r="A27" s="1">
        <v>45510</v>
      </c>
      <c r="B27">
        <v>47.31</v>
      </c>
      <c r="C27">
        <f t="shared" si="0"/>
        <v>61.04218362282878</v>
      </c>
      <c r="D27">
        <f t="shared" si="1"/>
        <v>69.132050164308239</v>
      </c>
      <c r="E27">
        <v>80</v>
      </c>
      <c r="F27">
        <v>20</v>
      </c>
    </row>
    <row r="28" spans="1:6">
      <c r="A28" s="1">
        <v>45511</v>
      </c>
      <c r="B28">
        <v>46.5</v>
      </c>
      <c r="C28">
        <f t="shared" si="0"/>
        <v>49.423815620998695</v>
      </c>
      <c r="D28">
        <f t="shared" si="1"/>
        <v>58.327376092028523</v>
      </c>
      <c r="E28">
        <v>80</v>
      </c>
      <c r="F28">
        <v>20</v>
      </c>
    </row>
    <row r="29" spans="1:6">
      <c r="A29" s="1">
        <v>45512</v>
      </c>
      <c r="B29">
        <v>46.85</v>
      </c>
      <c r="C29">
        <f t="shared" si="0"/>
        <v>53.727506426735204</v>
      </c>
      <c r="D29">
        <f t="shared" si="1"/>
        <v>54.731168556854222</v>
      </c>
      <c r="E29">
        <v>80</v>
      </c>
      <c r="F29">
        <v>20</v>
      </c>
    </row>
    <row r="30" spans="1:6">
      <c r="A30" s="1">
        <v>45513</v>
      </c>
      <c r="B30">
        <v>46.72</v>
      </c>
      <c r="C30">
        <f t="shared" si="0"/>
        <v>50.066934404283792</v>
      </c>
      <c r="D30">
        <f t="shared" si="1"/>
        <v>51.072752150672564</v>
      </c>
      <c r="E30">
        <v>80</v>
      </c>
      <c r="F30">
        <v>20</v>
      </c>
    </row>
    <row r="31" spans="1:6">
      <c r="A31" s="1">
        <v>45516</v>
      </c>
      <c r="B31">
        <v>47.06</v>
      </c>
      <c r="C31">
        <f t="shared" si="0"/>
        <v>41.450777202072594</v>
      </c>
      <c r="D31">
        <f t="shared" si="1"/>
        <v>48.415072677697196</v>
      </c>
      <c r="E31">
        <v>80</v>
      </c>
      <c r="F31">
        <v>20</v>
      </c>
    </row>
    <row r="32" spans="1:6">
      <c r="A32" s="1">
        <v>45517</v>
      </c>
      <c r="B32">
        <v>49.06</v>
      </c>
      <c r="C32">
        <f t="shared" si="0"/>
        <v>73.166023166023152</v>
      </c>
      <c r="D32">
        <f t="shared" si="1"/>
        <v>54.894578257459841</v>
      </c>
      <c r="E32">
        <v>80</v>
      </c>
      <c r="F32">
        <v>20</v>
      </c>
    </row>
    <row r="33" spans="1:6">
      <c r="A33" s="1">
        <v>45518</v>
      </c>
      <c r="B33">
        <v>48.41</v>
      </c>
      <c r="C33">
        <f t="shared" si="0"/>
        <v>48.354430379746717</v>
      </c>
      <c r="D33">
        <f t="shared" si="1"/>
        <v>54.323743582614156</v>
      </c>
      <c r="E33">
        <v>80</v>
      </c>
      <c r="F33">
        <v>20</v>
      </c>
    </row>
    <row r="34" spans="1:6">
      <c r="A34" s="1">
        <v>45519</v>
      </c>
      <c r="B34">
        <v>49.11</v>
      </c>
      <c r="C34">
        <f t="shared" si="0"/>
        <v>100</v>
      </c>
      <c r="D34">
        <f t="shared" si="1"/>
        <v>73.840151181923289</v>
      </c>
      <c r="E34">
        <v>80</v>
      </c>
      <c r="F34">
        <v>20</v>
      </c>
    </row>
    <row r="35" spans="1:6">
      <c r="A35" s="1">
        <v>45520</v>
      </c>
      <c r="B35">
        <v>49.36</v>
      </c>
      <c r="C35">
        <f t="shared" si="0"/>
        <v>100</v>
      </c>
      <c r="D35">
        <f t="shared" si="1"/>
        <v>82.784810126582229</v>
      </c>
      <c r="E35">
        <v>80</v>
      </c>
      <c r="F35">
        <v>20</v>
      </c>
    </row>
    <row r="36" spans="1:6">
      <c r="A36" s="1">
        <v>45523</v>
      </c>
      <c r="B36">
        <v>49.3</v>
      </c>
      <c r="C36">
        <f t="shared" si="0"/>
        <v>97.902097902097822</v>
      </c>
      <c r="D36">
        <f t="shared" si="1"/>
        <v>99.300699300699264</v>
      </c>
      <c r="E36">
        <v>80</v>
      </c>
      <c r="F36">
        <v>20</v>
      </c>
    </row>
    <row r="37" spans="1:6">
      <c r="A37" s="1">
        <v>45524</v>
      </c>
      <c r="B37">
        <v>48.98</v>
      </c>
      <c r="C37">
        <f t="shared" si="0"/>
        <v>86.713286713286621</v>
      </c>
      <c r="D37">
        <f t="shared" si="1"/>
        <v>94.871794871794805</v>
      </c>
      <c r="E37">
        <v>80</v>
      </c>
      <c r="F37">
        <v>20</v>
      </c>
    </row>
    <row r="38" spans="1:6">
      <c r="A38" s="1">
        <v>45525</v>
      </c>
      <c r="B38">
        <v>48.44</v>
      </c>
      <c r="C38">
        <f t="shared" si="0"/>
        <v>67.832167832167769</v>
      </c>
      <c r="D38">
        <f t="shared" si="1"/>
        <v>84.149184149184066</v>
      </c>
      <c r="E38">
        <v>80</v>
      </c>
      <c r="F38">
        <v>20</v>
      </c>
    </row>
    <row r="39" spans="1:6">
      <c r="A39" s="1">
        <v>45526</v>
      </c>
      <c r="B39">
        <v>47.62</v>
      </c>
      <c r="C39">
        <f t="shared" si="0"/>
        <v>39.160839160839075</v>
      </c>
      <c r="D39">
        <f t="shared" si="1"/>
        <v>64.568764568764493</v>
      </c>
      <c r="E39">
        <v>80</v>
      </c>
      <c r="F39">
        <v>20</v>
      </c>
    </row>
    <row r="40" spans="1:6">
      <c r="A40" s="1">
        <v>45527</v>
      </c>
      <c r="B40">
        <v>48.11</v>
      </c>
      <c r="C40">
        <f t="shared" si="0"/>
        <v>56.293706293706279</v>
      </c>
      <c r="D40">
        <f t="shared" si="1"/>
        <v>54.428904428904367</v>
      </c>
      <c r="E40">
        <v>80</v>
      </c>
      <c r="F40">
        <v>20</v>
      </c>
    </row>
    <row r="41" spans="1:6">
      <c r="A41" s="1">
        <v>45530</v>
      </c>
      <c r="B41">
        <v>48.24</v>
      </c>
      <c r="C41">
        <f t="shared" si="0"/>
        <v>60.839160839160925</v>
      </c>
      <c r="D41">
        <f t="shared" si="1"/>
        <v>52.0979020979021</v>
      </c>
      <c r="E41">
        <v>80</v>
      </c>
      <c r="F41">
        <v>20</v>
      </c>
    </row>
    <row r="42" spans="1:6">
      <c r="A42" s="1">
        <v>45531</v>
      </c>
      <c r="B42">
        <v>48.12</v>
      </c>
      <c r="C42">
        <f t="shared" si="0"/>
        <v>53.03030303030296</v>
      </c>
      <c r="D42">
        <f t="shared" si="1"/>
        <v>56.721056721056719</v>
      </c>
      <c r="E42">
        <v>80</v>
      </c>
      <c r="F42">
        <v>20</v>
      </c>
    </row>
    <row r="43" spans="1:6">
      <c r="A43" s="1">
        <v>45532</v>
      </c>
      <c r="B43">
        <v>49.06</v>
      </c>
      <c r="C43">
        <f t="shared" si="0"/>
        <v>88.63636363636374</v>
      </c>
      <c r="D43">
        <f t="shared" si="1"/>
        <v>67.501942501942537</v>
      </c>
      <c r="E43">
        <v>80</v>
      </c>
      <c r="F43">
        <v>20</v>
      </c>
    </row>
    <row r="44" spans="1:6">
      <c r="A44" s="1">
        <v>45533</v>
      </c>
      <c r="B44">
        <v>49.72</v>
      </c>
      <c r="C44">
        <f t="shared" si="0"/>
        <v>100</v>
      </c>
      <c r="D44">
        <f t="shared" si="1"/>
        <v>80.555555555555557</v>
      </c>
      <c r="E44">
        <v>80</v>
      </c>
      <c r="F44">
        <v>20</v>
      </c>
    </row>
    <row r="45" spans="1:6">
      <c r="A45" s="1">
        <v>45534</v>
      </c>
      <c r="B45">
        <v>49.95</v>
      </c>
      <c r="C45">
        <f t="shared" si="0"/>
        <v>100</v>
      </c>
      <c r="D45">
        <f t="shared" si="1"/>
        <v>96.212121212121247</v>
      </c>
      <c r="E45">
        <v>80</v>
      </c>
      <c r="F45">
        <v>20</v>
      </c>
    </row>
    <row r="46" spans="1:6">
      <c r="A46" s="1">
        <v>45538</v>
      </c>
      <c r="B46">
        <v>50.52</v>
      </c>
      <c r="C46">
        <f t="shared" si="0"/>
        <v>100</v>
      </c>
      <c r="D46">
        <f t="shared" si="1"/>
        <v>100</v>
      </c>
      <c r="E46">
        <v>80</v>
      </c>
      <c r="F46">
        <v>20</v>
      </c>
    </row>
    <row r="47" spans="1:6">
      <c r="A47" s="1">
        <v>45539</v>
      </c>
      <c r="B47">
        <v>49.96</v>
      </c>
      <c r="C47">
        <f t="shared" si="0"/>
        <v>80.689655172413751</v>
      </c>
      <c r="D47">
        <f t="shared" si="1"/>
        <v>93.563218390804579</v>
      </c>
      <c r="E47">
        <v>80</v>
      </c>
      <c r="F47">
        <v>20</v>
      </c>
    </row>
    <row r="48" spans="1:6">
      <c r="A48" s="1">
        <v>45540</v>
      </c>
      <c r="B48">
        <v>49.8</v>
      </c>
      <c r="C48">
        <f t="shared" si="0"/>
        <v>75.172413793103289</v>
      </c>
      <c r="D48">
        <f t="shared" si="1"/>
        <v>85.287356321839013</v>
      </c>
      <c r="E48">
        <v>80</v>
      </c>
      <c r="F48">
        <v>20</v>
      </c>
    </row>
    <row r="49" spans="1:6">
      <c r="A49" s="1">
        <v>45541</v>
      </c>
      <c r="B49">
        <v>48.7</v>
      </c>
      <c r="C49">
        <f t="shared" si="0"/>
        <v>37.241379310344939</v>
      </c>
      <c r="D49">
        <f t="shared" si="1"/>
        <v>64.367816091953998</v>
      </c>
      <c r="E49">
        <v>80</v>
      </c>
      <c r="F49">
        <v>20</v>
      </c>
    </row>
    <row r="50" spans="1:6">
      <c r="A50" s="1">
        <v>45544</v>
      </c>
      <c r="B50">
        <v>48.5</v>
      </c>
      <c r="C50">
        <f t="shared" si="0"/>
        <v>30.344827586206925</v>
      </c>
      <c r="D50">
        <f t="shared" si="1"/>
        <v>47.586206896551715</v>
      </c>
      <c r="E50">
        <v>80</v>
      </c>
      <c r="F50">
        <v>20</v>
      </c>
    </row>
    <row r="51" spans="1:6">
      <c r="A51" s="1">
        <v>45545</v>
      </c>
      <c r="B51">
        <v>49.28</v>
      </c>
      <c r="C51">
        <f t="shared" si="0"/>
        <v>57.24137931034484</v>
      </c>
      <c r="D51">
        <f t="shared" si="1"/>
        <v>41.609195402298901</v>
      </c>
      <c r="E51">
        <v>80</v>
      </c>
      <c r="F51">
        <v>20</v>
      </c>
    </row>
    <row r="52" spans="1:6">
      <c r="A52" s="1">
        <v>45546</v>
      </c>
      <c r="B52">
        <v>48.59</v>
      </c>
      <c r="C52">
        <f t="shared" si="0"/>
        <v>33.448275862069103</v>
      </c>
      <c r="D52">
        <f t="shared" si="1"/>
        <v>40.344827586206954</v>
      </c>
      <c r="E52">
        <v>80</v>
      </c>
      <c r="F52">
        <v>20</v>
      </c>
    </row>
    <row r="53" spans="1:6">
      <c r="A53" s="1">
        <v>45547</v>
      </c>
      <c r="B53">
        <v>48.24</v>
      </c>
      <c r="C53">
        <f t="shared" si="0"/>
        <v>5.3941908713693927</v>
      </c>
      <c r="D53">
        <f t="shared" si="1"/>
        <v>32.027948681261115</v>
      </c>
      <c r="E53">
        <v>80</v>
      </c>
      <c r="F53">
        <v>20</v>
      </c>
    </row>
    <row r="54" spans="1:6">
      <c r="A54" s="1">
        <v>45548</v>
      </c>
      <c r="B54">
        <v>49.13</v>
      </c>
      <c r="C54">
        <f t="shared" si="0"/>
        <v>42.083333333333442</v>
      </c>
      <c r="D54">
        <f t="shared" si="1"/>
        <v>26.97526668892398</v>
      </c>
      <c r="E54">
        <v>80</v>
      </c>
      <c r="F54">
        <v>20</v>
      </c>
    </row>
    <row r="55" spans="1:6">
      <c r="A55" s="1">
        <v>45551</v>
      </c>
      <c r="B55">
        <v>49.99</v>
      </c>
      <c r="C55">
        <f t="shared" si="0"/>
        <v>77.916666666666671</v>
      </c>
      <c r="D55">
        <f t="shared" si="1"/>
        <v>41.798063623789837</v>
      </c>
      <c r="E55">
        <v>80</v>
      </c>
      <c r="F55">
        <v>20</v>
      </c>
    </row>
    <row r="56" spans="1:6">
      <c r="A56" s="1">
        <v>45552</v>
      </c>
      <c r="B56">
        <v>49.49</v>
      </c>
      <c r="C56">
        <f t="shared" si="0"/>
        <v>54.824561403508746</v>
      </c>
      <c r="D56">
        <f t="shared" si="1"/>
        <v>58.27485380116962</v>
      </c>
      <c r="E56">
        <v>80</v>
      </c>
      <c r="F56">
        <v>20</v>
      </c>
    </row>
    <row r="57" spans="1:6">
      <c r="A57" s="1">
        <v>45553</v>
      </c>
      <c r="B57">
        <v>49.74</v>
      </c>
      <c r="C57">
        <f t="shared" si="0"/>
        <v>65.789473684210492</v>
      </c>
      <c r="D57">
        <f t="shared" si="1"/>
        <v>66.176900584795305</v>
      </c>
      <c r="E57">
        <v>80</v>
      </c>
      <c r="F57">
        <v>20</v>
      </c>
    </row>
    <row r="58" spans="1:6">
      <c r="A58" s="1">
        <v>45554</v>
      </c>
      <c r="B58">
        <v>49.02</v>
      </c>
      <c r="C58">
        <f t="shared" si="0"/>
        <v>34.210526315789508</v>
      </c>
      <c r="D58">
        <f t="shared" si="1"/>
        <v>51.608187134502913</v>
      </c>
      <c r="E58">
        <v>80</v>
      </c>
      <c r="F58">
        <v>20</v>
      </c>
    </row>
    <row r="59" spans="1:6">
      <c r="A59" s="1">
        <v>45555</v>
      </c>
      <c r="B59">
        <v>49.41</v>
      </c>
      <c r="C59">
        <f t="shared" si="0"/>
        <v>51.315789473683949</v>
      </c>
      <c r="D59">
        <f t="shared" si="1"/>
        <v>50.438596491227976</v>
      </c>
      <c r="E59">
        <v>80</v>
      </c>
      <c r="F59">
        <v>20</v>
      </c>
    </row>
    <row r="60" spans="1:6">
      <c r="A60" s="1">
        <v>45558</v>
      </c>
      <c r="B60">
        <v>50.01</v>
      </c>
      <c r="C60">
        <f t="shared" si="0"/>
        <v>100</v>
      </c>
      <c r="D60">
        <f t="shared" si="1"/>
        <v>61.842105263157826</v>
      </c>
      <c r="E60">
        <v>80</v>
      </c>
      <c r="F60">
        <v>20</v>
      </c>
    </row>
    <row r="61" spans="1:6">
      <c r="A61" s="1">
        <v>45559</v>
      </c>
      <c r="B61">
        <v>50.94</v>
      </c>
      <c r="C61">
        <f t="shared" si="0"/>
        <v>100</v>
      </c>
      <c r="D61">
        <f t="shared" si="1"/>
        <v>83.771929824561312</v>
      </c>
      <c r="E61">
        <v>80</v>
      </c>
      <c r="F61">
        <v>20</v>
      </c>
    </row>
    <row r="62" spans="1:6">
      <c r="A62" s="1">
        <v>45560</v>
      </c>
      <c r="B62">
        <v>49.95</v>
      </c>
      <c r="C62">
        <f t="shared" si="0"/>
        <v>63.333333333333464</v>
      </c>
      <c r="D62">
        <f t="shared" si="1"/>
        <v>87.777777777777828</v>
      </c>
      <c r="E62">
        <v>80</v>
      </c>
      <c r="F62">
        <v>20</v>
      </c>
    </row>
    <row r="63" spans="1:6">
      <c r="A63" s="1">
        <v>45561</v>
      </c>
      <c r="B63">
        <v>50.12</v>
      </c>
      <c r="C63">
        <f t="shared" si="0"/>
        <v>69.629629629629576</v>
      </c>
      <c r="D63">
        <f t="shared" si="1"/>
        <v>77.654320987654344</v>
      </c>
      <c r="E63">
        <v>80</v>
      </c>
      <c r="F63">
        <v>20</v>
      </c>
    </row>
    <row r="64" spans="1:6">
      <c r="A64" s="1">
        <v>45562</v>
      </c>
      <c r="B64">
        <v>50.91</v>
      </c>
      <c r="C64">
        <f t="shared" si="0"/>
        <v>98.888888888888843</v>
      </c>
      <c r="D64">
        <f t="shared" si="1"/>
        <v>77.283950617283963</v>
      </c>
      <c r="E64">
        <v>80</v>
      </c>
      <c r="F64">
        <v>20</v>
      </c>
    </row>
    <row r="65" spans="1:6">
      <c r="A65" s="1">
        <v>45565</v>
      </c>
      <c r="B65">
        <v>51.74</v>
      </c>
      <c r="C65">
        <f t="shared" si="0"/>
        <v>100</v>
      </c>
      <c r="D65">
        <f t="shared" si="1"/>
        <v>89.506172839506135</v>
      </c>
      <c r="E65">
        <v>80</v>
      </c>
      <c r="F65">
        <v>20</v>
      </c>
    </row>
    <row r="66" spans="1:6">
      <c r="A66" s="1">
        <v>45566</v>
      </c>
      <c r="B66">
        <v>52.9</v>
      </c>
      <c r="C66">
        <f t="shared" si="0"/>
        <v>100</v>
      </c>
      <c r="D66">
        <f t="shared" si="1"/>
        <v>99.629629629629619</v>
      </c>
      <c r="E66">
        <v>80</v>
      </c>
      <c r="F66">
        <v>20</v>
      </c>
    </row>
    <row r="67" spans="1:6">
      <c r="A67" s="1">
        <v>45567</v>
      </c>
      <c r="B67">
        <v>53.76</v>
      </c>
      <c r="C67">
        <f t="shared" si="0"/>
        <v>100</v>
      </c>
      <c r="D67">
        <f t="shared" si="1"/>
        <v>100</v>
      </c>
      <c r="E67">
        <v>80</v>
      </c>
      <c r="F67">
        <v>20</v>
      </c>
    </row>
    <row r="68" spans="1:6">
      <c r="A68" s="1">
        <v>45568</v>
      </c>
      <c r="B68">
        <v>54.2</v>
      </c>
      <c r="C68">
        <f t="shared" si="0"/>
        <v>100</v>
      </c>
      <c r="D68">
        <f t="shared" si="1"/>
        <v>100</v>
      </c>
      <c r="E68">
        <v>80</v>
      </c>
      <c r="F68">
        <v>20</v>
      </c>
    </row>
    <row r="69" spans="1:6">
      <c r="A69" s="1">
        <v>45569</v>
      </c>
      <c r="B69">
        <v>53.96</v>
      </c>
      <c r="C69">
        <f t="shared" si="0"/>
        <v>95.36679536679533</v>
      </c>
      <c r="D69">
        <f t="shared" si="1"/>
        <v>98.455598455598434</v>
      </c>
      <c r="E69">
        <v>80</v>
      </c>
      <c r="F69">
        <v>20</v>
      </c>
    </row>
    <row r="70" spans="1:6">
      <c r="A70" s="1">
        <v>45572</v>
      </c>
      <c r="B70">
        <v>53.44</v>
      </c>
      <c r="C70">
        <f t="shared" si="0"/>
        <v>85.328185328185228</v>
      </c>
      <c r="D70">
        <f t="shared" si="1"/>
        <v>93.564993564993514</v>
      </c>
      <c r="E70">
        <v>80</v>
      </c>
      <c r="F70">
        <v>20</v>
      </c>
    </row>
    <row r="71" spans="1:6">
      <c r="A71" s="1">
        <v>45573</v>
      </c>
      <c r="B71">
        <v>52.48</v>
      </c>
      <c r="C71">
        <f t="shared" si="0"/>
        <v>66.795366795366675</v>
      </c>
      <c r="D71">
        <f t="shared" si="1"/>
        <v>82.496782496782416</v>
      </c>
      <c r="E71">
        <v>80</v>
      </c>
      <c r="F71">
        <v>20</v>
      </c>
    </row>
    <row r="72" spans="1:6">
      <c r="A72" s="1">
        <v>45574</v>
      </c>
      <c r="B72">
        <v>52.8</v>
      </c>
      <c r="C72">
        <f t="shared" si="0"/>
        <v>70.772442588726435</v>
      </c>
      <c r="D72">
        <f t="shared" si="1"/>
        <v>74.298664904092789</v>
      </c>
      <c r="E72">
        <v>80</v>
      </c>
      <c r="F72">
        <v>20</v>
      </c>
    </row>
    <row r="73" spans="1:6">
      <c r="A73" s="1">
        <v>45575</v>
      </c>
      <c r="B73">
        <v>52.4</v>
      </c>
      <c r="C73">
        <f t="shared" si="0"/>
        <v>57.647058823529306</v>
      </c>
      <c r="D73">
        <f t="shared" si="1"/>
        <v>65.071622735874129</v>
      </c>
      <c r="E73">
        <v>80</v>
      </c>
      <c r="F73">
        <v>20</v>
      </c>
    </row>
    <row r="74" spans="1:6">
      <c r="A74" s="1">
        <v>45576</v>
      </c>
      <c r="B74">
        <v>52.2</v>
      </c>
      <c r="C74">
        <f t="shared" si="0"/>
        <v>52.941176470588239</v>
      </c>
      <c r="D74">
        <f t="shared" si="1"/>
        <v>60.45355929428132</v>
      </c>
      <c r="E74">
        <v>80</v>
      </c>
      <c r="F74">
        <v>20</v>
      </c>
    </row>
    <row r="75" spans="1:6">
      <c r="A75" s="1">
        <v>45579</v>
      </c>
      <c r="B75">
        <v>52.67</v>
      </c>
      <c r="C75">
        <f t="shared" si="0"/>
        <v>63.999999999999972</v>
      </c>
      <c r="D75">
        <f t="shared" si="1"/>
        <v>58.196078431372506</v>
      </c>
      <c r="E75">
        <v>80</v>
      </c>
      <c r="F75">
        <v>20</v>
      </c>
    </row>
    <row r="76" spans="1:6">
      <c r="A76" s="1">
        <v>45580</v>
      </c>
      <c r="B76">
        <v>52.76</v>
      </c>
      <c r="C76">
        <f t="shared" si="0"/>
        <v>64.705882352941103</v>
      </c>
      <c r="D76">
        <f t="shared" si="1"/>
        <v>60.5490196078431</v>
      </c>
      <c r="E76">
        <v>80</v>
      </c>
      <c r="F76">
        <v>20</v>
      </c>
    </row>
    <row r="77" spans="1:6">
      <c r="A77" s="1">
        <v>45581</v>
      </c>
      <c r="B77">
        <v>53.37</v>
      </c>
      <c r="C77">
        <f t="shared" si="0"/>
        <v>74.772036474164011</v>
      </c>
      <c r="D77">
        <f t="shared" si="1"/>
        <v>67.825972942368367</v>
      </c>
      <c r="E77">
        <v>80</v>
      </c>
      <c r="F77">
        <v>20</v>
      </c>
    </row>
    <row r="78" spans="1:6">
      <c r="A78" s="1">
        <v>45582</v>
      </c>
      <c r="B78">
        <v>53.18</v>
      </c>
      <c r="C78">
        <f t="shared" si="0"/>
        <v>58.536585365853547</v>
      </c>
      <c r="D78">
        <f t="shared" si="1"/>
        <v>66.004834730986218</v>
      </c>
      <c r="E78">
        <v>80</v>
      </c>
      <c r="F78">
        <v>20</v>
      </c>
    </row>
    <row r="79" spans="1:6">
      <c r="A79" s="1">
        <v>45583</v>
      </c>
      <c r="B79">
        <v>53.22</v>
      </c>
      <c r="C79">
        <f t="shared" si="0"/>
        <v>50.999999999999801</v>
      </c>
      <c r="D79">
        <f t="shared" si="1"/>
        <v>61.436207280005789</v>
      </c>
      <c r="E79">
        <v>80</v>
      </c>
      <c r="F79">
        <v>20</v>
      </c>
    </row>
    <row r="80" spans="1:6">
      <c r="A80" s="1">
        <v>45586</v>
      </c>
      <c r="B80">
        <v>52.12</v>
      </c>
      <c r="C80">
        <f t="shared" ref="C80:C143" si="2">(B80-MIN(B67:B80))/(MAX(B67:B80)-MIN(B67:B80))*100</f>
        <v>0</v>
      </c>
      <c r="D80">
        <f t="shared" si="1"/>
        <v>36.512195121951116</v>
      </c>
      <c r="E80">
        <v>80</v>
      </c>
      <c r="F80">
        <v>20</v>
      </c>
    </row>
    <row r="81" spans="1:6">
      <c r="A81" s="1">
        <v>45587</v>
      </c>
      <c r="B81">
        <v>52.76</v>
      </c>
      <c r="C81">
        <f t="shared" si="2"/>
        <v>30.769230769230717</v>
      </c>
      <c r="D81">
        <f t="shared" si="1"/>
        <v>27.256410256410174</v>
      </c>
      <c r="E81">
        <v>80</v>
      </c>
      <c r="F81">
        <v>20</v>
      </c>
    </row>
    <row r="82" spans="1:6">
      <c r="A82" s="1">
        <v>45588</v>
      </c>
      <c r="B82">
        <v>53.06</v>
      </c>
      <c r="C82">
        <f t="shared" si="2"/>
        <v>51.086956521739303</v>
      </c>
      <c r="D82">
        <f t="shared" ref="D82:D145" si="3">AVERAGE(C80:C82)</f>
        <v>27.28539576365667</v>
      </c>
      <c r="E82">
        <v>80</v>
      </c>
      <c r="F82">
        <v>20</v>
      </c>
    </row>
    <row r="83" spans="1:6">
      <c r="A83" s="1">
        <v>45589</v>
      </c>
      <c r="B83">
        <v>52.92</v>
      </c>
      <c r="C83">
        <f t="shared" si="2"/>
        <v>60.606060606060922</v>
      </c>
      <c r="D83">
        <f t="shared" si="3"/>
        <v>47.487415965676973</v>
      </c>
      <c r="E83">
        <v>80</v>
      </c>
      <c r="F83">
        <v>20</v>
      </c>
    </row>
    <row r="84" spans="1:6">
      <c r="A84" s="1">
        <v>45590</v>
      </c>
      <c r="B84">
        <v>51.92</v>
      </c>
      <c r="C84">
        <f t="shared" si="2"/>
        <v>0</v>
      </c>
      <c r="D84">
        <f t="shared" si="3"/>
        <v>37.231005709266746</v>
      </c>
      <c r="E84">
        <v>80</v>
      </c>
      <c r="F84">
        <v>20</v>
      </c>
    </row>
    <row r="85" spans="1:6">
      <c r="A85" s="1">
        <v>45593</v>
      </c>
      <c r="B85">
        <v>52.64</v>
      </c>
      <c r="C85">
        <f t="shared" si="2"/>
        <v>49.655172413793167</v>
      </c>
      <c r="D85">
        <f t="shared" si="3"/>
        <v>36.753744339951361</v>
      </c>
      <c r="E85">
        <v>80</v>
      </c>
      <c r="F85">
        <v>20</v>
      </c>
    </row>
    <row r="86" spans="1:6">
      <c r="A86" s="1">
        <v>45594</v>
      </c>
      <c r="B86">
        <v>52.5</v>
      </c>
      <c r="C86">
        <f t="shared" si="2"/>
        <v>40</v>
      </c>
      <c r="D86">
        <f t="shared" si="3"/>
        <v>29.885057471264389</v>
      </c>
      <c r="E86">
        <v>80</v>
      </c>
      <c r="F86">
        <v>20</v>
      </c>
    </row>
    <row r="87" spans="1:6">
      <c r="A87" s="1">
        <v>45595</v>
      </c>
      <c r="B87">
        <v>52.66</v>
      </c>
      <c r="C87">
        <f t="shared" si="2"/>
        <v>51.034482758620491</v>
      </c>
      <c r="D87">
        <f t="shared" si="3"/>
        <v>46.896551724137886</v>
      </c>
      <c r="E87">
        <v>80</v>
      </c>
      <c r="F87">
        <v>20</v>
      </c>
    </row>
    <row r="88" spans="1:6">
      <c r="A88" s="1">
        <v>45596</v>
      </c>
      <c r="B88">
        <v>55.77</v>
      </c>
      <c r="C88">
        <f t="shared" si="2"/>
        <v>100</v>
      </c>
      <c r="D88">
        <f t="shared" si="3"/>
        <v>63.678160919540169</v>
      </c>
      <c r="E88">
        <v>80</v>
      </c>
      <c r="F88">
        <v>20</v>
      </c>
    </row>
    <row r="89" spans="1:6">
      <c r="A89" s="1">
        <v>45597</v>
      </c>
      <c r="B89">
        <v>54.32</v>
      </c>
      <c r="C89">
        <f t="shared" si="2"/>
        <v>62.33766233766228</v>
      </c>
      <c r="D89">
        <f t="shared" si="3"/>
        <v>71.124048365427598</v>
      </c>
      <c r="E89">
        <v>80</v>
      </c>
      <c r="F89">
        <v>20</v>
      </c>
    </row>
    <row r="90" spans="1:6">
      <c r="A90" s="1">
        <v>45600</v>
      </c>
      <c r="B90">
        <v>55.45</v>
      </c>
      <c r="C90">
        <f t="shared" si="2"/>
        <v>91.688311688311686</v>
      </c>
      <c r="D90">
        <f t="shared" si="3"/>
        <v>84.675324675324646</v>
      </c>
      <c r="E90">
        <v>80</v>
      </c>
      <c r="F90">
        <v>20</v>
      </c>
    </row>
    <row r="91" spans="1:6">
      <c r="A91" s="1">
        <v>45601</v>
      </c>
      <c r="B91">
        <v>55.95</v>
      </c>
      <c r="C91">
        <f t="shared" si="2"/>
        <v>100</v>
      </c>
      <c r="D91">
        <f t="shared" si="3"/>
        <v>84.67532467532466</v>
      </c>
      <c r="E91">
        <v>80</v>
      </c>
      <c r="F91">
        <v>20</v>
      </c>
    </row>
    <row r="92" spans="1:6">
      <c r="A92" s="1">
        <v>45602</v>
      </c>
      <c r="B92">
        <v>55.28</v>
      </c>
      <c r="C92">
        <f t="shared" si="2"/>
        <v>83.374689826302699</v>
      </c>
      <c r="D92">
        <f t="shared" si="3"/>
        <v>91.687667171538124</v>
      </c>
      <c r="E92">
        <v>80</v>
      </c>
      <c r="F92">
        <v>20</v>
      </c>
    </row>
    <row r="93" spans="1:6">
      <c r="A93" s="1">
        <v>45603</v>
      </c>
      <c r="B93">
        <v>54.71</v>
      </c>
      <c r="C93">
        <f t="shared" si="2"/>
        <v>69.230769230769184</v>
      </c>
      <c r="D93">
        <f t="shared" si="3"/>
        <v>84.201819685690623</v>
      </c>
      <c r="E93">
        <v>80</v>
      </c>
      <c r="F93">
        <v>20</v>
      </c>
    </row>
    <row r="94" spans="1:6">
      <c r="A94" s="1">
        <v>45604</v>
      </c>
      <c r="B94">
        <v>54.14</v>
      </c>
      <c r="C94">
        <f t="shared" si="2"/>
        <v>55.086848635235683</v>
      </c>
      <c r="D94">
        <f t="shared" si="3"/>
        <v>69.230769230769184</v>
      </c>
      <c r="E94">
        <v>80</v>
      </c>
      <c r="F94">
        <v>20</v>
      </c>
    </row>
    <row r="95" spans="1:6">
      <c r="A95" s="1">
        <v>45607</v>
      </c>
      <c r="B95">
        <v>59.82</v>
      </c>
      <c r="C95">
        <f t="shared" si="2"/>
        <v>100</v>
      </c>
      <c r="D95">
        <f t="shared" si="3"/>
        <v>74.772539288668284</v>
      </c>
      <c r="E95">
        <v>80</v>
      </c>
      <c r="F95">
        <v>20</v>
      </c>
    </row>
    <row r="96" spans="1:6">
      <c r="A96" s="1">
        <v>45608</v>
      </c>
      <c r="B96">
        <v>59.02</v>
      </c>
      <c r="C96">
        <f t="shared" si="2"/>
        <v>89.873417721519019</v>
      </c>
      <c r="D96">
        <f t="shared" si="3"/>
        <v>81.653422118918243</v>
      </c>
      <c r="E96">
        <v>80</v>
      </c>
      <c r="F96">
        <v>20</v>
      </c>
    </row>
    <row r="97" spans="1:6">
      <c r="A97" s="1">
        <v>45609</v>
      </c>
      <c r="B97">
        <v>58.41</v>
      </c>
      <c r="C97">
        <f t="shared" si="2"/>
        <v>82.151898734177166</v>
      </c>
      <c r="D97">
        <f t="shared" si="3"/>
        <v>90.675105485232052</v>
      </c>
      <c r="E97">
        <v>80</v>
      </c>
      <c r="F97">
        <v>20</v>
      </c>
    </row>
    <row r="98" spans="1:6">
      <c r="A98" s="1">
        <v>45610</v>
      </c>
      <c r="B98">
        <v>58.5</v>
      </c>
      <c r="C98">
        <f t="shared" si="2"/>
        <v>81.967213114754102</v>
      </c>
      <c r="D98">
        <f t="shared" si="3"/>
        <v>84.664176523483434</v>
      </c>
      <c r="E98">
        <v>80</v>
      </c>
      <c r="F98">
        <v>20</v>
      </c>
    </row>
    <row r="99" spans="1:6">
      <c r="A99" s="1">
        <v>45611</v>
      </c>
      <c r="B99">
        <v>56.22</v>
      </c>
      <c r="C99">
        <f t="shared" si="2"/>
        <v>50.81967213114752</v>
      </c>
      <c r="D99">
        <f t="shared" si="3"/>
        <v>71.646261326692922</v>
      </c>
      <c r="E99">
        <v>80</v>
      </c>
      <c r="F99">
        <v>20</v>
      </c>
    </row>
    <row r="100" spans="1:6">
      <c r="A100" s="1">
        <v>45614</v>
      </c>
      <c r="B100">
        <v>56.8</v>
      </c>
      <c r="C100">
        <f t="shared" si="2"/>
        <v>57.821229050279314</v>
      </c>
      <c r="D100">
        <f t="shared" si="3"/>
        <v>63.536038098726976</v>
      </c>
      <c r="E100">
        <v>80</v>
      </c>
      <c r="F100">
        <v>20</v>
      </c>
    </row>
    <row r="101" spans="1:6">
      <c r="A101" s="1">
        <v>45615</v>
      </c>
      <c r="B101">
        <v>58.23</v>
      </c>
      <c r="C101">
        <f t="shared" si="2"/>
        <v>72.007042253521064</v>
      </c>
      <c r="D101">
        <f t="shared" si="3"/>
        <v>60.215981144982635</v>
      </c>
      <c r="E101">
        <v>80</v>
      </c>
      <c r="F101">
        <v>20</v>
      </c>
    </row>
    <row r="102" spans="1:6">
      <c r="A102" s="1">
        <v>45616</v>
      </c>
      <c r="B102">
        <v>57.88</v>
      </c>
      <c r="C102">
        <f t="shared" si="2"/>
        <v>65.845070422535244</v>
      </c>
      <c r="D102">
        <f t="shared" si="3"/>
        <v>65.224447242111864</v>
      </c>
      <c r="E102">
        <v>80</v>
      </c>
      <c r="F102">
        <v>20</v>
      </c>
    </row>
    <row r="103" spans="1:6">
      <c r="A103" s="1">
        <v>45617</v>
      </c>
      <c r="B103">
        <v>58.23</v>
      </c>
      <c r="C103">
        <f t="shared" si="2"/>
        <v>72.007042253521064</v>
      </c>
      <c r="D103">
        <f t="shared" si="3"/>
        <v>69.953051643192467</v>
      </c>
      <c r="E103">
        <v>80</v>
      </c>
      <c r="F103">
        <v>20</v>
      </c>
    </row>
    <row r="104" spans="1:6">
      <c r="A104" s="1">
        <v>45618</v>
      </c>
      <c r="B104">
        <v>58.87</v>
      </c>
      <c r="C104">
        <f t="shared" si="2"/>
        <v>83.274647887323894</v>
      </c>
      <c r="D104">
        <f t="shared" si="3"/>
        <v>73.70892018779341</v>
      </c>
      <c r="E104">
        <v>80</v>
      </c>
      <c r="F104">
        <v>20</v>
      </c>
    </row>
    <row r="105" spans="1:6">
      <c r="A105" s="1">
        <v>45621</v>
      </c>
      <c r="B105">
        <v>58.78</v>
      </c>
      <c r="C105">
        <f t="shared" si="2"/>
        <v>81.690140845070431</v>
      </c>
      <c r="D105">
        <f t="shared" si="3"/>
        <v>78.990610328638454</v>
      </c>
      <c r="E105">
        <v>80</v>
      </c>
      <c r="F105">
        <v>20</v>
      </c>
    </row>
    <row r="106" spans="1:6">
      <c r="A106" s="1">
        <v>45622</v>
      </c>
      <c r="B106">
        <v>58.74</v>
      </c>
      <c r="C106">
        <f t="shared" si="2"/>
        <v>80.985915492957773</v>
      </c>
      <c r="D106">
        <f t="shared" si="3"/>
        <v>81.983568075117361</v>
      </c>
      <c r="E106">
        <v>80</v>
      </c>
      <c r="F106">
        <v>20</v>
      </c>
    </row>
    <row r="107" spans="1:6">
      <c r="A107" s="1">
        <v>45623</v>
      </c>
      <c r="B107">
        <v>59.27</v>
      </c>
      <c r="C107">
        <f t="shared" si="2"/>
        <v>90.316901408450761</v>
      </c>
      <c r="D107">
        <f t="shared" si="3"/>
        <v>84.330985915492988</v>
      </c>
      <c r="E107">
        <v>80</v>
      </c>
      <c r="F107">
        <v>20</v>
      </c>
    </row>
    <row r="108" spans="1:6">
      <c r="A108" s="1">
        <v>45625</v>
      </c>
      <c r="B108">
        <v>59.22</v>
      </c>
      <c r="C108">
        <f t="shared" si="2"/>
        <v>83.3333333333333</v>
      </c>
      <c r="D108">
        <f t="shared" si="3"/>
        <v>84.878716744913945</v>
      </c>
      <c r="E108">
        <v>80</v>
      </c>
      <c r="F108">
        <v>20</v>
      </c>
    </row>
    <row r="109" spans="1:6">
      <c r="A109" s="1">
        <v>45628</v>
      </c>
      <c r="B109">
        <v>59.94</v>
      </c>
      <c r="C109">
        <f t="shared" si="2"/>
        <v>100</v>
      </c>
      <c r="D109">
        <f t="shared" si="3"/>
        <v>91.216744913928025</v>
      </c>
      <c r="E109">
        <v>80</v>
      </c>
      <c r="F109">
        <v>20</v>
      </c>
    </row>
    <row r="110" spans="1:6">
      <c r="A110" s="1">
        <v>45629</v>
      </c>
      <c r="B110">
        <v>58.69</v>
      </c>
      <c r="C110">
        <f t="shared" si="2"/>
        <v>66.397849462365571</v>
      </c>
      <c r="D110">
        <f t="shared" si="3"/>
        <v>83.243727598566295</v>
      </c>
      <c r="E110">
        <v>80</v>
      </c>
      <c r="F110">
        <v>20</v>
      </c>
    </row>
    <row r="111" spans="1:6">
      <c r="A111" s="1">
        <v>45630</v>
      </c>
      <c r="B111">
        <v>58.37</v>
      </c>
      <c r="C111">
        <f t="shared" si="2"/>
        <v>57.795698924731163</v>
      </c>
      <c r="D111">
        <f t="shared" si="3"/>
        <v>74.731182795698913</v>
      </c>
      <c r="E111">
        <v>80</v>
      </c>
      <c r="F111">
        <v>20</v>
      </c>
    </row>
    <row r="112" spans="1:6">
      <c r="A112" s="1">
        <v>45631</v>
      </c>
      <c r="B112">
        <v>58.84</v>
      </c>
      <c r="C112">
        <f t="shared" si="2"/>
        <v>70.430107526881869</v>
      </c>
      <c r="D112">
        <f t="shared" si="3"/>
        <v>64.874551971326198</v>
      </c>
      <c r="E112">
        <v>80</v>
      </c>
      <c r="F112">
        <v>20</v>
      </c>
    </row>
    <row r="113" spans="1:6">
      <c r="A113" s="1">
        <v>45632</v>
      </c>
      <c r="B113">
        <v>59.38</v>
      </c>
      <c r="C113">
        <f t="shared" si="2"/>
        <v>82.165605095541565</v>
      </c>
      <c r="D113">
        <f t="shared" si="3"/>
        <v>70.130470515718201</v>
      </c>
      <c r="E113">
        <v>80</v>
      </c>
      <c r="F113">
        <v>20</v>
      </c>
    </row>
    <row r="114" spans="1:6">
      <c r="A114" s="1">
        <v>45635</v>
      </c>
      <c r="B114">
        <v>58.71</v>
      </c>
      <c r="C114">
        <f t="shared" si="2"/>
        <v>40.291262135922338</v>
      </c>
      <c r="D114">
        <f t="shared" si="3"/>
        <v>64.295658252781934</v>
      </c>
      <c r="E114">
        <v>80</v>
      </c>
      <c r="F114">
        <v>20</v>
      </c>
    </row>
    <row r="115" spans="1:6">
      <c r="A115" s="1">
        <v>45636</v>
      </c>
      <c r="B115">
        <v>58.12</v>
      </c>
      <c r="C115">
        <f t="shared" si="2"/>
        <v>11.650485436892982</v>
      </c>
      <c r="D115">
        <f t="shared" si="3"/>
        <v>44.702450889452301</v>
      </c>
      <c r="E115">
        <v>80</v>
      </c>
      <c r="F115">
        <v>20</v>
      </c>
    </row>
    <row r="116" spans="1:6">
      <c r="A116" s="1">
        <v>45637</v>
      </c>
      <c r="B116">
        <v>56.65</v>
      </c>
      <c r="C116">
        <f t="shared" si="2"/>
        <v>0</v>
      </c>
      <c r="D116">
        <f t="shared" si="3"/>
        <v>17.313915857605107</v>
      </c>
      <c r="E116">
        <v>80</v>
      </c>
      <c r="F116">
        <v>20</v>
      </c>
    </row>
    <row r="117" spans="1:6">
      <c r="A117" s="1">
        <v>45638</v>
      </c>
      <c r="B117">
        <v>56.28</v>
      </c>
      <c r="C117">
        <f t="shared" si="2"/>
        <v>0</v>
      </c>
      <c r="D117">
        <f t="shared" si="3"/>
        <v>3.8834951456309939</v>
      </c>
      <c r="E117">
        <v>80</v>
      </c>
      <c r="F117">
        <v>20</v>
      </c>
    </row>
    <row r="118" spans="1:6">
      <c r="A118" s="1">
        <v>45639</v>
      </c>
      <c r="B118">
        <v>55.78</v>
      </c>
      <c r="C118">
        <f t="shared" si="2"/>
        <v>0</v>
      </c>
      <c r="D118">
        <f t="shared" si="3"/>
        <v>0</v>
      </c>
      <c r="E118">
        <v>80</v>
      </c>
      <c r="F118">
        <v>20</v>
      </c>
    </row>
    <row r="119" spans="1:6">
      <c r="A119" s="1">
        <v>45642</v>
      </c>
      <c r="B119">
        <v>55.87</v>
      </c>
      <c r="C119">
        <f t="shared" si="2"/>
        <v>2.1634615384614513</v>
      </c>
      <c r="D119">
        <f t="shared" si="3"/>
        <v>0.72115384615381706</v>
      </c>
      <c r="E119">
        <v>80</v>
      </c>
      <c r="F119">
        <v>20</v>
      </c>
    </row>
    <row r="120" spans="1:6">
      <c r="A120" s="1">
        <v>45643</v>
      </c>
      <c r="B120">
        <v>57.65</v>
      </c>
      <c r="C120">
        <f t="shared" si="2"/>
        <v>44.951923076923052</v>
      </c>
      <c r="D120">
        <f t="shared" si="3"/>
        <v>15.705128205128167</v>
      </c>
      <c r="E120">
        <v>80</v>
      </c>
      <c r="F120">
        <v>20</v>
      </c>
    </row>
    <row r="121" spans="1:6">
      <c r="A121" s="1">
        <v>45644</v>
      </c>
      <c r="B121">
        <v>56.84</v>
      </c>
      <c r="C121">
        <f t="shared" si="2"/>
        <v>25.480769230769308</v>
      </c>
      <c r="D121">
        <f t="shared" si="3"/>
        <v>24.198717948717938</v>
      </c>
      <c r="E121">
        <v>80</v>
      </c>
      <c r="F121">
        <v>20</v>
      </c>
    </row>
    <row r="122" spans="1:6">
      <c r="A122" s="1">
        <v>45645</v>
      </c>
      <c r="B122">
        <v>56.3</v>
      </c>
      <c r="C122">
        <f t="shared" si="2"/>
        <v>12.499999999999915</v>
      </c>
      <c r="D122">
        <f t="shared" si="3"/>
        <v>27.644230769230759</v>
      </c>
      <c r="E122">
        <v>80</v>
      </c>
      <c r="F122">
        <v>20</v>
      </c>
    </row>
    <row r="123" spans="1:6">
      <c r="A123" s="1">
        <v>45646</v>
      </c>
      <c r="B123">
        <v>57.33</v>
      </c>
      <c r="C123">
        <f t="shared" si="2"/>
        <v>43.055555555555458</v>
      </c>
      <c r="D123">
        <f t="shared" si="3"/>
        <v>27.012108262108228</v>
      </c>
      <c r="E123">
        <v>80</v>
      </c>
      <c r="F123">
        <v>20</v>
      </c>
    </row>
    <row r="124" spans="1:6">
      <c r="A124" s="1">
        <v>45649</v>
      </c>
      <c r="B124">
        <v>57.58</v>
      </c>
      <c r="C124">
        <f t="shared" si="2"/>
        <v>49.999999999999901</v>
      </c>
      <c r="D124">
        <f t="shared" si="3"/>
        <v>35.185185185185091</v>
      </c>
      <c r="E124">
        <v>80</v>
      </c>
      <c r="F124">
        <v>20</v>
      </c>
    </row>
    <row r="125" spans="1:6">
      <c r="A125" s="1">
        <v>45650</v>
      </c>
      <c r="B125">
        <v>57.76</v>
      </c>
      <c r="C125">
        <f t="shared" si="2"/>
        <v>54.999999999999893</v>
      </c>
      <c r="D125">
        <f t="shared" si="3"/>
        <v>49.351851851851755</v>
      </c>
      <c r="E125">
        <v>80</v>
      </c>
      <c r="F125">
        <v>20</v>
      </c>
    </row>
    <row r="126" spans="1:6">
      <c r="A126" s="1">
        <v>45652</v>
      </c>
      <c r="B126">
        <v>58</v>
      </c>
      <c r="C126">
        <f t="shared" si="2"/>
        <v>61.666666666666615</v>
      </c>
      <c r="D126">
        <f t="shared" si="3"/>
        <v>55.555555555555465</v>
      </c>
      <c r="E126">
        <v>80</v>
      </c>
      <c r="F126">
        <v>20</v>
      </c>
    </row>
    <row r="127" spans="1:6">
      <c r="A127" s="1">
        <v>45653</v>
      </c>
      <c r="B127">
        <v>57.68</v>
      </c>
      <c r="C127">
        <f t="shared" si="2"/>
        <v>64.846416382252514</v>
      </c>
      <c r="D127">
        <f t="shared" si="3"/>
        <v>60.504361016306348</v>
      </c>
      <c r="E127">
        <v>80</v>
      </c>
      <c r="F127">
        <v>20</v>
      </c>
    </row>
    <row r="128" spans="1:6">
      <c r="A128" s="1">
        <v>45656</v>
      </c>
      <c r="B128">
        <v>56.06</v>
      </c>
      <c r="C128">
        <f t="shared" si="2"/>
        <v>11.965811965812033</v>
      </c>
      <c r="D128">
        <f t="shared" si="3"/>
        <v>46.159631671577053</v>
      </c>
      <c r="E128">
        <v>80</v>
      </c>
      <c r="F128">
        <v>20</v>
      </c>
    </row>
    <row r="129" spans="1:6">
      <c r="A129" s="1">
        <v>45657</v>
      </c>
      <c r="B129">
        <v>56.56</v>
      </c>
      <c r="C129">
        <f t="shared" si="2"/>
        <v>35.135135135135201</v>
      </c>
      <c r="D129">
        <f t="shared" si="3"/>
        <v>37.315787827733253</v>
      </c>
      <c r="E129">
        <v>80</v>
      </c>
      <c r="F129">
        <v>20</v>
      </c>
    </row>
    <row r="130" spans="1:6">
      <c r="A130" s="1">
        <v>45659</v>
      </c>
      <c r="B130">
        <v>56.79</v>
      </c>
      <c r="C130">
        <f t="shared" si="2"/>
        <v>45.495495495495433</v>
      </c>
      <c r="D130">
        <f t="shared" si="3"/>
        <v>30.86548086548089</v>
      </c>
      <c r="E130">
        <v>80</v>
      </c>
      <c r="F130">
        <v>20</v>
      </c>
    </row>
    <row r="131" spans="1:6">
      <c r="A131" s="1">
        <v>45660</v>
      </c>
      <c r="B131">
        <v>56.57</v>
      </c>
      <c r="C131">
        <f t="shared" si="2"/>
        <v>35.585585585585569</v>
      </c>
      <c r="D131">
        <f t="shared" si="3"/>
        <v>38.738738738738732</v>
      </c>
      <c r="E131">
        <v>80</v>
      </c>
      <c r="F131">
        <v>20</v>
      </c>
    </row>
    <row r="132" spans="1:6">
      <c r="A132" s="1">
        <v>45663</v>
      </c>
      <c r="B132">
        <v>56.68</v>
      </c>
      <c r="C132">
        <f t="shared" si="2"/>
        <v>38.028169014084568</v>
      </c>
      <c r="D132">
        <f t="shared" si="3"/>
        <v>39.703083365055193</v>
      </c>
      <c r="E132">
        <v>80</v>
      </c>
      <c r="F132">
        <v>20</v>
      </c>
    </row>
    <row r="133" spans="1:6">
      <c r="A133" s="1">
        <v>45664</v>
      </c>
      <c r="B133">
        <v>57.14</v>
      </c>
      <c r="C133">
        <f t="shared" si="2"/>
        <v>55.670103092783485</v>
      </c>
      <c r="D133">
        <f t="shared" si="3"/>
        <v>43.094619230817869</v>
      </c>
      <c r="E133">
        <v>80</v>
      </c>
      <c r="F133">
        <v>20</v>
      </c>
    </row>
    <row r="134" spans="1:6">
      <c r="A134" s="1">
        <v>45665</v>
      </c>
      <c r="B134">
        <v>56.81</v>
      </c>
      <c r="C134">
        <f t="shared" si="2"/>
        <v>38.659793814433037</v>
      </c>
      <c r="D134">
        <f t="shared" si="3"/>
        <v>44.119355307100363</v>
      </c>
      <c r="E134">
        <v>80</v>
      </c>
      <c r="F134">
        <v>20</v>
      </c>
    </row>
    <row r="135" spans="1:6">
      <c r="A135" s="1">
        <v>45667</v>
      </c>
      <c r="B135">
        <v>55.83</v>
      </c>
      <c r="C135">
        <f t="shared" si="2"/>
        <v>0</v>
      </c>
      <c r="D135">
        <f t="shared" si="3"/>
        <v>31.443298969072174</v>
      </c>
      <c r="E135">
        <v>80</v>
      </c>
      <c r="F135">
        <v>20</v>
      </c>
    </row>
    <row r="136" spans="1:6">
      <c r="A136" s="1">
        <v>45670</v>
      </c>
      <c r="B136">
        <v>55.36</v>
      </c>
      <c r="C136">
        <f t="shared" si="2"/>
        <v>0</v>
      </c>
      <c r="D136">
        <f t="shared" si="3"/>
        <v>12.886597938144346</v>
      </c>
      <c r="E136">
        <v>80</v>
      </c>
      <c r="F136">
        <v>20</v>
      </c>
    </row>
    <row r="137" spans="1:6">
      <c r="A137" s="1">
        <v>45671</v>
      </c>
      <c r="B137">
        <v>55.74</v>
      </c>
      <c r="C137">
        <f t="shared" si="2"/>
        <v>14.393939393939487</v>
      </c>
      <c r="D137">
        <f t="shared" si="3"/>
        <v>4.7979797979798287</v>
      </c>
      <c r="E137">
        <v>80</v>
      </c>
      <c r="F137">
        <v>20</v>
      </c>
    </row>
    <row r="138" spans="1:6">
      <c r="A138" s="1">
        <v>45672</v>
      </c>
      <c r="B138">
        <v>55.91</v>
      </c>
      <c r="C138">
        <f t="shared" si="2"/>
        <v>20.833333333333222</v>
      </c>
      <c r="D138">
        <f t="shared" si="3"/>
        <v>11.742424242424235</v>
      </c>
      <c r="E138">
        <v>80</v>
      </c>
      <c r="F138">
        <v>20</v>
      </c>
    </row>
    <row r="139" spans="1:6">
      <c r="A139" s="1">
        <v>45673</v>
      </c>
      <c r="B139">
        <v>56.38</v>
      </c>
      <c r="C139">
        <f t="shared" si="2"/>
        <v>38.636363636363747</v>
      </c>
      <c r="D139">
        <f t="shared" si="3"/>
        <v>24.621212121212153</v>
      </c>
      <c r="E139">
        <v>80</v>
      </c>
      <c r="F139">
        <v>20</v>
      </c>
    </row>
    <row r="140" spans="1:6">
      <c r="A140" s="1">
        <v>45674</v>
      </c>
      <c r="B140">
        <v>56.29</v>
      </c>
      <c r="C140">
        <f t="shared" si="2"/>
        <v>40.086206896551708</v>
      </c>
      <c r="D140">
        <f t="shared" si="3"/>
        <v>33.185301288749564</v>
      </c>
      <c r="E140">
        <v>80</v>
      </c>
      <c r="F140">
        <v>20</v>
      </c>
    </row>
    <row r="141" spans="1:6">
      <c r="A141" s="1">
        <v>45678</v>
      </c>
      <c r="B141">
        <v>57.04</v>
      </c>
      <c r="C141">
        <f t="shared" si="2"/>
        <v>94.382022471910034</v>
      </c>
      <c r="D141">
        <f t="shared" si="3"/>
        <v>57.701531001608494</v>
      </c>
      <c r="E141">
        <v>80</v>
      </c>
      <c r="F141">
        <v>20</v>
      </c>
    </row>
    <row r="142" spans="1:6">
      <c r="A142" s="1">
        <v>45679</v>
      </c>
      <c r="B142">
        <v>57.09</v>
      </c>
      <c r="C142">
        <f t="shared" si="2"/>
        <v>97.191011235955216</v>
      </c>
      <c r="D142">
        <f t="shared" si="3"/>
        <v>77.219746868138984</v>
      </c>
      <c r="E142">
        <v>80</v>
      </c>
      <c r="F142">
        <v>20</v>
      </c>
    </row>
    <row r="143" spans="1:6">
      <c r="A143" s="1">
        <v>45680</v>
      </c>
      <c r="B143">
        <v>59.14</v>
      </c>
      <c r="C143">
        <f t="shared" si="2"/>
        <v>100</v>
      </c>
      <c r="D143">
        <f t="shared" si="3"/>
        <v>97.191011235955088</v>
      </c>
      <c r="E143">
        <v>80</v>
      </c>
      <c r="F143">
        <v>20</v>
      </c>
    </row>
    <row r="144" spans="1:6">
      <c r="A144" s="1">
        <v>45681</v>
      </c>
      <c r="B144">
        <v>59.67</v>
      </c>
      <c r="C144">
        <f t="shared" ref="C144:C189" si="4">(B144-MIN(B131:B144))/(MAX(B131:B144)-MIN(B131:B144))*100</f>
        <v>100</v>
      </c>
      <c r="D144">
        <f t="shared" si="3"/>
        <v>99.063670411985072</v>
      </c>
      <c r="E144">
        <v>80</v>
      </c>
      <c r="F144">
        <v>20</v>
      </c>
    </row>
    <row r="145" spans="1:6">
      <c r="A145" s="1">
        <v>45684</v>
      </c>
      <c r="B145">
        <v>60.6</v>
      </c>
      <c r="C145">
        <f t="shared" si="4"/>
        <v>100</v>
      </c>
      <c r="D145">
        <f t="shared" si="3"/>
        <v>100</v>
      </c>
      <c r="E145">
        <v>80</v>
      </c>
      <c r="F145">
        <v>20</v>
      </c>
    </row>
    <row r="146" spans="1:6">
      <c r="A146" s="1">
        <v>45685</v>
      </c>
      <c r="B146">
        <v>58.76</v>
      </c>
      <c r="C146">
        <f t="shared" si="4"/>
        <v>64.885496183206058</v>
      </c>
      <c r="D146">
        <f t="shared" ref="D146:D189" si="5">AVERAGE(C144:C146)</f>
        <v>88.295165394402019</v>
      </c>
      <c r="E146">
        <v>80</v>
      </c>
      <c r="F146">
        <v>20</v>
      </c>
    </row>
    <row r="147" spans="1:6">
      <c r="A147" s="1">
        <v>45686</v>
      </c>
      <c r="B147">
        <v>59.05</v>
      </c>
      <c r="C147">
        <f t="shared" si="4"/>
        <v>70.419847328244202</v>
      </c>
      <c r="D147">
        <f t="shared" si="5"/>
        <v>78.435114503816749</v>
      </c>
      <c r="E147">
        <v>80</v>
      </c>
      <c r="F147">
        <v>20</v>
      </c>
    </row>
    <row r="148" spans="1:6">
      <c r="A148" s="1">
        <v>45687</v>
      </c>
      <c r="B148">
        <v>59.14</v>
      </c>
      <c r="C148">
        <f t="shared" si="4"/>
        <v>72.137404580152662</v>
      </c>
      <c r="D148">
        <f t="shared" si="5"/>
        <v>69.147582697200974</v>
      </c>
      <c r="E148">
        <v>80</v>
      </c>
      <c r="F148">
        <v>20</v>
      </c>
    </row>
    <row r="149" spans="1:6">
      <c r="A149" s="1">
        <v>45688</v>
      </c>
      <c r="B149">
        <v>58.95</v>
      </c>
      <c r="C149">
        <f t="shared" si="4"/>
        <v>68.511450381679424</v>
      </c>
      <c r="D149">
        <f t="shared" si="5"/>
        <v>70.356234096692091</v>
      </c>
      <c r="E149">
        <v>80</v>
      </c>
      <c r="F149">
        <v>20</v>
      </c>
    </row>
    <row r="150" spans="1:6">
      <c r="A150" s="1">
        <v>45691</v>
      </c>
      <c r="B150">
        <v>59.95</v>
      </c>
      <c r="C150">
        <f t="shared" si="4"/>
        <v>86.625514403292215</v>
      </c>
      <c r="D150">
        <f t="shared" si="5"/>
        <v>75.758123121708095</v>
      </c>
      <c r="E150">
        <v>80</v>
      </c>
      <c r="F150">
        <v>20</v>
      </c>
    </row>
    <row r="151" spans="1:6">
      <c r="A151" s="1">
        <v>45692</v>
      </c>
      <c r="B151">
        <v>59.12</v>
      </c>
      <c r="C151">
        <f t="shared" si="4"/>
        <v>68.443496801705706</v>
      </c>
      <c r="D151">
        <f t="shared" si="5"/>
        <v>74.526820528892458</v>
      </c>
      <c r="E151">
        <v>80</v>
      </c>
      <c r="F151">
        <v>20</v>
      </c>
    </row>
    <row r="152" spans="1:6">
      <c r="A152" s="1">
        <v>45693</v>
      </c>
      <c r="B152">
        <v>59.71</v>
      </c>
      <c r="C152">
        <f t="shared" si="4"/>
        <v>79.350348027842216</v>
      </c>
      <c r="D152">
        <f t="shared" si="5"/>
        <v>78.139786410946712</v>
      </c>
      <c r="E152">
        <v>80</v>
      </c>
      <c r="F152">
        <v>20</v>
      </c>
    </row>
    <row r="153" spans="1:6">
      <c r="A153" s="1">
        <v>45694</v>
      </c>
      <c r="B153">
        <v>57.42</v>
      </c>
      <c r="C153">
        <f t="shared" si="4"/>
        <v>26.21809744779587</v>
      </c>
      <c r="D153">
        <f t="shared" si="5"/>
        <v>58.003980759114597</v>
      </c>
      <c r="E153">
        <v>80</v>
      </c>
      <c r="F153">
        <v>20</v>
      </c>
    </row>
    <row r="154" spans="1:6">
      <c r="A154" s="1">
        <v>45695</v>
      </c>
      <c r="B154">
        <v>56.85</v>
      </c>
      <c r="C154">
        <f t="shared" si="4"/>
        <v>0</v>
      </c>
      <c r="D154">
        <f t="shared" si="5"/>
        <v>35.189481825212695</v>
      </c>
      <c r="E154">
        <v>80</v>
      </c>
      <c r="F154">
        <v>20</v>
      </c>
    </row>
    <row r="155" spans="1:6">
      <c r="A155" s="1">
        <v>45698</v>
      </c>
      <c r="B155">
        <v>55.53</v>
      </c>
      <c r="C155">
        <f t="shared" si="4"/>
        <v>0</v>
      </c>
      <c r="D155">
        <f t="shared" si="5"/>
        <v>8.739365815931956</v>
      </c>
      <c r="E155">
        <v>80</v>
      </c>
      <c r="F155">
        <v>20</v>
      </c>
    </row>
    <row r="156" spans="1:6">
      <c r="A156" s="1">
        <v>45699</v>
      </c>
      <c r="B156">
        <v>55.94</v>
      </c>
      <c r="C156">
        <f t="shared" si="4"/>
        <v>8.086785009861865</v>
      </c>
      <c r="D156">
        <f t="shared" si="5"/>
        <v>2.6955950032872882</v>
      </c>
      <c r="E156">
        <v>80</v>
      </c>
      <c r="F156">
        <v>20</v>
      </c>
    </row>
    <row r="157" spans="1:6">
      <c r="A157" s="1">
        <v>45700</v>
      </c>
      <c r="B157">
        <v>56.15</v>
      </c>
      <c r="C157">
        <f t="shared" si="4"/>
        <v>12.228796844181408</v>
      </c>
      <c r="D157">
        <f t="shared" si="5"/>
        <v>6.7718606180144247</v>
      </c>
      <c r="E157">
        <v>80</v>
      </c>
      <c r="F157">
        <v>20</v>
      </c>
    </row>
    <row r="158" spans="1:6">
      <c r="A158" s="1">
        <v>45701</v>
      </c>
      <c r="B158">
        <v>55.97</v>
      </c>
      <c r="C158">
        <f t="shared" si="4"/>
        <v>8.6785009861932476</v>
      </c>
      <c r="D158">
        <f t="shared" si="5"/>
        <v>9.6646942800788409</v>
      </c>
      <c r="E158">
        <v>80</v>
      </c>
      <c r="F158">
        <v>20</v>
      </c>
    </row>
    <row r="159" spans="1:6">
      <c r="A159" s="1">
        <v>45702</v>
      </c>
      <c r="B159">
        <v>53.9</v>
      </c>
      <c r="C159">
        <f t="shared" si="4"/>
        <v>0</v>
      </c>
      <c r="D159">
        <f t="shared" si="5"/>
        <v>6.9690992767915523</v>
      </c>
      <c r="E159">
        <v>80</v>
      </c>
      <c r="F159">
        <v>20</v>
      </c>
    </row>
    <row r="160" spans="1:6">
      <c r="A160" s="1">
        <v>45706</v>
      </c>
      <c r="B160">
        <v>54.43</v>
      </c>
      <c r="C160">
        <f t="shared" si="4"/>
        <v>8.7603305785124093</v>
      </c>
      <c r="D160">
        <f t="shared" si="5"/>
        <v>5.8129438549018859</v>
      </c>
      <c r="E160">
        <v>80</v>
      </c>
      <c r="F160">
        <v>20</v>
      </c>
    </row>
    <row r="161" spans="1:6">
      <c r="A161" s="1">
        <v>45707</v>
      </c>
      <c r="B161">
        <v>54.98</v>
      </c>
      <c r="C161">
        <f t="shared" si="4"/>
        <v>17.851239669421449</v>
      </c>
      <c r="D161">
        <f t="shared" si="5"/>
        <v>8.8705234159779529</v>
      </c>
      <c r="E161">
        <v>80</v>
      </c>
      <c r="F161">
        <v>20</v>
      </c>
    </row>
    <row r="162" spans="1:6">
      <c r="A162" s="1">
        <v>45708</v>
      </c>
      <c r="B162">
        <v>55.79</v>
      </c>
      <c r="C162">
        <f t="shared" si="4"/>
        <v>31.239669421487591</v>
      </c>
      <c r="D162">
        <f t="shared" si="5"/>
        <v>19.283746556473815</v>
      </c>
      <c r="E162">
        <v>80</v>
      </c>
      <c r="F162">
        <v>20</v>
      </c>
    </row>
    <row r="163" spans="1:6">
      <c r="A163" s="1">
        <v>45709</v>
      </c>
      <c r="B163">
        <v>55.83</v>
      </c>
      <c r="C163">
        <f t="shared" si="4"/>
        <v>31.900826446280966</v>
      </c>
      <c r="D163">
        <f t="shared" si="5"/>
        <v>26.997245179063338</v>
      </c>
      <c r="E163">
        <v>80</v>
      </c>
      <c r="F163">
        <v>20</v>
      </c>
    </row>
    <row r="164" spans="1:6">
      <c r="A164" s="1">
        <v>45712</v>
      </c>
      <c r="B164">
        <v>57.88</v>
      </c>
      <c r="C164">
        <f t="shared" si="4"/>
        <v>68.502581755593852</v>
      </c>
      <c r="D164">
        <f t="shared" si="5"/>
        <v>43.881025874454139</v>
      </c>
      <c r="E164">
        <v>80</v>
      </c>
      <c r="F164">
        <v>20</v>
      </c>
    </row>
    <row r="165" spans="1:6">
      <c r="A165" s="1">
        <v>45713</v>
      </c>
      <c r="B165">
        <v>58.21</v>
      </c>
      <c r="C165">
        <f t="shared" si="4"/>
        <v>74.182444061962144</v>
      </c>
      <c r="D165">
        <f t="shared" si="5"/>
        <v>58.195284087945652</v>
      </c>
      <c r="E165">
        <v>80</v>
      </c>
      <c r="F165">
        <v>20</v>
      </c>
    </row>
    <row r="166" spans="1:6">
      <c r="A166" s="1">
        <v>45714</v>
      </c>
      <c r="B166">
        <v>57.38</v>
      </c>
      <c r="C166">
        <f t="shared" si="4"/>
        <v>80.742459396751784</v>
      </c>
      <c r="D166">
        <f t="shared" si="5"/>
        <v>74.475828404769246</v>
      </c>
      <c r="E166">
        <v>80</v>
      </c>
      <c r="F166">
        <v>20</v>
      </c>
    </row>
    <row r="167" spans="1:6">
      <c r="A167" s="1">
        <v>45715</v>
      </c>
      <c r="B167">
        <v>58.8</v>
      </c>
      <c r="C167">
        <f t="shared" si="4"/>
        <v>100</v>
      </c>
      <c r="D167">
        <f t="shared" si="5"/>
        <v>84.974967819571305</v>
      </c>
      <c r="E167">
        <v>80</v>
      </c>
      <c r="F167">
        <v>20</v>
      </c>
    </row>
    <row r="168" spans="1:6">
      <c r="A168" s="1">
        <v>45716</v>
      </c>
      <c r="B168">
        <v>59.62</v>
      </c>
      <c r="C168">
        <f t="shared" si="4"/>
        <v>100</v>
      </c>
      <c r="D168">
        <f t="shared" si="5"/>
        <v>93.580819798917261</v>
      </c>
      <c r="E168">
        <v>80</v>
      </c>
      <c r="F168">
        <v>20</v>
      </c>
    </row>
    <row r="169" spans="1:6">
      <c r="A169" s="1">
        <v>45719</v>
      </c>
      <c r="B169">
        <v>59.87</v>
      </c>
      <c r="C169">
        <f t="shared" si="4"/>
        <v>100</v>
      </c>
      <c r="D169">
        <f t="shared" si="5"/>
        <v>100</v>
      </c>
      <c r="E169">
        <v>80</v>
      </c>
      <c r="F169">
        <v>20</v>
      </c>
    </row>
    <row r="170" spans="1:6">
      <c r="A170" s="1">
        <v>45720</v>
      </c>
      <c r="B170">
        <v>59.44</v>
      </c>
      <c r="C170">
        <f t="shared" si="4"/>
        <v>92.79731993299832</v>
      </c>
      <c r="D170">
        <f t="shared" si="5"/>
        <v>97.599106644332778</v>
      </c>
      <c r="E170">
        <v>80</v>
      </c>
      <c r="F170">
        <v>20</v>
      </c>
    </row>
    <row r="171" spans="1:6">
      <c r="A171" s="1">
        <v>45721</v>
      </c>
      <c r="B171">
        <v>59.82</v>
      </c>
      <c r="C171">
        <f t="shared" si="4"/>
        <v>99.162479061976597</v>
      </c>
      <c r="D171">
        <f t="shared" si="5"/>
        <v>97.319932998324973</v>
      </c>
      <c r="E171">
        <v>80</v>
      </c>
      <c r="F171">
        <v>20</v>
      </c>
    </row>
    <row r="172" spans="1:6">
      <c r="A172" s="1">
        <v>45722</v>
      </c>
      <c r="B172">
        <v>60.18</v>
      </c>
      <c r="C172">
        <f t="shared" si="4"/>
        <v>100</v>
      </c>
      <c r="D172">
        <f t="shared" si="5"/>
        <v>97.319932998324973</v>
      </c>
      <c r="E172">
        <v>80</v>
      </c>
      <c r="F172">
        <v>20</v>
      </c>
    </row>
    <row r="173" spans="1:6">
      <c r="A173" s="1">
        <v>45723</v>
      </c>
      <c r="B173">
        <v>61.09</v>
      </c>
      <c r="C173">
        <f t="shared" si="4"/>
        <v>100</v>
      </c>
      <c r="D173">
        <f t="shared" si="5"/>
        <v>99.720826353992194</v>
      </c>
      <c r="E173">
        <v>80</v>
      </c>
      <c r="F173">
        <v>20</v>
      </c>
    </row>
    <row r="174" spans="1:6">
      <c r="A174" s="1">
        <v>45726</v>
      </c>
      <c r="B174">
        <v>63.11</v>
      </c>
      <c r="C174">
        <f t="shared" si="4"/>
        <v>100</v>
      </c>
      <c r="D174">
        <f t="shared" si="5"/>
        <v>100</v>
      </c>
      <c r="E174">
        <v>80</v>
      </c>
      <c r="F174">
        <v>20</v>
      </c>
    </row>
    <row r="175" spans="1:6">
      <c r="A175" s="1">
        <v>45727</v>
      </c>
      <c r="B175">
        <v>61.51</v>
      </c>
      <c r="C175">
        <f t="shared" si="4"/>
        <v>78.142076502732223</v>
      </c>
      <c r="D175">
        <f t="shared" si="5"/>
        <v>92.714025500910736</v>
      </c>
      <c r="E175">
        <v>80</v>
      </c>
      <c r="F175">
        <v>20</v>
      </c>
    </row>
    <row r="176" spans="1:6">
      <c r="A176" s="1">
        <v>45728</v>
      </c>
      <c r="B176">
        <v>59.81</v>
      </c>
      <c r="C176">
        <f t="shared" si="4"/>
        <v>54.670329670329721</v>
      </c>
      <c r="D176">
        <f t="shared" si="5"/>
        <v>77.604135391020648</v>
      </c>
      <c r="E176">
        <v>80</v>
      </c>
      <c r="F176">
        <v>20</v>
      </c>
    </row>
    <row r="177" spans="1:6">
      <c r="A177" s="1">
        <v>45729</v>
      </c>
      <c r="B177">
        <v>60.28</v>
      </c>
      <c r="C177">
        <f t="shared" si="4"/>
        <v>50.610820244328103</v>
      </c>
      <c r="D177">
        <f t="shared" si="5"/>
        <v>61.141075472463349</v>
      </c>
      <c r="E177">
        <v>80</v>
      </c>
      <c r="F177">
        <v>20</v>
      </c>
    </row>
    <row r="178" spans="1:6">
      <c r="A178" s="1">
        <v>45730</v>
      </c>
      <c r="B178">
        <v>59.01</v>
      </c>
      <c r="C178">
        <f t="shared" si="4"/>
        <v>28.446771378708487</v>
      </c>
      <c r="D178">
        <f t="shared" si="5"/>
        <v>44.575973764455433</v>
      </c>
      <c r="E178">
        <v>80</v>
      </c>
      <c r="F178">
        <v>20</v>
      </c>
    </row>
    <row r="179" spans="1:6">
      <c r="A179" s="1">
        <v>45733</v>
      </c>
      <c r="B179">
        <v>59.99</v>
      </c>
      <c r="C179">
        <f t="shared" si="4"/>
        <v>45.549738219895303</v>
      </c>
      <c r="D179">
        <f t="shared" si="5"/>
        <v>41.535776614310628</v>
      </c>
      <c r="E179">
        <v>80</v>
      </c>
      <c r="F179">
        <v>20</v>
      </c>
    </row>
    <row r="180" spans="1:6">
      <c r="A180" s="1">
        <v>45734</v>
      </c>
      <c r="B180">
        <v>59.9</v>
      </c>
      <c r="C180">
        <f t="shared" si="4"/>
        <v>25.522041763341086</v>
      </c>
      <c r="D180">
        <f t="shared" si="5"/>
        <v>33.172850453981624</v>
      </c>
      <c r="E180">
        <v>80</v>
      </c>
      <c r="F180">
        <v>20</v>
      </c>
    </row>
    <row r="181" spans="1:6">
      <c r="A181" s="1">
        <v>45735</v>
      </c>
      <c r="B181">
        <v>60.08</v>
      </c>
      <c r="C181">
        <f t="shared" si="4"/>
        <v>26.097560975609753</v>
      </c>
      <c r="D181">
        <f t="shared" si="5"/>
        <v>32.389780319615376</v>
      </c>
      <c r="E181">
        <v>80</v>
      </c>
      <c r="F181">
        <v>20</v>
      </c>
    </row>
    <row r="182" spans="1:6">
      <c r="A182" s="1">
        <v>45736</v>
      </c>
      <c r="B182">
        <v>60.42</v>
      </c>
      <c r="C182">
        <f t="shared" si="4"/>
        <v>34.390243902439103</v>
      </c>
      <c r="D182">
        <f t="shared" si="5"/>
        <v>28.669948880463313</v>
      </c>
      <c r="E182">
        <v>80</v>
      </c>
      <c r="F182">
        <v>20</v>
      </c>
    </row>
    <row r="183" spans="1:6">
      <c r="A183" s="1">
        <v>45737</v>
      </c>
      <c r="B183">
        <v>60.99</v>
      </c>
      <c r="C183">
        <f t="shared" si="4"/>
        <v>48.29268292682935</v>
      </c>
      <c r="D183">
        <f t="shared" si="5"/>
        <v>36.260162601626071</v>
      </c>
      <c r="E183">
        <v>80</v>
      </c>
      <c r="F183">
        <v>20</v>
      </c>
    </row>
    <row r="184" spans="1:6">
      <c r="A184" s="1">
        <v>45740</v>
      </c>
      <c r="B184">
        <v>61.05</v>
      </c>
      <c r="C184">
        <f t="shared" si="4"/>
        <v>49.756097560975569</v>
      </c>
      <c r="D184">
        <f t="shared" si="5"/>
        <v>44.146341463414672</v>
      </c>
      <c r="E184">
        <v>80</v>
      </c>
      <c r="F184">
        <v>20</v>
      </c>
    </row>
    <row r="185" spans="1:6">
      <c r="A185" s="1">
        <v>45741</v>
      </c>
      <c r="B185">
        <v>59.19</v>
      </c>
      <c r="C185">
        <f t="shared" si="4"/>
        <v>4.3902439024390159</v>
      </c>
      <c r="D185">
        <f t="shared" si="5"/>
        <v>34.146341463414643</v>
      </c>
      <c r="E185">
        <v>80</v>
      </c>
      <c r="F185">
        <v>20</v>
      </c>
    </row>
    <row r="186" spans="1:6">
      <c r="A186" s="1">
        <v>45742</v>
      </c>
      <c r="B186">
        <v>59.21</v>
      </c>
      <c r="C186">
        <f t="shared" si="4"/>
        <v>4.8780487804878723</v>
      </c>
      <c r="D186">
        <f t="shared" si="5"/>
        <v>19.674796747967488</v>
      </c>
      <c r="E186">
        <v>80</v>
      </c>
      <c r="F186">
        <v>20</v>
      </c>
    </row>
    <row r="187" spans="1:6">
      <c r="A187" s="1">
        <v>45743</v>
      </c>
      <c r="B187">
        <v>58.9</v>
      </c>
      <c r="C187">
        <f t="shared" si="4"/>
        <v>0</v>
      </c>
      <c r="D187">
        <f t="shared" si="5"/>
        <v>3.0894308943089626</v>
      </c>
      <c r="E187">
        <v>80</v>
      </c>
      <c r="F187">
        <v>20</v>
      </c>
    </row>
    <row r="188" spans="1:6">
      <c r="A188" s="1">
        <v>45744</v>
      </c>
      <c r="B188">
        <v>60.02</v>
      </c>
      <c r="C188">
        <f t="shared" si="4"/>
        <v>42.9118773946362</v>
      </c>
      <c r="D188">
        <f t="shared" si="5"/>
        <v>15.929975391708025</v>
      </c>
      <c r="E188">
        <v>80</v>
      </c>
      <c r="F188">
        <v>20</v>
      </c>
    </row>
    <row r="189" spans="1:6">
      <c r="A189" s="1">
        <v>45747</v>
      </c>
      <c r="B189">
        <v>60.99</v>
      </c>
      <c r="C189">
        <f t="shared" si="4"/>
        <v>97.209302325581618</v>
      </c>
      <c r="D189">
        <f t="shared" si="5"/>
        <v>46.707059906739268</v>
      </c>
      <c r="E189">
        <v>80</v>
      </c>
      <c r="F189">
        <v>20</v>
      </c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17FB3-7E7A-4819-8709-1E461F4064A4}">
  <dimension ref="A1:E15"/>
  <sheetViews>
    <sheetView zoomScale="210" zoomScaleNormal="210" workbookViewId="0">
      <selection activeCell="E7" sqref="E7"/>
    </sheetView>
  </sheetViews>
  <sheetFormatPr defaultRowHeight="14.25"/>
  <cols>
    <col min="1" max="1" width="13.42578125" bestFit="1" customWidth="1"/>
  </cols>
  <sheetData>
    <row r="1" spans="1:5">
      <c r="A1" t="s">
        <v>54</v>
      </c>
    </row>
    <row r="4" spans="1:5">
      <c r="A4" t="s">
        <v>55</v>
      </c>
      <c r="B4">
        <v>60.99</v>
      </c>
      <c r="D4" t="s">
        <v>56</v>
      </c>
      <c r="E4">
        <f>(LN(B4/B5)+(B6+0.5*B7^2)*B8)/(B7*SQRT(B8))</f>
        <v>0.4861622100162456</v>
      </c>
    </row>
    <row r="5" spans="1:5">
      <c r="A5" t="s">
        <v>57</v>
      </c>
      <c r="B5">
        <v>58</v>
      </c>
      <c r="D5" t="s">
        <v>58</v>
      </c>
      <c r="E5">
        <f>(LN(B4/B5)+(B6-0.5*B7^2)*B8)/(B7*SQRT(B8))</f>
        <v>0.34028822107175444</v>
      </c>
    </row>
    <row r="6" spans="1:5">
      <c r="A6" t="s">
        <v>59</v>
      </c>
      <c r="B6">
        <f>'Q 1&amp;2'!F192</f>
        <v>4.2049999999999997E-2</v>
      </c>
    </row>
    <row r="7" spans="1:5">
      <c r="A7" t="s">
        <v>60</v>
      </c>
      <c r="B7" s="4">
        <f>'Q 1&amp;2'!K195</f>
        <v>0.2989527165496671</v>
      </c>
    </row>
    <row r="8" spans="1:5">
      <c r="A8" t="s">
        <v>61</v>
      </c>
      <c r="B8">
        <f>60/252</f>
        <v>0.23809523809523808</v>
      </c>
    </row>
    <row r="10" spans="1:5">
      <c r="A10" t="s">
        <v>62</v>
      </c>
      <c r="B10">
        <v>1</v>
      </c>
    </row>
    <row r="12" spans="1:5">
      <c r="A12" t="s">
        <v>63</v>
      </c>
      <c r="B12">
        <f>B4*_xlfn.NORM.S.DIST(E4,TRUE)-B5*EXP(-B6*B8)*_xlfn.NORM.S.DIST(E5,TRUE)</f>
        <v>5.5155356966505309</v>
      </c>
    </row>
    <row r="15" spans="1:5">
      <c r="B15">
        <v>60.99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0ADB3-2F7F-4EB7-BA8B-F68ACE47198F}">
  <dimension ref="A1:BO104"/>
  <sheetViews>
    <sheetView tabSelected="1" zoomScale="53" zoomScaleNormal="53" workbookViewId="0">
      <selection activeCell="J8" sqref="J8"/>
    </sheetView>
  </sheetViews>
  <sheetFormatPr defaultRowHeight="14.25"/>
  <cols>
    <col min="1" max="1" width="10.7109375" bestFit="1" customWidth="1"/>
    <col min="68" max="68" width="16.42578125" bestFit="1" customWidth="1"/>
  </cols>
  <sheetData>
    <row r="1" spans="1:67">
      <c r="A1" t="s">
        <v>64</v>
      </c>
      <c r="B1">
        <f>'Q 1&amp;2'!C190</f>
        <v>60.99</v>
      </c>
      <c r="E1" t="s">
        <v>65</v>
      </c>
      <c r="F1">
        <v>0</v>
      </c>
      <c r="G1">
        <f>F1+$B$4</f>
        <v>3.968253968253968E-3</v>
      </c>
      <c r="H1">
        <f t="shared" ref="H1:BN1" si="0">G1+$B$4</f>
        <v>7.9365079365079361E-3</v>
      </c>
      <c r="I1">
        <f t="shared" si="0"/>
        <v>1.1904761904761904E-2</v>
      </c>
      <c r="J1">
        <f t="shared" si="0"/>
        <v>1.5873015873015872E-2</v>
      </c>
      <c r="K1">
        <f t="shared" si="0"/>
        <v>1.984126984126984E-2</v>
      </c>
      <c r="L1">
        <f t="shared" si="0"/>
        <v>2.3809523809523808E-2</v>
      </c>
      <c r="M1">
        <f t="shared" si="0"/>
        <v>2.7777777777777776E-2</v>
      </c>
      <c r="N1">
        <f t="shared" si="0"/>
        <v>3.1746031746031744E-2</v>
      </c>
      <c r="O1">
        <f t="shared" si="0"/>
        <v>3.5714285714285712E-2</v>
      </c>
      <c r="P1">
        <f t="shared" si="0"/>
        <v>3.968253968253968E-2</v>
      </c>
      <c r="Q1">
        <f t="shared" si="0"/>
        <v>4.3650793650793648E-2</v>
      </c>
      <c r="R1">
        <f t="shared" si="0"/>
        <v>4.7619047619047616E-2</v>
      </c>
      <c r="S1">
        <f t="shared" si="0"/>
        <v>5.1587301587301584E-2</v>
      </c>
      <c r="T1">
        <f t="shared" si="0"/>
        <v>5.5555555555555552E-2</v>
      </c>
      <c r="U1">
        <f t="shared" si="0"/>
        <v>5.9523809523809521E-2</v>
      </c>
      <c r="V1">
        <f t="shared" si="0"/>
        <v>6.3492063492063489E-2</v>
      </c>
      <c r="W1">
        <f t="shared" si="0"/>
        <v>6.7460317460317457E-2</v>
      </c>
      <c r="X1">
        <f t="shared" si="0"/>
        <v>7.1428571428571425E-2</v>
      </c>
      <c r="Y1">
        <f t="shared" si="0"/>
        <v>7.5396825396825393E-2</v>
      </c>
      <c r="Z1">
        <f t="shared" si="0"/>
        <v>7.9365079365079361E-2</v>
      </c>
      <c r="AA1">
        <f t="shared" si="0"/>
        <v>8.3333333333333329E-2</v>
      </c>
      <c r="AB1">
        <f t="shared" si="0"/>
        <v>8.7301587301587297E-2</v>
      </c>
      <c r="AC1">
        <f t="shared" si="0"/>
        <v>9.1269841269841265E-2</v>
      </c>
      <c r="AD1">
        <f t="shared" si="0"/>
        <v>9.5238095238095233E-2</v>
      </c>
      <c r="AE1">
        <f t="shared" si="0"/>
        <v>9.9206349206349201E-2</v>
      </c>
      <c r="AF1">
        <f t="shared" si="0"/>
        <v>0.10317460317460317</v>
      </c>
      <c r="AG1">
        <f t="shared" si="0"/>
        <v>0.10714285714285714</v>
      </c>
      <c r="AH1">
        <f t="shared" si="0"/>
        <v>0.1111111111111111</v>
      </c>
      <c r="AI1">
        <f t="shared" si="0"/>
        <v>0.11507936507936507</v>
      </c>
      <c r="AJ1">
        <f t="shared" si="0"/>
        <v>0.11904761904761904</v>
      </c>
      <c r="AK1">
        <f t="shared" si="0"/>
        <v>0.12301587301587301</v>
      </c>
      <c r="AL1">
        <f t="shared" si="0"/>
        <v>0.12698412698412698</v>
      </c>
      <c r="AM1">
        <f t="shared" si="0"/>
        <v>0.13095238095238093</v>
      </c>
      <c r="AN1">
        <f t="shared" si="0"/>
        <v>0.13492063492063489</v>
      </c>
      <c r="AO1">
        <f t="shared" si="0"/>
        <v>0.13888888888888884</v>
      </c>
      <c r="AP1">
        <f t="shared" si="0"/>
        <v>0.14285714285714279</v>
      </c>
      <c r="AQ1">
        <f t="shared" si="0"/>
        <v>0.14682539682539675</v>
      </c>
      <c r="AR1">
        <f t="shared" si="0"/>
        <v>0.1507936507936507</v>
      </c>
      <c r="AS1">
        <f t="shared" si="0"/>
        <v>0.15476190476190466</v>
      </c>
      <c r="AT1">
        <f t="shared" si="0"/>
        <v>0.15873015873015861</v>
      </c>
      <c r="AU1">
        <f t="shared" si="0"/>
        <v>0.16269841269841256</v>
      </c>
      <c r="AV1">
        <f t="shared" si="0"/>
        <v>0.16666666666666652</v>
      </c>
      <c r="AW1">
        <f t="shared" si="0"/>
        <v>0.17063492063492047</v>
      </c>
      <c r="AX1">
        <f t="shared" si="0"/>
        <v>0.17460317460317443</v>
      </c>
      <c r="AY1">
        <f t="shared" si="0"/>
        <v>0.17857142857142838</v>
      </c>
      <c r="AZ1">
        <f t="shared" si="0"/>
        <v>0.18253968253968234</v>
      </c>
      <c r="BA1">
        <f t="shared" si="0"/>
        <v>0.18650793650793629</v>
      </c>
      <c r="BB1">
        <f t="shared" si="0"/>
        <v>0.19047619047619024</v>
      </c>
      <c r="BC1">
        <f t="shared" si="0"/>
        <v>0.1944444444444442</v>
      </c>
      <c r="BD1">
        <f t="shared" si="0"/>
        <v>0.19841269841269815</v>
      </c>
      <c r="BE1">
        <f t="shared" si="0"/>
        <v>0.20238095238095211</v>
      </c>
      <c r="BF1">
        <f t="shared" si="0"/>
        <v>0.20634920634920606</v>
      </c>
      <c r="BG1">
        <f t="shared" si="0"/>
        <v>0.21031746031746001</v>
      </c>
      <c r="BH1">
        <f t="shared" si="0"/>
        <v>0.21428571428571397</v>
      </c>
      <c r="BI1">
        <f t="shared" si="0"/>
        <v>0.21825396825396792</v>
      </c>
      <c r="BJ1">
        <f t="shared" si="0"/>
        <v>0.22222222222222188</v>
      </c>
      <c r="BK1">
        <f t="shared" si="0"/>
        <v>0.22619047619047583</v>
      </c>
      <c r="BL1">
        <f t="shared" si="0"/>
        <v>0.23015873015872979</v>
      </c>
      <c r="BM1">
        <f>BL1+$B$4</f>
        <v>0.23412698412698374</v>
      </c>
      <c r="BN1">
        <f t="shared" si="0"/>
        <v>0.23809523809523769</v>
      </c>
      <c r="BO1" t="s">
        <v>66</v>
      </c>
    </row>
    <row r="2" spans="1:67">
      <c r="A2" t="s">
        <v>67</v>
      </c>
      <c r="B2" s="10">
        <f>'Q 1&amp;2'!F195</f>
        <v>0.52535587656698879</v>
      </c>
      <c r="E2" t="s">
        <v>3</v>
      </c>
      <c r="F2">
        <f>$B$1</f>
        <v>60.99</v>
      </c>
      <c r="G2">
        <f ca="1">F2*EXP(($B$2-0.5*$B$3^2)*$B$4+$B$3*_xlfn.NORM.INV(RAND(),0,SQRT($B$4)))</f>
        <v>62.879254279563682</v>
      </c>
      <c r="H2">
        <f t="shared" ref="H2:BN2" ca="1" si="1">G2*EXP(($B$2-0.5*$B$3^2)*$B$4+$B$3*_xlfn.NORM.INV(RAND(),0,SQRT($B$4)))</f>
        <v>64.803264046252053</v>
      </c>
      <c r="I2">
        <f t="shared" ca="1" si="1"/>
        <v>64.580717860862521</v>
      </c>
      <c r="J2">
        <f t="shared" ca="1" si="1"/>
        <v>63.096487850942182</v>
      </c>
      <c r="K2">
        <f t="shared" ca="1" si="1"/>
        <v>63.925510078272424</v>
      </c>
      <c r="L2">
        <f t="shared" ca="1" si="1"/>
        <v>63.44082477601814</v>
      </c>
      <c r="M2">
        <f t="shared" ca="1" si="1"/>
        <v>62.886504592241778</v>
      </c>
      <c r="N2">
        <f t="shared" ca="1" si="1"/>
        <v>65.549647081949885</v>
      </c>
      <c r="O2">
        <f t="shared" ca="1" si="1"/>
        <v>67.06009353818817</v>
      </c>
      <c r="P2">
        <f t="shared" ca="1" si="1"/>
        <v>66.814751618172764</v>
      </c>
      <c r="Q2">
        <f t="shared" ca="1" si="1"/>
        <v>66.026241741981636</v>
      </c>
      <c r="R2">
        <f t="shared" ca="1" si="1"/>
        <v>66.7829553447975</v>
      </c>
      <c r="S2">
        <f t="shared" ca="1" si="1"/>
        <v>65.564618665073866</v>
      </c>
      <c r="T2">
        <f t="shared" ca="1" si="1"/>
        <v>67.478305088169748</v>
      </c>
      <c r="U2">
        <f t="shared" ca="1" si="1"/>
        <v>66.74049822582873</v>
      </c>
      <c r="V2">
        <f t="shared" ca="1" si="1"/>
        <v>66.448079291196407</v>
      </c>
      <c r="W2">
        <f t="shared" ca="1" si="1"/>
        <v>66.231564812571733</v>
      </c>
      <c r="X2">
        <f t="shared" ca="1" si="1"/>
        <v>65.9668979694884</v>
      </c>
      <c r="Y2">
        <f t="shared" ca="1" si="1"/>
        <v>64.903699141233588</v>
      </c>
      <c r="Z2">
        <f t="shared" ca="1" si="1"/>
        <v>63.490790897630298</v>
      </c>
      <c r="AA2">
        <f t="shared" ca="1" si="1"/>
        <v>62.240037518076747</v>
      </c>
      <c r="AB2">
        <f t="shared" ca="1" si="1"/>
        <v>62.462489050916012</v>
      </c>
      <c r="AC2">
        <f t="shared" ca="1" si="1"/>
        <v>61.24850904820422</v>
      </c>
      <c r="AD2">
        <f t="shared" ca="1" si="1"/>
        <v>61.988803041305367</v>
      </c>
      <c r="AE2">
        <f t="shared" ca="1" si="1"/>
        <v>61.698652165388403</v>
      </c>
      <c r="AF2">
        <f t="shared" ca="1" si="1"/>
        <v>60.774038412050665</v>
      </c>
      <c r="AG2">
        <f t="shared" ca="1" si="1"/>
        <v>62.68253109396322</v>
      </c>
      <c r="AH2">
        <f t="shared" ca="1" si="1"/>
        <v>63.127500031247116</v>
      </c>
      <c r="AI2">
        <f t="shared" ca="1" si="1"/>
        <v>62.725886124168674</v>
      </c>
      <c r="AJ2">
        <f t="shared" ca="1" si="1"/>
        <v>64.23483312794859</v>
      </c>
      <c r="AK2">
        <f t="shared" ca="1" si="1"/>
        <v>63.759702030657124</v>
      </c>
      <c r="AL2">
        <f t="shared" ca="1" si="1"/>
        <v>64.63000908735647</v>
      </c>
      <c r="AM2">
        <f t="shared" ca="1" si="1"/>
        <v>64.420053049704563</v>
      </c>
      <c r="AN2">
        <f t="shared" ca="1" si="1"/>
        <v>65.070619591353577</v>
      </c>
      <c r="AO2">
        <f t="shared" ca="1" si="1"/>
        <v>64.6537412223459</v>
      </c>
      <c r="AP2">
        <f t="shared" ca="1" si="1"/>
        <v>64.111329059018104</v>
      </c>
      <c r="AQ2">
        <f t="shared" ca="1" si="1"/>
        <v>65.090150312028229</v>
      </c>
      <c r="AR2">
        <f t="shared" ca="1" si="1"/>
        <v>65.262109258345689</v>
      </c>
      <c r="AS2">
        <f t="shared" ca="1" si="1"/>
        <v>64.419542668291058</v>
      </c>
      <c r="AT2">
        <f t="shared" ca="1" si="1"/>
        <v>64.553525016901659</v>
      </c>
      <c r="AU2">
        <f t="shared" ca="1" si="1"/>
        <v>64.070942734477597</v>
      </c>
      <c r="AV2">
        <f t="shared" ca="1" si="1"/>
        <v>62.634691033279779</v>
      </c>
      <c r="AW2">
        <f t="shared" ca="1" si="1"/>
        <v>61.721446912744213</v>
      </c>
      <c r="AX2">
        <f t="shared" ca="1" si="1"/>
        <v>62.631632925150306</v>
      </c>
      <c r="AY2">
        <f t="shared" ca="1" si="1"/>
        <v>64.723338633174805</v>
      </c>
      <c r="AZ2">
        <f t="shared" ca="1" si="1"/>
        <v>63.303551040523026</v>
      </c>
      <c r="BA2">
        <f t="shared" ca="1" si="1"/>
        <v>61.597901726041528</v>
      </c>
      <c r="BB2">
        <f t="shared" ca="1" si="1"/>
        <v>60.323720660586559</v>
      </c>
      <c r="BC2">
        <f t="shared" ca="1" si="1"/>
        <v>62.416461293896525</v>
      </c>
      <c r="BD2">
        <f t="shared" ca="1" si="1"/>
        <v>62.495635091244367</v>
      </c>
      <c r="BE2">
        <f t="shared" ca="1" si="1"/>
        <v>61.540631295945253</v>
      </c>
      <c r="BF2">
        <f t="shared" ca="1" si="1"/>
        <v>61.553154283365195</v>
      </c>
      <c r="BG2">
        <f t="shared" ca="1" si="1"/>
        <v>63.080289324445026</v>
      </c>
      <c r="BH2">
        <f t="shared" ca="1" si="1"/>
        <v>62.906110489453759</v>
      </c>
      <c r="BI2">
        <f t="shared" ca="1" si="1"/>
        <v>63.705335092494735</v>
      </c>
      <c r="BJ2">
        <f t="shared" ca="1" si="1"/>
        <v>63.654297508199093</v>
      </c>
      <c r="BK2">
        <f t="shared" ca="1" si="1"/>
        <v>65.271945343982736</v>
      </c>
      <c r="BL2">
        <f t="shared" ca="1" si="1"/>
        <v>65.004764003165789</v>
      </c>
      <c r="BM2">
        <f t="shared" ca="1" si="1"/>
        <v>64.243525341787873</v>
      </c>
      <c r="BN2">
        <f t="shared" ca="1" si="1"/>
        <v>64.404440648453132</v>
      </c>
      <c r="BO2">
        <f ca="1">MAX(BN2-$BN$104,0)</f>
        <v>6.4044406484531322</v>
      </c>
    </row>
    <row r="3" spans="1:67">
      <c r="A3" t="s">
        <v>68</v>
      </c>
      <c r="B3" s="10">
        <f>'Q 1&amp;2'!K195</f>
        <v>0.2989527165496671</v>
      </c>
      <c r="F3">
        <f t="shared" ref="F3:F66" si="2">$B$1</f>
        <v>60.99</v>
      </c>
      <c r="G3">
        <f ca="1">F3*EXP(($B$2-0.5*$B$3^2)*$B$4+$B$3*_xlfn.NORM.INV(RAND(),0,SQRT($B$4)))</f>
        <v>62.273755183649719</v>
      </c>
      <c r="H3">
        <f t="shared" ref="G3:BN3" ca="1" si="3">G3*EXP(($B$2-0.5*$B$3^2)*$B$4+$B$3*_xlfn.NORM.INV(RAND(),0,SQRT($B$4)))</f>
        <v>62.959369495325554</v>
      </c>
      <c r="I3">
        <f t="shared" ca="1" si="3"/>
        <v>62.10925643191743</v>
      </c>
      <c r="J3">
        <f t="shared" ca="1" si="3"/>
        <v>62.123527868183324</v>
      </c>
      <c r="K3">
        <f t="shared" ca="1" si="3"/>
        <v>60.464096349458316</v>
      </c>
      <c r="L3">
        <f t="shared" ca="1" si="3"/>
        <v>61.922834534979579</v>
      </c>
      <c r="M3">
        <f t="shared" ca="1" si="3"/>
        <v>63.469916551967643</v>
      </c>
      <c r="N3">
        <f t="shared" ca="1" si="3"/>
        <v>63.704354276728495</v>
      </c>
      <c r="O3">
        <f t="shared" ca="1" si="3"/>
        <v>60.944060136522374</v>
      </c>
      <c r="P3">
        <f t="shared" ca="1" si="3"/>
        <v>61.885326083717075</v>
      </c>
      <c r="Q3">
        <f t="shared" ca="1" si="3"/>
        <v>61.996693175707776</v>
      </c>
      <c r="R3">
        <f t="shared" ca="1" si="3"/>
        <v>62.501103861971082</v>
      </c>
      <c r="S3">
        <f t="shared" ca="1" si="3"/>
        <v>62.388910903133421</v>
      </c>
      <c r="T3">
        <f t="shared" ca="1" si="3"/>
        <v>62.521532153789025</v>
      </c>
      <c r="U3">
        <f t="shared" ca="1" si="3"/>
        <v>61.835657527278784</v>
      </c>
      <c r="V3">
        <f t="shared" ca="1" si="3"/>
        <v>61.259996246155879</v>
      </c>
      <c r="W3">
        <f t="shared" ca="1" si="3"/>
        <v>63.587419976027157</v>
      </c>
      <c r="X3">
        <f t="shared" ca="1" si="3"/>
        <v>63.744949369590103</v>
      </c>
      <c r="Y3">
        <f t="shared" ca="1" si="3"/>
        <v>64.529512709022796</v>
      </c>
      <c r="Z3">
        <f t="shared" ca="1" si="3"/>
        <v>66.042501979997382</v>
      </c>
      <c r="AA3">
        <f t="shared" ca="1" si="3"/>
        <v>65.199736077494507</v>
      </c>
      <c r="AB3">
        <f t="shared" ca="1" si="3"/>
        <v>64.15084106330778</v>
      </c>
      <c r="AC3">
        <f t="shared" ca="1" si="3"/>
        <v>63.51055283676228</v>
      </c>
      <c r="AD3">
        <f t="shared" ca="1" si="3"/>
        <v>64.509272465329914</v>
      </c>
      <c r="AE3">
        <f t="shared" ca="1" si="3"/>
        <v>64.379943282952766</v>
      </c>
      <c r="AF3">
        <f t="shared" ca="1" si="3"/>
        <v>65.575308403627091</v>
      </c>
      <c r="AG3">
        <f t="shared" ca="1" si="3"/>
        <v>63.992816810358747</v>
      </c>
      <c r="AH3">
        <f t="shared" ca="1" si="3"/>
        <v>64.161440554076577</v>
      </c>
      <c r="AI3">
        <f t="shared" ca="1" si="3"/>
        <v>64.580683335129436</v>
      </c>
      <c r="AJ3">
        <f t="shared" ca="1" si="3"/>
        <v>62.0220909609247</v>
      </c>
      <c r="AK3">
        <f t="shared" ca="1" si="3"/>
        <v>62.296200867481062</v>
      </c>
      <c r="AL3">
        <f t="shared" ca="1" si="3"/>
        <v>62.857603954750665</v>
      </c>
      <c r="AM3">
        <f t="shared" ca="1" si="3"/>
        <v>60.723118069495015</v>
      </c>
      <c r="AN3">
        <f t="shared" ca="1" si="3"/>
        <v>62.067928987802325</v>
      </c>
      <c r="AO3">
        <f t="shared" ca="1" si="3"/>
        <v>62.150048230494626</v>
      </c>
      <c r="AP3">
        <f t="shared" ca="1" si="3"/>
        <v>64.727448396001662</v>
      </c>
      <c r="AQ3">
        <f t="shared" ca="1" si="3"/>
        <v>64.311998449756885</v>
      </c>
      <c r="AR3">
        <f t="shared" ca="1" si="3"/>
        <v>63.841949119265635</v>
      </c>
      <c r="AS3">
        <f t="shared" ca="1" si="3"/>
        <v>64.872400609404849</v>
      </c>
      <c r="AT3">
        <f t="shared" ca="1" si="3"/>
        <v>65.517553214222787</v>
      </c>
      <c r="AU3">
        <f t="shared" ca="1" si="3"/>
        <v>66.203481191121952</v>
      </c>
      <c r="AV3">
        <f t="shared" ca="1" si="3"/>
        <v>66.256837984427236</v>
      </c>
      <c r="AW3">
        <f t="shared" ca="1" si="3"/>
        <v>65.092760811643217</v>
      </c>
      <c r="AX3">
        <f t="shared" ca="1" si="3"/>
        <v>66.505703377787484</v>
      </c>
      <c r="AY3">
        <f t="shared" ca="1" si="3"/>
        <v>67.738800394990776</v>
      </c>
      <c r="AZ3">
        <f t="shared" ca="1" si="3"/>
        <v>69.773949963027817</v>
      </c>
      <c r="BA3">
        <f t="shared" ca="1" si="3"/>
        <v>69.197787280673111</v>
      </c>
      <c r="BB3">
        <f t="shared" ca="1" si="3"/>
        <v>69.165121369443824</v>
      </c>
      <c r="BC3">
        <f t="shared" ca="1" si="3"/>
        <v>68.806070101585846</v>
      </c>
      <c r="BD3">
        <f t="shared" ca="1" si="3"/>
        <v>69.715170990205905</v>
      </c>
      <c r="BE3">
        <f t="shared" ca="1" si="3"/>
        <v>67.577539221568159</v>
      </c>
      <c r="BF3">
        <f t="shared" ca="1" si="3"/>
        <v>68.679896867190365</v>
      </c>
      <c r="BG3">
        <f t="shared" ca="1" si="3"/>
        <v>69.071900275394398</v>
      </c>
      <c r="BH3">
        <f t="shared" ca="1" si="3"/>
        <v>68.743941439218958</v>
      </c>
      <c r="BI3">
        <f t="shared" ca="1" si="3"/>
        <v>68.98558749879777</v>
      </c>
      <c r="BJ3">
        <f t="shared" ca="1" si="3"/>
        <v>69.074162162469207</v>
      </c>
      <c r="BK3">
        <f t="shared" ca="1" si="3"/>
        <v>69.710676594402983</v>
      </c>
      <c r="BL3">
        <f t="shared" ca="1" si="3"/>
        <v>70.201715755347479</v>
      </c>
      <c r="BM3">
        <f t="shared" ca="1" si="3"/>
        <v>72.055974949511125</v>
      </c>
      <c r="BN3">
        <f t="shared" ca="1" si="3"/>
        <v>73.196758174269192</v>
      </c>
      <c r="BO3">
        <f t="shared" ref="BO3:BO66" ca="1" si="4">MAX(BN3-$BN$104,0)</f>
        <v>15.196758174269192</v>
      </c>
    </row>
    <row r="4" spans="1:67">
      <c r="A4" t="s">
        <v>69</v>
      </c>
      <c r="B4">
        <f>1/252</f>
        <v>3.968253968253968E-3</v>
      </c>
      <c r="F4">
        <f t="shared" si="2"/>
        <v>60.99</v>
      </c>
      <c r="G4">
        <f t="shared" ref="G4:BN4" ca="1" si="5">F4*EXP(($B$2-0.5*$B$3^2)*$B$4+$B$3*_xlfn.NORM.INV(RAND(),0,SQRT($B$4)))</f>
        <v>60.575994987783886</v>
      </c>
      <c r="H4">
        <f t="shared" ca="1" si="5"/>
        <v>59.388700582090095</v>
      </c>
      <c r="I4">
        <f t="shared" ca="1" si="5"/>
        <v>60.210555896963562</v>
      </c>
      <c r="J4">
        <f t="shared" ca="1" si="5"/>
        <v>60.095745215135842</v>
      </c>
      <c r="K4">
        <f t="shared" ca="1" si="5"/>
        <v>61.823567307202467</v>
      </c>
      <c r="L4">
        <f t="shared" ca="1" si="5"/>
        <v>61.339439737501998</v>
      </c>
      <c r="M4">
        <f t="shared" ca="1" si="5"/>
        <v>61.089779923663464</v>
      </c>
      <c r="N4">
        <f t="shared" ca="1" si="5"/>
        <v>60.53204458987198</v>
      </c>
      <c r="O4">
        <f t="shared" ca="1" si="5"/>
        <v>60.814696941536681</v>
      </c>
      <c r="P4">
        <f t="shared" ca="1" si="5"/>
        <v>60.591516932807345</v>
      </c>
      <c r="Q4">
        <f t="shared" ca="1" si="5"/>
        <v>60.504403290611542</v>
      </c>
      <c r="R4">
        <f t="shared" ca="1" si="5"/>
        <v>60.648364197061959</v>
      </c>
      <c r="S4">
        <f t="shared" ca="1" si="5"/>
        <v>60.253605764425245</v>
      </c>
      <c r="T4">
        <f t="shared" ca="1" si="5"/>
        <v>60.835162457314723</v>
      </c>
      <c r="U4">
        <f t="shared" ca="1" si="5"/>
        <v>62.507551859784463</v>
      </c>
      <c r="V4">
        <f t="shared" ca="1" si="5"/>
        <v>62.797067050026286</v>
      </c>
      <c r="W4">
        <f t="shared" ca="1" si="5"/>
        <v>60.283798701505958</v>
      </c>
      <c r="X4">
        <f t="shared" ca="1" si="5"/>
        <v>61.43286174547989</v>
      </c>
      <c r="Y4">
        <f t="shared" ca="1" si="5"/>
        <v>60.951681040340745</v>
      </c>
      <c r="Z4">
        <f t="shared" ca="1" si="5"/>
        <v>62.000109894485512</v>
      </c>
      <c r="AA4">
        <f t="shared" ca="1" si="5"/>
        <v>61.685596993638811</v>
      </c>
      <c r="AB4">
        <f t="shared" ca="1" si="5"/>
        <v>62.685271832102138</v>
      </c>
      <c r="AC4">
        <f t="shared" ca="1" si="5"/>
        <v>61.601446561930985</v>
      </c>
      <c r="AD4">
        <f t="shared" ca="1" si="5"/>
        <v>61.818368920881845</v>
      </c>
      <c r="AE4">
        <f t="shared" ca="1" si="5"/>
        <v>62.012490047786265</v>
      </c>
      <c r="AF4">
        <f t="shared" ca="1" si="5"/>
        <v>62.370089161827629</v>
      </c>
      <c r="AG4">
        <f t="shared" ca="1" si="5"/>
        <v>61.593142391290947</v>
      </c>
      <c r="AH4">
        <f t="shared" ca="1" si="5"/>
        <v>61.160890485628109</v>
      </c>
      <c r="AI4">
        <f t="shared" ca="1" si="5"/>
        <v>62.004882794143292</v>
      </c>
      <c r="AJ4">
        <f t="shared" ca="1" si="5"/>
        <v>63.423040884954645</v>
      </c>
      <c r="AK4">
        <f t="shared" ca="1" si="5"/>
        <v>62.515091798892627</v>
      </c>
      <c r="AL4">
        <f t="shared" ca="1" si="5"/>
        <v>62.429306251284444</v>
      </c>
      <c r="AM4">
        <f t="shared" ca="1" si="5"/>
        <v>60.335937284596575</v>
      </c>
      <c r="AN4">
        <f t="shared" ca="1" si="5"/>
        <v>63.126079151605538</v>
      </c>
      <c r="AO4">
        <f t="shared" ca="1" si="5"/>
        <v>62.734736142688639</v>
      </c>
      <c r="AP4">
        <f t="shared" ca="1" si="5"/>
        <v>62.17433994893301</v>
      </c>
      <c r="AQ4">
        <f t="shared" ca="1" si="5"/>
        <v>62.128538696831377</v>
      </c>
      <c r="AR4">
        <f t="shared" ca="1" si="5"/>
        <v>61.994540372156216</v>
      </c>
      <c r="AS4">
        <f t="shared" ca="1" si="5"/>
        <v>61.433381366923115</v>
      </c>
      <c r="AT4">
        <f t="shared" ca="1" si="5"/>
        <v>60.973548122228891</v>
      </c>
      <c r="AU4">
        <f t="shared" ca="1" si="5"/>
        <v>59.154637027166373</v>
      </c>
      <c r="AV4">
        <f t="shared" ca="1" si="5"/>
        <v>58.810194661556814</v>
      </c>
      <c r="AW4">
        <f t="shared" ca="1" si="5"/>
        <v>59.451367464336109</v>
      </c>
      <c r="AX4">
        <f t="shared" ca="1" si="5"/>
        <v>62.177334849178266</v>
      </c>
      <c r="AY4">
        <f t="shared" ca="1" si="5"/>
        <v>60.331766922963602</v>
      </c>
      <c r="AZ4">
        <f t="shared" ca="1" si="5"/>
        <v>59.809725508232169</v>
      </c>
      <c r="BA4">
        <f t="shared" ca="1" si="5"/>
        <v>59.677696607777463</v>
      </c>
      <c r="BB4">
        <f t="shared" ca="1" si="5"/>
        <v>58.140699718671222</v>
      </c>
      <c r="BC4">
        <f t="shared" ca="1" si="5"/>
        <v>58.47540502260987</v>
      </c>
      <c r="BD4">
        <f t="shared" ca="1" si="5"/>
        <v>56.678014222144192</v>
      </c>
      <c r="BE4">
        <f t="shared" ca="1" si="5"/>
        <v>58.132399952651255</v>
      </c>
      <c r="BF4">
        <f t="shared" ca="1" si="5"/>
        <v>58.322136560481383</v>
      </c>
      <c r="BG4">
        <f t="shared" ca="1" si="5"/>
        <v>60.183619624880222</v>
      </c>
      <c r="BH4">
        <f t="shared" ca="1" si="5"/>
        <v>60.382168787913145</v>
      </c>
      <c r="BI4">
        <f t="shared" ca="1" si="5"/>
        <v>61.291992446650191</v>
      </c>
      <c r="BJ4">
        <f t="shared" ca="1" si="5"/>
        <v>61.222844197932041</v>
      </c>
      <c r="BK4">
        <f t="shared" ca="1" si="5"/>
        <v>61.074351759858637</v>
      </c>
      <c r="BL4">
        <f t="shared" ca="1" si="5"/>
        <v>60.877812322826976</v>
      </c>
      <c r="BM4">
        <f t="shared" ca="1" si="5"/>
        <v>60.928134279912378</v>
      </c>
      <c r="BN4">
        <f t="shared" ca="1" si="5"/>
        <v>60.256017264109758</v>
      </c>
      <c r="BO4">
        <f t="shared" ca="1" si="4"/>
        <v>2.256017264109758</v>
      </c>
    </row>
    <row r="5" spans="1:67">
      <c r="A5" t="s">
        <v>70</v>
      </c>
      <c r="B5">
        <f>'Q 1&amp;2'!F192</f>
        <v>4.2049999999999997E-2</v>
      </c>
      <c r="F5">
        <f t="shared" si="2"/>
        <v>60.99</v>
      </c>
      <c r="G5">
        <f t="shared" ref="G5:BN5" ca="1" si="6">F5*EXP(($B$2-0.5*$B$3^2)*$B$4+$B$3*_xlfn.NORM.INV(RAND(),0,SQRT($B$4)))</f>
        <v>60.855840472603226</v>
      </c>
      <c r="H5">
        <f t="shared" ca="1" si="6"/>
        <v>61.523119658143166</v>
      </c>
      <c r="I5">
        <f t="shared" ca="1" si="6"/>
        <v>60.431375108675525</v>
      </c>
      <c r="J5">
        <f t="shared" ca="1" si="6"/>
        <v>60.173715594046122</v>
      </c>
      <c r="K5">
        <f t="shared" ca="1" si="6"/>
        <v>59.240078352810926</v>
      </c>
      <c r="L5">
        <f t="shared" ca="1" si="6"/>
        <v>58.243368964819481</v>
      </c>
      <c r="M5">
        <f t="shared" ca="1" si="6"/>
        <v>57.67954340232869</v>
      </c>
      <c r="N5">
        <f t="shared" ca="1" si="6"/>
        <v>58.489615825462828</v>
      </c>
      <c r="O5">
        <f t="shared" ca="1" si="6"/>
        <v>60.228503178582848</v>
      </c>
      <c r="P5">
        <f t="shared" ca="1" si="6"/>
        <v>60.169533523946114</v>
      </c>
      <c r="Q5">
        <f t="shared" ca="1" si="6"/>
        <v>60.506434811650898</v>
      </c>
      <c r="R5">
        <f t="shared" ca="1" si="6"/>
        <v>59.600887608164079</v>
      </c>
      <c r="S5">
        <f t="shared" ca="1" si="6"/>
        <v>59.479027116194125</v>
      </c>
      <c r="T5">
        <f t="shared" ca="1" si="6"/>
        <v>62.077464882885074</v>
      </c>
      <c r="U5">
        <f t="shared" ca="1" si="6"/>
        <v>59.383911203359879</v>
      </c>
      <c r="V5">
        <f t="shared" ca="1" si="6"/>
        <v>60.905208269470585</v>
      </c>
      <c r="W5">
        <f t="shared" ca="1" si="6"/>
        <v>61.40571203815194</v>
      </c>
      <c r="X5">
        <f t="shared" ca="1" si="6"/>
        <v>62.057438226827067</v>
      </c>
      <c r="Y5">
        <f t="shared" ca="1" si="6"/>
        <v>63.377925925121957</v>
      </c>
      <c r="Z5">
        <f t="shared" ca="1" si="6"/>
        <v>62.7086639297654</v>
      </c>
      <c r="AA5">
        <f t="shared" ca="1" si="6"/>
        <v>61.865292248602714</v>
      </c>
      <c r="AB5">
        <f t="shared" ca="1" si="6"/>
        <v>63.617229883734176</v>
      </c>
      <c r="AC5">
        <f t="shared" ca="1" si="6"/>
        <v>61.436790590080506</v>
      </c>
      <c r="AD5">
        <f t="shared" ca="1" si="6"/>
        <v>64.088164784783544</v>
      </c>
      <c r="AE5">
        <f t="shared" ca="1" si="6"/>
        <v>64.001648888989266</v>
      </c>
      <c r="AF5">
        <f t="shared" ca="1" si="6"/>
        <v>63.012488275208526</v>
      </c>
      <c r="AG5">
        <f t="shared" ca="1" si="6"/>
        <v>62.996722840442992</v>
      </c>
      <c r="AH5">
        <f t="shared" ca="1" si="6"/>
        <v>61.418636913672366</v>
      </c>
      <c r="AI5">
        <f t="shared" ca="1" si="6"/>
        <v>60.833364518710326</v>
      </c>
      <c r="AJ5">
        <f t="shared" ca="1" si="6"/>
        <v>59.25515186020187</v>
      </c>
      <c r="AK5">
        <f t="shared" ca="1" si="6"/>
        <v>58.395136069967066</v>
      </c>
      <c r="AL5">
        <f t="shared" ca="1" si="6"/>
        <v>59.101359800722861</v>
      </c>
      <c r="AM5">
        <f t="shared" ca="1" si="6"/>
        <v>60.727326996751458</v>
      </c>
      <c r="AN5">
        <f t="shared" ca="1" si="6"/>
        <v>61.801957729130592</v>
      </c>
      <c r="AO5">
        <f t="shared" ca="1" si="6"/>
        <v>61.799788987032919</v>
      </c>
      <c r="AP5">
        <f t="shared" ca="1" si="6"/>
        <v>61.073696588130822</v>
      </c>
      <c r="AQ5">
        <f t="shared" ca="1" si="6"/>
        <v>60.163833962580121</v>
      </c>
      <c r="AR5">
        <f t="shared" ca="1" si="6"/>
        <v>58.953327137350222</v>
      </c>
      <c r="AS5">
        <f t="shared" ca="1" si="6"/>
        <v>59.415224925666536</v>
      </c>
      <c r="AT5">
        <f t="shared" ca="1" si="6"/>
        <v>60.39850240660536</v>
      </c>
      <c r="AU5">
        <f t="shared" ca="1" si="6"/>
        <v>60.189802890656523</v>
      </c>
      <c r="AV5">
        <f t="shared" ca="1" si="6"/>
        <v>59.824095845745973</v>
      </c>
      <c r="AW5">
        <f t="shared" ca="1" si="6"/>
        <v>59.688894699058615</v>
      </c>
      <c r="AX5">
        <f t="shared" ca="1" si="6"/>
        <v>57.851596894751189</v>
      </c>
      <c r="AY5">
        <f t="shared" ca="1" si="6"/>
        <v>57.929885506290134</v>
      </c>
      <c r="AZ5">
        <f t="shared" ca="1" si="6"/>
        <v>56.591869791035158</v>
      </c>
      <c r="BA5">
        <f t="shared" ca="1" si="6"/>
        <v>56.296397094730288</v>
      </c>
      <c r="BB5">
        <f t="shared" ca="1" si="6"/>
        <v>56.445743061760886</v>
      </c>
      <c r="BC5">
        <f t="shared" ca="1" si="6"/>
        <v>58.228253368774489</v>
      </c>
      <c r="BD5">
        <f t="shared" ca="1" si="6"/>
        <v>59.693748839794495</v>
      </c>
      <c r="BE5">
        <f t="shared" ca="1" si="6"/>
        <v>59.661846969558617</v>
      </c>
      <c r="BF5">
        <f t="shared" ca="1" si="6"/>
        <v>58.735913298863387</v>
      </c>
      <c r="BG5">
        <f t="shared" ca="1" si="6"/>
        <v>58.174890551080289</v>
      </c>
      <c r="BH5">
        <f t="shared" ca="1" si="6"/>
        <v>56.423873018334035</v>
      </c>
      <c r="BI5">
        <f t="shared" ca="1" si="6"/>
        <v>57.204738453227456</v>
      </c>
      <c r="BJ5">
        <f t="shared" ca="1" si="6"/>
        <v>58.894667342933126</v>
      </c>
      <c r="BK5">
        <f t="shared" ca="1" si="6"/>
        <v>56.79393246348787</v>
      </c>
      <c r="BL5">
        <f t="shared" ca="1" si="6"/>
        <v>57.454471537623576</v>
      </c>
      <c r="BM5">
        <f t="shared" ca="1" si="6"/>
        <v>56.692395465011039</v>
      </c>
      <c r="BN5">
        <f t="shared" ca="1" si="6"/>
        <v>57.258085475647611</v>
      </c>
      <c r="BO5">
        <f t="shared" ca="1" si="4"/>
        <v>0</v>
      </c>
    </row>
    <row r="6" spans="1:67">
      <c r="A6" t="s">
        <v>71</v>
      </c>
      <c r="B6">
        <f>60/252</f>
        <v>0.23809523809523808</v>
      </c>
      <c r="F6">
        <f t="shared" si="2"/>
        <v>60.99</v>
      </c>
      <c r="G6">
        <f t="shared" ref="G6:BN6" ca="1" si="7">F6*EXP(($B$2-0.5*$B$3^2)*$B$4+$B$3*_xlfn.NORM.INV(RAND(),0,SQRT($B$4)))</f>
        <v>60.461905222800617</v>
      </c>
      <c r="H6">
        <f t="shared" ca="1" si="7"/>
        <v>60.14499453329595</v>
      </c>
      <c r="I6">
        <f t="shared" ca="1" si="7"/>
        <v>59.309676180887024</v>
      </c>
      <c r="J6">
        <f t="shared" ca="1" si="7"/>
        <v>60.759394143632896</v>
      </c>
      <c r="K6">
        <f t="shared" ca="1" si="7"/>
        <v>60.713507842057517</v>
      </c>
      <c r="L6">
        <f t="shared" ca="1" si="7"/>
        <v>62.4774901041501</v>
      </c>
      <c r="M6">
        <f t="shared" ca="1" si="7"/>
        <v>64.402432249630166</v>
      </c>
      <c r="N6">
        <f t="shared" ca="1" si="7"/>
        <v>64.561285285649959</v>
      </c>
      <c r="O6">
        <f t="shared" ca="1" si="7"/>
        <v>64.537865832871404</v>
      </c>
      <c r="P6">
        <f t="shared" ca="1" si="7"/>
        <v>64.102730898056208</v>
      </c>
      <c r="Q6">
        <f t="shared" ca="1" si="7"/>
        <v>64.673397099254643</v>
      </c>
      <c r="R6">
        <f t="shared" ca="1" si="7"/>
        <v>63.903501239191392</v>
      </c>
      <c r="S6">
        <f t="shared" ca="1" si="7"/>
        <v>65.08803366744587</v>
      </c>
      <c r="T6">
        <f t="shared" ca="1" si="7"/>
        <v>65.74458659599793</v>
      </c>
      <c r="U6">
        <f t="shared" ca="1" si="7"/>
        <v>65.480081447549424</v>
      </c>
      <c r="V6">
        <f t="shared" ca="1" si="7"/>
        <v>63.447892995265605</v>
      </c>
      <c r="W6">
        <f t="shared" ca="1" si="7"/>
        <v>62.407915147655295</v>
      </c>
      <c r="X6">
        <f t="shared" ca="1" si="7"/>
        <v>63.782922582737754</v>
      </c>
      <c r="Y6">
        <f t="shared" ca="1" si="7"/>
        <v>63.385076113679382</v>
      </c>
      <c r="Z6">
        <f t="shared" ca="1" si="7"/>
        <v>62.787671610575593</v>
      </c>
      <c r="AA6">
        <f t="shared" ca="1" si="7"/>
        <v>62.851091241281303</v>
      </c>
      <c r="AB6">
        <f t="shared" ca="1" si="7"/>
        <v>63.255949626692242</v>
      </c>
      <c r="AC6">
        <f t="shared" ca="1" si="7"/>
        <v>62.943652354777953</v>
      </c>
      <c r="AD6">
        <f t="shared" ca="1" si="7"/>
        <v>62.992393319768915</v>
      </c>
      <c r="AE6">
        <f t="shared" ca="1" si="7"/>
        <v>61.738481570623811</v>
      </c>
      <c r="AF6">
        <f t="shared" ca="1" si="7"/>
        <v>60.546322179044708</v>
      </c>
      <c r="AG6">
        <f t="shared" ca="1" si="7"/>
        <v>58.993886238615417</v>
      </c>
      <c r="AH6">
        <f t="shared" ca="1" si="7"/>
        <v>56.748019160470989</v>
      </c>
      <c r="AI6">
        <f t="shared" ca="1" si="7"/>
        <v>58.057099464682274</v>
      </c>
      <c r="AJ6">
        <f t="shared" ca="1" si="7"/>
        <v>55.408923782230794</v>
      </c>
      <c r="AK6">
        <f t="shared" ca="1" si="7"/>
        <v>55.156176498976805</v>
      </c>
      <c r="AL6">
        <f t="shared" ca="1" si="7"/>
        <v>54.938600120192369</v>
      </c>
      <c r="AM6">
        <f t="shared" ca="1" si="7"/>
        <v>56.463233399700627</v>
      </c>
      <c r="AN6">
        <f t="shared" ca="1" si="7"/>
        <v>57.190500125305455</v>
      </c>
      <c r="AO6">
        <f t="shared" ca="1" si="7"/>
        <v>55.588908429099568</v>
      </c>
      <c r="AP6">
        <f t="shared" ca="1" si="7"/>
        <v>54.810730384140953</v>
      </c>
      <c r="AQ6">
        <f t="shared" ca="1" si="7"/>
        <v>57.279363304988827</v>
      </c>
      <c r="AR6">
        <f t="shared" ca="1" si="7"/>
        <v>56.44900619000169</v>
      </c>
      <c r="AS6">
        <f t="shared" ca="1" si="7"/>
        <v>57.634158560363829</v>
      </c>
      <c r="AT6">
        <f t="shared" ca="1" si="7"/>
        <v>57.542761016692531</v>
      </c>
      <c r="AU6">
        <f t="shared" ca="1" si="7"/>
        <v>57.217174538055254</v>
      </c>
      <c r="AV6">
        <f t="shared" ca="1" si="7"/>
        <v>59.404184441327715</v>
      </c>
      <c r="AW6">
        <f t="shared" ca="1" si="7"/>
        <v>60.157546407406095</v>
      </c>
      <c r="AX6">
        <f t="shared" ca="1" si="7"/>
        <v>60.113428338890529</v>
      </c>
      <c r="AY6">
        <f t="shared" ca="1" si="7"/>
        <v>58.784829831981554</v>
      </c>
      <c r="AZ6">
        <f t="shared" ca="1" si="7"/>
        <v>59.87763710861276</v>
      </c>
      <c r="BA6">
        <f t="shared" ca="1" si="7"/>
        <v>59.89669505050658</v>
      </c>
      <c r="BB6">
        <f t="shared" ca="1" si="7"/>
        <v>59.6022495495003</v>
      </c>
      <c r="BC6">
        <f t="shared" ca="1" si="7"/>
        <v>59.887042278312705</v>
      </c>
      <c r="BD6">
        <f t="shared" ca="1" si="7"/>
        <v>59.124957160708313</v>
      </c>
      <c r="BE6">
        <f t="shared" ca="1" si="7"/>
        <v>57.993334980950749</v>
      </c>
      <c r="BF6">
        <f t="shared" ca="1" si="7"/>
        <v>57.535309811292422</v>
      </c>
      <c r="BG6">
        <f t="shared" ca="1" si="7"/>
        <v>59.467526084444252</v>
      </c>
      <c r="BH6">
        <f t="shared" ca="1" si="7"/>
        <v>56.977373142861779</v>
      </c>
      <c r="BI6">
        <f t="shared" ca="1" si="7"/>
        <v>56.540236217785115</v>
      </c>
      <c r="BJ6">
        <f t="shared" ca="1" si="7"/>
        <v>56.728517528335509</v>
      </c>
      <c r="BK6">
        <f t="shared" ca="1" si="7"/>
        <v>54.898972153408224</v>
      </c>
      <c r="BL6">
        <f t="shared" ca="1" si="7"/>
        <v>55.908679591685363</v>
      </c>
      <c r="BM6">
        <f t="shared" ca="1" si="7"/>
        <v>55.953375630009965</v>
      </c>
      <c r="BN6">
        <f t="shared" ca="1" si="7"/>
        <v>55.62630545652079</v>
      </c>
      <c r="BO6">
        <f t="shared" ca="1" si="4"/>
        <v>0</v>
      </c>
    </row>
    <row r="7" spans="1:67">
      <c r="F7">
        <f t="shared" si="2"/>
        <v>60.99</v>
      </c>
      <c r="G7">
        <f t="shared" ref="G7:BN7" ca="1" si="8">F7*EXP(($B$2-0.5*$B$3^2)*$B$4+$B$3*_xlfn.NORM.INV(RAND(),0,SQRT($B$4)))</f>
        <v>59.769322453711666</v>
      </c>
      <c r="H7">
        <f t="shared" ca="1" si="8"/>
        <v>58.905402018366985</v>
      </c>
      <c r="I7">
        <f t="shared" ca="1" si="8"/>
        <v>58.473903180602107</v>
      </c>
      <c r="J7">
        <f t="shared" ca="1" si="8"/>
        <v>58.890773622013384</v>
      </c>
      <c r="K7">
        <f t="shared" ca="1" si="8"/>
        <v>59.415074748748886</v>
      </c>
      <c r="L7">
        <f t="shared" ca="1" si="8"/>
        <v>59.132563656324393</v>
      </c>
      <c r="M7">
        <f t="shared" ca="1" si="8"/>
        <v>59.453603028088843</v>
      </c>
      <c r="N7">
        <f t="shared" ca="1" si="8"/>
        <v>60.833351232144537</v>
      </c>
      <c r="O7">
        <f t="shared" ca="1" si="8"/>
        <v>60.515652504738945</v>
      </c>
      <c r="P7">
        <f t="shared" ca="1" si="8"/>
        <v>60.607373559368888</v>
      </c>
      <c r="Q7">
        <f t="shared" ca="1" si="8"/>
        <v>59.173546785499568</v>
      </c>
      <c r="R7">
        <f t="shared" ca="1" si="8"/>
        <v>58.636015225344494</v>
      </c>
      <c r="S7">
        <f t="shared" ca="1" si="8"/>
        <v>59.171540805873434</v>
      </c>
      <c r="T7">
        <f t="shared" ca="1" si="8"/>
        <v>58.485183847199899</v>
      </c>
      <c r="U7">
        <f t="shared" ca="1" si="8"/>
        <v>58.744563921546629</v>
      </c>
      <c r="V7">
        <f t="shared" ca="1" si="8"/>
        <v>57.080399184056098</v>
      </c>
      <c r="W7">
        <f t="shared" ca="1" si="8"/>
        <v>56.948765709855188</v>
      </c>
      <c r="X7">
        <f t="shared" ca="1" si="8"/>
        <v>59.79680073551237</v>
      </c>
      <c r="Y7">
        <f t="shared" ca="1" si="8"/>
        <v>60.11509464378431</v>
      </c>
      <c r="Z7">
        <f t="shared" ca="1" si="8"/>
        <v>59.07799154601129</v>
      </c>
      <c r="AA7">
        <f t="shared" ca="1" si="8"/>
        <v>59.104574206685442</v>
      </c>
      <c r="AB7">
        <f t="shared" ca="1" si="8"/>
        <v>58.510193518331377</v>
      </c>
      <c r="AC7">
        <f t="shared" ca="1" si="8"/>
        <v>59.216198698216338</v>
      </c>
      <c r="AD7">
        <f t="shared" ca="1" si="8"/>
        <v>60.880777422928659</v>
      </c>
      <c r="AE7">
        <f t="shared" ca="1" si="8"/>
        <v>63.150104789014044</v>
      </c>
      <c r="AF7">
        <f t="shared" ca="1" si="8"/>
        <v>63.012100633465508</v>
      </c>
      <c r="AG7">
        <f t="shared" ca="1" si="8"/>
        <v>62.083039636855197</v>
      </c>
      <c r="AH7">
        <f t="shared" ca="1" si="8"/>
        <v>61.207113552725389</v>
      </c>
      <c r="AI7">
        <f t="shared" ca="1" si="8"/>
        <v>59.446412264333617</v>
      </c>
      <c r="AJ7">
        <f t="shared" ca="1" si="8"/>
        <v>56.572615278531835</v>
      </c>
      <c r="AK7">
        <f t="shared" ca="1" si="8"/>
        <v>56.353666340709616</v>
      </c>
      <c r="AL7">
        <f t="shared" ca="1" si="8"/>
        <v>55.628926073032076</v>
      </c>
      <c r="AM7">
        <f t="shared" ca="1" si="8"/>
        <v>56.436683999343039</v>
      </c>
      <c r="AN7">
        <f t="shared" ca="1" si="8"/>
        <v>57.605996618590964</v>
      </c>
      <c r="AO7">
        <f t="shared" ca="1" si="8"/>
        <v>57.55934974555791</v>
      </c>
      <c r="AP7">
        <f t="shared" ca="1" si="8"/>
        <v>57.624305277546398</v>
      </c>
      <c r="AQ7">
        <f t="shared" ca="1" si="8"/>
        <v>56.426385775679577</v>
      </c>
      <c r="AR7">
        <f t="shared" ca="1" si="8"/>
        <v>57.828276004064257</v>
      </c>
      <c r="AS7">
        <f t="shared" ca="1" si="8"/>
        <v>58.608807845589595</v>
      </c>
      <c r="AT7">
        <f t="shared" ca="1" si="8"/>
        <v>58.334393753187754</v>
      </c>
      <c r="AU7">
        <f t="shared" ca="1" si="8"/>
        <v>56.607093699040043</v>
      </c>
      <c r="AV7">
        <f t="shared" ca="1" si="8"/>
        <v>60.137012112898034</v>
      </c>
      <c r="AW7">
        <f t="shared" ca="1" si="8"/>
        <v>59.685087621613022</v>
      </c>
      <c r="AX7">
        <f t="shared" ca="1" si="8"/>
        <v>61.624182950256213</v>
      </c>
      <c r="AY7">
        <f t="shared" ca="1" si="8"/>
        <v>62.858806384383598</v>
      </c>
      <c r="AZ7">
        <f t="shared" ca="1" si="8"/>
        <v>63.025626250787191</v>
      </c>
      <c r="BA7">
        <f t="shared" ca="1" si="8"/>
        <v>64.478945436832575</v>
      </c>
      <c r="BB7">
        <f t="shared" ca="1" si="8"/>
        <v>63.852849902805012</v>
      </c>
      <c r="BC7">
        <f t="shared" ca="1" si="8"/>
        <v>64.180578974012434</v>
      </c>
      <c r="BD7">
        <f t="shared" ca="1" si="8"/>
        <v>64.425309752802661</v>
      </c>
      <c r="BE7">
        <f t="shared" ca="1" si="8"/>
        <v>64.696318231230052</v>
      </c>
      <c r="BF7">
        <f t="shared" ca="1" si="8"/>
        <v>64.235975472948169</v>
      </c>
      <c r="BG7">
        <f t="shared" ca="1" si="8"/>
        <v>62.516472242675029</v>
      </c>
      <c r="BH7">
        <f t="shared" ca="1" si="8"/>
        <v>60.591773555496893</v>
      </c>
      <c r="BI7">
        <f t="shared" ca="1" si="8"/>
        <v>59.852451747092196</v>
      </c>
      <c r="BJ7">
        <f t="shared" ca="1" si="8"/>
        <v>61.445635706117784</v>
      </c>
      <c r="BK7">
        <f t="shared" ca="1" si="8"/>
        <v>58.78812629178843</v>
      </c>
      <c r="BL7">
        <f t="shared" ca="1" si="8"/>
        <v>59.205840731461841</v>
      </c>
      <c r="BM7">
        <f t="shared" ca="1" si="8"/>
        <v>58.910606390035781</v>
      </c>
      <c r="BN7">
        <f t="shared" ca="1" si="8"/>
        <v>58.607555109543718</v>
      </c>
      <c r="BO7">
        <f t="shared" ca="1" si="4"/>
        <v>0.60755510954371772</v>
      </c>
    </row>
    <row r="8" spans="1:67">
      <c r="F8">
        <f t="shared" si="2"/>
        <v>60.99</v>
      </c>
      <c r="G8">
        <f t="shared" ref="G8:BN8" ca="1" si="9">F8*EXP(($B$2-0.5*$B$3^2)*$B$4+$B$3*_xlfn.NORM.INV(RAND(),0,SQRT($B$4)))</f>
        <v>61.03838952084876</v>
      </c>
      <c r="H8">
        <f t="shared" ca="1" si="9"/>
        <v>61.46037424406547</v>
      </c>
      <c r="I8">
        <f t="shared" ca="1" si="9"/>
        <v>60.297897835732293</v>
      </c>
      <c r="J8">
        <f t="shared" ca="1" si="9"/>
        <v>58.886618706745651</v>
      </c>
      <c r="K8">
        <f t="shared" ca="1" si="9"/>
        <v>57.407924672384297</v>
      </c>
      <c r="L8">
        <f t="shared" ca="1" si="9"/>
        <v>58.187807046511793</v>
      </c>
      <c r="M8">
        <f t="shared" ca="1" si="9"/>
        <v>58.129194300361988</v>
      </c>
      <c r="N8">
        <f t="shared" ca="1" si="9"/>
        <v>57.425971814568435</v>
      </c>
      <c r="O8">
        <f t="shared" ca="1" si="9"/>
        <v>57.711667969104212</v>
      </c>
      <c r="P8">
        <f t="shared" ca="1" si="9"/>
        <v>61.232911312145511</v>
      </c>
      <c r="Q8">
        <f t="shared" ca="1" si="9"/>
        <v>62.541937318667216</v>
      </c>
      <c r="R8">
        <f t="shared" ca="1" si="9"/>
        <v>62.776512048130478</v>
      </c>
      <c r="S8">
        <f t="shared" ca="1" si="9"/>
        <v>61.644097778778644</v>
      </c>
      <c r="T8">
        <f t="shared" ca="1" si="9"/>
        <v>63.09134485974581</v>
      </c>
      <c r="U8">
        <f t="shared" ca="1" si="9"/>
        <v>62.143803695494761</v>
      </c>
      <c r="V8">
        <f t="shared" ca="1" si="9"/>
        <v>60.801317731460429</v>
      </c>
      <c r="W8">
        <f t="shared" ca="1" si="9"/>
        <v>61.416204537994801</v>
      </c>
      <c r="X8">
        <f t="shared" ca="1" si="9"/>
        <v>60.94404385382883</v>
      </c>
      <c r="Y8">
        <f t="shared" ca="1" si="9"/>
        <v>60.781075781671561</v>
      </c>
      <c r="Z8">
        <f t="shared" ca="1" si="9"/>
        <v>60.118477273274159</v>
      </c>
      <c r="AA8">
        <f t="shared" ca="1" si="9"/>
        <v>60.318327390818013</v>
      </c>
      <c r="AB8">
        <f t="shared" ca="1" si="9"/>
        <v>60.414185063057666</v>
      </c>
      <c r="AC8">
        <f t="shared" ca="1" si="9"/>
        <v>60.39128909478876</v>
      </c>
      <c r="AD8">
        <f t="shared" ca="1" si="9"/>
        <v>59.278298259420801</v>
      </c>
      <c r="AE8">
        <f t="shared" ca="1" si="9"/>
        <v>57.256269468980783</v>
      </c>
      <c r="AF8">
        <f t="shared" ca="1" si="9"/>
        <v>58.570753761271284</v>
      </c>
      <c r="AG8">
        <f t="shared" ca="1" si="9"/>
        <v>59.19651747412582</v>
      </c>
      <c r="AH8">
        <f t="shared" ca="1" si="9"/>
        <v>59.516002045631701</v>
      </c>
      <c r="AI8">
        <f t="shared" ca="1" si="9"/>
        <v>61.303442157725122</v>
      </c>
      <c r="AJ8">
        <f t="shared" ca="1" si="9"/>
        <v>61.672848200070682</v>
      </c>
      <c r="AK8">
        <f t="shared" ca="1" si="9"/>
        <v>62.879647283994814</v>
      </c>
      <c r="AL8">
        <f t="shared" ca="1" si="9"/>
        <v>63.763371396433712</v>
      </c>
      <c r="AM8">
        <f t="shared" ca="1" si="9"/>
        <v>63.108827087732195</v>
      </c>
      <c r="AN8">
        <f t="shared" ca="1" si="9"/>
        <v>63.341633553259513</v>
      </c>
      <c r="AO8">
        <f t="shared" ca="1" si="9"/>
        <v>63.940327539003299</v>
      </c>
      <c r="AP8">
        <f t="shared" ca="1" si="9"/>
        <v>63.274137348479378</v>
      </c>
      <c r="AQ8">
        <f t="shared" ca="1" si="9"/>
        <v>63.326331564390173</v>
      </c>
      <c r="AR8">
        <f t="shared" ca="1" si="9"/>
        <v>64.054363385690039</v>
      </c>
      <c r="AS8">
        <f t="shared" ca="1" si="9"/>
        <v>62.951766742542169</v>
      </c>
      <c r="AT8">
        <f t="shared" ca="1" si="9"/>
        <v>63.664985942130457</v>
      </c>
      <c r="AU8">
        <f t="shared" ca="1" si="9"/>
        <v>63.60284968554263</v>
      </c>
      <c r="AV8">
        <f t="shared" ca="1" si="9"/>
        <v>64.892120723962705</v>
      </c>
      <c r="AW8">
        <f t="shared" ca="1" si="9"/>
        <v>65.476683404032826</v>
      </c>
      <c r="AX8">
        <f t="shared" ca="1" si="9"/>
        <v>66.810192271955387</v>
      </c>
      <c r="AY8">
        <f t="shared" ca="1" si="9"/>
        <v>68.242157659971895</v>
      </c>
      <c r="AZ8">
        <f t="shared" ca="1" si="9"/>
        <v>69.79238869199277</v>
      </c>
      <c r="BA8">
        <f t="shared" ca="1" si="9"/>
        <v>69.083737118732444</v>
      </c>
      <c r="BB8">
        <f t="shared" ca="1" si="9"/>
        <v>68.558140498627637</v>
      </c>
      <c r="BC8">
        <f t="shared" ca="1" si="9"/>
        <v>70.743017676138805</v>
      </c>
      <c r="BD8">
        <f t="shared" ca="1" si="9"/>
        <v>70.904796610089107</v>
      </c>
      <c r="BE8">
        <f t="shared" ca="1" si="9"/>
        <v>70.496476785589351</v>
      </c>
      <c r="BF8">
        <f t="shared" ca="1" si="9"/>
        <v>69.374621444497706</v>
      </c>
      <c r="BG8">
        <f t="shared" ca="1" si="9"/>
        <v>71.62742525860331</v>
      </c>
      <c r="BH8">
        <f t="shared" ca="1" si="9"/>
        <v>69.491310345843701</v>
      </c>
      <c r="BI8">
        <f t="shared" ca="1" si="9"/>
        <v>67.55715255531949</v>
      </c>
      <c r="BJ8">
        <f t="shared" ca="1" si="9"/>
        <v>67.502740211615532</v>
      </c>
      <c r="BK8">
        <f t="shared" ca="1" si="9"/>
        <v>65.44240556130579</v>
      </c>
      <c r="BL8">
        <f t="shared" ca="1" si="9"/>
        <v>66.273455900231937</v>
      </c>
      <c r="BM8">
        <f t="shared" ca="1" si="9"/>
        <v>66.838913750907125</v>
      </c>
      <c r="BN8">
        <f t="shared" ca="1" si="9"/>
        <v>66.936633759014185</v>
      </c>
      <c r="BO8">
        <f t="shared" ca="1" si="4"/>
        <v>8.9366337590141853</v>
      </c>
    </row>
    <row r="9" spans="1:67">
      <c r="F9">
        <f t="shared" si="2"/>
        <v>60.99</v>
      </c>
      <c r="G9">
        <f t="shared" ref="G9:BN9" ca="1" si="10">F9*EXP(($B$2-0.5*$B$3^2)*$B$4+$B$3*_xlfn.NORM.INV(RAND(),0,SQRT($B$4)))</f>
        <v>60.88965937545742</v>
      </c>
      <c r="H9">
        <f t="shared" ca="1" si="10"/>
        <v>59.107039544378168</v>
      </c>
      <c r="I9">
        <f t="shared" ca="1" si="10"/>
        <v>59.492819837038425</v>
      </c>
      <c r="J9">
        <f t="shared" ca="1" si="10"/>
        <v>58.400375683788731</v>
      </c>
      <c r="K9">
        <f t="shared" ca="1" si="10"/>
        <v>58.22769256394669</v>
      </c>
      <c r="L9">
        <f t="shared" ca="1" si="10"/>
        <v>57.72431423557844</v>
      </c>
      <c r="M9">
        <f t="shared" ca="1" si="10"/>
        <v>57.342463501831126</v>
      </c>
      <c r="N9">
        <f t="shared" ca="1" si="10"/>
        <v>56.575034420466004</v>
      </c>
      <c r="O9">
        <f t="shared" ca="1" si="10"/>
        <v>56.978062020987352</v>
      </c>
      <c r="P9">
        <f t="shared" ca="1" si="10"/>
        <v>58.228846571810969</v>
      </c>
      <c r="Q9">
        <f t="shared" ca="1" si="10"/>
        <v>56.982151443952972</v>
      </c>
      <c r="R9">
        <f t="shared" ca="1" si="10"/>
        <v>57.16864763282662</v>
      </c>
      <c r="S9">
        <f t="shared" ca="1" si="10"/>
        <v>58.173659340792334</v>
      </c>
      <c r="T9">
        <f t="shared" ca="1" si="10"/>
        <v>59.072969410495105</v>
      </c>
      <c r="U9">
        <f t="shared" ca="1" si="10"/>
        <v>59.827922923971208</v>
      </c>
      <c r="V9">
        <f t="shared" ca="1" si="10"/>
        <v>59.061350759418971</v>
      </c>
      <c r="W9">
        <f t="shared" ca="1" si="10"/>
        <v>59.459592968336374</v>
      </c>
      <c r="X9">
        <f t="shared" ca="1" si="10"/>
        <v>58.774408723680594</v>
      </c>
      <c r="Y9">
        <f t="shared" ca="1" si="10"/>
        <v>57.777988631027085</v>
      </c>
      <c r="Z9">
        <f t="shared" ca="1" si="10"/>
        <v>58.531813325002169</v>
      </c>
      <c r="AA9">
        <f t="shared" ca="1" si="10"/>
        <v>59.78412970877492</v>
      </c>
      <c r="AB9">
        <f t="shared" ca="1" si="10"/>
        <v>60.759441325484985</v>
      </c>
      <c r="AC9">
        <f t="shared" ca="1" si="10"/>
        <v>59.078393172978409</v>
      </c>
      <c r="AD9">
        <f t="shared" ca="1" si="10"/>
        <v>59.467913912707907</v>
      </c>
      <c r="AE9">
        <f t="shared" ca="1" si="10"/>
        <v>57.759995432600832</v>
      </c>
      <c r="AF9">
        <f t="shared" ca="1" si="10"/>
        <v>58.138791245126441</v>
      </c>
      <c r="AG9">
        <f t="shared" ca="1" si="10"/>
        <v>57.233738508121554</v>
      </c>
      <c r="AH9">
        <f t="shared" ca="1" si="10"/>
        <v>60.782412257946191</v>
      </c>
      <c r="AI9">
        <f t="shared" ca="1" si="10"/>
        <v>61.615128913482359</v>
      </c>
      <c r="AJ9">
        <f t="shared" ca="1" si="10"/>
        <v>60.308799703987987</v>
      </c>
      <c r="AK9">
        <f t="shared" ca="1" si="10"/>
        <v>61.375174470036129</v>
      </c>
      <c r="AL9">
        <f t="shared" ca="1" si="10"/>
        <v>62.798551813710326</v>
      </c>
      <c r="AM9">
        <f t="shared" ca="1" si="10"/>
        <v>61.398825705847486</v>
      </c>
      <c r="AN9">
        <f t="shared" ca="1" si="10"/>
        <v>60.934951412078711</v>
      </c>
      <c r="AO9">
        <f t="shared" ca="1" si="10"/>
        <v>59.344356989906871</v>
      </c>
      <c r="AP9">
        <f t="shared" ca="1" si="10"/>
        <v>61.173197516764361</v>
      </c>
      <c r="AQ9">
        <f t="shared" ca="1" si="10"/>
        <v>61.804110397539056</v>
      </c>
      <c r="AR9">
        <f t="shared" ca="1" si="10"/>
        <v>61.418850771556876</v>
      </c>
      <c r="AS9">
        <f t="shared" ca="1" si="10"/>
        <v>59.262873978428601</v>
      </c>
      <c r="AT9">
        <f t="shared" ca="1" si="10"/>
        <v>58.544450810050684</v>
      </c>
      <c r="AU9">
        <f t="shared" ca="1" si="10"/>
        <v>57.994471118076611</v>
      </c>
      <c r="AV9">
        <f t="shared" ca="1" si="10"/>
        <v>56.508839177734956</v>
      </c>
      <c r="AW9">
        <f t="shared" ca="1" si="10"/>
        <v>55.777655304650587</v>
      </c>
      <c r="AX9">
        <f t="shared" ca="1" si="10"/>
        <v>57.843852859656195</v>
      </c>
      <c r="AY9">
        <f t="shared" ca="1" si="10"/>
        <v>57.14559506741054</v>
      </c>
      <c r="AZ9">
        <f t="shared" ca="1" si="10"/>
        <v>57.182246332703166</v>
      </c>
      <c r="BA9">
        <f t="shared" ca="1" si="10"/>
        <v>57.856119973226349</v>
      </c>
      <c r="BB9">
        <f t="shared" ca="1" si="10"/>
        <v>57.83797698966643</v>
      </c>
      <c r="BC9">
        <f t="shared" ca="1" si="10"/>
        <v>58.230346693755195</v>
      </c>
      <c r="BD9">
        <f t="shared" ca="1" si="10"/>
        <v>57.129252732486208</v>
      </c>
      <c r="BE9">
        <f t="shared" ca="1" si="10"/>
        <v>57.228896444032323</v>
      </c>
      <c r="BF9">
        <f t="shared" ca="1" si="10"/>
        <v>57.797542424476454</v>
      </c>
      <c r="BG9">
        <f t="shared" ca="1" si="10"/>
        <v>57.328491275882726</v>
      </c>
      <c r="BH9">
        <f t="shared" ca="1" si="10"/>
        <v>54.826942974033159</v>
      </c>
      <c r="BI9">
        <f t="shared" ca="1" si="10"/>
        <v>53.93002751188974</v>
      </c>
      <c r="BJ9">
        <f t="shared" ca="1" si="10"/>
        <v>54.005326696356477</v>
      </c>
      <c r="BK9">
        <f t="shared" ca="1" si="10"/>
        <v>52.820746096271762</v>
      </c>
      <c r="BL9">
        <f t="shared" ca="1" si="10"/>
        <v>52.772674742027263</v>
      </c>
      <c r="BM9">
        <f t="shared" ca="1" si="10"/>
        <v>52.462899987792277</v>
      </c>
      <c r="BN9">
        <f t="shared" ca="1" si="10"/>
        <v>52.985063257930243</v>
      </c>
      <c r="BO9">
        <f t="shared" ca="1" si="4"/>
        <v>0</v>
      </c>
    </row>
    <row r="10" spans="1:67">
      <c r="F10">
        <f t="shared" si="2"/>
        <v>60.99</v>
      </c>
      <c r="G10">
        <f t="shared" ref="G10:BN10" ca="1" si="11">F10*EXP(($B$2-0.5*$B$3^2)*$B$4+$B$3*_xlfn.NORM.INV(RAND(),0,SQRT($B$4)))</f>
        <v>60.587662622755602</v>
      </c>
      <c r="H10">
        <f t="shared" ca="1" si="11"/>
        <v>60.596519470539192</v>
      </c>
      <c r="I10">
        <f t="shared" ca="1" si="11"/>
        <v>60.794024961809122</v>
      </c>
      <c r="J10">
        <f t="shared" ca="1" si="11"/>
        <v>61.140647224659297</v>
      </c>
      <c r="K10">
        <f t="shared" ca="1" si="11"/>
        <v>62.393125496294815</v>
      </c>
      <c r="L10">
        <f t="shared" ca="1" si="11"/>
        <v>61.051797097739225</v>
      </c>
      <c r="M10">
        <f t="shared" ca="1" si="11"/>
        <v>61.102662224188293</v>
      </c>
      <c r="N10">
        <f t="shared" ca="1" si="11"/>
        <v>60.997548622922253</v>
      </c>
      <c r="O10">
        <f t="shared" ca="1" si="11"/>
        <v>61.327101189046459</v>
      </c>
      <c r="P10">
        <f t="shared" ca="1" si="11"/>
        <v>60.30785693618278</v>
      </c>
      <c r="Q10">
        <f t="shared" ca="1" si="11"/>
        <v>59.739396204487186</v>
      </c>
      <c r="R10">
        <f t="shared" ca="1" si="11"/>
        <v>57.958198937411566</v>
      </c>
      <c r="S10">
        <f t="shared" ca="1" si="11"/>
        <v>58.683966373289053</v>
      </c>
      <c r="T10">
        <f t="shared" ca="1" si="11"/>
        <v>61.058472598664466</v>
      </c>
      <c r="U10">
        <f t="shared" ca="1" si="11"/>
        <v>59.930165127006752</v>
      </c>
      <c r="V10">
        <f t="shared" ca="1" si="11"/>
        <v>60.303244446572769</v>
      </c>
      <c r="W10">
        <f t="shared" ca="1" si="11"/>
        <v>60.516343275766026</v>
      </c>
      <c r="X10">
        <f t="shared" ca="1" si="11"/>
        <v>60.184978787785887</v>
      </c>
      <c r="Y10">
        <f t="shared" ca="1" si="11"/>
        <v>60.709408647334399</v>
      </c>
      <c r="Z10">
        <f t="shared" ca="1" si="11"/>
        <v>58.488306666309377</v>
      </c>
      <c r="AA10">
        <f t="shared" ca="1" si="11"/>
        <v>56.622240879807315</v>
      </c>
      <c r="AB10">
        <f t="shared" ca="1" si="11"/>
        <v>55.702943879815393</v>
      </c>
      <c r="AC10">
        <f t="shared" ca="1" si="11"/>
        <v>57.400356346192062</v>
      </c>
      <c r="AD10">
        <f t="shared" ca="1" si="11"/>
        <v>58.313780562596037</v>
      </c>
      <c r="AE10">
        <f t="shared" ca="1" si="11"/>
        <v>58.882577871542239</v>
      </c>
      <c r="AF10">
        <f t="shared" ca="1" si="11"/>
        <v>58.684707618069496</v>
      </c>
      <c r="AG10">
        <f t="shared" ca="1" si="11"/>
        <v>59.870240194270437</v>
      </c>
      <c r="AH10">
        <f t="shared" ca="1" si="11"/>
        <v>59.708751499935666</v>
      </c>
      <c r="AI10">
        <f t="shared" ca="1" si="11"/>
        <v>59.409391012917794</v>
      </c>
      <c r="AJ10">
        <f t="shared" ca="1" si="11"/>
        <v>60.239001501433165</v>
      </c>
      <c r="AK10">
        <f t="shared" ca="1" si="11"/>
        <v>61.369116751053468</v>
      </c>
      <c r="AL10">
        <f t="shared" ca="1" si="11"/>
        <v>63.186742126981628</v>
      </c>
      <c r="AM10">
        <f t="shared" ca="1" si="11"/>
        <v>64.340308373211073</v>
      </c>
      <c r="AN10">
        <f t="shared" ca="1" si="11"/>
        <v>64.821028799084317</v>
      </c>
      <c r="AO10">
        <f t="shared" ca="1" si="11"/>
        <v>65.068517461295784</v>
      </c>
      <c r="AP10">
        <f t="shared" ca="1" si="11"/>
        <v>64.813087631342157</v>
      </c>
      <c r="AQ10">
        <f t="shared" ca="1" si="11"/>
        <v>66.772566153716298</v>
      </c>
      <c r="AR10">
        <f t="shared" ca="1" si="11"/>
        <v>67.792314127827311</v>
      </c>
      <c r="AS10">
        <f t="shared" ca="1" si="11"/>
        <v>65.608703553137616</v>
      </c>
      <c r="AT10">
        <f t="shared" ca="1" si="11"/>
        <v>66.303448646253884</v>
      </c>
      <c r="AU10">
        <f t="shared" ca="1" si="11"/>
        <v>65.791615886896878</v>
      </c>
      <c r="AV10">
        <f t="shared" ca="1" si="11"/>
        <v>66.972853315315447</v>
      </c>
      <c r="AW10">
        <f t="shared" ca="1" si="11"/>
        <v>68.516891066758916</v>
      </c>
      <c r="AX10">
        <f t="shared" ca="1" si="11"/>
        <v>69.239837371801684</v>
      </c>
      <c r="AY10">
        <f t="shared" ca="1" si="11"/>
        <v>69.112553491174225</v>
      </c>
      <c r="AZ10">
        <f t="shared" ca="1" si="11"/>
        <v>69.352131232610375</v>
      </c>
      <c r="BA10">
        <f t="shared" ca="1" si="11"/>
        <v>68.66686891752137</v>
      </c>
      <c r="BB10">
        <f t="shared" ca="1" si="11"/>
        <v>68.013241841212917</v>
      </c>
      <c r="BC10">
        <f t="shared" ca="1" si="11"/>
        <v>70.969436692642233</v>
      </c>
      <c r="BD10">
        <f t="shared" ca="1" si="11"/>
        <v>69.848928039795211</v>
      </c>
      <c r="BE10">
        <f t="shared" ca="1" si="11"/>
        <v>67.658301082728087</v>
      </c>
      <c r="BF10">
        <f t="shared" ca="1" si="11"/>
        <v>70.023874547354382</v>
      </c>
      <c r="BG10">
        <f t="shared" ca="1" si="11"/>
        <v>71.244082091504708</v>
      </c>
      <c r="BH10">
        <f t="shared" ca="1" si="11"/>
        <v>72.702583988029176</v>
      </c>
      <c r="BI10">
        <f t="shared" ca="1" si="11"/>
        <v>72.960224587270716</v>
      </c>
      <c r="BJ10">
        <f t="shared" ca="1" si="11"/>
        <v>73.718551709102513</v>
      </c>
      <c r="BK10">
        <f t="shared" ca="1" si="11"/>
        <v>72.87135033428396</v>
      </c>
      <c r="BL10">
        <f t="shared" ca="1" si="11"/>
        <v>71.533077648630197</v>
      </c>
      <c r="BM10">
        <f t="shared" ca="1" si="11"/>
        <v>72.3675565920433</v>
      </c>
      <c r="BN10">
        <f t="shared" ca="1" si="11"/>
        <v>71.131830145782757</v>
      </c>
      <c r="BO10">
        <f t="shared" ca="1" si="4"/>
        <v>13.131830145782757</v>
      </c>
    </row>
    <row r="11" spans="1:67">
      <c r="F11">
        <f t="shared" si="2"/>
        <v>60.99</v>
      </c>
      <c r="G11">
        <f t="shared" ref="G11:BN11" ca="1" si="12">F11*EXP(($B$2-0.5*$B$3^2)*$B$4+$B$3*_xlfn.NORM.INV(RAND(),0,SQRT($B$4)))</f>
        <v>60.112102235151283</v>
      </c>
      <c r="H11">
        <f t="shared" ca="1" si="12"/>
        <v>60.385442427767835</v>
      </c>
      <c r="I11">
        <f t="shared" ca="1" si="12"/>
        <v>58.178216986414036</v>
      </c>
      <c r="J11">
        <f t="shared" ca="1" si="12"/>
        <v>57.5542632991679</v>
      </c>
      <c r="K11">
        <f t="shared" ca="1" si="12"/>
        <v>56.388129925267698</v>
      </c>
      <c r="L11">
        <f t="shared" ca="1" si="12"/>
        <v>58.880930186418674</v>
      </c>
      <c r="M11">
        <f t="shared" ca="1" si="12"/>
        <v>58.959472185485438</v>
      </c>
      <c r="N11">
        <f t="shared" ca="1" si="12"/>
        <v>59.642050643684435</v>
      </c>
      <c r="O11">
        <f t="shared" ca="1" si="12"/>
        <v>59.082538233511464</v>
      </c>
      <c r="P11">
        <f t="shared" ca="1" si="12"/>
        <v>59.830335740776206</v>
      </c>
      <c r="Q11">
        <f t="shared" ca="1" si="12"/>
        <v>60.30843069284159</v>
      </c>
      <c r="R11">
        <f t="shared" ca="1" si="12"/>
        <v>60.269519049911281</v>
      </c>
      <c r="S11">
        <f t="shared" ca="1" si="12"/>
        <v>59.269016705438531</v>
      </c>
      <c r="T11">
        <f t="shared" ca="1" si="12"/>
        <v>59.022569748976629</v>
      </c>
      <c r="U11">
        <f t="shared" ca="1" si="12"/>
        <v>56.872302956445786</v>
      </c>
      <c r="V11">
        <f t="shared" ca="1" si="12"/>
        <v>56.871829945591841</v>
      </c>
      <c r="W11">
        <f t="shared" ca="1" si="12"/>
        <v>57.127185235830929</v>
      </c>
      <c r="X11">
        <f t="shared" ca="1" si="12"/>
        <v>57.694154183524375</v>
      </c>
      <c r="Y11">
        <f t="shared" ca="1" si="12"/>
        <v>56.634616908871131</v>
      </c>
      <c r="Z11">
        <f t="shared" ca="1" si="12"/>
        <v>55.938777734008958</v>
      </c>
      <c r="AA11">
        <f t="shared" ca="1" si="12"/>
        <v>55.453572713305441</v>
      </c>
      <c r="AB11">
        <f t="shared" ca="1" si="12"/>
        <v>58.183466161508946</v>
      </c>
      <c r="AC11">
        <f t="shared" ca="1" si="12"/>
        <v>60.508029741720414</v>
      </c>
      <c r="AD11">
        <f t="shared" ca="1" si="12"/>
        <v>60.283553407201133</v>
      </c>
      <c r="AE11">
        <f t="shared" ca="1" si="12"/>
        <v>60.896365040328142</v>
      </c>
      <c r="AF11">
        <f t="shared" ca="1" si="12"/>
        <v>62.179766727919812</v>
      </c>
      <c r="AG11">
        <f t="shared" ca="1" si="12"/>
        <v>62.279607803665975</v>
      </c>
      <c r="AH11">
        <f t="shared" ca="1" si="12"/>
        <v>63.756679561764059</v>
      </c>
      <c r="AI11">
        <f t="shared" ca="1" si="12"/>
        <v>64.783249956288742</v>
      </c>
      <c r="AJ11">
        <f t="shared" ca="1" si="12"/>
        <v>65.819712328602947</v>
      </c>
      <c r="AK11">
        <f t="shared" ca="1" si="12"/>
        <v>67.52972763657273</v>
      </c>
      <c r="AL11">
        <f t="shared" ca="1" si="12"/>
        <v>67.899580515018172</v>
      </c>
      <c r="AM11">
        <f t="shared" ca="1" si="12"/>
        <v>68.489300872695324</v>
      </c>
      <c r="AN11">
        <f t="shared" ca="1" si="12"/>
        <v>68.354025570290119</v>
      </c>
      <c r="AO11">
        <f t="shared" ca="1" si="12"/>
        <v>68.438667981085757</v>
      </c>
      <c r="AP11">
        <f t="shared" ca="1" si="12"/>
        <v>66.211621369375877</v>
      </c>
      <c r="AQ11">
        <f t="shared" ca="1" si="12"/>
        <v>64.458280556685494</v>
      </c>
      <c r="AR11">
        <f t="shared" ca="1" si="12"/>
        <v>65.198904369945538</v>
      </c>
      <c r="AS11">
        <f t="shared" ca="1" si="12"/>
        <v>65.769043301451546</v>
      </c>
      <c r="AT11">
        <f t="shared" ca="1" si="12"/>
        <v>64.90875456427915</v>
      </c>
      <c r="AU11">
        <f t="shared" ca="1" si="12"/>
        <v>63.528541759697561</v>
      </c>
      <c r="AV11">
        <f t="shared" ca="1" si="12"/>
        <v>63.919302151235456</v>
      </c>
      <c r="AW11">
        <f t="shared" ca="1" si="12"/>
        <v>65.90132908441646</v>
      </c>
      <c r="AX11">
        <f t="shared" ca="1" si="12"/>
        <v>69.196575456830985</v>
      </c>
      <c r="AY11">
        <f t="shared" ca="1" si="12"/>
        <v>67.34336480447962</v>
      </c>
      <c r="AZ11">
        <f t="shared" ca="1" si="12"/>
        <v>69.92365049235292</v>
      </c>
      <c r="BA11">
        <f t="shared" ca="1" si="12"/>
        <v>68.521797464672787</v>
      </c>
      <c r="BB11">
        <f t="shared" ca="1" si="12"/>
        <v>66.652396412237962</v>
      </c>
      <c r="BC11">
        <f t="shared" ca="1" si="12"/>
        <v>66.548057839896671</v>
      </c>
      <c r="BD11">
        <f t="shared" ca="1" si="12"/>
        <v>67.495864317704559</v>
      </c>
      <c r="BE11">
        <f t="shared" ca="1" si="12"/>
        <v>67.978849686964239</v>
      </c>
      <c r="BF11">
        <f t="shared" ca="1" si="12"/>
        <v>70.250060924230397</v>
      </c>
      <c r="BG11">
        <f t="shared" ca="1" si="12"/>
        <v>70.76528815108712</v>
      </c>
      <c r="BH11">
        <f t="shared" ca="1" si="12"/>
        <v>70.412894817616319</v>
      </c>
      <c r="BI11">
        <f t="shared" ca="1" si="12"/>
        <v>71.112180221310211</v>
      </c>
      <c r="BJ11">
        <f t="shared" ca="1" si="12"/>
        <v>70.547885394755568</v>
      </c>
      <c r="BK11">
        <f t="shared" ca="1" si="12"/>
        <v>69.293075907833853</v>
      </c>
      <c r="BL11">
        <f t="shared" ca="1" si="12"/>
        <v>70.908492705587207</v>
      </c>
      <c r="BM11">
        <f t="shared" ca="1" si="12"/>
        <v>71.928142024108908</v>
      </c>
      <c r="BN11">
        <f t="shared" ca="1" si="12"/>
        <v>73.251751367360654</v>
      </c>
      <c r="BO11">
        <f t="shared" ca="1" si="4"/>
        <v>15.251751367360654</v>
      </c>
    </row>
    <row r="12" spans="1:67">
      <c r="F12">
        <f t="shared" si="2"/>
        <v>60.99</v>
      </c>
      <c r="G12">
        <f t="shared" ref="G12:BN12" ca="1" si="13">F12*EXP(($B$2-0.5*$B$3^2)*$B$4+$B$3*_xlfn.NORM.INV(RAND(),0,SQRT($B$4)))</f>
        <v>59.675130695786102</v>
      </c>
      <c r="H12">
        <f t="shared" ca="1" si="13"/>
        <v>61.374288527606907</v>
      </c>
      <c r="I12">
        <f t="shared" ca="1" si="13"/>
        <v>60.512556045323457</v>
      </c>
      <c r="J12">
        <f t="shared" ca="1" si="13"/>
        <v>61.582664958673853</v>
      </c>
      <c r="K12">
        <f t="shared" ca="1" si="13"/>
        <v>61.116933530192085</v>
      </c>
      <c r="L12">
        <f t="shared" ca="1" si="13"/>
        <v>61.763562126521272</v>
      </c>
      <c r="M12">
        <f t="shared" ca="1" si="13"/>
        <v>59.450065596971569</v>
      </c>
      <c r="N12">
        <f t="shared" ca="1" si="13"/>
        <v>59.096054299768838</v>
      </c>
      <c r="O12">
        <f t="shared" ca="1" si="13"/>
        <v>60.752345414574243</v>
      </c>
      <c r="P12">
        <f t="shared" ca="1" si="13"/>
        <v>60.380901887857753</v>
      </c>
      <c r="Q12">
        <f t="shared" ca="1" si="13"/>
        <v>60.047836682560444</v>
      </c>
      <c r="R12">
        <f t="shared" ca="1" si="13"/>
        <v>58.291545116791454</v>
      </c>
      <c r="S12">
        <f t="shared" ca="1" si="13"/>
        <v>58.461322424911614</v>
      </c>
      <c r="T12">
        <f t="shared" ca="1" si="13"/>
        <v>59.397340993085933</v>
      </c>
      <c r="U12">
        <f t="shared" ca="1" si="13"/>
        <v>60.487176347938593</v>
      </c>
      <c r="V12">
        <f t="shared" ca="1" si="13"/>
        <v>61.271653425131973</v>
      </c>
      <c r="W12">
        <f t="shared" ca="1" si="13"/>
        <v>62.578405806893748</v>
      </c>
      <c r="X12">
        <f t="shared" ca="1" si="13"/>
        <v>62.474837549532026</v>
      </c>
      <c r="Y12">
        <f t="shared" ca="1" si="13"/>
        <v>62.269422366601653</v>
      </c>
      <c r="Z12">
        <f t="shared" ca="1" si="13"/>
        <v>62.75273447182628</v>
      </c>
      <c r="AA12">
        <f t="shared" ca="1" si="13"/>
        <v>62.264682422136481</v>
      </c>
      <c r="AB12">
        <f t="shared" ca="1" si="13"/>
        <v>62.843282536888388</v>
      </c>
      <c r="AC12">
        <f t="shared" ca="1" si="13"/>
        <v>61.146952378134969</v>
      </c>
      <c r="AD12">
        <f t="shared" ca="1" si="13"/>
        <v>61.354338627211533</v>
      </c>
      <c r="AE12">
        <f t="shared" ca="1" si="13"/>
        <v>62.007863376103295</v>
      </c>
      <c r="AF12">
        <f t="shared" ca="1" si="13"/>
        <v>60.857710146790453</v>
      </c>
      <c r="AG12">
        <f t="shared" ca="1" si="13"/>
        <v>59.925567271192627</v>
      </c>
      <c r="AH12">
        <f t="shared" ca="1" si="13"/>
        <v>60.339201827330825</v>
      </c>
      <c r="AI12">
        <f t="shared" ca="1" si="13"/>
        <v>59.437455584301254</v>
      </c>
      <c r="AJ12">
        <f t="shared" ca="1" si="13"/>
        <v>59.754538888756827</v>
      </c>
      <c r="AK12">
        <f t="shared" ca="1" si="13"/>
        <v>58.742595574129389</v>
      </c>
      <c r="AL12">
        <f t="shared" ca="1" si="13"/>
        <v>59.957377940264912</v>
      </c>
      <c r="AM12">
        <f t="shared" ca="1" si="13"/>
        <v>59.93543272883106</v>
      </c>
      <c r="AN12">
        <f t="shared" ca="1" si="13"/>
        <v>59.610540918479771</v>
      </c>
      <c r="AO12">
        <f t="shared" ca="1" si="13"/>
        <v>60.495963070430726</v>
      </c>
      <c r="AP12">
        <f t="shared" ca="1" si="13"/>
        <v>60.953495677481833</v>
      </c>
      <c r="AQ12">
        <f t="shared" ca="1" si="13"/>
        <v>60.67163768866623</v>
      </c>
      <c r="AR12">
        <f t="shared" ca="1" si="13"/>
        <v>58.962256292146449</v>
      </c>
      <c r="AS12">
        <f t="shared" ca="1" si="13"/>
        <v>58.527283232549024</v>
      </c>
      <c r="AT12">
        <f t="shared" ca="1" si="13"/>
        <v>59.351953564713213</v>
      </c>
      <c r="AU12">
        <f t="shared" ca="1" si="13"/>
        <v>60.913295214804045</v>
      </c>
      <c r="AV12">
        <f t="shared" ca="1" si="13"/>
        <v>60.582822669368909</v>
      </c>
      <c r="AW12">
        <f t="shared" ca="1" si="13"/>
        <v>60.594581363227022</v>
      </c>
      <c r="AX12">
        <f t="shared" ca="1" si="13"/>
        <v>59.091484324132523</v>
      </c>
      <c r="AY12">
        <f t="shared" ca="1" si="13"/>
        <v>60.264097613213792</v>
      </c>
      <c r="AZ12">
        <f t="shared" ca="1" si="13"/>
        <v>59.331479256686272</v>
      </c>
      <c r="BA12">
        <f t="shared" ca="1" si="13"/>
        <v>59.551948103909126</v>
      </c>
      <c r="BB12">
        <f t="shared" ca="1" si="13"/>
        <v>59.380985904800546</v>
      </c>
      <c r="BC12">
        <f t="shared" ca="1" si="13"/>
        <v>59.215130213257176</v>
      </c>
      <c r="BD12">
        <f t="shared" ca="1" si="13"/>
        <v>58.358855602543173</v>
      </c>
      <c r="BE12">
        <f t="shared" ca="1" si="13"/>
        <v>56.684411959831792</v>
      </c>
      <c r="BF12">
        <f t="shared" ca="1" si="13"/>
        <v>57.903100478492149</v>
      </c>
      <c r="BG12">
        <f t="shared" ca="1" si="13"/>
        <v>56.898834754680593</v>
      </c>
      <c r="BH12">
        <f t="shared" ca="1" si="13"/>
        <v>58.58644964552856</v>
      </c>
      <c r="BI12">
        <f t="shared" ca="1" si="13"/>
        <v>60.611767803964028</v>
      </c>
      <c r="BJ12">
        <f t="shared" ca="1" si="13"/>
        <v>59.091775799604349</v>
      </c>
      <c r="BK12">
        <f t="shared" ca="1" si="13"/>
        <v>59.571193298826408</v>
      </c>
      <c r="BL12">
        <f t="shared" ca="1" si="13"/>
        <v>61.447774161546818</v>
      </c>
      <c r="BM12">
        <f t="shared" ca="1" si="13"/>
        <v>60.910673651787704</v>
      </c>
      <c r="BN12">
        <f t="shared" ca="1" si="13"/>
        <v>61.832672086824267</v>
      </c>
      <c r="BO12">
        <f t="shared" ca="1" si="4"/>
        <v>3.8326720868242674</v>
      </c>
    </row>
    <row r="13" spans="1:67">
      <c r="F13">
        <f t="shared" si="2"/>
        <v>60.99</v>
      </c>
      <c r="G13">
        <f t="shared" ref="G13:BN13" ca="1" si="14">F13*EXP(($B$2-0.5*$B$3^2)*$B$4+$B$3*_xlfn.NORM.INV(RAND(),0,SQRT($B$4)))</f>
        <v>60.607284260916799</v>
      </c>
      <c r="H13">
        <f t="shared" ca="1" si="14"/>
        <v>60.335454494660461</v>
      </c>
      <c r="I13">
        <f t="shared" ca="1" si="14"/>
        <v>61.263575362581804</v>
      </c>
      <c r="J13">
        <f t="shared" ca="1" si="14"/>
        <v>61.667473395754328</v>
      </c>
      <c r="K13">
        <f t="shared" ca="1" si="14"/>
        <v>61.127799347815916</v>
      </c>
      <c r="L13">
        <f t="shared" ca="1" si="14"/>
        <v>61.62097259202644</v>
      </c>
      <c r="M13">
        <f t="shared" ca="1" si="14"/>
        <v>60.869941469761223</v>
      </c>
      <c r="N13">
        <f t="shared" ca="1" si="14"/>
        <v>59.650314933766687</v>
      </c>
      <c r="O13">
        <f t="shared" ca="1" si="14"/>
        <v>59.97781337473927</v>
      </c>
      <c r="P13">
        <f t="shared" ca="1" si="14"/>
        <v>59.457952851306949</v>
      </c>
      <c r="Q13">
        <f t="shared" ca="1" si="14"/>
        <v>60.65111822972294</v>
      </c>
      <c r="R13">
        <f t="shared" ca="1" si="14"/>
        <v>59.825477961138766</v>
      </c>
      <c r="S13">
        <f t="shared" ca="1" si="14"/>
        <v>60.491620920520177</v>
      </c>
      <c r="T13">
        <f t="shared" ca="1" si="14"/>
        <v>60.2841104060726</v>
      </c>
      <c r="U13">
        <f t="shared" ca="1" si="14"/>
        <v>60.558935527578939</v>
      </c>
      <c r="V13">
        <f t="shared" ca="1" si="14"/>
        <v>59.764200820643723</v>
      </c>
      <c r="W13">
        <f t="shared" ca="1" si="14"/>
        <v>59.722286447360162</v>
      </c>
      <c r="X13">
        <f t="shared" ca="1" si="14"/>
        <v>60.885587320245079</v>
      </c>
      <c r="Y13">
        <f t="shared" ca="1" si="14"/>
        <v>60.256693330322278</v>
      </c>
      <c r="Z13">
        <f t="shared" ca="1" si="14"/>
        <v>59.149422196571415</v>
      </c>
      <c r="AA13">
        <f t="shared" ca="1" si="14"/>
        <v>59.557205426687922</v>
      </c>
      <c r="AB13">
        <f t="shared" ca="1" si="14"/>
        <v>60.649271774969392</v>
      </c>
      <c r="AC13">
        <f t="shared" ca="1" si="14"/>
        <v>60.084822106553851</v>
      </c>
      <c r="AD13">
        <f t="shared" ca="1" si="14"/>
        <v>61.464974160494833</v>
      </c>
      <c r="AE13">
        <f t="shared" ca="1" si="14"/>
        <v>60.925975454890398</v>
      </c>
      <c r="AF13">
        <f t="shared" ca="1" si="14"/>
        <v>60.819531173525107</v>
      </c>
      <c r="AG13">
        <f t="shared" ca="1" si="14"/>
        <v>63.556235575209477</v>
      </c>
      <c r="AH13">
        <f t="shared" ca="1" si="14"/>
        <v>64.784871091272194</v>
      </c>
      <c r="AI13">
        <f t="shared" ca="1" si="14"/>
        <v>63.870161723275658</v>
      </c>
      <c r="AJ13">
        <f t="shared" ca="1" si="14"/>
        <v>64.750200462146992</v>
      </c>
      <c r="AK13">
        <f t="shared" ca="1" si="14"/>
        <v>64.921824760341281</v>
      </c>
      <c r="AL13">
        <f t="shared" ca="1" si="14"/>
        <v>62.722799288827105</v>
      </c>
      <c r="AM13">
        <f t="shared" ca="1" si="14"/>
        <v>64.240374013359514</v>
      </c>
      <c r="AN13">
        <f t="shared" ca="1" si="14"/>
        <v>65.381693574197996</v>
      </c>
      <c r="AO13">
        <f t="shared" ca="1" si="14"/>
        <v>66.866813217991805</v>
      </c>
      <c r="AP13">
        <f t="shared" ca="1" si="14"/>
        <v>66.596077586490722</v>
      </c>
      <c r="AQ13">
        <f t="shared" ca="1" si="14"/>
        <v>67.941942644146962</v>
      </c>
      <c r="AR13">
        <f t="shared" ca="1" si="14"/>
        <v>70.173696628873614</v>
      </c>
      <c r="AS13">
        <f t="shared" ca="1" si="14"/>
        <v>70.647996067747044</v>
      </c>
      <c r="AT13">
        <f t="shared" ca="1" si="14"/>
        <v>68.969144690452254</v>
      </c>
      <c r="AU13">
        <f t="shared" ca="1" si="14"/>
        <v>69.596995418569165</v>
      </c>
      <c r="AV13">
        <f t="shared" ca="1" si="14"/>
        <v>70.758045036133026</v>
      </c>
      <c r="AW13">
        <f t="shared" ca="1" si="14"/>
        <v>70.603144832742927</v>
      </c>
      <c r="AX13">
        <f t="shared" ca="1" si="14"/>
        <v>71.198128175237642</v>
      </c>
      <c r="AY13">
        <f t="shared" ca="1" si="14"/>
        <v>71.510235365421849</v>
      </c>
      <c r="AZ13">
        <f t="shared" ca="1" si="14"/>
        <v>74.173262764786983</v>
      </c>
      <c r="BA13">
        <f t="shared" ca="1" si="14"/>
        <v>74.335655162818227</v>
      </c>
      <c r="BB13">
        <f t="shared" ca="1" si="14"/>
        <v>71.034948729205865</v>
      </c>
      <c r="BC13">
        <f t="shared" ca="1" si="14"/>
        <v>72.113085701420076</v>
      </c>
      <c r="BD13">
        <f t="shared" ca="1" si="14"/>
        <v>73.767637169868294</v>
      </c>
      <c r="BE13">
        <f t="shared" ca="1" si="14"/>
        <v>75.397281493855658</v>
      </c>
      <c r="BF13">
        <f t="shared" ca="1" si="14"/>
        <v>76.331038838860806</v>
      </c>
      <c r="BG13">
        <f t="shared" ca="1" si="14"/>
        <v>77.082262828750586</v>
      </c>
      <c r="BH13">
        <f t="shared" ca="1" si="14"/>
        <v>74.385383982487198</v>
      </c>
      <c r="BI13">
        <f t="shared" ca="1" si="14"/>
        <v>72.562585272288473</v>
      </c>
      <c r="BJ13">
        <f t="shared" ca="1" si="14"/>
        <v>72.454611238419744</v>
      </c>
      <c r="BK13">
        <f t="shared" ca="1" si="14"/>
        <v>71.664426631684847</v>
      </c>
      <c r="BL13">
        <f t="shared" ca="1" si="14"/>
        <v>70.978314823043647</v>
      </c>
      <c r="BM13">
        <f t="shared" ca="1" si="14"/>
        <v>73.520116448626993</v>
      </c>
      <c r="BN13">
        <f t="shared" ca="1" si="14"/>
        <v>71.86147337953706</v>
      </c>
      <c r="BO13">
        <f t="shared" ca="1" si="4"/>
        <v>13.86147337953706</v>
      </c>
    </row>
    <row r="14" spans="1:67">
      <c r="F14">
        <f t="shared" si="2"/>
        <v>60.99</v>
      </c>
      <c r="G14">
        <f t="shared" ref="G14:BN14" ca="1" si="15">F14*EXP(($B$2-0.5*$B$3^2)*$B$4+$B$3*_xlfn.NORM.INV(RAND(),0,SQRT($B$4)))</f>
        <v>60.843264576159427</v>
      </c>
      <c r="H14">
        <f t="shared" ca="1" si="15"/>
        <v>61.920868589982618</v>
      </c>
      <c r="I14">
        <f t="shared" ca="1" si="15"/>
        <v>60.443604080187995</v>
      </c>
      <c r="J14">
        <f t="shared" ca="1" si="15"/>
        <v>62.284554462088074</v>
      </c>
      <c r="K14">
        <f t="shared" ca="1" si="15"/>
        <v>61.328668590539507</v>
      </c>
      <c r="L14">
        <f t="shared" ca="1" si="15"/>
        <v>60.947210189595793</v>
      </c>
      <c r="M14">
        <f t="shared" ca="1" si="15"/>
        <v>61.429812011807975</v>
      </c>
      <c r="N14">
        <f t="shared" ca="1" si="15"/>
        <v>59.752391025987031</v>
      </c>
      <c r="O14">
        <f t="shared" ca="1" si="15"/>
        <v>60.487002194938881</v>
      </c>
      <c r="P14">
        <f t="shared" ca="1" si="15"/>
        <v>61.28685191734828</v>
      </c>
      <c r="Q14">
        <f t="shared" ca="1" si="15"/>
        <v>59.516196501714639</v>
      </c>
      <c r="R14">
        <f t="shared" ca="1" si="15"/>
        <v>59.802940385011524</v>
      </c>
      <c r="S14">
        <f t="shared" ca="1" si="15"/>
        <v>61.057321464828497</v>
      </c>
      <c r="T14">
        <f t="shared" ca="1" si="15"/>
        <v>59.666058163572842</v>
      </c>
      <c r="U14">
        <f t="shared" ca="1" si="15"/>
        <v>60.144844213753224</v>
      </c>
      <c r="V14">
        <f t="shared" ca="1" si="15"/>
        <v>60.150720411152811</v>
      </c>
      <c r="W14">
        <f t="shared" ca="1" si="15"/>
        <v>59.928160555964602</v>
      </c>
      <c r="X14">
        <f t="shared" ca="1" si="15"/>
        <v>59.871273394497621</v>
      </c>
      <c r="Y14">
        <f t="shared" ca="1" si="15"/>
        <v>60.881997021655934</v>
      </c>
      <c r="Z14">
        <f t="shared" ca="1" si="15"/>
        <v>59.386377104918942</v>
      </c>
      <c r="AA14">
        <f t="shared" ca="1" si="15"/>
        <v>61.822897865033354</v>
      </c>
      <c r="AB14">
        <f t="shared" ca="1" si="15"/>
        <v>61.299868649846978</v>
      </c>
      <c r="AC14">
        <f t="shared" ca="1" si="15"/>
        <v>59.374252455123745</v>
      </c>
      <c r="AD14">
        <f t="shared" ca="1" si="15"/>
        <v>58.61804705309504</v>
      </c>
      <c r="AE14">
        <f t="shared" ca="1" si="15"/>
        <v>59.3730949865895</v>
      </c>
      <c r="AF14">
        <f t="shared" ca="1" si="15"/>
        <v>58.638229190663388</v>
      </c>
      <c r="AG14">
        <f t="shared" ca="1" si="15"/>
        <v>59.884111275561814</v>
      </c>
      <c r="AH14">
        <f t="shared" ca="1" si="15"/>
        <v>61.030737243494464</v>
      </c>
      <c r="AI14">
        <f t="shared" ca="1" si="15"/>
        <v>61.38978120049044</v>
      </c>
      <c r="AJ14">
        <f t="shared" ca="1" si="15"/>
        <v>58.890568831738165</v>
      </c>
      <c r="AK14">
        <f t="shared" ca="1" si="15"/>
        <v>58.122009650906918</v>
      </c>
      <c r="AL14">
        <f t="shared" ca="1" si="15"/>
        <v>57.457217574652432</v>
      </c>
      <c r="AM14">
        <f t="shared" ca="1" si="15"/>
        <v>58.39600693643979</v>
      </c>
      <c r="AN14">
        <f t="shared" ca="1" si="15"/>
        <v>58.34582425933084</v>
      </c>
      <c r="AO14">
        <f t="shared" ca="1" si="15"/>
        <v>58.238826226905182</v>
      </c>
      <c r="AP14">
        <f t="shared" ca="1" si="15"/>
        <v>58.71240613831565</v>
      </c>
      <c r="AQ14">
        <f t="shared" ca="1" si="15"/>
        <v>59.007131491774793</v>
      </c>
      <c r="AR14">
        <f t="shared" ca="1" si="15"/>
        <v>60.208027991591656</v>
      </c>
      <c r="AS14">
        <f t="shared" ca="1" si="15"/>
        <v>60.136717381825875</v>
      </c>
      <c r="AT14">
        <f t="shared" ca="1" si="15"/>
        <v>61.23236060307439</v>
      </c>
      <c r="AU14">
        <f t="shared" ca="1" si="15"/>
        <v>61.274744390417865</v>
      </c>
      <c r="AV14">
        <f t="shared" ca="1" si="15"/>
        <v>60.531155823813457</v>
      </c>
      <c r="AW14">
        <f t="shared" ca="1" si="15"/>
        <v>60.711972304145689</v>
      </c>
      <c r="AX14">
        <f t="shared" ca="1" si="15"/>
        <v>60.922744143492416</v>
      </c>
      <c r="AY14">
        <f t="shared" ca="1" si="15"/>
        <v>59.753047551787105</v>
      </c>
      <c r="AZ14">
        <f t="shared" ca="1" si="15"/>
        <v>59.223649043977311</v>
      </c>
      <c r="BA14">
        <f t="shared" ca="1" si="15"/>
        <v>57.888533578105466</v>
      </c>
      <c r="BB14">
        <f t="shared" ca="1" si="15"/>
        <v>56.890622904835546</v>
      </c>
      <c r="BC14">
        <f t="shared" ca="1" si="15"/>
        <v>57.747429223436399</v>
      </c>
      <c r="BD14">
        <f t="shared" ca="1" si="15"/>
        <v>57.672579361138055</v>
      </c>
      <c r="BE14">
        <f t="shared" ca="1" si="15"/>
        <v>56.373450664310944</v>
      </c>
      <c r="BF14">
        <f t="shared" ca="1" si="15"/>
        <v>58.252884357310009</v>
      </c>
      <c r="BG14">
        <f t="shared" ca="1" si="15"/>
        <v>58.379259030631594</v>
      </c>
      <c r="BH14">
        <f t="shared" ca="1" si="15"/>
        <v>58.209163024335332</v>
      </c>
      <c r="BI14">
        <f t="shared" ca="1" si="15"/>
        <v>57.40439178293105</v>
      </c>
      <c r="BJ14">
        <f t="shared" ca="1" si="15"/>
        <v>57.920456635819356</v>
      </c>
      <c r="BK14">
        <f t="shared" ca="1" si="15"/>
        <v>59.564970642984967</v>
      </c>
      <c r="BL14">
        <f t="shared" ca="1" si="15"/>
        <v>60.545638775788795</v>
      </c>
      <c r="BM14">
        <f t="shared" ca="1" si="15"/>
        <v>60.023923263851316</v>
      </c>
      <c r="BN14">
        <f t="shared" ca="1" si="15"/>
        <v>61.204819517096929</v>
      </c>
      <c r="BO14">
        <f t="shared" ca="1" si="4"/>
        <v>3.2048195170969294</v>
      </c>
    </row>
    <row r="15" spans="1:67">
      <c r="F15">
        <f t="shared" si="2"/>
        <v>60.99</v>
      </c>
      <c r="G15">
        <f t="shared" ref="G15:BN15" ca="1" si="16">F15*EXP(($B$2-0.5*$B$3^2)*$B$4+$B$3*_xlfn.NORM.INV(RAND(),0,SQRT($B$4)))</f>
        <v>62.84133289313052</v>
      </c>
      <c r="H15">
        <f t="shared" ca="1" si="16"/>
        <v>63.621703805523481</v>
      </c>
      <c r="I15">
        <f t="shared" ca="1" si="16"/>
        <v>63.513184823144343</v>
      </c>
      <c r="J15">
        <f t="shared" ca="1" si="16"/>
        <v>64.162714121407333</v>
      </c>
      <c r="K15">
        <f t="shared" ca="1" si="16"/>
        <v>63.320067391044589</v>
      </c>
      <c r="L15">
        <f t="shared" ca="1" si="16"/>
        <v>64.216937001054532</v>
      </c>
      <c r="M15">
        <f t="shared" ca="1" si="16"/>
        <v>64.659285337036238</v>
      </c>
      <c r="N15">
        <f t="shared" ca="1" si="16"/>
        <v>65.801018842501463</v>
      </c>
      <c r="O15">
        <f t="shared" ca="1" si="16"/>
        <v>64.483701940879627</v>
      </c>
      <c r="P15">
        <f t="shared" ca="1" si="16"/>
        <v>65.134590666450734</v>
      </c>
      <c r="Q15">
        <f t="shared" ca="1" si="16"/>
        <v>64.500999693407167</v>
      </c>
      <c r="R15">
        <f t="shared" ca="1" si="16"/>
        <v>63.648720978059622</v>
      </c>
      <c r="S15">
        <f t="shared" ca="1" si="16"/>
        <v>63.511202567673209</v>
      </c>
      <c r="T15">
        <f t="shared" ca="1" si="16"/>
        <v>65.668420153168043</v>
      </c>
      <c r="U15">
        <f t="shared" ca="1" si="16"/>
        <v>64.437695120227829</v>
      </c>
      <c r="V15">
        <f t="shared" ca="1" si="16"/>
        <v>65.609024832978832</v>
      </c>
      <c r="W15">
        <f t="shared" ca="1" si="16"/>
        <v>65.288016080631408</v>
      </c>
      <c r="X15">
        <f t="shared" ca="1" si="16"/>
        <v>65.026235409191969</v>
      </c>
      <c r="Y15">
        <f t="shared" ca="1" si="16"/>
        <v>64.25343792391142</v>
      </c>
      <c r="Z15">
        <f t="shared" ca="1" si="16"/>
        <v>64.023282023492058</v>
      </c>
      <c r="AA15">
        <f t="shared" ca="1" si="16"/>
        <v>64.98427018968944</v>
      </c>
      <c r="AB15">
        <f t="shared" ca="1" si="16"/>
        <v>64.337473029985276</v>
      </c>
      <c r="AC15">
        <f t="shared" ca="1" si="16"/>
        <v>63.683704962162039</v>
      </c>
      <c r="AD15">
        <f t="shared" ca="1" si="16"/>
        <v>62.397484018233669</v>
      </c>
      <c r="AE15">
        <f t="shared" ca="1" si="16"/>
        <v>62.961659781097396</v>
      </c>
      <c r="AF15">
        <f t="shared" ca="1" si="16"/>
        <v>61.929475943246793</v>
      </c>
      <c r="AG15">
        <f t="shared" ca="1" si="16"/>
        <v>64.004225274049517</v>
      </c>
      <c r="AH15">
        <f t="shared" ca="1" si="16"/>
        <v>63.984093127208808</v>
      </c>
      <c r="AI15">
        <f t="shared" ca="1" si="16"/>
        <v>63.153917842101954</v>
      </c>
      <c r="AJ15">
        <f t="shared" ca="1" si="16"/>
        <v>62.906245469393944</v>
      </c>
      <c r="AK15">
        <f t="shared" ca="1" si="16"/>
        <v>64.323915523846054</v>
      </c>
      <c r="AL15">
        <f t="shared" ca="1" si="16"/>
        <v>63.280121604837831</v>
      </c>
      <c r="AM15">
        <f t="shared" ca="1" si="16"/>
        <v>63.050965757161244</v>
      </c>
      <c r="AN15">
        <f t="shared" ca="1" si="16"/>
        <v>61.622701986020516</v>
      </c>
      <c r="AO15">
        <f t="shared" ca="1" si="16"/>
        <v>61.705457397732722</v>
      </c>
      <c r="AP15">
        <f t="shared" ca="1" si="16"/>
        <v>64.537854084436418</v>
      </c>
      <c r="AQ15">
        <f t="shared" ca="1" si="16"/>
        <v>64.151912033454892</v>
      </c>
      <c r="AR15">
        <f t="shared" ca="1" si="16"/>
        <v>66.652812150562823</v>
      </c>
      <c r="AS15">
        <f t="shared" ca="1" si="16"/>
        <v>65.188533688527727</v>
      </c>
      <c r="AT15">
        <f t="shared" ca="1" si="16"/>
        <v>65.09786746939902</v>
      </c>
      <c r="AU15">
        <f t="shared" ca="1" si="16"/>
        <v>64.832438137481901</v>
      </c>
      <c r="AV15">
        <f t="shared" ca="1" si="16"/>
        <v>64.715620888686928</v>
      </c>
      <c r="AW15">
        <f t="shared" ca="1" si="16"/>
        <v>67.234453357714997</v>
      </c>
      <c r="AX15">
        <f t="shared" ca="1" si="16"/>
        <v>67.687989601054539</v>
      </c>
      <c r="AY15">
        <f t="shared" ca="1" si="16"/>
        <v>66.89705755625215</v>
      </c>
      <c r="AZ15">
        <f t="shared" ca="1" si="16"/>
        <v>66.47581275784016</v>
      </c>
      <c r="BA15">
        <f t="shared" ca="1" si="16"/>
        <v>68.19760239847308</v>
      </c>
      <c r="BB15">
        <f t="shared" ca="1" si="16"/>
        <v>68.118324175299108</v>
      </c>
      <c r="BC15">
        <f t="shared" ca="1" si="16"/>
        <v>68.969384696831767</v>
      </c>
      <c r="BD15">
        <f t="shared" ca="1" si="16"/>
        <v>69.9780976503326</v>
      </c>
      <c r="BE15">
        <f t="shared" ca="1" si="16"/>
        <v>70.448868668310027</v>
      </c>
      <c r="BF15">
        <f t="shared" ca="1" si="16"/>
        <v>69.123433906229778</v>
      </c>
      <c r="BG15">
        <f t="shared" ca="1" si="16"/>
        <v>68.851084358055218</v>
      </c>
      <c r="BH15">
        <f t="shared" ca="1" si="16"/>
        <v>70.254505422256884</v>
      </c>
      <c r="BI15">
        <f t="shared" ca="1" si="16"/>
        <v>71.678317423504836</v>
      </c>
      <c r="BJ15">
        <f t="shared" ca="1" si="16"/>
        <v>71.231816676304817</v>
      </c>
      <c r="BK15">
        <f t="shared" ca="1" si="16"/>
        <v>69.174388822381971</v>
      </c>
      <c r="BL15">
        <f t="shared" ca="1" si="16"/>
        <v>69.073971253689891</v>
      </c>
      <c r="BM15">
        <f t="shared" ca="1" si="16"/>
        <v>67.714825285589654</v>
      </c>
      <c r="BN15">
        <f t="shared" ca="1" si="16"/>
        <v>68.182059957563737</v>
      </c>
      <c r="BO15">
        <f t="shared" ca="1" si="4"/>
        <v>10.182059957563737</v>
      </c>
    </row>
    <row r="16" spans="1:67">
      <c r="F16">
        <f t="shared" si="2"/>
        <v>60.99</v>
      </c>
      <c r="G16">
        <f t="shared" ref="G16:BN16" ca="1" si="17">F16*EXP(($B$2-0.5*$B$3^2)*$B$4+$B$3*_xlfn.NORM.INV(RAND(),0,SQRT($B$4)))</f>
        <v>60.682880885821554</v>
      </c>
      <c r="H16">
        <f t="shared" ca="1" si="17"/>
        <v>63.012344011974044</v>
      </c>
      <c r="I16">
        <f t="shared" ca="1" si="17"/>
        <v>62.439255396202874</v>
      </c>
      <c r="J16">
        <f t="shared" ca="1" si="17"/>
        <v>61.376876877973906</v>
      </c>
      <c r="K16">
        <f t="shared" ca="1" si="17"/>
        <v>61.112779006403755</v>
      </c>
      <c r="L16">
        <f t="shared" ca="1" si="17"/>
        <v>59.710562291835224</v>
      </c>
      <c r="M16">
        <f t="shared" ca="1" si="17"/>
        <v>59.986359790592424</v>
      </c>
      <c r="N16">
        <f t="shared" ca="1" si="17"/>
        <v>60.7658223448028</v>
      </c>
      <c r="O16">
        <f t="shared" ca="1" si="17"/>
        <v>61.894862326236016</v>
      </c>
      <c r="P16">
        <f t="shared" ca="1" si="17"/>
        <v>60.326631910649041</v>
      </c>
      <c r="Q16">
        <f t="shared" ca="1" si="17"/>
        <v>58.373041962912936</v>
      </c>
      <c r="R16">
        <f t="shared" ca="1" si="17"/>
        <v>57.704687307431378</v>
      </c>
      <c r="S16">
        <f t="shared" ca="1" si="17"/>
        <v>59.083459856800438</v>
      </c>
      <c r="T16">
        <f t="shared" ca="1" si="17"/>
        <v>58.982364897905221</v>
      </c>
      <c r="U16">
        <f t="shared" ca="1" si="17"/>
        <v>59.532822234693484</v>
      </c>
      <c r="V16">
        <f t="shared" ca="1" si="17"/>
        <v>61.093326159463061</v>
      </c>
      <c r="W16">
        <f t="shared" ca="1" si="17"/>
        <v>61.386180143829449</v>
      </c>
      <c r="X16">
        <f t="shared" ca="1" si="17"/>
        <v>62.374344831461954</v>
      </c>
      <c r="Y16">
        <f t="shared" ca="1" si="17"/>
        <v>62.487796581344448</v>
      </c>
      <c r="Z16">
        <f t="shared" ca="1" si="17"/>
        <v>62.300106121079779</v>
      </c>
      <c r="AA16">
        <f t="shared" ca="1" si="17"/>
        <v>63.257747089633888</v>
      </c>
      <c r="AB16">
        <f t="shared" ca="1" si="17"/>
        <v>62.187009215925912</v>
      </c>
      <c r="AC16">
        <f t="shared" ca="1" si="17"/>
        <v>62.990302040166362</v>
      </c>
      <c r="AD16">
        <f t="shared" ca="1" si="17"/>
        <v>63.709822835671083</v>
      </c>
      <c r="AE16">
        <f t="shared" ca="1" si="17"/>
        <v>63.860648846787036</v>
      </c>
      <c r="AF16">
        <f t="shared" ca="1" si="17"/>
        <v>63.771233024533778</v>
      </c>
      <c r="AG16">
        <f t="shared" ca="1" si="17"/>
        <v>63.825020277738396</v>
      </c>
      <c r="AH16">
        <f t="shared" ca="1" si="17"/>
        <v>66.004446889223104</v>
      </c>
      <c r="AI16">
        <f t="shared" ca="1" si="17"/>
        <v>65.545543301966035</v>
      </c>
      <c r="AJ16">
        <f t="shared" ca="1" si="17"/>
        <v>66.565247457967843</v>
      </c>
      <c r="AK16">
        <f t="shared" ca="1" si="17"/>
        <v>66.341826832566753</v>
      </c>
      <c r="AL16">
        <f t="shared" ca="1" si="17"/>
        <v>65.995507458308836</v>
      </c>
      <c r="AM16">
        <f t="shared" ca="1" si="17"/>
        <v>66.184281932212315</v>
      </c>
      <c r="AN16">
        <f t="shared" ca="1" si="17"/>
        <v>67.465589098343699</v>
      </c>
      <c r="AO16">
        <f t="shared" ca="1" si="17"/>
        <v>68.109516594227657</v>
      </c>
      <c r="AP16">
        <f t="shared" ca="1" si="17"/>
        <v>68.952430488442559</v>
      </c>
      <c r="AQ16">
        <f t="shared" ca="1" si="17"/>
        <v>67.796988232725923</v>
      </c>
      <c r="AR16">
        <f t="shared" ca="1" si="17"/>
        <v>67.301588174191707</v>
      </c>
      <c r="AS16">
        <f t="shared" ca="1" si="17"/>
        <v>67.217739160644996</v>
      </c>
      <c r="AT16">
        <f t="shared" ca="1" si="17"/>
        <v>70.945960666737165</v>
      </c>
      <c r="AU16">
        <f t="shared" ca="1" si="17"/>
        <v>69.227673327926084</v>
      </c>
      <c r="AV16">
        <f t="shared" ca="1" si="17"/>
        <v>67.918950847035816</v>
      </c>
      <c r="AW16">
        <f t="shared" ca="1" si="17"/>
        <v>66.932479853894577</v>
      </c>
      <c r="AX16">
        <f t="shared" ca="1" si="17"/>
        <v>66.713545380380424</v>
      </c>
      <c r="AY16">
        <f t="shared" ca="1" si="17"/>
        <v>67.43935156251969</v>
      </c>
      <c r="AZ16">
        <f t="shared" ca="1" si="17"/>
        <v>65.512266353433006</v>
      </c>
      <c r="BA16">
        <f t="shared" ca="1" si="17"/>
        <v>65.160377501240717</v>
      </c>
      <c r="BB16">
        <f t="shared" ca="1" si="17"/>
        <v>66.041192036803238</v>
      </c>
      <c r="BC16">
        <f t="shared" ca="1" si="17"/>
        <v>65.964838001628777</v>
      </c>
      <c r="BD16">
        <f t="shared" ca="1" si="17"/>
        <v>66.001862729629167</v>
      </c>
      <c r="BE16">
        <f t="shared" ca="1" si="17"/>
        <v>65.577470269839338</v>
      </c>
      <c r="BF16">
        <f t="shared" ca="1" si="17"/>
        <v>64.365982794036384</v>
      </c>
      <c r="BG16">
        <f t="shared" ca="1" si="17"/>
        <v>64.60081369009842</v>
      </c>
      <c r="BH16">
        <f t="shared" ca="1" si="17"/>
        <v>64.265343707263725</v>
      </c>
      <c r="BI16">
        <f t="shared" ca="1" si="17"/>
        <v>64.900211916806981</v>
      </c>
      <c r="BJ16">
        <f t="shared" ca="1" si="17"/>
        <v>65.104874025865982</v>
      </c>
      <c r="BK16">
        <f t="shared" ca="1" si="17"/>
        <v>64.366089338575364</v>
      </c>
      <c r="BL16">
        <f t="shared" ca="1" si="17"/>
        <v>63.307994856533377</v>
      </c>
      <c r="BM16">
        <f t="shared" ca="1" si="17"/>
        <v>64.723946626344528</v>
      </c>
      <c r="BN16">
        <f t="shared" ca="1" si="17"/>
        <v>65.026004223201056</v>
      </c>
      <c r="BO16">
        <f t="shared" ca="1" si="4"/>
        <v>7.0260042232010562</v>
      </c>
    </row>
    <row r="17" spans="6:67">
      <c r="F17">
        <f t="shared" si="2"/>
        <v>60.99</v>
      </c>
      <c r="G17">
        <f t="shared" ref="G17:BN17" ca="1" si="18">F17*EXP(($B$2-0.5*$B$3^2)*$B$4+$B$3*_xlfn.NORM.INV(RAND(),0,SQRT($B$4)))</f>
        <v>61.887502920181284</v>
      </c>
      <c r="H17">
        <f t="shared" ca="1" si="18"/>
        <v>61.669600245526816</v>
      </c>
      <c r="I17">
        <f t="shared" ca="1" si="18"/>
        <v>64.141645770196817</v>
      </c>
      <c r="J17">
        <f t="shared" ca="1" si="18"/>
        <v>64.578160777842626</v>
      </c>
      <c r="K17">
        <f t="shared" ca="1" si="18"/>
        <v>64.29340595839453</v>
      </c>
      <c r="L17">
        <f t="shared" ca="1" si="18"/>
        <v>64.665759417139682</v>
      </c>
      <c r="M17">
        <f t="shared" ca="1" si="18"/>
        <v>64.941288576187205</v>
      </c>
      <c r="N17">
        <f t="shared" ca="1" si="18"/>
        <v>66.179908730165636</v>
      </c>
      <c r="O17">
        <f t="shared" ca="1" si="18"/>
        <v>66.808769751646082</v>
      </c>
      <c r="P17">
        <f t="shared" ca="1" si="18"/>
        <v>67.16067581617969</v>
      </c>
      <c r="Q17">
        <f t="shared" ca="1" si="18"/>
        <v>66.210239919106911</v>
      </c>
      <c r="R17">
        <f t="shared" ca="1" si="18"/>
        <v>66.454766674358837</v>
      </c>
      <c r="S17">
        <f t="shared" ca="1" si="18"/>
        <v>67.318679408819307</v>
      </c>
      <c r="T17">
        <f t="shared" ca="1" si="18"/>
        <v>66.675282048803325</v>
      </c>
      <c r="U17">
        <f t="shared" ca="1" si="18"/>
        <v>69.018537693186346</v>
      </c>
      <c r="V17">
        <f t="shared" ca="1" si="18"/>
        <v>70.34034256520664</v>
      </c>
      <c r="W17">
        <f t="shared" ca="1" si="18"/>
        <v>70.543744320113177</v>
      </c>
      <c r="X17">
        <f t="shared" ca="1" si="18"/>
        <v>71.41395906305921</v>
      </c>
      <c r="Y17">
        <f t="shared" ca="1" si="18"/>
        <v>71.051502067929803</v>
      </c>
      <c r="Z17">
        <f t="shared" ca="1" si="18"/>
        <v>70.64737717331414</v>
      </c>
      <c r="AA17">
        <f t="shared" ca="1" si="18"/>
        <v>70.834214017651561</v>
      </c>
      <c r="AB17">
        <f t="shared" ca="1" si="18"/>
        <v>69.296557731834298</v>
      </c>
      <c r="AC17">
        <f t="shared" ca="1" si="18"/>
        <v>69.39779452526308</v>
      </c>
      <c r="AD17">
        <f t="shared" ca="1" si="18"/>
        <v>70.251348071013908</v>
      </c>
      <c r="AE17">
        <f t="shared" ca="1" si="18"/>
        <v>70.279437704297294</v>
      </c>
      <c r="AF17">
        <f t="shared" ca="1" si="18"/>
        <v>69.268715436527998</v>
      </c>
      <c r="AG17">
        <f t="shared" ca="1" si="18"/>
        <v>69.90215447354835</v>
      </c>
      <c r="AH17">
        <f t="shared" ca="1" si="18"/>
        <v>70.660079314948135</v>
      </c>
      <c r="AI17">
        <f t="shared" ca="1" si="18"/>
        <v>70.969969296874055</v>
      </c>
      <c r="AJ17">
        <f t="shared" ca="1" si="18"/>
        <v>71.184368306438159</v>
      </c>
      <c r="AK17">
        <f t="shared" ca="1" si="18"/>
        <v>70.956895799795547</v>
      </c>
      <c r="AL17">
        <f t="shared" ca="1" si="18"/>
        <v>69.966604339399808</v>
      </c>
      <c r="AM17">
        <f t="shared" ca="1" si="18"/>
        <v>68.313262916469725</v>
      </c>
      <c r="AN17">
        <f t="shared" ca="1" si="18"/>
        <v>67.210851647208187</v>
      </c>
      <c r="AO17">
        <f t="shared" ca="1" si="18"/>
        <v>67.187059943873024</v>
      </c>
      <c r="AP17">
        <f t="shared" ca="1" si="18"/>
        <v>68.608206717271159</v>
      </c>
      <c r="AQ17">
        <f t="shared" ca="1" si="18"/>
        <v>68.531167352369152</v>
      </c>
      <c r="AR17">
        <f t="shared" ca="1" si="18"/>
        <v>66.596703257282371</v>
      </c>
      <c r="AS17">
        <f t="shared" ca="1" si="18"/>
        <v>66.803096532029031</v>
      </c>
      <c r="AT17">
        <f t="shared" ca="1" si="18"/>
        <v>66.177221945615543</v>
      </c>
      <c r="AU17">
        <f t="shared" ca="1" si="18"/>
        <v>66.248542624071277</v>
      </c>
      <c r="AV17">
        <f t="shared" ca="1" si="18"/>
        <v>66.57192755034481</v>
      </c>
      <c r="AW17">
        <f t="shared" ca="1" si="18"/>
        <v>67.360949096021741</v>
      </c>
      <c r="AX17">
        <f t="shared" ca="1" si="18"/>
        <v>68.338471350741486</v>
      </c>
      <c r="AY17">
        <f t="shared" ca="1" si="18"/>
        <v>67.469462306484303</v>
      </c>
      <c r="AZ17">
        <f t="shared" ca="1" si="18"/>
        <v>66.616941300795418</v>
      </c>
      <c r="BA17">
        <f t="shared" ca="1" si="18"/>
        <v>65.70355470460116</v>
      </c>
      <c r="BB17">
        <f t="shared" ca="1" si="18"/>
        <v>63.395653830331192</v>
      </c>
      <c r="BC17">
        <f t="shared" ca="1" si="18"/>
        <v>63.610094265608772</v>
      </c>
      <c r="BD17">
        <f t="shared" ca="1" si="18"/>
        <v>64.206284189216419</v>
      </c>
      <c r="BE17">
        <f t="shared" ca="1" si="18"/>
        <v>63.792116163720237</v>
      </c>
      <c r="BF17">
        <f t="shared" ca="1" si="18"/>
        <v>62.895071642816951</v>
      </c>
      <c r="BG17">
        <f t="shared" ca="1" si="18"/>
        <v>62.956185931543367</v>
      </c>
      <c r="BH17">
        <f t="shared" ca="1" si="18"/>
        <v>63.919776452515691</v>
      </c>
      <c r="BI17">
        <f t="shared" ca="1" si="18"/>
        <v>65.975396449437469</v>
      </c>
      <c r="BJ17">
        <f t="shared" ca="1" si="18"/>
        <v>67.980062631362898</v>
      </c>
      <c r="BK17">
        <f t="shared" ca="1" si="18"/>
        <v>69.433374266202378</v>
      </c>
      <c r="BL17">
        <f t="shared" ca="1" si="18"/>
        <v>73.519502743946632</v>
      </c>
      <c r="BM17">
        <f t="shared" ca="1" si="18"/>
        <v>72.915211229659064</v>
      </c>
      <c r="BN17">
        <f t="shared" ca="1" si="18"/>
        <v>73.206109937210911</v>
      </c>
      <c r="BO17">
        <f t="shared" ca="1" si="4"/>
        <v>15.206109937210911</v>
      </c>
    </row>
    <row r="18" spans="6:67">
      <c r="F18">
        <f t="shared" si="2"/>
        <v>60.99</v>
      </c>
      <c r="G18">
        <f t="shared" ref="G18:BN18" ca="1" si="19">F18*EXP(($B$2-0.5*$B$3^2)*$B$4+$B$3*_xlfn.NORM.INV(RAND(),0,SQRT($B$4)))</f>
        <v>61.853608496404654</v>
      </c>
      <c r="H18">
        <f t="shared" ca="1" si="19"/>
        <v>62.415197694578275</v>
      </c>
      <c r="I18">
        <f t="shared" ca="1" si="19"/>
        <v>62.219380008756417</v>
      </c>
      <c r="J18">
        <f t="shared" ca="1" si="19"/>
        <v>63.850056473865735</v>
      </c>
      <c r="K18">
        <f t="shared" ca="1" si="19"/>
        <v>64.141818933418364</v>
      </c>
      <c r="L18">
        <f t="shared" ca="1" si="19"/>
        <v>65.445634904856988</v>
      </c>
      <c r="M18">
        <f t="shared" ca="1" si="19"/>
        <v>63.160961523514558</v>
      </c>
      <c r="N18">
        <f t="shared" ca="1" si="19"/>
        <v>62.219608193697738</v>
      </c>
      <c r="O18">
        <f t="shared" ca="1" si="19"/>
        <v>62.175951500611852</v>
      </c>
      <c r="P18">
        <f t="shared" ca="1" si="19"/>
        <v>64.751092941126075</v>
      </c>
      <c r="Q18">
        <f t="shared" ca="1" si="19"/>
        <v>65.163920992747492</v>
      </c>
      <c r="R18">
        <f t="shared" ca="1" si="19"/>
        <v>63.414397079359411</v>
      </c>
      <c r="S18">
        <f t="shared" ca="1" si="19"/>
        <v>65.146614219053987</v>
      </c>
      <c r="T18">
        <f t="shared" ca="1" si="19"/>
        <v>64.295915891249834</v>
      </c>
      <c r="U18">
        <f t="shared" ca="1" si="19"/>
        <v>65.943920224557942</v>
      </c>
      <c r="V18">
        <f t="shared" ca="1" si="19"/>
        <v>64.762449977631093</v>
      </c>
      <c r="W18">
        <f t="shared" ca="1" si="19"/>
        <v>66.792060628691388</v>
      </c>
      <c r="X18">
        <f t="shared" ca="1" si="19"/>
        <v>65.531318112107769</v>
      </c>
      <c r="Y18">
        <f t="shared" ca="1" si="19"/>
        <v>65.628151344566973</v>
      </c>
      <c r="Z18">
        <f t="shared" ca="1" si="19"/>
        <v>66.295593693027698</v>
      </c>
      <c r="AA18">
        <f t="shared" ca="1" si="19"/>
        <v>64.882935644183419</v>
      </c>
      <c r="AB18">
        <f t="shared" ca="1" si="19"/>
        <v>66.847755899560156</v>
      </c>
      <c r="AC18">
        <f t="shared" ca="1" si="19"/>
        <v>66.539893538203984</v>
      </c>
      <c r="AD18">
        <f t="shared" ca="1" si="19"/>
        <v>66.189535899032748</v>
      </c>
      <c r="AE18">
        <f t="shared" ca="1" si="19"/>
        <v>65.710660122833133</v>
      </c>
      <c r="AF18">
        <f t="shared" ca="1" si="19"/>
        <v>64.83336346973752</v>
      </c>
      <c r="AG18">
        <f t="shared" ca="1" si="19"/>
        <v>64.020204187148906</v>
      </c>
      <c r="AH18">
        <f t="shared" ca="1" si="19"/>
        <v>64.970599596254445</v>
      </c>
      <c r="AI18">
        <f t="shared" ca="1" si="19"/>
        <v>65.827007168161757</v>
      </c>
      <c r="AJ18">
        <f t="shared" ca="1" si="19"/>
        <v>66.838749270050457</v>
      </c>
      <c r="AK18">
        <f t="shared" ca="1" si="19"/>
        <v>67.334061268809023</v>
      </c>
      <c r="AL18">
        <f t="shared" ca="1" si="19"/>
        <v>68.227796172835113</v>
      </c>
      <c r="AM18">
        <f t="shared" ca="1" si="19"/>
        <v>68.299341682155841</v>
      </c>
      <c r="AN18">
        <f t="shared" ca="1" si="19"/>
        <v>69.776648106772853</v>
      </c>
      <c r="AO18">
        <f t="shared" ca="1" si="19"/>
        <v>68.314046126739967</v>
      </c>
      <c r="AP18">
        <f t="shared" ca="1" si="19"/>
        <v>67.859887957576746</v>
      </c>
      <c r="AQ18">
        <f t="shared" ca="1" si="19"/>
        <v>68.462102604647342</v>
      </c>
      <c r="AR18">
        <f t="shared" ca="1" si="19"/>
        <v>69.857659435195259</v>
      </c>
      <c r="AS18">
        <f t="shared" ca="1" si="19"/>
        <v>68.417638432046999</v>
      </c>
      <c r="AT18">
        <f t="shared" ca="1" si="19"/>
        <v>67.779639981533734</v>
      </c>
      <c r="AU18">
        <f t="shared" ca="1" si="19"/>
        <v>69.200103054834173</v>
      </c>
      <c r="AV18">
        <f t="shared" ca="1" si="19"/>
        <v>67.466033257008434</v>
      </c>
      <c r="AW18">
        <f t="shared" ca="1" si="19"/>
        <v>66.708646148387018</v>
      </c>
      <c r="AX18">
        <f t="shared" ca="1" si="19"/>
        <v>67.837110821231036</v>
      </c>
      <c r="AY18">
        <f t="shared" ca="1" si="19"/>
        <v>68.967491411492432</v>
      </c>
      <c r="AZ18">
        <f t="shared" ca="1" si="19"/>
        <v>67.969988467386827</v>
      </c>
      <c r="BA18">
        <f t="shared" ca="1" si="19"/>
        <v>67.680036600698472</v>
      </c>
      <c r="BB18">
        <f t="shared" ca="1" si="19"/>
        <v>66.889881970038545</v>
      </c>
      <c r="BC18">
        <f t="shared" ca="1" si="19"/>
        <v>67.471396896795511</v>
      </c>
      <c r="BD18">
        <f t="shared" ca="1" si="19"/>
        <v>65.458107905904512</v>
      </c>
      <c r="BE18">
        <f t="shared" ca="1" si="19"/>
        <v>65.773271096737759</v>
      </c>
      <c r="BF18">
        <f t="shared" ca="1" si="19"/>
        <v>66.739510729304456</v>
      </c>
      <c r="BG18">
        <f t="shared" ca="1" si="19"/>
        <v>65.782137126283303</v>
      </c>
      <c r="BH18">
        <f t="shared" ca="1" si="19"/>
        <v>65.523108395624774</v>
      </c>
      <c r="BI18">
        <f t="shared" ca="1" si="19"/>
        <v>65.690869826366566</v>
      </c>
      <c r="BJ18">
        <f t="shared" ca="1" si="19"/>
        <v>66.522566155035392</v>
      </c>
      <c r="BK18">
        <f t="shared" ca="1" si="19"/>
        <v>67.958196870813111</v>
      </c>
      <c r="BL18">
        <f t="shared" ca="1" si="19"/>
        <v>67.460354693868808</v>
      </c>
      <c r="BM18">
        <f t="shared" ca="1" si="19"/>
        <v>65.51959945280268</v>
      </c>
      <c r="BN18">
        <f t="shared" ca="1" si="19"/>
        <v>64.047556626221919</v>
      </c>
      <c r="BO18">
        <f t="shared" ca="1" si="4"/>
        <v>6.0475566262219189</v>
      </c>
    </row>
    <row r="19" spans="6:67">
      <c r="F19">
        <f t="shared" si="2"/>
        <v>60.99</v>
      </c>
      <c r="G19">
        <f t="shared" ref="G19:BN19" ca="1" si="20">F19*EXP(($B$2-0.5*$B$3^2)*$B$4+$B$3*_xlfn.NORM.INV(RAND(),0,SQRT($B$4)))</f>
        <v>61.972308226851752</v>
      </c>
      <c r="H19">
        <f t="shared" ca="1" si="20"/>
        <v>62.499408769460921</v>
      </c>
      <c r="I19">
        <f t="shared" ca="1" si="20"/>
        <v>62.808175117289544</v>
      </c>
      <c r="J19">
        <f t="shared" ca="1" si="20"/>
        <v>62.73431100313968</v>
      </c>
      <c r="K19">
        <f t="shared" ca="1" si="20"/>
        <v>62.145601026611729</v>
      </c>
      <c r="L19">
        <f t="shared" ca="1" si="20"/>
        <v>60.863361371752276</v>
      </c>
      <c r="M19">
        <f t="shared" ca="1" si="20"/>
        <v>61.685308918708955</v>
      </c>
      <c r="N19">
        <f t="shared" ca="1" si="20"/>
        <v>61.451526600186099</v>
      </c>
      <c r="O19">
        <f t="shared" ca="1" si="20"/>
        <v>63.045440806751529</v>
      </c>
      <c r="P19">
        <f t="shared" ca="1" si="20"/>
        <v>61.7847783127445</v>
      </c>
      <c r="Q19">
        <f t="shared" ca="1" si="20"/>
        <v>62.059226839144365</v>
      </c>
      <c r="R19">
        <f t="shared" ca="1" si="20"/>
        <v>64.317004915974252</v>
      </c>
      <c r="S19">
        <f t="shared" ca="1" si="20"/>
        <v>63.807420882937464</v>
      </c>
      <c r="T19">
        <f t="shared" ca="1" si="20"/>
        <v>65.024884286518287</v>
      </c>
      <c r="U19">
        <f t="shared" ca="1" si="20"/>
        <v>63.634194031201105</v>
      </c>
      <c r="V19">
        <f t="shared" ca="1" si="20"/>
        <v>63.074916845327259</v>
      </c>
      <c r="W19">
        <f t="shared" ca="1" si="20"/>
        <v>62.424243903496034</v>
      </c>
      <c r="X19">
        <f t="shared" ca="1" si="20"/>
        <v>64.826701508801477</v>
      </c>
      <c r="Y19">
        <f t="shared" ca="1" si="20"/>
        <v>63.985377874239376</v>
      </c>
      <c r="Z19">
        <f t="shared" ca="1" si="20"/>
        <v>63.527358603051326</v>
      </c>
      <c r="AA19">
        <f t="shared" ca="1" si="20"/>
        <v>64.832147733753644</v>
      </c>
      <c r="AB19">
        <f t="shared" ca="1" si="20"/>
        <v>65.23001754752795</v>
      </c>
      <c r="AC19">
        <f t="shared" ca="1" si="20"/>
        <v>65.000596546990849</v>
      </c>
      <c r="AD19">
        <f t="shared" ca="1" si="20"/>
        <v>63.650776773971018</v>
      </c>
      <c r="AE19">
        <f t="shared" ca="1" si="20"/>
        <v>65.033998906373483</v>
      </c>
      <c r="AF19">
        <f t="shared" ca="1" si="20"/>
        <v>66.016641893611151</v>
      </c>
      <c r="AG19">
        <f t="shared" ca="1" si="20"/>
        <v>66.734172568237199</v>
      </c>
      <c r="AH19">
        <f t="shared" ca="1" si="20"/>
        <v>67.770170462600163</v>
      </c>
      <c r="AI19">
        <f t="shared" ca="1" si="20"/>
        <v>67.492815967395316</v>
      </c>
      <c r="AJ19">
        <f t="shared" ca="1" si="20"/>
        <v>67.869631574472805</v>
      </c>
      <c r="AK19">
        <f t="shared" ca="1" si="20"/>
        <v>70.009080596477062</v>
      </c>
      <c r="AL19">
        <f t="shared" ca="1" si="20"/>
        <v>67.33669512858927</v>
      </c>
      <c r="AM19">
        <f t="shared" ca="1" si="20"/>
        <v>68.917171826407781</v>
      </c>
      <c r="AN19">
        <f t="shared" ca="1" si="20"/>
        <v>68.118050747127569</v>
      </c>
      <c r="AO19">
        <f t="shared" ca="1" si="20"/>
        <v>69.727022804332265</v>
      </c>
      <c r="AP19">
        <f t="shared" ca="1" si="20"/>
        <v>70.458671720403203</v>
      </c>
      <c r="AQ19">
        <f t="shared" ca="1" si="20"/>
        <v>70.57490712915758</v>
      </c>
      <c r="AR19">
        <f t="shared" ca="1" si="20"/>
        <v>68.868871728347074</v>
      </c>
      <c r="AS19">
        <f t="shared" ca="1" si="20"/>
        <v>68.239857472315336</v>
      </c>
      <c r="AT19">
        <f t="shared" ca="1" si="20"/>
        <v>66.95834888370922</v>
      </c>
      <c r="AU19">
        <f t="shared" ca="1" si="20"/>
        <v>67.679672526389169</v>
      </c>
      <c r="AV19">
        <f t="shared" ca="1" si="20"/>
        <v>69.703847878406094</v>
      </c>
      <c r="AW19">
        <f t="shared" ca="1" si="20"/>
        <v>69.178820509906188</v>
      </c>
      <c r="AX19">
        <f t="shared" ca="1" si="20"/>
        <v>69.674051228601655</v>
      </c>
      <c r="AY19">
        <f t="shared" ca="1" si="20"/>
        <v>69.864812954024046</v>
      </c>
      <c r="AZ19">
        <f t="shared" ca="1" si="20"/>
        <v>66.640652484715801</v>
      </c>
      <c r="BA19">
        <f t="shared" ca="1" si="20"/>
        <v>67.100433782399278</v>
      </c>
      <c r="BB19">
        <f t="shared" ca="1" si="20"/>
        <v>65.948656148548423</v>
      </c>
      <c r="BC19">
        <f t="shared" ca="1" si="20"/>
        <v>64.52248771583929</v>
      </c>
      <c r="BD19">
        <f t="shared" ca="1" si="20"/>
        <v>66.205982130269547</v>
      </c>
      <c r="BE19">
        <f t="shared" ca="1" si="20"/>
        <v>67.824948127031831</v>
      </c>
      <c r="BF19">
        <f t="shared" ca="1" si="20"/>
        <v>69.281292873216557</v>
      </c>
      <c r="BG19">
        <f t="shared" ca="1" si="20"/>
        <v>68.149714720211989</v>
      </c>
      <c r="BH19">
        <f t="shared" ca="1" si="20"/>
        <v>67.34629776687261</v>
      </c>
      <c r="BI19">
        <f t="shared" ca="1" si="20"/>
        <v>65.182111158054013</v>
      </c>
      <c r="BJ19">
        <f t="shared" ca="1" si="20"/>
        <v>67.57718913015799</v>
      </c>
      <c r="BK19">
        <f t="shared" ca="1" si="20"/>
        <v>68.260851580660557</v>
      </c>
      <c r="BL19">
        <f t="shared" ca="1" si="20"/>
        <v>65.45817008325848</v>
      </c>
      <c r="BM19">
        <f t="shared" ca="1" si="20"/>
        <v>65.399773978932672</v>
      </c>
      <c r="BN19">
        <f t="shared" ca="1" si="20"/>
        <v>64.418343540891684</v>
      </c>
      <c r="BO19">
        <f t="shared" ca="1" si="4"/>
        <v>6.4183435408916836</v>
      </c>
    </row>
    <row r="20" spans="6:67">
      <c r="F20">
        <f t="shared" si="2"/>
        <v>60.99</v>
      </c>
      <c r="G20">
        <f t="shared" ref="G20:BN20" ca="1" si="21">F20*EXP(($B$2-0.5*$B$3^2)*$B$4+$B$3*_xlfn.NORM.INV(RAND(),0,SQRT($B$4)))</f>
        <v>59.652508555649796</v>
      </c>
      <c r="H20">
        <f t="shared" ca="1" si="21"/>
        <v>59.319647333030929</v>
      </c>
      <c r="I20">
        <f t="shared" ca="1" si="21"/>
        <v>59.941185260685856</v>
      </c>
      <c r="J20">
        <f t="shared" ca="1" si="21"/>
        <v>60.774820452016399</v>
      </c>
      <c r="K20">
        <f t="shared" ca="1" si="21"/>
        <v>60.189899981562611</v>
      </c>
      <c r="L20">
        <f t="shared" ca="1" si="21"/>
        <v>61.13824197366889</v>
      </c>
      <c r="M20">
        <f t="shared" ca="1" si="21"/>
        <v>61.238004894983646</v>
      </c>
      <c r="N20">
        <f t="shared" ca="1" si="21"/>
        <v>62.135778021146507</v>
      </c>
      <c r="O20">
        <f t="shared" ca="1" si="21"/>
        <v>60.294349771352813</v>
      </c>
      <c r="P20">
        <f t="shared" ca="1" si="21"/>
        <v>59.92141452934203</v>
      </c>
      <c r="Q20">
        <f t="shared" ca="1" si="21"/>
        <v>59.873750000613882</v>
      </c>
      <c r="R20">
        <f t="shared" ca="1" si="21"/>
        <v>59.178591922995544</v>
      </c>
      <c r="S20">
        <f t="shared" ca="1" si="21"/>
        <v>61.853605121215807</v>
      </c>
      <c r="T20">
        <f t="shared" ca="1" si="21"/>
        <v>63.335616826228112</v>
      </c>
      <c r="U20">
        <f t="shared" ca="1" si="21"/>
        <v>66.039200405355302</v>
      </c>
      <c r="V20">
        <f t="shared" ca="1" si="21"/>
        <v>66.523327657933265</v>
      </c>
      <c r="W20">
        <f t="shared" ca="1" si="21"/>
        <v>66.02031575059749</v>
      </c>
      <c r="X20">
        <f t="shared" ca="1" si="21"/>
        <v>64.864493111635895</v>
      </c>
      <c r="Y20">
        <f t="shared" ca="1" si="21"/>
        <v>64.942911779149455</v>
      </c>
      <c r="Z20">
        <f t="shared" ca="1" si="21"/>
        <v>67.19645992291376</v>
      </c>
      <c r="AA20">
        <f t="shared" ca="1" si="21"/>
        <v>66.856246459067933</v>
      </c>
      <c r="AB20">
        <f t="shared" ca="1" si="21"/>
        <v>65.123750668510084</v>
      </c>
      <c r="AC20">
        <f t="shared" ca="1" si="21"/>
        <v>66.958596250421508</v>
      </c>
      <c r="AD20">
        <f t="shared" ca="1" si="21"/>
        <v>66.840598463781276</v>
      </c>
      <c r="AE20">
        <f t="shared" ca="1" si="21"/>
        <v>68.007216558885759</v>
      </c>
      <c r="AF20">
        <f t="shared" ca="1" si="21"/>
        <v>67.308203981109557</v>
      </c>
      <c r="AG20">
        <f t="shared" ca="1" si="21"/>
        <v>66.58975267331769</v>
      </c>
      <c r="AH20">
        <f t="shared" ca="1" si="21"/>
        <v>65.748032029968186</v>
      </c>
      <c r="AI20">
        <f t="shared" ca="1" si="21"/>
        <v>63.892814906503972</v>
      </c>
      <c r="AJ20">
        <f t="shared" ca="1" si="21"/>
        <v>63.541538046289247</v>
      </c>
      <c r="AK20">
        <f t="shared" ca="1" si="21"/>
        <v>64.221016095579699</v>
      </c>
      <c r="AL20">
        <f t="shared" ca="1" si="21"/>
        <v>62.315801223581175</v>
      </c>
      <c r="AM20">
        <f t="shared" ca="1" si="21"/>
        <v>63.789420965137566</v>
      </c>
      <c r="AN20">
        <f t="shared" ca="1" si="21"/>
        <v>64.143841024404068</v>
      </c>
      <c r="AO20">
        <f t="shared" ca="1" si="21"/>
        <v>64.742137440899612</v>
      </c>
      <c r="AP20">
        <f t="shared" ca="1" si="21"/>
        <v>65.055046702119554</v>
      </c>
      <c r="AQ20">
        <f t="shared" ca="1" si="21"/>
        <v>63.310021988892991</v>
      </c>
      <c r="AR20">
        <f t="shared" ca="1" si="21"/>
        <v>63.058830459407751</v>
      </c>
      <c r="AS20">
        <f t="shared" ca="1" si="21"/>
        <v>62.386673002563157</v>
      </c>
      <c r="AT20">
        <f t="shared" ca="1" si="21"/>
        <v>62.632855409498177</v>
      </c>
      <c r="AU20">
        <f t="shared" ca="1" si="21"/>
        <v>62.072578506448387</v>
      </c>
      <c r="AV20">
        <f t="shared" ca="1" si="21"/>
        <v>63.095070752669635</v>
      </c>
      <c r="AW20">
        <f t="shared" ca="1" si="21"/>
        <v>61.76903315540293</v>
      </c>
      <c r="AX20">
        <f t="shared" ca="1" si="21"/>
        <v>63.67303053819569</v>
      </c>
      <c r="AY20">
        <f t="shared" ca="1" si="21"/>
        <v>64.676647985298032</v>
      </c>
      <c r="AZ20">
        <f t="shared" ca="1" si="21"/>
        <v>64.229738880594297</v>
      </c>
      <c r="BA20">
        <f t="shared" ca="1" si="21"/>
        <v>63.931826153136306</v>
      </c>
      <c r="BB20">
        <f t="shared" ca="1" si="21"/>
        <v>66.013506555130206</v>
      </c>
      <c r="BC20">
        <f t="shared" ca="1" si="21"/>
        <v>66.72935834058805</v>
      </c>
      <c r="BD20">
        <f t="shared" ca="1" si="21"/>
        <v>66.274590572519571</v>
      </c>
      <c r="BE20">
        <f t="shared" ca="1" si="21"/>
        <v>66.42890034672736</v>
      </c>
      <c r="BF20">
        <f t="shared" ca="1" si="21"/>
        <v>65.000340182690209</v>
      </c>
      <c r="BG20">
        <f t="shared" ca="1" si="21"/>
        <v>65.834211059001021</v>
      </c>
      <c r="BH20">
        <f t="shared" ca="1" si="21"/>
        <v>65.136787098148901</v>
      </c>
      <c r="BI20">
        <f t="shared" ca="1" si="21"/>
        <v>66.007496125027671</v>
      </c>
      <c r="BJ20">
        <f t="shared" ca="1" si="21"/>
        <v>66.844131427170808</v>
      </c>
      <c r="BK20">
        <f t="shared" ca="1" si="21"/>
        <v>65.382584424917439</v>
      </c>
      <c r="BL20">
        <f t="shared" ca="1" si="21"/>
        <v>64.26555919161342</v>
      </c>
      <c r="BM20">
        <f t="shared" ca="1" si="21"/>
        <v>63.382912425238025</v>
      </c>
      <c r="BN20">
        <f t="shared" ca="1" si="21"/>
        <v>63.342920377735524</v>
      </c>
      <c r="BO20">
        <f t="shared" ca="1" si="4"/>
        <v>5.3429203777355241</v>
      </c>
    </row>
    <row r="21" spans="6:67">
      <c r="F21">
        <f t="shared" si="2"/>
        <v>60.99</v>
      </c>
      <c r="G21">
        <f t="shared" ref="G21:BN21" ca="1" si="22">F21*EXP(($B$2-0.5*$B$3^2)*$B$4+$B$3*_xlfn.NORM.INV(RAND(),0,SQRT($B$4)))</f>
        <v>62.199827741136787</v>
      </c>
      <c r="H21">
        <f t="shared" ca="1" si="22"/>
        <v>63.134420686407438</v>
      </c>
      <c r="I21">
        <f t="shared" ca="1" si="22"/>
        <v>64.283822143123658</v>
      </c>
      <c r="J21">
        <f t="shared" ca="1" si="22"/>
        <v>64.029740274438566</v>
      </c>
      <c r="K21">
        <f t="shared" ca="1" si="22"/>
        <v>64.129740461159969</v>
      </c>
      <c r="L21">
        <f t="shared" ca="1" si="22"/>
        <v>63.034077910035585</v>
      </c>
      <c r="M21">
        <f t="shared" ca="1" si="22"/>
        <v>62.120649368750826</v>
      </c>
      <c r="N21">
        <f t="shared" ca="1" si="22"/>
        <v>60.291903101291282</v>
      </c>
      <c r="O21">
        <f t="shared" ca="1" si="22"/>
        <v>59.858834831439154</v>
      </c>
      <c r="P21">
        <f t="shared" ca="1" si="22"/>
        <v>58.383320582638945</v>
      </c>
      <c r="Q21">
        <f t="shared" ca="1" si="22"/>
        <v>59.549522450116164</v>
      </c>
      <c r="R21">
        <f t="shared" ca="1" si="22"/>
        <v>57.965467833614333</v>
      </c>
      <c r="S21">
        <f t="shared" ca="1" si="22"/>
        <v>57.901896084370364</v>
      </c>
      <c r="T21">
        <f t="shared" ca="1" si="22"/>
        <v>58.82473207719584</v>
      </c>
      <c r="U21">
        <f t="shared" ca="1" si="22"/>
        <v>57.33962655454971</v>
      </c>
      <c r="V21">
        <f t="shared" ca="1" si="22"/>
        <v>58.435843168555358</v>
      </c>
      <c r="W21">
        <f t="shared" ca="1" si="22"/>
        <v>57.948177439761501</v>
      </c>
      <c r="X21">
        <f t="shared" ca="1" si="22"/>
        <v>57.18233533804711</v>
      </c>
      <c r="Y21">
        <f t="shared" ca="1" si="22"/>
        <v>56.864762501660692</v>
      </c>
      <c r="Z21">
        <f t="shared" ca="1" si="22"/>
        <v>56.221591519351215</v>
      </c>
      <c r="AA21">
        <f t="shared" ca="1" si="22"/>
        <v>54.863213911096722</v>
      </c>
      <c r="AB21">
        <f t="shared" ca="1" si="22"/>
        <v>55.011038273659885</v>
      </c>
      <c r="AC21">
        <f t="shared" ca="1" si="22"/>
        <v>56.084445528428809</v>
      </c>
      <c r="AD21">
        <f t="shared" ca="1" si="22"/>
        <v>56.268283296579781</v>
      </c>
      <c r="AE21">
        <f t="shared" ca="1" si="22"/>
        <v>56.469158124805624</v>
      </c>
      <c r="AF21">
        <f t="shared" ca="1" si="22"/>
        <v>55.818821259622787</v>
      </c>
      <c r="AG21">
        <f t="shared" ca="1" si="22"/>
        <v>55.854159795220326</v>
      </c>
      <c r="AH21">
        <f t="shared" ca="1" si="22"/>
        <v>56.238642324258045</v>
      </c>
      <c r="AI21">
        <f t="shared" ca="1" si="22"/>
        <v>56.214387088961104</v>
      </c>
      <c r="AJ21">
        <f t="shared" ca="1" si="22"/>
        <v>56.492983940637664</v>
      </c>
      <c r="AK21">
        <f t="shared" ca="1" si="22"/>
        <v>56.723312419124028</v>
      </c>
      <c r="AL21">
        <f t="shared" ca="1" si="22"/>
        <v>56.493922534487687</v>
      </c>
      <c r="AM21">
        <f t="shared" ca="1" si="22"/>
        <v>57.324470306935787</v>
      </c>
      <c r="AN21">
        <f t="shared" ca="1" si="22"/>
        <v>60.560503624825621</v>
      </c>
      <c r="AO21">
        <f t="shared" ca="1" si="22"/>
        <v>59.785984337167868</v>
      </c>
      <c r="AP21">
        <f t="shared" ca="1" si="22"/>
        <v>59.22824857814642</v>
      </c>
      <c r="AQ21">
        <f t="shared" ca="1" si="22"/>
        <v>59.178014192587533</v>
      </c>
      <c r="AR21">
        <f t="shared" ca="1" si="22"/>
        <v>58.732239411651051</v>
      </c>
      <c r="AS21">
        <f t="shared" ca="1" si="22"/>
        <v>60.50370956494627</v>
      </c>
      <c r="AT21">
        <f t="shared" ca="1" si="22"/>
        <v>58.942823045850027</v>
      </c>
      <c r="AU21">
        <f t="shared" ca="1" si="22"/>
        <v>58.509601106114594</v>
      </c>
      <c r="AV21">
        <f t="shared" ca="1" si="22"/>
        <v>56.828087538684606</v>
      </c>
      <c r="AW21">
        <f t="shared" ca="1" si="22"/>
        <v>56.331775188220696</v>
      </c>
      <c r="AX21">
        <f t="shared" ca="1" si="22"/>
        <v>54.29336828857079</v>
      </c>
      <c r="AY21">
        <f t="shared" ca="1" si="22"/>
        <v>52.795477497227438</v>
      </c>
      <c r="AZ21">
        <f t="shared" ca="1" si="22"/>
        <v>53.732303170391916</v>
      </c>
      <c r="BA21">
        <f t="shared" ca="1" si="22"/>
        <v>52.857430713834461</v>
      </c>
      <c r="BB21">
        <f t="shared" ca="1" si="22"/>
        <v>54.449884551045194</v>
      </c>
      <c r="BC21">
        <f t="shared" ca="1" si="22"/>
        <v>54.573821630009576</v>
      </c>
      <c r="BD21">
        <f t="shared" ca="1" si="22"/>
        <v>53.500944907189528</v>
      </c>
      <c r="BE21">
        <f t="shared" ca="1" si="22"/>
        <v>55.576505910129427</v>
      </c>
      <c r="BF21">
        <f t="shared" ca="1" si="22"/>
        <v>54.743428105118582</v>
      </c>
      <c r="BG21">
        <f t="shared" ca="1" si="22"/>
        <v>55.62704442224647</v>
      </c>
      <c r="BH21">
        <f t="shared" ca="1" si="22"/>
        <v>55.50002464638866</v>
      </c>
      <c r="BI21">
        <f t="shared" ca="1" si="22"/>
        <v>54.998182518586333</v>
      </c>
      <c r="BJ21">
        <f t="shared" ca="1" si="22"/>
        <v>55.63771252979182</v>
      </c>
      <c r="BK21">
        <f t="shared" ca="1" si="22"/>
        <v>57.195934833446557</v>
      </c>
      <c r="BL21">
        <f t="shared" ca="1" si="22"/>
        <v>56.982720674480809</v>
      </c>
      <c r="BM21">
        <f t="shared" ca="1" si="22"/>
        <v>56.615194221938367</v>
      </c>
      <c r="BN21">
        <f t="shared" ca="1" si="22"/>
        <v>56.82240717711958</v>
      </c>
      <c r="BO21">
        <f t="shared" ca="1" si="4"/>
        <v>0</v>
      </c>
    </row>
    <row r="22" spans="6:67">
      <c r="F22">
        <f t="shared" si="2"/>
        <v>60.99</v>
      </c>
      <c r="G22">
        <f t="shared" ref="G22:BN22" ca="1" si="23">F22*EXP(($B$2-0.5*$B$3^2)*$B$4+$B$3*_xlfn.NORM.INV(RAND(),0,SQRT($B$4)))</f>
        <v>61.80116279839531</v>
      </c>
      <c r="H22">
        <f t="shared" ca="1" si="23"/>
        <v>60.814199177489385</v>
      </c>
      <c r="I22">
        <f t="shared" ca="1" si="23"/>
        <v>61.98733915650768</v>
      </c>
      <c r="J22">
        <f t="shared" ca="1" si="23"/>
        <v>62.377595983231608</v>
      </c>
      <c r="K22">
        <f t="shared" ca="1" si="23"/>
        <v>63.31372084347084</v>
      </c>
      <c r="L22">
        <f t="shared" ca="1" si="23"/>
        <v>63.031481041955743</v>
      </c>
      <c r="M22">
        <f t="shared" ca="1" si="23"/>
        <v>63.494246414311412</v>
      </c>
      <c r="N22">
        <f t="shared" ca="1" si="23"/>
        <v>64.345024874633623</v>
      </c>
      <c r="O22">
        <f t="shared" ca="1" si="23"/>
        <v>63.192018817352135</v>
      </c>
      <c r="P22">
        <f t="shared" ca="1" si="23"/>
        <v>66.221450946008872</v>
      </c>
      <c r="Q22">
        <f t="shared" ca="1" si="23"/>
        <v>66.601999499090127</v>
      </c>
      <c r="R22">
        <f t="shared" ca="1" si="23"/>
        <v>68.499274434932488</v>
      </c>
      <c r="S22">
        <f t="shared" ca="1" si="23"/>
        <v>70.839986707625229</v>
      </c>
      <c r="T22">
        <f t="shared" ca="1" si="23"/>
        <v>71.171570111866771</v>
      </c>
      <c r="U22">
        <f t="shared" ca="1" si="23"/>
        <v>70.895714729596833</v>
      </c>
      <c r="V22">
        <f t="shared" ca="1" si="23"/>
        <v>69.586721355870523</v>
      </c>
      <c r="W22">
        <f t="shared" ca="1" si="23"/>
        <v>72.167892008547938</v>
      </c>
      <c r="X22">
        <f t="shared" ca="1" si="23"/>
        <v>73.822886527027279</v>
      </c>
      <c r="Y22">
        <f t="shared" ca="1" si="23"/>
        <v>74.377324266929747</v>
      </c>
      <c r="Z22">
        <f t="shared" ca="1" si="23"/>
        <v>72.995927762600502</v>
      </c>
      <c r="AA22">
        <f t="shared" ca="1" si="23"/>
        <v>74.038372517569471</v>
      </c>
      <c r="AB22">
        <f t="shared" ca="1" si="23"/>
        <v>72.738280354932655</v>
      </c>
      <c r="AC22">
        <f t="shared" ca="1" si="23"/>
        <v>71.471808355873534</v>
      </c>
      <c r="AD22">
        <f t="shared" ca="1" si="23"/>
        <v>73.179162018357871</v>
      </c>
      <c r="AE22">
        <f t="shared" ca="1" si="23"/>
        <v>73.222479792997021</v>
      </c>
      <c r="AF22">
        <f t="shared" ca="1" si="23"/>
        <v>73.517643318152494</v>
      </c>
      <c r="AG22">
        <f t="shared" ca="1" si="23"/>
        <v>74.247203184847606</v>
      </c>
      <c r="AH22">
        <f t="shared" ca="1" si="23"/>
        <v>70.984634118388925</v>
      </c>
      <c r="AI22">
        <f t="shared" ca="1" si="23"/>
        <v>68.112524059848894</v>
      </c>
      <c r="AJ22">
        <f t="shared" ca="1" si="23"/>
        <v>68.416826762804718</v>
      </c>
      <c r="AK22">
        <f t="shared" ca="1" si="23"/>
        <v>67.831419166237978</v>
      </c>
      <c r="AL22">
        <f t="shared" ca="1" si="23"/>
        <v>67.295751771056985</v>
      </c>
      <c r="AM22">
        <f t="shared" ca="1" si="23"/>
        <v>67.957988651244818</v>
      </c>
      <c r="AN22">
        <f t="shared" ca="1" si="23"/>
        <v>66.616042294115104</v>
      </c>
      <c r="AO22">
        <f t="shared" ca="1" si="23"/>
        <v>67.813335715986881</v>
      </c>
      <c r="AP22">
        <f t="shared" ca="1" si="23"/>
        <v>67.510836760027203</v>
      </c>
      <c r="AQ22">
        <f t="shared" ca="1" si="23"/>
        <v>66.146918667920033</v>
      </c>
      <c r="AR22">
        <f t="shared" ca="1" si="23"/>
        <v>66.710978633613607</v>
      </c>
      <c r="AS22">
        <f t="shared" ca="1" si="23"/>
        <v>67.329017774151566</v>
      </c>
      <c r="AT22">
        <f t="shared" ca="1" si="23"/>
        <v>66.47866400102555</v>
      </c>
      <c r="AU22">
        <f t="shared" ca="1" si="23"/>
        <v>67.058926846387166</v>
      </c>
      <c r="AV22">
        <f t="shared" ca="1" si="23"/>
        <v>68.081671314693352</v>
      </c>
      <c r="AW22">
        <f t="shared" ca="1" si="23"/>
        <v>69.14437124167813</v>
      </c>
      <c r="AX22">
        <f t="shared" ca="1" si="23"/>
        <v>71.346355763798414</v>
      </c>
      <c r="AY22">
        <f t="shared" ca="1" si="23"/>
        <v>71.903918044614272</v>
      </c>
      <c r="AZ22">
        <f t="shared" ca="1" si="23"/>
        <v>71.464869804267991</v>
      </c>
      <c r="BA22">
        <f t="shared" ca="1" si="23"/>
        <v>72.0757286564222</v>
      </c>
      <c r="BB22">
        <f t="shared" ca="1" si="23"/>
        <v>71.21350301853677</v>
      </c>
      <c r="BC22">
        <f t="shared" ca="1" si="23"/>
        <v>71.9226044329194</v>
      </c>
      <c r="BD22">
        <f t="shared" ca="1" si="23"/>
        <v>74.429416163501898</v>
      </c>
      <c r="BE22">
        <f t="shared" ca="1" si="23"/>
        <v>76.356953573468672</v>
      </c>
      <c r="BF22">
        <f t="shared" ca="1" si="23"/>
        <v>77.948052713253958</v>
      </c>
      <c r="BG22">
        <f t="shared" ca="1" si="23"/>
        <v>80.50873045657994</v>
      </c>
      <c r="BH22">
        <f t="shared" ca="1" si="23"/>
        <v>84.808033825678351</v>
      </c>
      <c r="BI22">
        <f t="shared" ca="1" si="23"/>
        <v>83.828055418517891</v>
      </c>
      <c r="BJ22">
        <f t="shared" ca="1" si="23"/>
        <v>83.407024880913653</v>
      </c>
      <c r="BK22">
        <f t="shared" ca="1" si="23"/>
        <v>83.047493802886166</v>
      </c>
      <c r="BL22">
        <f t="shared" ca="1" si="23"/>
        <v>82.897138841230699</v>
      </c>
      <c r="BM22">
        <f t="shared" ca="1" si="23"/>
        <v>80.693797185024195</v>
      </c>
      <c r="BN22">
        <f t="shared" ca="1" si="23"/>
        <v>84.050971621934977</v>
      </c>
      <c r="BO22">
        <f t="shared" ca="1" si="4"/>
        <v>26.050971621934977</v>
      </c>
    </row>
    <row r="23" spans="6:67">
      <c r="F23">
        <f t="shared" si="2"/>
        <v>60.99</v>
      </c>
      <c r="G23">
        <f t="shared" ref="G23:BN23" ca="1" si="24">F23*EXP(($B$2-0.5*$B$3^2)*$B$4+$B$3*_xlfn.NORM.INV(RAND(),0,SQRT($B$4)))</f>
        <v>60.548782824446405</v>
      </c>
      <c r="H23">
        <f t="shared" ca="1" si="24"/>
        <v>60.058632917878484</v>
      </c>
      <c r="I23">
        <f t="shared" ca="1" si="24"/>
        <v>60.691772358428707</v>
      </c>
      <c r="J23">
        <f t="shared" ca="1" si="24"/>
        <v>60.435270356725127</v>
      </c>
      <c r="K23">
        <f t="shared" ca="1" si="24"/>
        <v>61.239521903648182</v>
      </c>
      <c r="L23">
        <f t="shared" ca="1" si="24"/>
        <v>60.323771267953873</v>
      </c>
      <c r="M23">
        <f t="shared" ca="1" si="24"/>
        <v>60.016336729305699</v>
      </c>
      <c r="N23">
        <f t="shared" ca="1" si="24"/>
        <v>60.104762017371492</v>
      </c>
      <c r="O23">
        <f t="shared" ca="1" si="24"/>
        <v>61.017971402994476</v>
      </c>
      <c r="P23">
        <f t="shared" ca="1" si="24"/>
        <v>62.930014758891261</v>
      </c>
      <c r="Q23">
        <f t="shared" ca="1" si="24"/>
        <v>64.779261425803654</v>
      </c>
      <c r="R23">
        <f t="shared" ca="1" si="24"/>
        <v>65.816683637586365</v>
      </c>
      <c r="S23">
        <f t="shared" ca="1" si="24"/>
        <v>65.357869424999706</v>
      </c>
      <c r="T23">
        <f t="shared" ca="1" si="24"/>
        <v>63.231147645516344</v>
      </c>
      <c r="U23">
        <f t="shared" ca="1" si="24"/>
        <v>63.479118195183631</v>
      </c>
      <c r="V23">
        <f t="shared" ca="1" si="24"/>
        <v>64.444903069713263</v>
      </c>
      <c r="W23">
        <f t="shared" ca="1" si="24"/>
        <v>63.531156681635629</v>
      </c>
      <c r="X23">
        <f t="shared" ca="1" si="24"/>
        <v>64.210503705218045</v>
      </c>
      <c r="Y23">
        <f t="shared" ca="1" si="24"/>
        <v>63.07472952576645</v>
      </c>
      <c r="Z23">
        <f t="shared" ca="1" si="24"/>
        <v>62.392378295186454</v>
      </c>
      <c r="AA23">
        <f t="shared" ca="1" si="24"/>
        <v>62.622143857081518</v>
      </c>
      <c r="AB23">
        <f t="shared" ca="1" si="24"/>
        <v>63.618695749542873</v>
      </c>
      <c r="AC23">
        <f t="shared" ca="1" si="24"/>
        <v>63.589932667236141</v>
      </c>
      <c r="AD23">
        <f t="shared" ca="1" si="24"/>
        <v>63.310210575868609</v>
      </c>
      <c r="AE23">
        <f t="shared" ca="1" si="24"/>
        <v>62.798709592304057</v>
      </c>
      <c r="AF23">
        <f t="shared" ca="1" si="24"/>
        <v>65.945394008834697</v>
      </c>
      <c r="AG23">
        <f t="shared" ca="1" si="24"/>
        <v>68.632156795723461</v>
      </c>
      <c r="AH23">
        <f t="shared" ca="1" si="24"/>
        <v>69.25427733195319</v>
      </c>
      <c r="AI23">
        <f t="shared" ca="1" si="24"/>
        <v>69.405413299410796</v>
      </c>
      <c r="AJ23">
        <f t="shared" ca="1" si="24"/>
        <v>70.20589686012751</v>
      </c>
      <c r="AK23">
        <f t="shared" ca="1" si="24"/>
        <v>69.316603741560371</v>
      </c>
      <c r="AL23">
        <f t="shared" ca="1" si="24"/>
        <v>73.521271101973653</v>
      </c>
      <c r="AM23">
        <f t="shared" ca="1" si="24"/>
        <v>72.559638803998894</v>
      </c>
      <c r="AN23">
        <f t="shared" ca="1" si="24"/>
        <v>73.780287653536746</v>
      </c>
      <c r="AO23">
        <f t="shared" ca="1" si="24"/>
        <v>73.483025918609016</v>
      </c>
      <c r="AP23">
        <f t="shared" ca="1" si="24"/>
        <v>74.206288241202373</v>
      </c>
      <c r="AQ23">
        <f t="shared" ca="1" si="24"/>
        <v>73.778225423613719</v>
      </c>
      <c r="AR23">
        <f t="shared" ca="1" si="24"/>
        <v>74.448771542939539</v>
      </c>
      <c r="AS23">
        <f t="shared" ca="1" si="24"/>
        <v>76.164028464543691</v>
      </c>
      <c r="AT23">
        <f t="shared" ca="1" si="24"/>
        <v>78.508292472798246</v>
      </c>
      <c r="AU23">
        <f t="shared" ca="1" si="24"/>
        <v>78.184288577230006</v>
      </c>
      <c r="AV23">
        <f t="shared" ca="1" si="24"/>
        <v>79.535707079631123</v>
      </c>
      <c r="AW23">
        <f t="shared" ca="1" si="24"/>
        <v>79.000780252125281</v>
      </c>
      <c r="AX23">
        <f t="shared" ca="1" si="24"/>
        <v>81.310320758467896</v>
      </c>
      <c r="AY23">
        <f t="shared" ca="1" si="24"/>
        <v>80.510753210618191</v>
      </c>
      <c r="AZ23">
        <f t="shared" ca="1" si="24"/>
        <v>78.657304432196554</v>
      </c>
      <c r="BA23">
        <f t="shared" ca="1" si="24"/>
        <v>76.557408531530328</v>
      </c>
      <c r="BB23">
        <f t="shared" ca="1" si="24"/>
        <v>76.891588649289133</v>
      </c>
      <c r="BC23">
        <f t="shared" ca="1" si="24"/>
        <v>78.047576515750436</v>
      </c>
      <c r="BD23">
        <f t="shared" ca="1" si="24"/>
        <v>76.561229697231681</v>
      </c>
      <c r="BE23">
        <f t="shared" ca="1" si="24"/>
        <v>76.034670341157323</v>
      </c>
      <c r="BF23">
        <f t="shared" ca="1" si="24"/>
        <v>75.652979371010545</v>
      </c>
      <c r="BG23">
        <f t="shared" ca="1" si="24"/>
        <v>77.880439030496817</v>
      </c>
      <c r="BH23">
        <f t="shared" ca="1" si="24"/>
        <v>80.811973355243012</v>
      </c>
      <c r="BI23">
        <f t="shared" ca="1" si="24"/>
        <v>78.587017125409091</v>
      </c>
      <c r="BJ23">
        <f t="shared" ca="1" si="24"/>
        <v>79.227674596982141</v>
      </c>
      <c r="BK23">
        <f t="shared" ca="1" si="24"/>
        <v>79.814072997704528</v>
      </c>
      <c r="BL23">
        <f t="shared" ca="1" si="24"/>
        <v>79.777653654578259</v>
      </c>
      <c r="BM23">
        <f t="shared" ca="1" si="24"/>
        <v>79.918479112362135</v>
      </c>
      <c r="BN23">
        <f t="shared" ca="1" si="24"/>
        <v>81.603850899888897</v>
      </c>
      <c r="BO23">
        <f t="shared" ca="1" si="4"/>
        <v>23.603850899888897</v>
      </c>
    </row>
    <row r="24" spans="6:67">
      <c r="F24">
        <f t="shared" si="2"/>
        <v>60.99</v>
      </c>
      <c r="G24">
        <f t="shared" ref="G24:BN24" ca="1" si="25">F24*EXP(($B$2-0.5*$B$3^2)*$B$4+$B$3*_xlfn.NORM.INV(RAND(),0,SQRT($B$4)))</f>
        <v>59.982437292781725</v>
      </c>
      <c r="H24">
        <f t="shared" ca="1" si="25"/>
        <v>60.860477178970399</v>
      </c>
      <c r="I24">
        <f t="shared" ca="1" si="25"/>
        <v>61.587231794616123</v>
      </c>
      <c r="J24">
        <f t="shared" ca="1" si="25"/>
        <v>63.035646362971853</v>
      </c>
      <c r="K24">
        <f t="shared" ca="1" si="25"/>
        <v>64.141909168824228</v>
      </c>
      <c r="L24">
        <f t="shared" ca="1" si="25"/>
        <v>64.77310498091262</v>
      </c>
      <c r="M24">
        <f t="shared" ca="1" si="25"/>
        <v>64.522319596828567</v>
      </c>
      <c r="N24">
        <f t="shared" ca="1" si="25"/>
        <v>63.237073166222181</v>
      </c>
      <c r="O24">
        <f t="shared" ca="1" si="25"/>
        <v>61.452915026016782</v>
      </c>
      <c r="P24">
        <f t="shared" ca="1" si="25"/>
        <v>61.151892206742559</v>
      </c>
      <c r="Q24">
        <f t="shared" ca="1" si="25"/>
        <v>62.61454476555798</v>
      </c>
      <c r="R24">
        <f t="shared" ca="1" si="25"/>
        <v>64.930435149406236</v>
      </c>
      <c r="S24">
        <f t="shared" ca="1" si="25"/>
        <v>66.26789797136864</v>
      </c>
      <c r="T24">
        <f t="shared" ca="1" si="25"/>
        <v>68.405891212415824</v>
      </c>
      <c r="U24">
        <f t="shared" ca="1" si="25"/>
        <v>66.337299160879866</v>
      </c>
      <c r="V24">
        <f t="shared" ca="1" si="25"/>
        <v>66.482110411235922</v>
      </c>
      <c r="W24">
        <f t="shared" ca="1" si="25"/>
        <v>68.240637168596052</v>
      </c>
      <c r="X24">
        <f t="shared" ca="1" si="25"/>
        <v>67.502057461211848</v>
      </c>
      <c r="Y24">
        <f t="shared" ca="1" si="25"/>
        <v>66.656379643068249</v>
      </c>
      <c r="Z24">
        <f t="shared" ca="1" si="25"/>
        <v>67.075568588997456</v>
      </c>
      <c r="AA24">
        <f t="shared" ca="1" si="25"/>
        <v>66.552790643816593</v>
      </c>
      <c r="AB24">
        <f t="shared" ca="1" si="25"/>
        <v>65.36833162285528</v>
      </c>
      <c r="AC24">
        <f t="shared" ca="1" si="25"/>
        <v>63.289355744333712</v>
      </c>
      <c r="AD24">
        <f t="shared" ca="1" si="25"/>
        <v>63.710485663717769</v>
      </c>
      <c r="AE24">
        <f t="shared" ca="1" si="25"/>
        <v>66.81098449155418</v>
      </c>
      <c r="AF24">
        <f t="shared" ca="1" si="25"/>
        <v>67.422714954693973</v>
      </c>
      <c r="AG24">
        <f t="shared" ca="1" si="25"/>
        <v>66.117049516253928</v>
      </c>
      <c r="AH24">
        <f t="shared" ca="1" si="25"/>
        <v>66.69222246205932</v>
      </c>
      <c r="AI24">
        <f t="shared" ca="1" si="25"/>
        <v>67.169477160054484</v>
      </c>
      <c r="AJ24">
        <f t="shared" ca="1" si="25"/>
        <v>69.222512397098811</v>
      </c>
      <c r="AK24">
        <f t="shared" ca="1" si="25"/>
        <v>71.183827272377172</v>
      </c>
      <c r="AL24">
        <f t="shared" ca="1" si="25"/>
        <v>71.818628485446212</v>
      </c>
      <c r="AM24">
        <f t="shared" ca="1" si="25"/>
        <v>73.632699513350047</v>
      </c>
      <c r="AN24">
        <f t="shared" ca="1" si="25"/>
        <v>73.127720757827205</v>
      </c>
      <c r="AO24">
        <f t="shared" ca="1" si="25"/>
        <v>75.375325781752835</v>
      </c>
      <c r="AP24">
        <f t="shared" ca="1" si="25"/>
        <v>76.486900177490867</v>
      </c>
      <c r="AQ24">
        <f t="shared" ca="1" si="25"/>
        <v>75.300818586582011</v>
      </c>
      <c r="AR24">
        <f t="shared" ca="1" si="25"/>
        <v>76.175062678913051</v>
      </c>
      <c r="AS24">
        <f t="shared" ca="1" si="25"/>
        <v>76.797778108836766</v>
      </c>
      <c r="AT24">
        <f t="shared" ca="1" si="25"/>
        <v>77.077233062187531</v>
      </c>
      <c r="AU24">
        <f t="shared" ca="1" si="25"/>
        <v>76.4727281283796</v>
      </c>
      <c r="AV24">
        <f t="shared" ca="1" si="25"/>
        <v>77.222160228766583</v>
      </c>
      <c r="AW24">
        <f t="shared" ca="1" si="25"/>
        <v>79.027573036022133</v>
      </c>
      <c r="AX24">
        <f t="shared" ca="1" si="25"/>
        <v>79.987964375512007</v>
      </c>
      <c r="AY24">
        <f t="shared" ca="1" si="25"/>
        <v>79.124686045730542</v>
      </c>
      <c r="AZ24">
        <f t="shared" ca="1" si="25"/>
        <v>81.48681094967209</v>
      </c>
      <c r="BA24">
        <f t="shared" ca="1" si="25"/>
        <v>80.124327321945358</v>
      </c>
      <c r="BB24">
        <f t="shared" ca="1" si="25"/>
        <v>77.800042314798091</v>
      </c>
      <c r="BC24">
        <f t="shared" ca="1" si="25"/>
        <v>79.984663004438843</v>
      </c>
      <c r="BD24">
        <f t="shared" ca="1" si="25"/>
        <v>80.338000451467309</v>
      </c>
      <c r="BE24">
        <f t="shared" ca="1" si="25"/>
        <v>79.86603092918385</v>
      </c>
      <c r="BF24">
        <f t="shared" ca="1" si="25"/>
        <v>80.627193681125419</v>
      </c>
      <c r="BG24">
        <f t="shared" ca="1" si="25"/>
        <v>78.533252279165296</v>
      </c>
      <c r="BH24">
        <f t="shared" ca="1" si="25"/>
        <v>80.338643228746861</v>
      </c>
      <c r="BI24">
        <f t="shared" ca="1" si="25"/>
        <v>81.463525992989588</v>
      </c>
      <c r="BJ24">
        <f t="shared" ca="1" si="25"/>
        <v>81.816474554187153</v>
      </c>
      <c r="BK24">
        <f t="shared" ca="1" si="25"/>
        <v>83.835756642701327</v>
      </c>
      <c r="BL24">
        <f t="shared" ca="1" si="25"/>
        <v>84.965043339944259</v>
      </c>
      <c r="BM24">
        <f t="shared" ca="1" si="25"/>
        <v>85.153932664732423</v>
      </c>
      <c r="BN24">
        <f t="shared" ca="1" si="25"/>
        <v>88.953899252989402</v>
      </c>
      <c r="BO24">
        <f t="shared" ca="1" si="4"/>
        <v>30.953899252989402</v>
      </c>
    </row>
    <row r="25" spans="6:67">
      <c r="F25">
        <f t="shared" si="2"/>
        <v>60.99</v>
      </c>
      <c r="G25">
        <f t="shared" ref="G25:BN25" ca="1" si="26">F25*EXP(($B$2-0.5*$B$3^2)*$B$4+$B$3*_xlfn.NORM.INV(RAND(),0,SQRT($B$4)))</f>
        <v>61.378058546852941</v>
      </c>
      <c r="H25">
        <f t="shared" ca="1" si="26"/>
        <v>60.55349002823656</v>
      </c>
      <c r="I25">
        <f t="shared" ca="1" si="26"/>
        <v>61.29741936516433</v>
      </c>
      <c r="J25">
        <f t="shared" ca="1" si="26"/>
        <v>59.8217192879778</v>
      </c>
      <c r="K25">
        <f t="shared" ca="1" si="26"/>
        <v>60.40206862131096</v>
      </c>
      <c r="L25">
        <f t="shared" ca="1" si="26"/>
        <v>58.876971410653546</v>
      </c>
      <c r="M25">
        <f t="shared" ca="1" si="26"/>
        <v>59.502627057335999</v>
      </c>
      <c r="N25">
        <f t="shared" ca="1" si="26"/>
        <v>58.841209339390723</v>
      </c>
      <c r="O25">
        <f t="shared" ca="1" si="26"/>
        <v>58.006249467410569</v>
      </c>
      <c r="P25">
        <f t="shared" ca="1" si="26"/>
        <v>57.833516606678579</v>
      </c>
      <c r="Q25">
        <f t="shared" ca="1" si="26"/>
        <v>56.277302783906777</v>
      </c>
      <c r="R25">
        <f t="shared" ca="1" si="26"/>
        <v>56.2558462394937</v>
      </c>
      <c r="S25">
        <f t="shared" ca="1" si="26"/>
        <v>56.810659580375109</v>
      </c>
      <c r="T25">
        <f t="shared" ca="1" si="26"/>
        <v>55.738399459288182</v>
      </c>
      <c r="U25">
        <f t="shared" ca="1" si="26"/>
        <v>57.306333884798754</v>
      </c>
      <c r="V25">
        <f t="shared" ca="1" si="26"/>
        <v>58.155404925356457</v>
      </c>
      <c r="W25">
        <f t="shared" ca="1" si="26"/>
        <v>59.046490051677779</v>
      </c>
      <c r="X25">
        <f t="shared" ca="1" si="26"/>
        <v>57.418055757798484</v>
      </c>
      <c r="Y25">
        <f t="shared" ca="1" si="26"/>
        <v>57.896676580067997</v>
      </c>
      <c r="Z25">
        <f t="shared" ca="1" si="26"/>
        <v>56.489097600626671</v>
      </c>
      <c r="AA25">
        <f t="shared" ca="1" si="26"/>
        <v>56.254614423693631</v>
      </c>
      <c r="AB25">
        <f t="shared" ca="1" si="26"/>
        <v>56.03303584287449</v>
      </c>
      <c r="AC25">
        <f t="shared" ca="1" si="26"/>
        <v>57.532211638546052</v>
      </c>
      <c r="AD25">
        <f t="shared" ca="1" si="26"/>
        <v>58.449496449788803</v>
      </c>
      <c r="AE25">
        <f t="shared" ca="1" si="26"/>
        <v>59.404775631693596</v>
      </c>
      <c r="AF25">
        <f t="shared" ca="1" si="26"/>
        <v>57.535685452021696</v>
      </c>
      <c r="AG25">
        <f t="shared" ca="1" si="26"/>
        <v>56.958438569182327</v>
      </c>
      <c r="AH25">
        <f t="shared" ca="1" si="26"/>
        <v>56.653384237271062</v>
      </c>
      <c r="AI25">
        <f t="shared" ca="1" si="26"/>
        <v>55.715221551309469</v>
      </c>
      <c r="AJ25">
        <f t="shared" ca="1" si="26"/>
        <v>56.474017846208774</v>
      </c>
      <c r="AK25">
        <f t="shared" ca="1" si="26"/>
        <v>57.079312253693516</v>
      </c>
      <c r="AL25">
        <f t="shared" ca="1" si="26"/>
        <v>57.183839600006593</v>
      </c>
      <c r="AM25">
        <f t="shared" ca="1" si="26"/>
        <v>57.905414600842171</v>
      </c>
      <c r="AN25">
        <f t="shared" ca="1" si="26"/>
        <v>57.72548946655121</v>
      </c>
      <c r="AO25">
        <f t="shared" ca="1" si="26"/>
        <v>58.598282544521332</v>
      </c>
      <c r="AP25">
        <f t="shared" ca="1" si="26"/>
        <v>57.75904651915917</v>
      </c>
      <c r="AQ25">
        <f t="shared" ca="1" si="26"/>
        <v>58.422707528581746</v>
      </c>
      <c r="AR25">
        <f t="shared" ca="1" si="26"/>
        <v>58.582567354966066</v>
      </c>
      <c r="AS25">
        <f t="shared" ca="1" si="26"/>
        <v>57.594326143998224</v>
      </c>
      <c r="AT25">
        <f t="shared" ca="1" si="26"/>
        <v>60.354996601543455</v>
      </c>
      <c r="AU25">
        <f t="shared" ca="1" si="26"/>
        <v>61.292868504910174</v>
      </c>
      <c r="AV25">
        <f t="shared" ca="1" si="26"/>
        <v>61.147847970746653</v>
      </c>
      <c r="AW25">
        <f t="shared" ca="1" si="26"/>
        <v>63.240313235276332</v>
      </c>
      <c r="AX25">
        <f t="shared" ca="1" si="26"/>
        <v>62.100724582851733</v>
      </c>
      <c r="AY25">
        <f t="shared" ca="1" si="26"/>
        <v>61.903713426724096</v>
      </c>
      <c r="AZ25">
        <f t="shared" ca="1" si="26"/>
        <v>63.48138907894424</v>
      </c>
      <c r="BA25">
        <f t="shared" ca="1" si="26"/>
        <v>64.349518414240038</v>
      </c>
      <c r="BB25">
        <f t="shared" ca="1" si="26"/>
        <v>64.493576301431361</v>
      </c>
      <c r="BC25">
        <f t="shared" ca="1" si="26"/>
        <v>66.351724331904904</v>
      </c>
      <c r="BD25">
        <f t="shared" ca="1" si="26"/>
        <v>66.385747444966071</v>
      </c>
      <c r="BE25">
        <f t="shared" ca="1" si="26"/>
        <v>65.401321341399353</v>
      </c>
      <c r="BF25">
        <f t="shared" ca="1" si="26"/>
        <v>64.480956734141614</v>
      </c>
      <c r="BG25">
        <f t="shared" ca="1" si="26"/>
        <v>64.444362670383654</v>
      </c>
      <c r="BH25">
        <f t="shared" ca="1" si="26"/>
        <v>64.655682617908411</v>
      </c>
      <c r="BI25">
        <f t="shared" ca="1" si="26"/>
        <v>64.13928012368396</v>
      </c>
      <c r="BJ25">
        <f t="shared" ca="1" si="26"/>
        <v>62.746161783182508</v>
      </c>
      <c r="BK25">
        <f t="shared" ca="1" si="26"/>
        <v>63.494234897508406</v>
      </c>
      <c r="BL25">
        <f t="shared" ca="1" si="26"/>
        <v>65.242264836888353</v>
      </c>
      <c r="BM25">
        <f t="shared" ca="1" si="26"/>
        <v>64.307323736519407</v>
      </c>
      <c r="BN25">
        <f t="shared" ca="1" si="26"/>
        <v>63.072220736613993</v>
      </c>
      <c r="BO25">
        <f t="shared" ca="1" si="4"/>
        <v>5.0722207366139926</v>
      </c>
    </row>
    <row r="26" spans="6:67">
      <c r="F26">
        <f t="shared" si="2"/>
        <v>60.99</v>
      </c>
      <c r="G26">
        <f t="shared" ref="G26:BN26" ca="1" si="27">F26*EXP(($B$2-0.5*$B$3^2)*$B$4+$B$3*_xlfn.NORM.INV(RAND(),0,SQRT($B$4)))</f>
        <v>61.576645735917509</v>
      </c>
      <c r="H26">
        <f t="shared" ca="1" si="27"/>
        <v>61.240162631146454</v>
      </c>
      <c r="I26">
        <f t="shared" ca="1" si="27"/>
        <v>61.008546238731839</v>
      </c>
      <c r="J26">
        <f t="shared" ca="1" si="27"/>
        <v>61.798123497082578</v>
      </c>
      <c r="K26">
        <f t="shared" ca="1" si="27"/>
        <v>60.221196797169057</v>
      </c>
      <c r="L26">
        <f t="shared" ca="1" si="27"/>
        <v>61.299730716075658</v>
      </c>
      <c r="M26">
        <f t="shared" ca="1" si="27"/>
        <v>60.822125617703222</v>
      </c>
      <c r="N26">
        <f t="shared" ca="1" si="27"/>
        <v>62.467688894670715</v>
      </c>
      <c r="O26">
        <f t="shared" ca="1" si="27"/>
        <v>61.826194508346276</v>
      </c>
      <c r="P26">
        <f t="shared" ca="1" si="27"/>
        <v>59.608338955835578</v>
      </c>
      <c r="Q26">
        <f t="shared" ca="1" si="27"/>
        <v>59.272105753094522</v>
      </c>
      <c r="R26">
        <f t="shared" ca="1" si="27"/>
        <v>59.207507586870527</v>
      </c>
      <c r="S26">
        <f t="shared" ca="1" si="27"/>
        <v>60.778940503201184</v>
      </c>
      <c r="T26">
        <f t="shared" ca="1" si="27"/>
        <v>59.340394700212087</v>
      </c>
      <c r="U26">
        <f t="shared" ca="1" si="27"/>
        <v>57.682858513940083</v>
      </c>
      <c r="V26">
        <f t="shared" ca="1" si="27"/>
        <v>58.665857771683015</v>
      </c>
      <c r="W26">
        <f t="shared" ca="1" si="27"/>
        <v>60.077385098791325</v>
      </c>
      <c r="X26">
        <f t="shared" ca="1" si="27"/>
        <v>60.874693867602303</v>
      </c>
      <c r="Y26">
        <f t="shared" ca="1" si="27"/>
        <v>60.471012121878928</v>
      </c>
      <c r="Z26">
        <f t="shared" ca="1" si="27"/>
        <v>60.301563755220087</v>
      </c>
      <c r="AA26">
        <f t="shared" ca="1" si="27"/>
        <v>64.27433917630745</v>
      </c>
      <c r="AB26">
        <f t="shared" ca="1" si="27"/>
        <v>63.044021062252838</v>
      </c>
      <c r="AC26">
        <f t="shared" ca="1" si="27"/>
        <v>62.19550161383227</v>
      </c>
      <c r="AD26">
        <f t="shared" ca="1" si="27"/>
        <v>60.388312957160323</v>
      </c>
      <c r="AE26">
        <f t="shared" ca="1" si="27"/>
        <v>60.590500752444001</v>
      </c>
      <c r="AF26">
        <f t="shared" ca="1" si="27"/>
        <v>60.03488513220173</v>
      </c>
      <c r="AG26">
        <f t="shared" ca="1" si="27"/>
        <v>60.446753566846752</v>
      </c>
      <c r="AH26">
        <f t="shared" ca="1" si="27"/>
        <v>62.351226279588552</v>
      </c>
      <c r="AI26">
        <f t="shared" ca="1" si="27"/>
        <v>62.710745450547314</v>
      </c>
      <c r="AJ26">
        <f t="shared" ca="1" si="27"/>
        <v>62.437553756624723</v>
      </c>
      <c r="AK26">
        <f t="shared" ca="1" si="27"/>
        <v>63.387199689637697</v>
      </c>
      <c r="AL26">
        <f t="shared" ca="1" si="27"/>
        <v>64.961460744774982</v>
      </c>
      <c r="AM26">
        <f t="shared" ca="1" si="27"/>
        <v>66.651527294641369</v>
      </c>
      <c r="AN26">
        <f t="shared" ca="1" si="27"/>
        <v>64.466740389095918</v>
      </c>
      <c r="AO26">
        <f t="shared" ca="1" si="27"/>
        <v>63.564996973781597</v>
      </c>
      <c r="AP26">
        <f t="shared" ca="1" si="27"/>
        <v>64.039036453953372</v>
      </c>
      <c r="AQ26">
        <f t="shared" ca="1" si="27"/>
        <v>64.863872470673343</v>
      </c>
      <c r="AR26">
        <f t="shared" ca="1" si="27"/>
        <v>63.718143045795486</v>
      </c>
      <c r="AS26">
        <f t="shared" ca="1" si="27"/>
        <v>63.756210232970176</v>
      </c>
      <c r="AT26">
        <f t="shared" ca="1" si="27"/>
        <v>65.775101653237201</v>
      </c>
      <c r="AU26">
        <f t="shared" ca="1" si="27"/>
        <v>63.879611338740872</v>
      </c>
      <c r="AV26">
        <f t="shared" ca="1" si="27"/>
        <v>66.276719602848118</v>
      </c>
      <c r="AW26">
        <f t="shared" ca="1" si="27"/>
        <v>66.111433646485708</v>
      </c>
      <c r="AX26">
        <f t="shared" ca="1" si="27"/>
        <v>65.718470523285376</v>
      </c>
      <c r="AY26">
        <f t="shared" ca="1" si="27"/>
        <v>67.225470074040615</v>
      </c>
      <c r="AZ26">
        <f t="shared" ca="1" si="27"/>
        <v>67.890319344509535</v>
      </c>
      <c r="BA26">
        <f t="shared" ca="1" si="27"/>
        <v>66.50173796360852</v>
      </c>
      <c r="BB26">
        <f t="shared" ca="1" si="27"/>
        <v>68.138071647204853</v>
      </c>
      <c r="BC26">
        <f t="shared" ca="1" si="27"/>
        <v>68.294289646705209</v>
      </c>
      <c r="BD26">
        <f t="shared" ca="1" si="27"/>
        <v>68.260330343002053</v>
      </c>
      <c r="BE26">
        <f t="shared" ca="1" si="27"/>
        <v>67.077940099010007</v>
      </c>
      <c r="BF26">
        <f t="shared" ca="1" si="27"/>
        <v>69.37160731433427</v>
      </c>
      <c r="BG26">
        <f t="shared" ca="1" si="27"/>
        <v>70.015403069396442</v>
      </c>
      <c r="BH26">
        <f t="shared" ca="1" si="27"/>
        <v>70.391902890786028</v>
      </c>
      <c r="BI26">
        <f t="shared" ca="1" si="27"/>
        <v>72.017199856932734</v>
      </c>
      <c r="BJ26">
        <f t="shared" ca="1" si="27"/>
        <v>70.327819960666673</v>
      </c>
      <c r="BK26">
        <f t="shared" ca="1" si="27"/>
        <v>69.707050709796363</v>
      </c>
      <c r="BL26">
        <f t="shared" ca="1" si="27"/>
        <v>68.965580660370691</v>
      </c>
      <c r="BM26">
        <f t="shared" ca="1" si="27"/>
        <v>69.236280649600403</v>
      </c>
      <c r="BN26">
        <f t="shared" ca="1" si="27"/>
        <v>69.509483575399727</v>
      </c>
      <c r="BO26">
        <f t="shared" ca="1" si="4"/>
        <v>11.509483575399727</v>
      </c>
    </row>
    <row r="27" spans="6:67">
      <c r="F27">
        <f t="shared" si="2"/>
        <v>60.99</v>
      </c>
      <c r="G27">
        <f t="shared" ref="G27:BN27" ca="1" si="28">F27*EXP(($B$2-0.5*$B$3^2)*$B$4+$B$3*_xlfn.NORM.INV(RAND(),0,SQRT($B$4)))</f>
        <v>60.798557135242007</v>
      </c>
      <c r="H27">
        <f t="shared" ca="1" si="28"/>
        <v>62.172782881156763</v>
      </c>
      <c r="I27">
        <f t="shared" ca="1" si="28"/>
        <v>61.656116413208281</v>
      </c>
      <c r="J27">
        <f t="shared" ca="1" si="28"/>
        <v>59.6108341971469</v>
      </c>
      <c r="K27">
        <f t="shared" ca="1" si="28"/>
        <v>58.80028060302174</v>
      </c>
      <c r="L27">
        <f t="shared" ca="1" si="28"/>
        <v>59.192285411612993</v>
      </c>
      <c r="M27">
        <f t="shared" ca="1" si="28"/>
        <v>59.381181498205279</v>
      </c>
      <c r="N27">
        <f t="shared" ca="1" si="28"/>
        <v>58.145218539116868</v>
      </c>
      <c r="O27">
        <f t="shared" ca="1" si="28"/>
        <v>59.222261409481014</v>
      </c>
      <c r="P27">
        <f t="shared" ca="1" si="28"/>
        <v>59.812617386108229</v>
      </c>
      <c r="Q27">
        <f t="shared" ca="1" si="28"/>
        <v>59.041250234073651</v>
      </c>
      <c r="R27">
        <f t="shared" ca="1" si="28"/>
        <v>58.221898566046512</v>
      </c>
      <c r="S27">
        <f t="shared" ca="1" si="28"/>
        <v>55.712414091494104</v>
      </c>
      <c r="T27">
        <f t="shared" ca="1" si="28"/>
        <v>55.727479023096897</v>
      </c>
      <c r="U27">
        <f t="shared" ca="1" si="28"/>
        <v>55.241145353365354</v>
      </c>
      <c r="V27">
        <f t="shared" ca="1" si="28"/>
        <v>55.563775811254196</v>
      </c>
      <c r="W27">
        <f t="shared" ca="1" si="28"/>
        <v>55.393377073386823</v>
      </c>
      <c r="X27">
        <f t="shared" ca="1" si="28"/>
        <v>55.338979934886083</v>
      </c>
      <c r="Y27">
        <f t="shared" ca="1" si="28"/>
        <v>55.597804092746827</v>
      </c>
      <c r="Z27">
        <f t="shared" ca="1" si="28"/>
        <v>54.559435203454775</v>
      </c>
      <c r="AA27">
        <f t="shared" ca="1" si="28"/>
        <v>55.030640933787588</v>
      </c>
      <c r="AB27">
        <f t="shared" ca="1" si="28"/>
        <v>54.223548246822524</v>
      </c>
      <c r="AC27">
        <f t="shared" ca="1" si="28"/>
        <v>54.788980652817351</v>
      </c>
      <c r="AD27">
        <f t="shared" ca="1" si="28"/>
        <v>56.030595449327826</v>
      </c>
      <c r="AE27">
        <f t="shared" ca="1" si="28"/>
        <v>55.0880183347426</v>
      </c>
      <c r="AF27">
        <f t="shared" ca="1" si="28"/>
        <v>56.770156168904848</v>
      </c>
      <c r="AG27">
        <f t="shared" ca="1" si="28"/>
        <v>57.122552221147693</v>
      </c>
      <c r="AH27">
        <f t="shared" ca="1" si="28"/>
        <v>57.292177088461344</v>
      </c>
      <c r="AI27">
        <f t="shared" ca="1" si="28"/>
        <v>58.596327728569712</v>
      </c>
      <c r="AJ27">
        <f t="shared" ca="1" si="28"/>
        <v>57.607871785397712</v>
      </c>
      <c r="AK27">
        <f t="shared" ca="1" si="28"/>
        <v>57.168342839250961</v>
      </c>
      <c r="AL27">
        <f t="shared" ca="1" si="28"/>
        <v>57.930698112364546</v>
      </c>
      <c r="AM27">
        <f t="shared" ca="1" si="28"/>
        <v>58.26655470719151</v>
      </c>
      <c r="AN27">
        <f t="shared" ca="1" si="28"/>
        <v>58.976021654620972</v>
      </c>
      <c r="AO27">
        <f t="shared" ca="1" si="28"/>
        <v>58.62050755763449</v>
      </c>
      <c r="AP27">
        <f t="shared" ca="1" si="28"/>
        <v>58.600677933436387</v>
      </c>
      <c r="AQ27">
        <f t="shared" ca="1" si="28"/>
        <v>58.895127958627882</v>
      </c>
      <c r="AR27">
        <f t="shared" ca="1" si="28"/>
        <v>59.487910281407302</v>
      </c>
      <c r="AS27">
        <f t="shared" ca="1" si="28"/>
        <v>58.789088619010947</v>
      </c>
      <c r="AT27">
        <f t="shared" ca="1" si="28"/>
        <v>56.296740280152541</v>
      </c>
      <c r="AU27">
        <f t="shared" ca="1" si="28"/>
        <v>55.806851286258912</v>
      </c>
      <c r="AV27">
        <f t="shared" ca="1" si="28"/>
        <v>57.210400233547276</v>
      </c>
      <c r="AW27">
        <f t="shared" ca="1" si="28"/>
        <v>56.680678082301654</v>
      </c>
      <c r="AX27">
        <f t="shared" ca="1" si="28"/>
        <v>56.60425741380898</v>
      </c>
      <c r="AY27">
        <f t="shared" ca="1" si="28"/>
        <v>57.703580916853134</v>
      </c>
      <c r="AZ27">
        <f t="shared" ca="1" si="28"/>
        <v>57.153950419412318</v>
      </c>
      <c r="BA27">
        <f t="shared" ca="1" si="28"/>
        <v>56.786926984166186</v>
      </c>
      <c r="BB27">
        <f t="shared" ca="1" si="28"/>
        <v>57.799815416530883</v>
      </c>
      <c r="BC27">
        <f t="shared" ca="1" si="28"/>
        <v>57.358827973119695</v>
      </c>
      <c r="BD27">
        <f t="shared" ca="1" si="28"/>
        <v>59.272327469669555</v>
      </c>
      <c r="BE27">
        <f t="shared" ca="1" si="28"/>
        <v>58.524951070140681</v>
      </c>
      <c r="BF27">
        <f t="shared" ca="1" si="28"/>
        <v>57.573056890071257</v>
      </c>
      <c r="BG27">
        <f t="shared" ca="1" si="28"/>
        <v>57.581858582717437</v>
      </c>
      <c r="BH27">
        <f t="shared" ca="1" si="28"/>
        <v>56.292099142282296</v>
      </c>
      <c r="BI27">
        <f t="shared" ca="1" si="28"/>
        <v>55.945736233624046</v>
      </c>
      <c r="BJ27">
        <f t="shared" ca="1" si="28"/>
        <v>55.30969155370849</v>
      </c>
      <c r="BK27">
        <f t="shared" ca="1" si="28"/>
        <v>55.232361842921144</v>
      </c>
      <c r="BL27">
        <f t="shared" ca="1" si="28"/>
        <v>56.440497236221063</v>
      </c>
      <c r="BM27">
        <f t="shared" ca="1" si="28"/>
        <v>58.342981602234545</v>
      </c>
      <c r="BN27">
        <f t="shared" ca="1" si="28"/>
        <v>58.263959957583268</v>
      </c>
      <c r="BO27">
        <f t="shared" ca="1" si="4"/>
        <v>0.26395995758326762</v>
      </c>
    </row>
    <row r="28" spans="6:67">
      <c r="F28">
        <f t="shared" si="2"/>
        <v>60.99</v>
      </c>
      <c r="G28">
        <f t="shared" ref="G28:BN28" ca="1" si="29">F28*EXP(($B$2-0.5*$B$3^2)*$B$4+$B$3*_xlfn.NORM.INV(RAND(),0,SQRT($B$4)))</f>
        <v>60.834619571439234</v>
      </c>
      <c r="H28">
        <f t="shared" ca="1" si="29"/>
        <v>60.650106993444027</v>
      </c>
      <c r="I28">
        <f t="shared" ca="1" si="29"/>
        <v>61.612941082401356</v>
      </c>
      <c r="J28">
        <f t="shared" ca="1" si="29"/>
        <v>62.454455506000549</v>
      </c>
      <c r="K28">
        <f t="shared" ca="1" si="29"/>
        <v>61.545907077129819</v>
      </c>
      <c r="L28">
        <f t="shared" ca="1" si="29"/>
        <v>61.1019049983095</v>
      </c>
      <c r="M28">
        <f t="shared" ca="1" si="29"/>
        <v>60.078724982233254</v>
      </c>
      <c r="N28">
        <f t="shared" ca="1" si="29"/>
        <v>61.208478689873196</v>
      </c>
      <c r="O28">
        <f t="shared" ca="1" si="29"/>
        <v>64.148692668592602</v>
      </c>
      <c r="P28">
        <f t="shared" ca="1" si="29"/>
        <v>63.730434825175706</v>
      </c>
      <c r="Q28">
        <f t="shared" ca="1" si="29"/>
        <v>65.842239614580464</v>
      </c>
      <c r="R28">
        <f t="shared" ca="1" si="29"/>
        <v>66.02109840163142</v>
      </c>
      <c r="S28">
        <f t="shared" ca="1" si="29"/>
        <v>66.366761468544254</v>
      </c>
      <c r="T28">
        <f t="shared" ca="1" si="29"/>
        <v>66.184083141379887</v>
      </c>
      <c r="U28">
        <f t="shared" ca="1" si="29"/>
        <v>65.844835334268168</v>
      </c>
      <c r="V28">
        <f t="shared" ca="1" si="29"/>
        <v>66.453196979887664</v>
      </c>
      <c r="W28">
        <f t="shared" ca="1" si="29"/>
        <v>65.207038695785116</v>
      </c>
      <c r="X28">
        <f t="shared" ca="1" si="29"/>
        <v>65.560223418643361</v>
      </c>
      <c r="Y28">
        <f t="shared" ca="1" si="29"/>
        <v>63.021775254667695</v>
      </c>
      <c r="Z28">
        <f t="shared" ca="1" si="29"/>
        <v>62.417998915813591</v>
      </c>
      <c r="AA28">
        <f t="shared" ca="1" si="29"/>
        <v>60.544499608234716</v>
      </c>
      <c r="AB28">
        <f t="shared" ca="1" si="29"/>
        <v>59.30382942146764</v>
      </c>
      <c r="AC28">
        <f t="shared" ca="1" si="29"/>
        <v>60.403072364290637</v>
      </c>
      <c r="AD28">
        <f t="shared" ca="1" si="29"/>
        <v>59.564586883999674</v>
      </c>
      <c r="AE28">
        <f t="shared" ca="1" si="29"/>
        <v>59.92598223849587</v>
      </c>
      <c r="AF28">
        <f t="shared" ca="1" si="29"/>
        <v>60.757896602457166</v>
      </c>
      <c r="AG28">
        <f t="shared" ca="1" si="29"/>
        <v>60.248001257583326</v>
      </c>
      <c r="AH28">
        <f t="shared" ca="1" si="29"/>
        <v>59.978378773397175</v>
      </c>
      <c r="AI28">
        <f t="shared" ca="1" si="29"/>
        <v>61.198272485536165</v>
      </c>
      <c r="AJ28">
        <f t="shared" ca="1" si="29"/>
        <v>62.404544547579327</v>
      </c>
      <c r="AK28">
        <f t="shared" ca="1" si="29"/>
        <v>62.34532888900236</v>
      </c>
      <c r="AL28">
        <f t="shared" ca="1" si="29"/>
        <v>63.475961428331367</v>
      </c>
      <c r="AM28">
        <f t="shared" ca="1" si="29"/>
        <v>63.291741341049381</v>
      </c>
      <c r="AN28">
        <f t="shared" ca="1" si="29"/>
        <v>63.686563631262025</v>
      </c>
      <c r="AO28">
        <f t="shared" ca="1" si="29"/>
        <v>64.882221257744547</v>
      </c>
      <c r="AP28">
        <f t="shared" ca="1" si="29"/>
        <v>63.987364409842016</v>
      </c>
      <c r="AQ28">
        <f t="shared" ca="1" si="29"/>
        <v>64.434355841201551</v>
      </c>
      <c r="AR28">
        <f t="shared" ca="1" si="29"/>
        <v>64.295054120214445</v>
      </c>
      <c r="AS28">
        <f t="shared" ca="1" si="29"/>
        <v>63.84557248118908</v>
      </c>
      <c r="AT28">
        <f t="shared" ca="1" si="29"/>
        <v>66.402091970201482</v>
      </c>
      <c r="AU28">
        <f t="shared" ca="1" si="29"/>
        <v>67.998382056431097</v>
      </c>
      <c r="AV28">
        <f t="shared" ca="1" si="29"/>
        <v>66.384227288448116</v>
      </c>
      <c r="AW28">
        <f t="shared" ca="1" si="29"/>
        <v>68.721341445767834</v>
      </c>
      <c r="AX28">
        <f t="shared" ca="1" si="29"/>
        <v>70.363696080449969</v>
      </c>
      <c r="AY28">
        <f t="shared" ca="1" si="29"/>
        <v>70.727698950712607</v>
      </c>
      <c r="AZ28">
        <f t="shared" ca="1" si="29"/>
        <v>69.889986025853545</v>
      </c>
      <c r="BA28">
        <f t="shared" ca="1" si="29"/>
        <v>69.584814200052222</v>
      </c>
      <c r="BB28">
        <f t="shared" ca="1" si="29"/>
        <v>71.059036784008853</v>
      </c>
      <c r="BC28">
        <f t="shared" ca="1" si="29"/>
        <v>71.628766526372601</v>
      </c>
      <c r="BD28">
        <f t="shared" ca="1" si="29"/>
        <v>69.842450925566368</v>
      </c>
      <c r="BE28">
        <f t="shared" ca="1" si="29"/>
        <v>69.050989056569151</v>
      </c>
      <c r="BF28">
        <f t="shared" ca="1" si="29"/>
        <v>67.680596873363697</v>
      </c>
      <c r="BG28">
        <f t="shared" ca="1" si="29"/>
        <v>69.06492509895115</v>
      </c>
      <c r="BH28">
        <f t="shared" ca="1" si="29"/>
        <v>69.040360134800395</v>
      </c>
      <c r="BI28">
        <f t="shared" ca="1" si="29"/>
        <v>67.478439826885648</v>
      </c>
      <c r="BJ28">
        <f t="shared" ca="1" si="29"/>
        <v>69.73929210497306</v>
      </c>
      <c r="BK28">
        <f t="shared" ca="1" si="29"/>
        <v>67.620087841924615</v>
      </c>
      <c r="BL28">
        <f t="shared" ca="1" si="29"/>
        <v>67.077210342898709</v>
      </c>
      <c r="BM28">
        <f t="shared" ca="1" si="29"/>
        <v>67.736031922398439</v>
      </c>
      <c r="BN28">
        <f t="shared" ca="1" si="29"/>
        <v>68.251900982647669</v>
      </c>
      <c r="BO28">
        <f t="shared" ca="1" si="4"/>
        <v>10.251900982647669</v>
      </c>
    </row>
    <row r="29" spans="6:67">
      <c r="F29">
        <f t="shared" si="2"/>
        <v>60.99</v>
      </c>
      <c r="G29">
        <f t="shared" ref="G29:BN29" ca="1" si="30">F29*EXP(($B$2-0.5*$B$3^2)*$B$4+$B$3*_xlfn.NORM.INV(RAND(),0,SQRT($B$4)))</f>
        <v>60.580729640851175</v>
      </c>
      <c r="H29">
        <f t="shared" ca="1" si="30"/>
        <v>62.671192095419556</v>
      </c>
      <c r="I29">
        <f t="shared" ca="1" si="30"/>
        <v>64.234579187033248</v>
      </c>
      <c r="J29">
        <f t="shared" ca="1" si="30"/>
        <v>63.702823724048571</v>
      </c>
      <c r="K29">
        <f t="shared" ca="1" si="30"/>
        <v>63.94261752790036</v>
      </c>
      <c r="L29">
        <f t="shared" ca="1" si="30"/>
        <v>66.550052259811025</v>
      </c>
      <c r="M29">
        <f t="shared" ca="1" si="30"/>
        <v>65.035417347818168</v>
      </c>
      <c r="N29">
        <f t="shared" ca="1" si="30"/>
        <v>64.974531114841213</v>
      </c>
      <c r="O29">
        <f t="shared" ca="1" si="30"/>
        <v>65.153390031008243</v>
      </c>
      <c r="P29">
        <f t="shared" ca="1" si="30"/>
        <v>64.194203615980271</v>
      </c>
      <c r="Q29">
        <f t="shared" ca="1" si="30"/>
        <v>63.476963663666233</v>
      </c>
      <c r="R29">
        <f t="shared" ca="1" si="30"/>
        <v>63.890731446549815</v>
      </c>
      <c r="S29">
        <f t="shared" ca="1" si="30"/>
        <v>64.801630939137979</v>
      </c>
      <c r="T29">
        <f t="shared" ca="1" si="30"/>
        <v>64.86228593679472</v>
      </c>
      <c r="U29">
        <f t="shared" ca="1" si="30"/>
        <v>65.312404196445527</v>
      </c>
      <c r="V29">
        <f t="shared" ca="1" si="30"/>
        <v>67.725122125742459</v>
      </c>
      <c r="W29">
        <f t="shared" ca="1" si="30"/>
        <v>68.552668377188581</v>
      </c>
      <c r="X29">
        <f t="shared" ca="1" si="30"/>
        <v>66.5046229090201</v>
      </c>
      <c r="Y29">
        <f t="shared" ca="1" si="30"/>
        <v>65.741552393890245</v>
      </c>
      <c r="Z29">
        <f t="shared" ca="1" si="30"/>
        <v>67.982912875629438</v>
      </c>
      <c r="AA29">
        <f t="shared" ca="1" si="30"/>
        <v>66.473618977536063</v>
      </c>
      <c r="AB29">
        <f t="shared" ca="1" si="30"/>
        <v>66.127970593742532</v>
      </c>
      <c r="AC29">
        <f t="shared" ca="1" si="30"/>
        <v>64.653712666027332</v>
      </c>
      <c r="AD29">
        <f t="shared" ca="1" si="30"/>
        <v>63.985175975515993</v>
      </c>
      <c r="AE29">
        <f t="shared" ca="1" si="30"/>
        <v>63.753028335306873</v>
      </c>
      <c r="AF29">
        <f t="shared" ca="1" si="30"/>
        <v>63.466529191980698</v>
      </c>
      <c r="AG29">
        <f t="shared" ca="1" si="30"/>
        <v>63.525624408162088</v>
      </c>
      <c r="AH29">
        <f t="shared" ca="1" si="30"/>
        <v>63.706349704405532</v>
      </c>
      <c r="AI29">
        <f t="shared" ca="1" si="30"/>
        <v>62.721685524883235</v>
      </c>
      <c r="AJ29">
        <f t="shared" ca="1" si="30"/>
        <v>61.713972839215351</v>
      </c>
      <c r="AK29">
        <f t="shared" ca="1" si="30"/>
        <v>62.435993970995135</v>
      </c>
      <c r="AL29">
        <f t="shared" ca="1" si="30"/>
        <v>63.229531610033206</v>
      </c>
      <c r="AM29">
        <f t="shared" ca="1" si="30"/>
        <v>64.691722188296538</v>
      </c>
      <c r="AN29">
        <f t="shared" ca="1" si="30"/>
        <v>64.018695968729389</v>
      </c>
      <c r="AO29">
        <f t="shared" ca="1" si="30"/>
        <v>63.339751060884282</v>
      </c>
      <c r="AP29">
        <f t="shared" ca="1" si="30"/>
        <v>63.035270742436346</v>
      </c>
      <c r="AQ29">
        <f t="shared" ca="1" si="30"/>
        <v>61.921274984084683</v>
      </c>
      <c r="AR29">
        <f t="shared" ca="1" si="30"/>
        <v>62.412903043120664</v>
      </c>
      <c r="AS29">
        <f t="shared" ca="1" si="30"/>
        <v>62.045463413414573</v>
      </c>
      <c r="AT29">
        <f t="shared" ca="1" si="30"/>
        <v>62.547860791765508</v>
      </c>
      <c r="AU29">
        <f t="shared" ca="1" si="30"/>
        <v>64.910332046706898</v>
      </c>
      <c r="AV29">
        <f t="shared" ca="1" si="30"/>
        <v>64.47063787875517</v>
      </c>
      <c r="AW29">
        <f t="shared" ca="1" si="30"/>
        <v>63.832894687820591</v>
      </c>
      <c r="AX29">
        <f t="shared" ca="1" si="30"/>
        <v>64.461900797892469</v>
      </c>
      <c r="AY29">
        <f t="shared" ca="1" si="30"/>
        <v>64.615886677533524</v>
      </c>
      <c r="AZ29">
        <f t="shared" ca="1" si="30"/>
        <v>64.073291730894795</v>
      </c>
      <c r="BA29">
        <f t="shared" ca="1" si="30"/>
        <v>63.139436669292081</v>
      </c>
      <c r="BB29">
        <f t="shared" ca="1" si="30"/>
        <v>61.100574790036738</v>
      </c>
      <c r="BC29">
        <f t="shared" ca="1" si="30"/>
        <v>60.36378115313186</v>
      </c>
      <c r="BD29">
        <f t="shared" ca="1" si="30"/>
        <v>61.178325843758046</v>
      </c>
      <c r="BE29">
        <f t="shared" ca="1" si="30"/>
        <v>62.24842376497827</v>
      </c>
      <c r="BF29">
        <f t="shared" ca="1" si="30"/>
        <v>62.230763387832162</v>
      </c>
      <c r="BG29">
        <f t="shared" ca="1" si="30"/>
        <v>62.51129546111779</v>
      </c>
      <c r="BH29">
        <f t="shared" ca="1" si="30"/>
        <v>63.397735330539284</v>
      </c>
      <c r="BI29">
        <f t="shared" ca="1" si="30"/>
        <v>64.101272950353348</v>
      </c>
      <c r="BJ29">
        <f t="shared" ca="1" si="30"/>
        <v>63.840388307982522</v>
      </c>
      <c r="BK29">
        <f t="shared" ca="1" si="30"/>
        <v>62.564361229613368</v>
      </c>
      <c r="BL29">
        <f t="shared" ca="1" si="30"/>
        <v>60.204436794345263</v>
      </c>
      <c r="BM29">
        <f t="shared" ca="1" si="30"/>
        <v>62.041114471961457</v>
      </c>
      <c r="BN29">
        <f t="shared" ca="1" si="30"/>
        <v>62.074960578342633</v>
      </c>
      <c r="BO29">
        <f t="shared" ca="1" si="4"/>
        <v>4.0749605783426333</v>
      </c>
    </row>
    <row r="30" spans="6:67">
      <c r="F30">
        <f t="shared" si="2"/>
        <v>60.99</v>
      </c>
      <c r="G30">
        <f t="shared" ref="G30:BN30" ca="1" si="31">F30*EXP(($B$2-0.5*$B$3^2)*$B$4+$B$3*_xlfn.NORM.INV(RAND(),0,SQRT($B$4)))</f>
        <v>59.460826493826914</v>
      </c>
      <c r="H30">
        <f t="shared" ca="1" si="31"/>
        <v>60.65259543837147</v>
      </c>
      <c r="I30">
        <f t="shared" ca="1" si="31"/>
        <v>61.199443543777399</v>
      </c>
      <c r="J30">
        <f t="shared" ca="1" si="31"/>
        <v>63.880658722615884</v>
      </c>
      <c r="K30">
        <f t="shared" ca="1" si="31"/>
        <v>64.369929172746566</v>
      </c>
      <c r="L30">
        <f t="shared" ca="1" si="31"/>
        <v>63.922596359859433</v>
      </c>
      <c r="M30">
        <f t="shared" ca="1" si="31"/>
        <v>64.347492733801431</v>
      </c>
      <c r="N30">
        <f t="shared" ca="1" si="31"/>
        <v>62.021826686371767</v>
      </c>
      <c r="O30">
        <f t="shared" ca="1" si="31"/>
        <v>63.779056044574411</v>
      </c>
      <c r="P30">
        <f t="shared" ca="1" si="31"/>
        <v>63.523428482899313</v>
      </c>
      <c r="Q30">
        <f t="shared" ca="1" si="31"/>
        <v>64.906061120316906</v>
      </c>
      <c r="R30">
        <f t="shared" ca="1" si="31"/>
        <v>64.41312212172565</v>
      </c>
      <c r="S30">
        <f t="shared" ca="1" si="31"/>
        <v>63.52810667746661</v>
      </c>
      <c r="T30">
        <f t="shared" ca="1" si="31"/>
        <v>62.77427505332961</v>
      </c>
      <c r="U30">
        <f t="shared" ca="1" si="31"/>
        <v>64.737861717230487</v>
      </c>
      <c r="V30">
        <f t="shared" ca="1" si="31"/>
        <v>64.431442448005313</v>
      </c>
      <c r="W30">
        <f t="shared" ca="1" si="31"/>
        <v>64.39706239101956</v>
      </c>
      <c r="X30">
        <f t="shared" ca="1" si="31"/>
        <v>65.431244514102289</v>
      </c>
      <c r="Y30">
        <f t="shared" ca="1" si="31"/>
        <v>66.383250627548207</v>
      </c>
      <c r="Z30">
        <f t="shared" ca="1" si="31"/>
        <v>65.518551183636873</v>
      </c>
      <c r="AA30">
        <f t="shared" ca="1" si="31"/>
        <v>66.311525480070415</v>
      </c>
      <c r="AB30">
        <f t="shared" ca="1" si="31"/>
        <v>69.667839959274389</v>
      </c>
      <c r="AC30">
        <f t="shared" ca="1" si="31"/>
        <v>73.116323682506277</v>
      </c>
      <c r="AD30">
        <f t="shared" ca="1" si="31"/>
        <v>71.96450192918978</v>
      </c>
      <c r="AE30">
        <f t="shared" ca="1" si="31"/>
        <v>71.518001866197196</v>
      </c>
      <c r="AF30">
        <f t="shared" ca="1" si="31"/>
        <v>72.050382558373073</v>
      </c>
      <c r="AG30">
        <f t="shared" ca="1" si="31"/>
        <v>74.875670157713813</v>
      </c>
      <c r="AH30">
        <f t="shared" ca="1" si="31"/>
        <v>75.462983705871693</v>
      </c>
      <c r="AI30">
        <f t="shared" ca="1" si="31"/>
        <v>74.090181709171119</v>
      </c>
      <c r="AJ30">
        <f t="shared" ca="1" si="31"/>
        <v>71.373019511922109</v>
      </c>
      <c r="AK30">
        <f t="shared" ca="1" si="31"/>
        <v>69.112749962246056</v>
      </c>
      <c r="AL30">
        <f t="shared" ca="1" si="31"/>
        <v>69.824478123821635</v>
      </c>
      <c r="AM30">
        <f t="shared" ca="1" si="31"/>
        <v>68.724473804819993</v>
      </c>
      <c r="AN30">
        <f t="shared" ca="1" si="31"/>
        <v>71.051092488552698</v>
      </c>
      <c r="AO30">
        <f t="shared" ca="1" si="31"/>
        <v>72.914314532760315</v>
      </c>
      <c r="AP30">
        <f t="shared" ca="1" si="31"/>
        <v>75.355685204362956</v>
      </c>
      <c r="AQ30">
        <f t="shared" ca="1" si="31"/>
        <v>77.634551941812191</v>
      </c>
      <c r="AR30">
        <f t="shared" ca="1" si="31"/>
        <v>77.800605430389524</v>
      </c>
      <c r="AS30">
        <f t="shared" ca="1" si="31"/>
        <v>78.392934794666061</v>
      </c>
      <c r="AT30">
        <f t="shared" ca="1" si="31"/>
        <v>78.231044187183741</v>
      </c>
      <c r="AU30">
        <f t="shared" ca="1" si="31"/>
        <v>80.075525440845709</v>
      </c>
      <c r="AV30">
        <f t="shared" ca="1" si="31"/>
        <v>81.018338954421694</v>
      </c>
      <c r="AW30">
        <f t="shared" ca="1" si="31"/>
        <v>81.200256133881012</v>
      </c>
      <c r="AX30">
        <f t="shared" ca="1" si="31"/>
        <v>82.013618294717602</v>
      </c>
      <c r="AY30">
        <f t="shared" ca="1" si="31"/>
        <v>81.674583262825152</v>
      </c>
      <c r="AZ30">
        <f t="shared" ca="1" si="31"/>
        <v>84.512320297300278</v>
      </c>
      <c r="BA30">
        <f t="shared" ca="1" si="31"/>
        <v>87.198331072226594</v>
      </c>
      <c r="BB30">
        <f t="shared" ca="1" si="31"/>
        <v>85.950789452362926</v>
      </c>
      <c r="BC30">
        <f t="shared" ca="1" si="31"/>
        <v>85.858993384146814</v>
      </c>
      <c r="BD30">
        <f t="shared" ca="1" si="31"/>
        <v>86.782064815233738</v>
      </c>
      <c r="BE30">
        <f t="shared" ca="1" si="31"/>
        <v>87.036682879422614</v>
      </c>
      <c r="BF30">
        <f t="shared" ca="1" si="31"/>
        <v>89.57087175148088</v>
      </c>
      <c r="BG30">
        <f t="shared" ca="1" si="31"/>
        <v>89.311906385094261</v>
      </c>
      <c r="BH30">
        <f t="shared" ca="1" si="31"/>
        <v>90.161992213054646</v>
      </c>
      <c r="BI30">
        <f t="shared" ca="1" si="31"/>
        <v>90.658369145988587</v>
      </c>
      <c r="BJ30">
        <f t="shared" ca="1" si="31"/>
        <v>88.683419005328631</v>
      </c>
      <c r="BK30">
        <f t="shared" ca="1" si="31"/>
        <v>91.510827479683371</v>
      </c>
      <c r="BL30">
        <f t="shared" ca="1" si="31"/>
        <v>91.854427525193969</v>
      </c>
      <c r="BM30">
        <f t="shared" ca="1" si="31"/>
        <v>93.334883833125758</v>
      </c>
      <c r="BN30">
        <f t="shared" ca="1" si="31"/>
        <v>93.986657009267887</v>
      </c>
      <c r="BO30">
        <f t="shared" ca="1" si="4"/>
        <v>35.986657009267887</v>
      </c>
    </row>
    <row r="31" spans="6:67">
      <c r="F31">
        <f t="shared" si="2"/>
        <v>60.99</v>
      </c>
      <c r="G31">
        <f t="shared" ref="G31:BN31" ca="1" si="32">F31*EXP(($B$2-0.5*$B$3^2)*$B$4+$B$3*_xlfn.NORM.INV(RAND(),0,SQRT($B$4)))</f>
        <v>60.10827744236191</v>
      </c>
      <c r="H31">
        <f t="shared" ca="1" si="32"/>
        <v>61.466597776673474</v>
      </c>
      <c r="I31">
        <f t="shared" ca="1" si="32"/>
        <v>61.473887303603</v>
      </c>
      <c r="J31">
        <f t="shared" ca="1" si="32"/>
        <v>60.024616629986376</v>
      </c>
      <c r="K31">
        <f t="shared" ca="1" si="32"/>
        <v>61.962682215548213</v>
      </c>
      <c r="L31">
        <f t="shared" ca="1" si="32"/>
        <v>61.7549040339361</v>
      </c>
      <c r="M31">
        <f t="shared" ca="1" si="32"/>
        <v>62.100315720571182</v>
      </c>
      <c r="N31">
        <f t="shared" ca="1" si="32"/>
        <v>60.843865089703257</v>
      </c>
      <c r="O31">
        <f t="shared" ca="1" si="32"/>
        <v>61.855573715394854</v>
      </c>
      <c r="P31">
        <f t="shared" ca="1" si="32"/>
        <v>60.994378310638446</v>
      </c>
      <c r="Q31">
        <f t="shared" ca="1" si="32"/>
        <v>62.227764761724018</v>
      </c>
      <c r="R31">
        <f t="shared" ca="1" si="32"/>
        <v>62.395140219192712</v>
      </c>
      <c r="S31">
        <f t="shared" ca="1" si="32"/>
        <v>65.172742634137563</v>
      </c>
      <c r="T31">
        <f t="shared" ca="1" si="32"/>
        <v>66.603011718634903</v>
      </c>
      <c r="U31">
        <f t="shared" ca="1" si="32"/>
        <v>68.014334290991357</v>
      </c>
      <c r="V31">
        <f t="shared" ca="1" si="32"/>
        <v>68.952272440326553</v>
      </c>
      <c r="W31">
        <f t="shared" ca="1" si="32"/>
        <v>70.083025930206205</v>
      </c>
      <c r="X31">
        <f t="shared" ca="1" si="32"/>
        <v>70.950784056850836</v>
      </c>
      <c r="Y31">
        <f t="shared" ca="1" si="32"/>
        <v>70.353112341344854</v>
      </c>
      <c r="Z31">
        <f t="shared" ca="1" si="32"/>
        <v>70.329647162659114</v>
      </c>
      <c r="AA31">
        <f t="shared" ca="1" si="32"/>
        <v>71.277671671048253</v>
      </c>
      <c r="AB31">
        <f t="shared" ca="1" si="32"/>
        <v>68.196000300802567</v>
      </c>
      <c r="AC31">
        <f t="shared" ca="1" si="32"/>
        <v>67.181634171661997</v>
      </c>
      <c r="AD31">
        <f t="shared" ca="1" si="32"/>
        <v>68.597719141667028</v>
      </c>
      <c r="AE31">
        <f t="shared" ca="1" si="32"/>
        <v>69.089803388513687</v>
      </c>
      <c r="AF31">
        <f t="shared" ca="1" si="32"/>
        <v>68.282776519403257</v>
      </c>
      <c r="AG31">
        <f t="shared" ca="1" si="32"/>
        <v>67.632057560172612</v>
      </c>
      <c r="AH31">
        <f t="shared" ca="1" si="32"/>
        <v>66.611859450246797</v>
      </c>
      <c r="AI31">
        <f t="shared" ca="1" si="32"/>
        <v>64.08075543506699</v>
      </c>
      <c r="AJ31">
        <f t="shared" ca="1" si="32"/>
        <v>63.410971299620179</v>
      </c>
      <c r="AK31">
        <f t="shared" ca="1" si="32"/>
        <v>63.371663607009296</v>
      </c>
      <c r="AL31">
        <f t="shared" ca="1" si="32"/>
        <v>63.627779728267868</v>
      </c>
      <c r="AM31">
        <f t="shared" ca="1" si="32"/>
        <v>63.071535074207908</v>
      </c>
      <c r="AN31">
        <f t="shared" ca="1" si="32"/>
        <v>64.837340746171051</v>
      </c>
      <c r="AO31">
        <f t="shared" ca="1" si="32"/>
        <v>64.810433178317794</v>
      </c>
      <c r="AP31">
        <f t="shared" ca="1" si="32"/>
        <v>64.659142440313346</v>
      </c>
      <c r="AQ31">
        <f t="shared" ca="1" si="32"/>
        <v>63.328814000611985</v>
      </c>
      <c r="AR31">
        <f t="shared" ca="1" si="32"/>
        <v>63.922823481416984</v>
      </c>
      <c r="AS31">
        <f t="shared" ca="1" si="32"/>
        <v>65.229139533581019</v>
      </c>
      <c r="AT31">
        <f t="shared" ca="1" si="32"/>
        <v>64.685752068661685</v>
      </c>
      <c r="AU31">
        <f t="shared" ca="1" si="32"/>
        <v>63.584604460970311</v>
      </c>
      <c r="AV31">
        <f t="shared" ca="1" si="32"/>
        <v>65.570616217237543</v>
      </c>
      <c r="AW31">
        <f t="shared" ca="1" si="32"/>
        <v>66.819520012384913</v>
      </c>
      <c r="AX31">
        <f t="shared" ca="1" si="32"/>
        <v>67.16470023926793</v>
      </c>
      <c r="AY31">
        <f t="shared" ca="1" si="32"/>
        <v>67.95296754738655</v>
      </c>
      <c r="AZ31">
        <f t="shared" ca="1" si="32"/>
        <v>68.018489756279408</v>
      </c>
      <c r="BA31">
        <f t="shared" ca="1" si="32"/>
        <v>67.221270659847647</v>
      </c>
      <c r="BB31">
        <f t="shared" ca="1" si="32"/>
        <v>65.171552476402226</v>
      </c>
      <c r="BC31">
        <f t="shared" ca="1" si="32"/>
        <v>64.296446381505973</v>
      </c>
      <c r="BD31">
        <f t="shared" ca="1" si="32"/>
        <v>63.52669105746731</v>
      </c>
      <c r="BE31">
        <f t="shared" ca="1" si="32"/>
        <v>62.302381064688014</v>
      </c>
      <c r="BF31">
        <f t="shared" ca="1" si="32"/>
        <v>64.73986572695172</v>
      </c>
      <c r="BG31">
        <f t="shared" ca="1" si="32"/>
        <v>66.715055899266261</v>
      </c>
      <c r="BH31">
        <f t="shared" ca="1" si="32"/>
        <v>68.221615135621846</v>
      </c>
      <c r="BI31">
        <f t="shared" ca="1" si="32"/>
        <v>69.071998751390396</v>
      </c>
      <c r="BJ31">
        <f t="shared" ca="1" si="32"/>
        <v>68.033327627737847</v>
      </c>
      <c r="BK31">
        <f t="shared" ca="1" si="32"/>
        <v>68.989129051489982</v>
      </c>
      <c r="BL31">
        <f t="shared" ca="1" si="32"/>
        <v>66.814490309939401</v>
      </c>
      <c r="BM31">
        <f t="shared" ca="1" si="32"/>
        <v>66.836073229934001</v>
      </c>
      <c r="BN31">
        <f t="shared" ca="1" si="32"/>
        <v>68.567785378902002</v>
      </c>
      <c r="BO31">
        <f t="shared" ca="1" si="4"/>
        <v>10.567785378902002</v>
      </c>
    </row>
    <row r="32" spans="6:67">
      <c r="F32">
        <f t="shared" si="2"/>
        <v>60.99</v>
      </c>
      <c r="G32">
        <f t="shared" ref="G32:BN32" ca="1" si="33">F32*EXP(($B$2-0.5*$B$3^2)*$B$4+$B$3*_xlfn.NORM.INV(RAND(),0,SQRT($B$4)))</f>
        <v>62.810599094054147</v>
      </c>
      <c r="H32">
        <f t="shared" ca="1" si="33"/>
        <v>61.101722818901607</v>
      </c>
      <c r="I32">
        <f t="shared" ca="1" si="33"/>
        <v>59.369118016950168</v>
      </c>
      <c r="J32">
        <f t="shared" ca="1" si="33"/>
        <v>58.844744814919132</v>
      </c>
      <c r="K32">
        <f t="shared" ca="1" si="33"/>
        <v>57.748115793629033</v>
      </c>
      <c r="L32">
        <f t="shared" ca="1" si="33"/>
        <v>56.868513426005897</v>
      </c>
      <c r="M32">
        <f t="shared" ca="1" si="33"/>
        <v>57.693344369030527</v>
      </c>
      <c r="N32">
        <f t="shared" ca="1" si="33"/>
        <v>57.059798453984328</v>
      </c>
      <c r="O32">
        <f t="shared" ca="1" si="33"/>
        <v>57.355967380811308</v>
      </c>
      <c r="P32">
        <f t="shared" ca="1" si="33"/>
        <v>56.995820972854894</v>
      </c>
      <c r="Q32">
        <f t="shared" ca="1" si="33"/>
        <v>55.823805460659209</v>
      </c>
      <c r="R32">
        <f t="shared" ca="1" si="33"/>
        <v>55.665921539331634</v>
      </c>
      <c r="S32">
        <f t="shared" ca="1" si="33"/>
        <v>54.238450036509072</v>
      </c>
      <c r="T32">
        <f t="shared" ca="1" si="33"/>
        <v>54.362340336098526</v>
      </c>
      <c r="U32">
        <f t="shared" ca="1" si="33"/>
        <v>53.828471778118214</v>
      </c>
      <c r="V32">
        <f t="shared" ca="1" si="33"/>
        <v>54.852405999040769</v>
      </c>
      <c r="W32">
        <f t="shared" ca="1" si="33"/>
        <v>55.272659189643228</v>
      </c>
      <c r="X32">
        <f t="shared" ca="1" si="33"/>
        <v>55.600168991970698</v>
      </c>
      <c r="Y32">
        <f t="shared" ca="1" si="33"/>
        <v>55.19356793968403</v>
      </c>
      <c r="Z32">
        <f t="shared" ca="1" si="33"/>
        <v>56.666946465936903</v>
      </c>
      <c r="AA32">
        <f t="shared" ca="1" si="33"/>
        <v>56.405183757844952</v>
      </c>
      <c r="AB32">
        <f t="shared" ca="1" si="33"/>
        <v>57.608721389948187</v>
      </c>
      <c r="AC32">
        <f t="shared" ca="1" si="33"/>
        <v>58.219322477779727</v>
      </c>
      <c r="AD32">
        <f t="shared" ca="1" si="33"/>
        <v>58.294510111752253</v>
      </c>
      <c r="AE32">
        <f t="shared" ca="1" si="33"/>
        <v>57.337535784275651</v>
      </c>
      <c r="AF32">
        <f t="shared" ca="1" si="33"/>
        <v>57.751381682380782</v>
      </c>
      <c r="AG32">
        <f t="shared" ca="1" si="33"/>
        <v>56.555232898224148</v>
      </c>
      <c r="AH32">
        <f t="shared" ca="1" si="33"/>
        <v>58.439273265113584</v>
      </c>
      <c r="AI32">
        <f t="shared" ca="1" si="33"/>
        <v>55.712449846218284</v>
      </c>
      <c r="AJ32">
        <f t="shared" ca="1" si="33"/>
        <v>56.141074081960937</v>
      </c>
      <c r="AK32">
        <f t="shared" ca="1" si="33"/>
        <v>54.630817694559219</v>
      </c>
      <c r="AL32">
        <f t="shared" ca="1" si="33"/>
        <v>53.812028342500675</v>
      </c>
      <c r="AM32">
        <f t="shared" ca="1" si="33"/>
        <v>53.330900664602829</v>
      </c>
      <c r="AN32">
        <f t="shared" ca="1" si="33"/>
        <v>55.879467415893885</v>
      </c>
      <c r="AO32">
        <f t="shared" ca="1" si="33"/>
        <v>56.189683442974399</v>
      </c>
      <c r="AP32">
        <f t="shared" ca="1" si="33"/>
        <v>54.967603260241134</v>
      </c>
      <c r="AQ32">
        <f t="shared" ca="1" si="33"/>
        <v>52.835906806095217</v>
      </c>
      <c r="AR32">
        <f t="shared" ca="1" si="33"/>
        <v>54.077990642179508</v>
      </c>
      <c r="AS32">
        <f t="shared" ca="1" si="33"/>
        <v>53.267814919429988</v>
      </c>
      <c r="AT32">
        <f t="shared" ca="1" si="33"/>
        <v>52.820679466906313</v>
      </c>
      <c r="AU32">
        <f t="shared" ca="1" si="33"/>
        <v>52.98005301489912</v>
      </c>
      <c r="AV32">
        <f t="shared" ca="1" si="33"/>
        <v>52.079006531924385</v>
      </c>
      <c r="AW32">
        <f t="shared" ca="1" si="33"/>
        <v>51.347132761179914</v>
      </c>
      <c r="AX32">
        <f t="shared" ca="1" si="33"/>
        <v>51.740254167228429</v>
      </c>
      <c r="AY32">
        <f t="shared" ca="1" si="33"/>
        <v>51.715376274001876</v>
      </c>
      <c r="AZ32">
        <f t="shared" ca="1" si="33"/>
        <v>51.949871772609399</v>
      </c>
      <c r="BA32">
        <f t="shared" ca="1" si="33"/>
        <v>52.25880382845363</v>
      </c>
      <c r="BB32">
        <f t="shared" ca="1" si="33"/>
        <v>54.990913783488558</v>
      </c>
      <c r="BC32">
        <f t="shared" ca="1" si="33"/>
        <v>54.944971146657807</v>
      </c>
      <c r="BD32">
        <f t="shared" ca="1" si="33"/>
        <v>52.947993341917417</v>
      </c>
      <c r="BE32">
        <f t="shared" ca="1" si="33"/>
        <v>52.880512464006671</v>
      </c>
      <c r="BF32">
        <f t="shared" ca="1" si="33"/>
        <v>52.064367541286614</v>
      </c>
      <c r="BG32">
        <f t="shared" ca="1" si="33"/>
        <v>52.245520705325447</v>
      </c>
      <c r="BH32">
        <f t="shared" ca="1" si="33"/>
        <v>52.965602920418512</v>
      </c>
      <c r="BI32">
        <f t="shared" ca="1" si="33"/>
        <v>54.299300970228273</v>
      </c>
      <c r="BJ32">
        <f t="shared" ca="1" si="33"/>
        <v>55.591027098690411</v>
      </c>
      <c r="BK32">
        <f t="shared" ca="1" si="33"/>
        <v>54.441837913415839</v>
      </c>
      <c r="BL32">
        <f t="shared" ca="1" si="33"/>
        <v>55.319311864953967</v>
      </c>
      <c r="BM32">
        <f t="shared" ca="1" si="33"/>
        <v>53.334864942323229</v>
      </c>
      <c r="BN32">
        <f t="shared" ca="1" si="33"/>
        <v>52.614583254535589</v>
      </c>
      <c r="BO32">
        <f t="shared" ca="1" si="4"/>
        <v>0</v>
      </c>
    </row>
    <row r="33" spans="6:67">
      <c r="F33">
        <f t="shared" si="2"/>
        <v>60.99</v>
      </c>
      <c r="G33">
        <f t="shared" ref="G33:BN33" ca="1" si="34">F33*EXP(($B$2-0.5*$B$3^2)*$B$4+$B$3*_xlfn.NORM.INV(RAND(),0,SQRT($B$4)))</f>
        <v>59.884684373674119</v>
      </c>
      <c r="H33">
        <f t="shared" ca="1" si="34"/>
        <v>59.194656931114814</v>
      </c>
      <c r="I33">
        <f t="shared" ca="1" si="34"/>
        <v>59.019738002228372</v>
      </c>
      <c r="J33">
        <f t="shared" ca="1" si="34"/>
        <v>60.397537191410976</v>
      </c>
      <c r="K33">
        <f t="shared" ca="1" si="34"/>
        <v>59.248783906626521</v>
      </c>
      <c r="L33">
        <f t="shared" ca="1" si="34"/>
        <v>59.521237556118834</v>
      </c>
      <c r="M33">
        <f t="shared" ca="1" si="34"/>
        <v>61.214389019455439</v>
      </c>
      <c r="N33">
        <f t="shared" ca="1" si="34"/>
        <v>61.398059955690449</v>
      </c>
      <c r="O33">
        <f t="shared" ca="1" si="34"/>
        <v>62.097246341754747</v>
      </c>
      <c r="P33">
        <f t="shared" ca="1" si="34"/>
        <v>61.142855833802187</v>
      </c>
      <c r="Q33">
        <f t="shared" ca="1" si="34"/>
        <v>62.973758230721607</v>
      </c>
      <c r="R33">
        <f t="shared" ca="1" si="34"/>
        <v>62.435381209573265</v>
      </c>
      <c r="S33">
        <f t="shared" ca="1" si="34"/>
        <v>64.344270110475478</v>
      </c>
      <c r="T33">
        <f t="shared" ca="1" si="34"/>
        <v>65.265031154515839</v>
      </c>
      <c r="U33">
        <f t="shared" ca="1" si="34"/>
        <v>63.606429252778575</v>
      </c>
      <c r="V33">
        <f t="shared" ca="1" si="34"/>
        <v>63.934499507493094</v>
      </c>
      <c r="W33">
        <f t="shared" ca="1" si="34"/>
        <v>65.137916319920109</v>
      </c>
      <c r="X33">
        <f t="shared" ca="1" si="34"/>
        <v>66.694882934976505</v>
      </c>
      <c r="Y33">
        <f t="shared" ca="1" si="34"/>
        <v>66.577925842700608</v>
      </c>
      <c r="Z33">
        <f t="shared" ca="1" si="34"/>
        <v>68.889303226009162</v>
      </c>
      <c r="AA33">
        <f t="shared" ca="1" si="34"/>
        <v>69.420489090872394</v>
      </c>
      <c r="AB33">
        <f t="shared" ca="1" si="34"/>
        <v>69.30863306824331</v>
      </c>
      <c r="AC33">
        <f t="shared" ca="1" si="34"/>
        <v>70.100982218115249</v>
      </c>
      <c r="AD33">
        <f t="shared" ca="1" si="34"/>
        <v>69.607732494900219</v>
      </c>
      <c r="AE33">
        <f t="shared" ca="1" si="34"/>
        <v>70.555846503784977</v>
      </c>
      <c r="AF33">
        <f t="shared" ca="1" si="34"/>
        <v>69.827303399491285</v>
      </c>
      <c r="AG33">
        <f t="shared" ca="1" si="34"/>
        <v>68.688307681003593</v>
      </c>
      <c r="AH33">
        <f t="shared" ca="1" si="34"/>
        <v>67.511675632678177</v>
      </c>
      <c r="AI33">
        <f t="shared" ca="1" si="34"/>
        <v>68.869310218873323</v>
      </c>
      <c r="AJ33">
        <f t="shared" ca="1" si="34"/>
        <v>71.826394139147112</v>
      </c>
      <c r="AK33">
        <f t="shared" ca="1" si="34"/>
        <v>72.370236689803278</v>
      </c>
      <c r="AL33">
        <f t="shared" ca="1" si="34"/>
        <v>72.386517417324313</v>
      </c>
      <c r="AM33">
        <f t="shared" ca="1" si="34"/>
        <v>72.407272552150133</v>
      </c>
      <c r="AN33">
        <f t="shared" ca="1" si="34"/>
        <v>71.501421119255568</v>
      </c>
      <c r="AO33">
        <f t="shared" ca="1" si="34"/>
        <v>73.137971984523702</v>
      </c>
      <c r="AP33">
        <f t="shared" ca="1" si="34"/>
        <v>72.753293957290666</v>
      </c>
      <c r="AQ33">
        <f t="shared" ca="1" si="34"/>
        <v>72.78151356715793</v>
      </c>
      <c r="AR33">
        <f t="shared" ca="1" si="34"/>
        <v>72.986824858523221</v>
      </c>
      <c r="AS33">
        <f t="shared" ca="1" si="34"/>
        <v>71.205060541961984</v>
      </c>
      <c r="AT33">
        <f t="shared" ca="1" si="34"/>
        <v>69.948762853325533</v>
      </c>
      <c r="AU33">
        <f t="shared" ca="1" si="34"/>
        <v>67.780752428389249</v>
      </c>
      <c r="AV33">
        <f t="shared" ca="1" si="34"/>
        <v>67.774617190962047</v>
      </c>
      <c r="AW33">
        <f t="shared" ca="1" si="34"/>
        <v>66.495786149569298</v>
      </c>
      <c r="AX33">
        <f t="shared" ca="1" si="34"/>
        <v>65.370749312037077</v>
      </c>
      <c r="AY33">
        <f t="shared" ca="1" si="34"/>
        <v>65.937362697065268</v>
      </c>
      <c r="AZ33">
        <f t="shared" ca="1" si="34"/>
        <v>65.752118703946721</v>
      </c>
      <c r="BA33">
        <f t="shared" ca="1" si="34"/>
        <v>63.649128007522201</v>
      </c>
      <c r="BB33">
        <f t="shared" ca="1" si="34"/>
        <v>65.756003791315919</v>
      </c>
      <c r="BC33">
        <f t="shared" ca="1" si="34"/>
        <v>65.348340914941318</v>
      </c>
      <c r="BD33">
        <f t="shared" ca="1" si="34"/>
        <v>66.786636716856918</v>
      </c>
      <c r="BE33">
        <f t="shared" ca="1" si="34"/>
        <v>68.022635137515891</v>
      </c>
      <c r="BF33">
        <f t="shared" ca="1" si="34"/>
        <v>70.336073426334693</v>
      </c>
      <c r="BG33">
        <f t="shared" ca="1" si="34"/>
        <v>68.207869688915196</v>
      </c>
      <c r="BH33">
        <f t="shared" ca="1" si="34"/>
        <v>68.926698035967377</v>
      </c>
      <c r="BI33">
        <f t="shared" ca="1" si="34"/>
        <v>71.270556706936617</v>
      </c>
      <c r="BJ33">
        <f t="shared" ca="1" si="34"/>
        <v>71.648104735728921</v>
      </c>
      <c r="BK33">
        <f t="shared" ca="1" si="34"/>
        <v>71.885499538197934</v>
      </c>
      <c r="BL33">
        <f t="shared" ca="1" si="34"/>
        <v>71.943939950514348</v>
      </c>
      <c r="BM33">
        <f t="shared" ca="1" si="34"/>
        <v>73.181230601108453</v>
      </c>
      <c r="BN33">
        <f t="shared" ca="1" si="34"/>
        <v>74.928045837372196</v>
      </c>
      <c r="BO33">
        <f t="shared" ca="1" si="4"/>
        <v>16.928045837372196</v>
      </c>
    </row>
    <row r="34" spans="6:67">
      <c r="F34">
        <f t="shared" si="2"/>
        <v>60.99</v>
      </c>
      <c r="G34">
        <f t="shared" ref="G34:BN34" ca="1" si="35">F34*EXP(($B$2-0.5*$B$3^2)*$B$4+$B$3*_xlfn.NORM.INV(RAND(),0,SQRT($B$4)))</f>
        <v>60.846877437172886</v>
      </c>
      <c r="H34">
        <f t="shared" ca="1" si="35"/>
        <v>62.896181405656193</v>
      </c>
      <c r="I34">
        <f t="shared" ca="1" si="35"/>
        <v>64.801437068676236</v>
      </c>
      <c r="J34">
        <f t="shared" ca="1" si="35"/>
        <v>63.673003414533326</v>
      </c>
      <c r="K34">
        <f t="shared" ca="1" si="35"/>
        <v>63.258735749349597</v>
      </c>
      <c r="L34">
        <f t="shared" ca="1" si="35"/>
        <v>62.766150208032229</v>
      </c>
      <c r="M34">
        <f t="shared" ca="1" si="35"/>
        <v>63.741607907314645</v>
      </c>
      <c r="N34">
        <f t="shared" ca="1" si="35"/>
        <v>63.18268116445303</v>
      </c>
      <c r="O34">
        <f t="shared" ca="1" si="35"/>
        <v>63.853929586044593</v>
      </c>
      <c r="P34">
        <f t="shared" ca="1" si="35"/>
        <v>63.227143586827566</v>
      </c>
      <c r="Q34">
        <f t="shared" ca="1" si="35"/>
        <v>62.203093466122411</v>
      </c>
      <c r="R34">
        <f t="shared" ca="1" si="35"/>
        <v>63.919110127176005</v>
      </c>
      <c r="S34">
        <f t="shared" ca="1" si="35"/>
        <v>63.117925268625243</v>
      </c>
      <c r="T34">
        <f t="shared" ca="1" si="35"/>
        <v>62.214900071875697</v>
      </c>
      <c r="U34">
        <f t="shared" ca="1" si="35"/>
        <v>62.738277609841312</v>
      </c>
      <c r="V34">
        <f t="shared" ca="1" si="35"/>
        <v>63.291216643513074</v>
      </c>
      <c r="W34">
        <f t="shared" ca="1" si="35"/>
        <v>63.768199141770381</v>
      </c>
      <c r="X34">
        <f t="shared" ca="1" si="35"/>
        <v>61.565169476402147</v>
      </c>
      <c r="Y34">
        <f t="shared" ca="1" si="35"/>
        <v>62.550440432609335</v>
      </c>
      <c r="Z34">
        <f t="shared" ca="1" si="35"/>
        <v>63.7779175950796</v>
      </c>
      <c r="AA34">
        <f t="shared" ca="1" si="35"/>
        <v>63.578042624004887</v>
      </c>
      <c r="AB34">
        <f t="shared" ca="1" si="35"/>
        <v>62.093879594525269</v>
      </c>
      <c r="AC34">
        <f t="shared" ca="1" si="35"/>
        <v>62.481653089926866</v>
      </c>
      <c r="AD34">
        <f t="shared" ca="1" si="35"/>
        <v>60.958878614356216</v>
      </c>
      <c r="AE34">
        <f t="shared" ca="1" si="35"/>
        <v>61.751802358251524</v>
      </c>
      <c r="AF34">
        <f t="shared" ca="1" si="35"/>
        <v>62.533376631506528</v>
      </c>
      <c r="AG34">
        <f t="shared" ca="1" si="35"/>
        <v>63.378031571449405</v>
      </c>
      <c r="AH34">
        <f t="shared" ca="1" si="35"/>
        <v>63.929000883056425</v>
      </c>
      <c r="AI34">
        <f t="shared" ca="1" si="35"/>
        <v>66.141739932806829</v>
      </c>
      <c r="AJ34">
        <f t="shared" ca="1" si="35"/>
        <v>66.62431330851868</v>
      </c>
      <c r="AK34">
        <f t="shared" ca="1" si="35"/>
        <v>67.896697963022419</v>
      </c>
      <c r="AL34">
        <f t="shared" ca="1" si="35"/>
        <v>67.597300020618732</v>
      </c>
      <c r="AM34">
        <f t="shared" ca="1" si="35"/>
        <v>66.235890222303027</v>
      </c>
      <c r="AN34">
        <f t="shared" ca="1" si="35"/>
        <v>67.724444723540913</v>
      </c>
      <c r="AO34">
        <f t="shared" ca="1" si="35"/>
        <v>67.300804134314816</v>
      </c>
      <c r="AP34">
        <f t="shared" ca="1" si="35"/>
        <v>69.185179597430988</v>
      </c>
      <c r="AQ34">
        <f t="shared" ca="1" si="35"/>
        <v>68.078236223358417</v>
      </c>
      <c r="AR34">
        <f t="shared" ca="1" si="35"/>
        <v>65.718995111891985</v>
      </c>
      <c r="AS34">
        <f t="shared" ca="1" si="35"/>
        <v>65.336168503775937</v>
      </c>
      <c r="AT34">
        <f t="shared" ca="1" si="35"/>
        <v>65.569318094534324</v>
      </c>
      <c r="AU34">
        <f t="shared" ca="1" si="35"/>
        <v>63.861862251759788</v>
      </c>
      <c r="AV34">
        <f t="shared" ca="1" si="35"/>
        <v>63.378641108319997</v>
      </c>
      <c r="AW34">
        <f t="shared" ca="1" si="35"/>
        <v>63.489123479024357</v>
      </c>
      <c r="AX34">
        <f t="shared" ca="1" si="35"/>
        <v>61.562879224988336</v>
      </c>
      <c r="AY34">
        <f t="shared" ca="1" si="35"/>
        <v>64.073652588051061</v>
      </c>
      <c r="AZ34">
        <f t="shared" ca="1" si="35"/>
        <v>65.475068081343281</v>
      </c>
      <c r="BA34">
        <f t="shared" ca="1" si="35"/>
        <v>65.983825503031412</v>
      </c>
      <c r="BB34">
        <f t="shared" ca="1" si="35"/>
        <v>66.129058584846106</v>
      </c>
      <c r="BC34">
        <f t="shared" ca="1" si="35"/>
        <v>66.344813385720812</v>
      </c>
      <c r="BD34">
        <f t="shared" ca="1" si="35"/>
        <v>68.644298316245354</v>
      </c>
      <c r="BE34">
        <f t="shared" ca="1" si="35"/>
        <v>68.651916231924091</v>
      </c>
      <c r="BF34">
        <f t="shared" ca="1" si="35"/>
        <v>70.865361787019751</v>
      </c>
      <c r="BG34">
        <f t="shared" ca="1" si="35"/>
        <v>73.420472673030062</v>
      </c>
      <c r="BH34">
        <f t="shared" ca="1" si="35"/>
        <v>72.82657718610001</v>
      </c>
      <c r="BI34">
        <f t="shared" ca="1" si="35"/>
        <v>72.903579993123003</v>
      </c>
      <c r="BJ34">
        <f t="shared" ca="1" si="35"/>
        <v>73.460214676512166</v>
      </c>
      <c r="BK34">
        <f t="shared" ca="1" si="35"/>
        <v>73.216434207933801</v>
      </c>
      <c r="BL34">
        <f t="shared" ca="1" si="35"/>
        <v>71.658810887805103</v>
      </c>
      <c r="BM34">
        <f t="shared" ca="1" si="35"/>
        <v>71.866174896185257</v>
      </c>
      <c r="BN34">
        <f t="shared" ca="1" si="35"/>
        <v>70.298132736503419</v>
      </c>
      <c r="BO34">
        <f t="shared" ca="1" si="4"/>
        <v>12.298132736503419</v>
      </c>
    </row>
    <row r="35" spans="6:67">
      <c r="F35">
        <f t="shared" si="2"/>
        <v>60.99</v>
      </c>
      <c r="G35">
        <f t="shared" ref="G35:BN35" ca="1" si="36">F35*EXP(($B$2-0.5*$B$3^2)*$B$4+$B$3*_xlfn.NORM.INV(RAND(),0,SQRT($B$4)))</f>
        <v>61.259928636492639</v>
      </c>
      <c r="H35">
        <f t="shared" ca="1" si="36"/>
        <v>60.824727821635484</v>
      </c>
      <c r="I35">
        <f t="shared" ca="1" si="36"/>
        <v>60.926619215531922</v>
      </c>
      <c r="J35">
        <f t="shared" ca="1" si="36"/>
        <v>62.811436317488727</v>
      </c>
      <c r="K35">
        <f t="shared" ca="1" si="36"/>
        <v>62.587113349783472</v>
      </c>
      <c r="L35">
        <f t="shared" ca="1" si="36"/>
        <v>62.145944446594527</v>
      </c>
      <c r="M35">
        <f t="shared" ca="1" si="36"/>
        <v>63.804654305608857</v>
      </c>
      <c r="N35">
        <f t="shared" ca="1" si="36"/>
        <v>64.416176165832226</v>
      </c>
      <c r="O35">
        <f t="shared" ca="1" si="36"/>
        <v>64.216080221329833</v>
      </c>
      <c r="P35">
        <f t="shared" ca="1" si="36"/>
        <v>64.341395173547156</v>
      </c>
      <c r="Q35">
        <f t="shared" ca="1" si="36"/>
        <v>64.30840075615167</v>
      </c>
      <c r="R35">
        <f t="shared" ca="1" si="36"/>
        <v>65.008978572999567</v>
      </c>
      <c r="S35">
        <f t="shared" ca="1" si="36"/>
        <v>65.969336791913662</v>
      </c>
      <c r="T35">
        <f t="shared" ca="1" si="36"/>
        <v>62.215779430938838</v>
      </c>
      <c r="U35">
        <f t="shared" ca="1" si="36"/>
        <v>62.148967189977107</v>
      </c>
      <c r="V35">
        <f t="shared" ca="1" si="36"/>
        <v>63.11134248558615</v>
      </c>
      <c r="W35">
        <f t="shared" ca="1" si="36"/>
        <v>62.170374420367565</v>
      </c>
      <c r="X35">
        <f t="shared" ca="1" si="36"/>
        <v>62.449430729317307</v>
      </c>
      <c r="Y35">
        <f t="shared" ca="1" si="36"/>
        <v>63.771316171075277</v>
      </c>
      <c r="Z35">
        <f t="shared" ca="1" si="36"/>
        <v>64.442875303114704</v>
      </c>
      <c r="AA35">
        <f t="shared" ca="1" si="36"/>
        <v>64.044614163153298</v>
      </c>
      <c r="AB35">
        <f t="shared" ca="1" si="36"/>
        <v>64.053069978646121</v>
      </c>
      <c r="AC35">
        <f t="shared" ca="1" si="36"/>
        <v>61.85171505495186</v>
      </c>
      <c r="AD35">
        <f t="shared" ca="1" si="36"/>
        <v>63.676421099815514</v>
      </c>
      <c r="AE35">
        <f t="shared" ca="1" si="36"/>
        <v>63.513013668963268</v>
      </c>
      <c r="AF35">
        <f t="shared" ca="1" si="36"/>
        <v>62.281845339418567</v>
      </c>
      <c r="AG35">
        <f t="shared" ca="1" si="36"/>
        <v>63.720001802078684</v>
      </c>
      <c r="AH35">
        <f t="shared" ca="1" si="36"/>
        <v>64.953024250465404</v>
      </c>
      <c r="AI35">
        <f t="shared" ca="1" si="36"/>
        <v>65.156562408199989</v>
      </c>
      <c r="AJ35">
        <f t="shared" ca="1" si="36"/>
        <v>62.540284183261413</v>
      </c>
      <c r="AK35">
        <f t="shared" ca="1" si="36"/>
        <v>63.09238202343478</v>
      </c>
      <c r="AL35">
        <f t="shared" ca="1" si="36"/>
        <v>64.661053064275478</v>
      </c>
      <c r="AM35">
        <f t="shared" ca="1" si="36"/>
        <v>64.120532346137153</v>
      </c>
      <c r="AN35">
        <f t="shared" ca="1" si="36"/>
        <v>63.000050404520223</v>
      </c>
      <c r="AO35">
        <f t="shared" ca="1" si="36"/>
        <v>65.535271732066988</v>
      </c>
      <c r="AP35">
        <f t="shared" ca="1" si="36"/>
        <v>63.698278934570936</v>
      </c>
      <c r="AQ35">
        <f t="shared" ca="1" si="36"/>
        <v>63.121560422322716</v>
      </c>
      <c r="AR35">
        <f t="shared" ca="1" si="36"/>
        <v>64.446129517723151</v>
      </c>
      <c r="AS35">
        <f t="shared" ca="1" si="36"/>
        <v>64.142557128059678</v>
      </c>
      <c r="AT35">
        <f t="shared" ca="1" si="36"/>
        <v>66.00026790315313</v>
      </c>
      <c r="AU35">
        <f t="shared" ca="1" si="36"/>
        <v>65.566709262995204</v>
      </c>
      <c r="AV35">
        <f t="shared" ca="1" si="36"/>
        <v>65.011581776278803</v>
      </c>
      <c r="AW35">
        <f t="shared" ca="1" si="36"/>
        <v>66.284906166853261</v>
      </c>
      <c r="AX35">
        <f t="shared" ca="1" si="36"/>
        <v>64.327792177485165</v>
      </c>
      <c r="AY35">
        <f t="shared" ca="1" si="36"/>
        <v>65.133553671509461</v>
      </c>
      <c r="AZ35">
        <f t="shared" ca="1" si="36"/>
        <v>66.701565570182083</v>
      </c>
      <c r="BA35">
        <f t="shared" ca="1" si="36"/>
        <v>68.72696309013142</v>
      </c>
      <c r="BB35">
        <f t="shared" ca="1" si="36"/>
        <v>67.576965634075151</v>
      </c>
      <c r="BC35">
        <f t="shared" ca="1" si="36"/>
        <v>68.580118784671839</v>
      </c>
      <c r="BD35">
        <f t="shared" ca="1" si="36"/>
        <v>67.199469408237661</v>
      </c>
      <c r="BE35">
        <f t="shared" ca="1" si="36"/>
        <v>68.488487858343305</v>
      </c>
      <c r="BF35">
        <f t="shared" ca="1" si="36"/>
        <v>68.825693565886297</v>
      </c>
      <c r="BG35">
        <f t="shared" ca="1" si="36"/>
        <v>69.120171050315307</v>
      </c>
      <c r="BH35">
        <f t="shared" ca="1" si="36"/>
        <v>68.642388008855534</v>
      </c>
      <c r="BI35">
        <f t="shared" ca="1" si="36"/>
        <v>66.942086628059599</v>
      </c>
      <c r="BJ35">
        <f t="shared" ca="1" si="36"/>
        <v>65.77630113324831</v>
      </c>
      <c r="BK35">
        <f t="shared" ca="1" si="36"/>
        <v>64.248444131384332</v>
      </c>
      <c r="BL35">
        <f t="shared" ca="1" si="36"/>
        <v>63.744465875867725</v>
      </c>
      <c r="BM35">
        <f t="shared" ca="1" si="36"/>
        <v>64.157072574827225</v>
      </c>
      <c r="BN35">
        <f t="shared" ca="1" si="36"/>
        <v>63.190441419294331</v>
      </c>
      <c r="BO35">
        <f t="shared" ca="1" si="4"/>
        <v>5.1904414192943307</v>
      </c>
    </row>
    <row r="36" spans="6:67">
      <c r="F36">
        <f t="shared" si="2"/>
        <v>60.99</v>
      </c>
      <c r="G36">
        <f t="shared" ref="G36:BN36" ca="1" si="37">F36*EXP(($B$2-0.5*$B$3^2)*$B$4+$B$3*_xlfn.NORM.INV(RAND(),0,SQRT($B$4)))</f>
        <v>62.628548470430175</v>
      </c>
      <c r="H36">
        <f t="shared" ca="1" si="37"/>
        <v>62.401333052412951</v>
      </c>
      <c r="I36">
        <f t="shared" ca="1" si="37"/>
        <v>63.004548856585849</v>
      </c>
      <c r="J36">
        <f t="shared" ca="1" si="37"/>
        <v>63.626937839603919</v>
      </c>
      <c r="K36">
        <f t="shared" ca="1" si="37"/>
        <v>64.720328171865603</v>
      </c>
      <c r="L36">
        <f t="shared" ca="1" si="37"/>
        <v>63.960780590200088</v>
      </c>
      <c r="M36">
        <f t="shared" ca="1" si="37"/>
        <v>65.186731233795413</v>
      </c>
      <c r="N36">
        <f t="shared" ca="1" si="37"/>
        <v>64.913177181398126</v>
      </c>
      <c r="O36">
        <f t="shared" ca="1" si="37"/>
        <v>65.144519081537126</v>
      </c>
      <c r="P36">
        <f t="shared" ca="1" si="37"/>
        <v>64.345911757844874</v>
      </c>
      <c r="Q36">
        <f t="shared" ca="1" si="37"/>
        <v>65.082091604276386</v>
      </c>
      <c r="R36">
        <f t="shared" ca="1" si="37"/>
        <v>65.058261851181143</v>
      </c>
      <c r="S36">
        <f t="shared" ca="1" si="37"/>
        <v>66.56682857904002</v>
      </c>
      <c r="T36">
        <f t="shared" ca="1" si="37"/>
        <v>66.162385580130163</v>
      </c>
      <c r="U36">
        <f t="shared" ca="1" si="37"/>
        <v>67.405973272409099</v>
      </c>
      <c r="V36">
        <f t="shared" ca="1" si="37"/>
        <v>66.716517024362687</v>
      </c>
      <c r="W36">
        <f t="shared" ca="1" si="37"/>
        <v>68.972929869913088</v>
      </c>
      <c r="X36">
        <f t="shared" ca="1" si="37"/>
        <v>69.695417761609761</v>
      </c>
      <c r="Y36">
        <f t="shared" ca="1" si="37"/>
        <v>71.166696465046286</v>
      </c>
      <c r="Z36">
        <f t="shared" ca="1" si="37"/>
        <v>69.14698680343993</v>
      </c>
      <c r="AA36">
        <f t="shared" ca="1" si="37"/>
        <v>68.210447752013721</v>
      </c>
      <c r="AB36">
        <f t="shared" ca="1" si="37"/>
        <v>68.066027385017748</v>
      </c>
      <c r="AC36">
        <f t="shared" ca="1" si="37"/>
        <v>70.29666706214384</v>
      </c>
      <c r="AD36">
        <f t="shared" ca="1" si="37"/>
        <v>71.023319043639077</v>
      </c>
      <c r="AE36">
        <f t="shared" ca="1" si="37"/>
        <v>71.214400351338369</v>
      </c>
      <c r="AF36">
        <f t="shared" ca="1" si="37"/>
        <v>70.976529347424119</v>
      </c>
      <c r="AG36">
        <f t="shared" ca="1" si="37"/>
        <v>72.133175332946664</v>
      </c>
      <c r="AH36">
        <f t="shared" ca="1" si="37"/>
        <v>73.383673357907895</v>
      </c>
      <c r="AI36">
        <f t="shared" ca="1" si="37"/>
        <v>74.696521308746355</v>
      </c>
      <c r="AJ36">
        <f t="shared" ca="1" si="37"/>
        <v>77.469521721745878</v>
      </c>
      <c r="AK36">
        <f t="shared" ca="1" si="37"/>
        <v>77.843656371902867</v>
      </c>
      <c r="AL36">
        <f t="shared" ca="1" si="37"/>
        <v>78.80679861107761</v>
      </c>
      <c r="AM36">
        <f t="shared" ca="1" si="37"/>
        <v>77.804767336684804</v>
      </c>
      <c r="AN36">
        <f t="shared" ca="1" si="37"/>
        <v>79.644033884956315</v>
      </c>
      <c r="AO36">
        <f t="shared" ca="1" si="37"/>
        <v>82.701157936761334</v>
      </c>
      <c r="AP36">
        <f t="shared" ca="1" si="37"/>
        <v>84.682554726056139</v>
      </c>
      <c r="AQ36">
        <f t="shared" ca="1" si="37"/>
        <v>85.185815499535508</v>
      </c>
      <c r="AR36">
        <f t="shared" ca="1" si="37"/>
        <v>80.742127904263469</v>
      </c>
      <c r="AS36">
        <f t="shared" ca="1" si="37"/>
        <v>79.826768959537247</v>
      </c>
      <c r="AT36">
        <f t="shared" ca="1" si="37"/>
        <v>81.932190599928148</v>
      </c>
      <c r="AU36">
        <f t="shared" ca="1" si="37"/>
        <v>81.225394695821649</v>
      </c>
      <c r="AV36">
        <f t="shared" ca="1" si="37"/>
        <v>82.141514106854956</v>
      </c>
      <c r="AW36">
        <f t="shared" ca="1" si="37"/>
        <v>83.00088880853869</v>
      </c>
      <c r="AX36">
        <f t="shared" ca="1" si="37"/>
        <v>82.649372485796505</v>
      </c>
      <c r="AY36">
        <f t="shared" ca="1" si="37"/>
        <v>83.131335581000741</v>
      </c>
      <c r="AZ36">
        <f t="shared" ca="1" si="37"/>
        <v>85.047111234831092</v>
      </c>
      <c r="BA36">
        <f t="shared" ca="1" si="37"/>
        <v>82.720634772595361</v>
      </c>
      <c r="BB36">
        <f t="shared" ca="1" si="37"/>
        <v>82.760194901760428</v>
      </c>
      <c r="BC36">
        <f t="shared" ca="1" si="37"/>
        <v>80.804078572997113</v>
      </c>
      <c r="BD36">
        <f t="shared" ca="1" si="37"/>
        <v>77.617036536878715</v>
      </c>
      <c r="BE36">
        <f t="shared" ca="1" si="37"/>
        <v>76.300363047993741</v>
      </c>
      <c r="BF36">
        <f t="shared" ca="1" si="37"/>
        <v>74.930498885814217</v>
      </c>
      <c r="BG36">
        <f t="shared" ca="1" si="37"/>
        <v>76.221967783974861</v>
      </c>
      <c r="BH36">
        <f t="shared" ca="1" si="37"/>
        <v>74.717249467030072</v>
      </c>
      <c r="BI36">
        <f t="shared" ca="1" si="37"/>
        <v>75.610598634232943</v>
      </c>
      <c r="BJ36">
        <f t="shared" ca="1" si="37"/>
        <v>75.356037505074795</v>
      </c>
      <c r="BK36">
        <f t="shared" ca="1" si="37"/>
        <v>76.138148830946832</v>
      </c>
      <c r="BL36">
        <f t="shared" ca="1" si="37"/>
        <v>78.03082687428919</v>
      </c>
      <c r="BM36">
        <f t="shared" ca="1" si="37"/>
        <v>76.536905673851365</v>
      </c>
      <c r="BN36">
        <f t="shared" ca="1" si="37"/>
        <v>75.004230700631638</v>
      </c>
      <c r="BO36">
        <f t="shared" ca="1" si="4"/>
        <v>17.004230700631638</v>
      </c>
    </row>
    <row r="37" spans="6:67">
      <c r="F37">
        <f t="shared" si="2"/>
        <v>60.99</v>
      </c>
      <c r="G37">
        <f t="shared" ref="G37:BN37" ca="1" si="38">F37*EXP(($B$2-0.5*$B$3^2)*$B$4+$B$3*_xlfn.NORM.INV(RAND(),0,SQRT($B$4)))</f>
        <v>60.780441401580539</v>
      </c>
      <c r="H37">
        <f t="shared" ca="1" si="38"/>
        <v>60.823810978181442</v>
      </c>
      <c r="I37">
        <f t="shared" ca="1" si="38"/>
        <v>62.900957933449845</v>
      </c>
      <c r="J37">
        <f t="shared" ca="1" si="38"/>
        <v>61.202567802376045</v>
      </c>
      <c r="K37">
        <f t="shared" ca="1" si="38"/>
        <v>63.295354231053892</v>
      </c>
      <c r="L37">
        <f t="shared" ca="1" si="38"/>
        <v>65.467473926703562</v>
      </c>
      <c r="M37">
        <f t="shared" ca="1" si="38"/>
        <v>65.292366601589748</v>
      </c>
      <c r="N37">
        <f t="shared" ca="1" si="38"/>
        <v>67.031142806784459</v>
      </c>
      <c r="O37">
        <f t="shared" ca="1" si="38"/>
        <v>71.40147479667894</v>
      </c>
      <c r="P37">
        <f t="shared" ca="1" si="38"/>
        <v>72.163337693303816</v>
      </c>
      <c r="Q37">
        <f t="shared" ca="1" si="38"/>
        <v>72.938156376860022</v>
      </c>
      <c r="R37">
        <f t="shared" ca="1" si="38"/>
        <v>72.491194028250405</v>
      </c>
      <c r="S37">
        <f t="shared" ca="1" si="38"/>
        <v>72.19336730796995</v>
      </c>
      <c r="T37">
        <f t="shared" ca="1" si="38"/>
        <v>74.24227773738653</v>
      </c>
      <c r="U37">
        <f t="shared" ca="1" si="38"/>
        <v>73.38452801846762</v>
      </c>
      <c r="V37">
        <f t="shared" ca="1" si="38"/>
        <v>71.131679540922747</v>
      </c>
      <c r="W37">
        <f t="shared" ca="1" si="38"/>
        <v>69.415514746596315</v>
      </c>
      <c r="X37">
        <f t="shared" ca="1" si="38"/>
        <v>70.291753058033621</v>
      </c>
      <c r="Y37">
        <f t="shared" ca="1" si="38"/>
        <v>70.683301207320213</v>
      </c>
      <c r="Z37">
        <f t="shared" ca="1" si="38"/>
        <v>71.466666342467477</v>
      </c>
      <c r="AA37">
        <f t="shared" ca="1" si="38"/>
        <v>70.140315155273456</v>
      </c>
      <c r="AB37">
        <f t="shared" ca="1" si="38"/>
        <v>72.283522691860668</v>
      </c>
      <c r="AC37">
        <f t="shared" ca="1" si="38"/>
        <v>72.487373051510204</v>
      </c>
      <c r="AD37">
        <f t="shared" ca="1" si="38"/>
        <v>71.064301901095675</v>
      </c>
      <c r="AE37">
        <f t="shared" ca="1" si="38"/>
        <v>70.970521355351451</v>
      </c>
      <c r="AF37">
        <f t="shared" ca="1" si="38"/>
        <v>69.851813256950763</v>
      </c>
      <c r="AG37">
        <f t="shared" ca="1" si="38"/>
        <v>71.082554117720235</v>
      </c>
      <c r="AH37">
        <f t="shared" ca="1" si="38"/>
        <v>69.38475067314296</v>
      </c>
      <c r="AI37">
        <f t="shared" ca="1" si="38"/>
        <v>69.508241200523841</v>
      </c>
      <c r="AJ37">
        <f t="shared" ca="1" si="38"/>
        <v>70.362701303607466</v>
      </c>
      <c r="AK37">
        <f t="shared" ca="1" si="38"/>
        <v>69.926843978235709</v>
      </c>
      <c r="AL37">
        <f t="shared" ca="1" si="38"/>
        <v>69.679439469287914</v>
      </c>
      <c r="AM37">
        <f t="shared" ca="1" si="38"/>
        <v>69.915316403488902</v>
      </c>
      <c r="AN37">
        <f t="shared" ca="1" si="38"/>
        <v>70.416562636395525</v>
      </c>
      <c r="AO37">
        <f t="shared" ca="1" si="38"/>
        <v>70.44057397575655</v>
      </c>
      <c r="AP37">
        <f t="shared" ca="1" si="38"/>
        <v>71.632814586592573</v>
      </c>
      <c r="AQ37">
        <f t="shared" ca="1" si="38"/>
        <v>70.781741536281118</v>
      </c>
      <c r="AR37">
        <f t="shared" ca="1" si="38"/>
        <v>71.052291872230114</v>
      </c>
      <c r="AS37">
        <f t="shared" ca="1" si="38"/>
        <v>72.49672448191285</v>
      </c>
      <c r="AT37">
        <f t="shared" ca="1" si="38"/>
        <v>72.569911424880303</v>
      </c>
      <c r="AU37">
        <f t="shared" ca="1" si="38"/>
        <v>74.486291142990567</v>
      </c>
      <c r="AV37">
        <f t="shared" ca="1" si="38"/>
        <v>74.585136510081384</v>
      </c>
      <c r="AW37">
        <f t="shared" ca="1" si="38"/>
        <v>74.657785943219594</v>
      </c>
      <c r="AX37">
        <f t="shared" ca="1" si="38"/>
        <v>73.32587086632843</v>
      </c>
      <c r="AY37">
        <f t="shared" ca="1" si="38"/>
        <v>72.287532429215659</v>
      </c>
      <c r="AZ37">
        <f t="shared" ca="1" si="38"/>
        <v>73.483043825560884</v>
      </c>
      <c r="BA37">
        <f t="shared" ca="1" si="38"/>
        <v>73.560595780825651</v>
      </c>
      <c r="BB37">
        <f t="shared" ca="1" si="38"/>
        <v>73.211995698919765</v>
      </c>
      <c r="BC37">
        <f t="shared" ca="1" si="38"/>
        <v>74.410429926060445</v>
      </c>
      <c r="BD37">
        <f t="shared" ca="1" si="38"/>
        <v>73.581588568509943</v>
      </c>
      <c r="BE37">
        <f t="shared" ca="1" si="38"/>
        <v>73.362883500246298</v>
      </c>
      <c r="BF37">
        <f t="shared" ca="1" si="38"/>
        <v>73.821266270350748</v>
      </c>
      <c r="BG37">
        <f t="shared" ca="1" si="38"/>
        <v>73.814066252913108</v>
      </c>
      <c r="BH37">
        <f t="shared" ca="1" si="38"/>
        <v>76.924272828120607</v>
      </c>
      <c r="BI37">
        <f t="shared" ca="1" si="38"/>
        <v>77.114296939050604</v>
      </c>
      <c r="BJ37">
        <f t="shared" ca="1" si="38"/>
        <v>80.155746190660267</v>
      </c>
      <c r="BK37">
        <f t="shared" ca="1" si="38"/>
        <v>79.393464658864673</v>
      </c>
      <c r="BL37">
        <f t="shared" ca="1" si="38"/>
        <v>79.431805767059942</v>
      </c>
      <c r="BM37">
        <f t="shared" ca="1" si="38"/>
        <v>81.497481707837153</v>
      </c>
      <c r="BN37">
        <f t="shared" ca="1" si="38"/>
        <v>80.805438127538523</v>
      </c>
      <c r="BO37">
        <f t="shared" ca="1" si="4"/>
        <v>22.805438127538523</v>
      </c>
    </row>
    <row r="38" spans="6:67">
      <c r="F38">
        <f t="shared" si="2"/>
        <v>60.99</v>
      </c>
      <c r="G38">
        <f t="shared" ref="G38:BN38" ca="1" si="39">F38*EXP(($B$2-0.5*$B$3^2)*$B$4+$B$3*_xlfn.NORM.INV(RAND(),0,SQRT($B$4)))</f>
        <v>62.971690756755422</v>
      </c>
      <c r="H38">
        <f t="shared" ca="1" si="39"/>
        <v>62.408305720993177</v>
      </c>
      <c r="I38">
        <f t="shared" ca="1" si="39"/>
        <v>62.528343155672147</v>
      </c>
      <c r="J38">
        <f t="shared" ca="1" si="39"/>
        <v>61.292943626621302</v>
      </c>
      <c r="K38">
        <f t="shared" ca="1" si="39"/>
        <v>62.819418923996508</v>
      </c>
      <c r="L38">
        <f t="shared" ca="1" si="39"/>
        <v>64.25549101159595</v>
      </c>
      <c r="M38">
        <f t="shared" ca="1" si="39"/>
        <v>63.578534651748122</v>
      </c>
      <c r="N38">
        <f t="shared" ca="1" si="39"/>
        <v>65.092491083407381</v>
      </c>
      <c r="O38">
        <f t="shared" ca="1" si="39"/>
        <v>63.973546515938914</v>
      </c>
      <c r="P38">
        <f t="shared" ca="1" si="39"/>
        <v>64.558557102646219</v>
      </c>
      <c r="Q38">
        <f t="shared" ca="1" si="39"/>
        <v>64.456974352163869</v>
      </c>
      <c r="R38">
        <f t="shared" ca="1" si="39"/>
        <v>62.991693714169251</v>
      </c>
      <c r="S38">
        <f t="shared" ca="1" si="39"/>
        <v>64.618629914405162</v>
      </c>
      <c r="T38">
        <f t="shared" ca="1" si="39"/>
        <v>64.090854230886038</v>
      </c>
      <c r="U38">
        <f t="shared" ca="1" si="39"/>
        <v>64.077344770101917</v>
      </c>
      <c r="V38">
        <f t="shared" ca="1" si="39"/>
        <v>61.655996312642479</v>
      </c>
      <c r="W38">
        <f t="shared" ca="1" si="39"/>
        <v>62.593115463962157</v>
      </c>
      <c r="X38">
        <f t="shared" ca="1" si="39"/>
        <v>61.559688232546698</v>
      </c>
      <c r="Y38">
        <f t="shared" ca="1" si="39"/>
        <v>63.921233798867974</v>
      </c>
      <c r="Z38">
        <f t="shared" ca="1" si="39"/>
        <v>65.879328523645128</v>
      </c>
      <c r="AA38">
        <f t="shared" ca="1" si="39"/>
        <v>64.416057462872843</v>
      </c>
      <c r="AB38">
        <f t="shared" ca="1" si="39"/>
        <v>64.754692126735307</v>
      </c>
      <c r="AC38">
        <f t="shared" ca="1" si="39"/>
        <v>65.092526012577139</v>
      </c>
      <c r="AD38">
        <f t="shared" ca="1" si="39"/>
        <v>66.19511698721216</v>
      </c>
      <c r="AE38">
        <f t="shared" ca="1" si="39"/>
        <v>67.367128068456211</v>
      </c>
      <c r="AF38">
        <f t="shared" ca="1" si="39"/>
        <v>65.572961197277863</v>
      </c>
      <c r="AG38">
        <f t="shared" ca="1" si="39"/>
        <v>65.120055968954347</v>
      </c>
      <c r="AH38">
        <f t="shared" ca="1" si="39"/>
        <v>66.049946049401228</v>
      </c>
      <c r="AI38">
        <f t="shared" ca="1" si="39"/>
        <v>67.48959013154186</v>
      </c>
      <c r="AJ38">
        <f t="shared" ca="1" si="39"/>
        <v>65.059937455919936</v>
      </c>
      <c r="AK38">
        <f t="shared" ca="1" si="39"/>
        <v>65.209179866166025</v>
      </c>
      <c r="AL38">
        <f t="shared" ca="1" si="39"/>
        <v>66.399812439586626</v>
      </c>
      <c r="AM38">
        <f t="shared" ca="1" si="39"/>
        <v>68.573634258485797</v>
      </c>
      <c r="AN38">
        <f t="shared" ca="1" si="39"/>
        <v>67.995680067721864</v>
      </c>
      <c r="AO38">
        <f t="shared" ca="1" si="39"/>
        <v>68.134164999920955</v>
      </c>
      <c r="AP38">
        <f t="shared" ca="1" si="39"/>
        <v>66.413090143764748</v>
      </c>
      <c r="AQ38">
        <f t="shared" ca="1" si="39"/>
        <v>67.070004329912706</v>
      </c>
      <c r="AR38">
        <f t="shared" ca="1" si="39"/>
        <v>67.50312451230198</v>
      </c>
      <c r="AS38">
        <f t="shared" ca="1" si="39"/>
        <v>67.596685302117564</v>
      </c>
      <c r="AT38">
        <f t="shared" ca="1" si="39"/>
        <v>68.683170710292032</v>
      </c>
      <c r="AU38">
        <f t="shared" ca="1" si="39"/>
        <v>69.608610828851312</v>
      </c>
      <c r="AV38">
        <f t="shared" ca="1" si="39"/>
        <v>68.023296150197993</v>
      </c>
      <c r="AW38">
        <f t="shared" ca="1" si="39"/>
        <v>68.352268691960816</v>
      </c>
      <c r="AX38">
        <f t="shared" ca="1" si="39"/>
        <v>68.173779668954339</v>
      </c>
      <c r="AY38">
        <f t="shared" ca="1" si="39"/>
        <v>68.517708525213678</v>
      </c>
      <c r="AZ38">
        <f t="shared" ca="1" si="39"/>
        <v>68.551781565300914</v>
      </c>
      <c r="BA38">
        <f t="shared" ca="1" si="39"/>
        <v>68.823071310638483</v>
      </c>
      <c r="BB38">
        <f t="shared" ca="1" si="39"/>
        <v>68.865081663954797</v>
      </c>
      <c r="BC38">
        <f t="shared" ca="1" si="39"/>
        <v>68.277383547050604</v>
      </c>
      <c r="BD38">
        <f t="shared" ca="1" si="39"/>
        <v>67.204410037374203</v>
      </c>
      <c r="BE38">
        <f t="shared" ca="1" si="39"/>
        <v>65.207624390743135</v>
      </c>
      <c r="BF38">
        <f t="shared" ca="1" si="39"/>
        <v>67.222326189694314</v>
      </c>
      <c r="BG38">
        <f t="shared" ca="1" si="39"/>
        <v>64.808150468333892</v>
      </c>
      <c r="BH38">
        <f t="shared" ca="1" si="39"/>
        <v>63.861277487628882</v>
      </c>
      <c r="BI38">
        <f t="shared" ca="1" si="39"/>
        <v>63.911800615048293</v>
      </c>
      <c r="BJ38">
        <f t="shared" ca="1" si="39"/>
        <v>63.940292986000792</v>
      </c>
      <c r="BK38">
        <f t="shared" ca="1" si="39"/>
        <v>64.368757858012415</v>
      </c>
      <c r="BL38">
        <f t="shared" ca="1" si="39"/>
        <v>63.933487343448718</v>
      </c>
      <c r="BM38">
        <f t="shared" ca="1" si="39"/>
        <v>64.693096566400229</v>
      </c>
      <c r="BN38">
        <f t="shared" ca="1" si="39"/>
        <v>64.372836696394813</v>
      </c>
      <c r="BO38">
        <f t="shared" ca="1" si="4"/>
        <v>6.3728366963948133</v>
      </c>
    </row>
    <row r="39" spans="6:67">
      <c r="F39">
        <f t="shared" si="2"/>
        <v>60.99</v>
      </c>
      <c r="G39">
        <f t="shared" ref="G39:BN39" ca="1" si="40">F39*EXP(($B$2-0.5*$B$3^2)*$B$4+$B$3*_xlfn.NORM.INV(RAND(),0,SQRT($B$4)))</f>
        <v>63.599524478494807</v>
      </c>
      <c r="H39">
        <f t="shared" ca="1" si="40"/>
        <v>65.158690436696688</v>
      </c>
      <c r="I39">
        <f t="shared" ca="1" si="40"/>
        <v>64.752978422431056</v>
      </c>
      <c r="J39">
        <f t="shared" ca="1" si="40"/>
        <v>66.042555312536578</v>
      </c>
      <c r="K39">
        <f t="shared" ca="1" si="40"/>
        <v>66.556297141165601</v>
      </c>
      <c r="L39">
        <f t="shared" ca="1" si="40"/>
        <v>64.715142557336961</v>
      </c>
      <c r="M39">
        <f t="shared" ca="1" si="40"/>
        <v>63.49756923818088</v>
      </c>
      <c r="N39">
        <f t="shared" ca="1" si="40"/>
        <v>61.163435627985251</v>
      </c>
      <c r="O39">
        <f t="shared" ca="1" si="40"/>
        <v>60.492482683168333</v>
      </c>
      <c r="P39">
        <f t="shared" ca="1" si="40"/>
        <v>60.422000159719389</v>
      </c>
      <c r="Q39">
        <f t="shared" ca="1" si="40"/>
        <v>61.144953946971405</v>
      </c>
      <c r="R39">
        <f t="shared" ca="1" si="40"/>
        <v>60.765900709289177</v>
      </c>
      <c r="S39">
        <f t="shared" ca="1" si="40"/>
        <v>60.022228954077853</v>
      </c>
      <c r="T39">
        <f t="shared" ca="1" si="40"/>
        <v>61.177476235583605</v>
      </c>
      <c r="U39">
        <f t="shared" ca="1" si="40"/>
        <v>60.658129379707127</v>
      </c>
      <c r="V39">
        <f t="shared" ca="1" si="40"/>
        <v>61.608239692904043</v>
      </c>
      <c r="W39">
        <f t="shared" ca="1" si="40"/>
        <v>59.248536723874309</v>
      </c>
      <c r="X39">
        <f t="shared" ca="1" si="40"/>
        <v>59.971247906068442</v>
      </c>
      <c r="Y39">
        <f t="shared" ca="1" si="40"/>
        <v>58.907658560091811</v>
      </c>
      <c r="Z39">
        <f t="shared" ca="1" si="40"/>
        <v>57.997270250051095</v>
      </c>
      <c r="AA39">
        <f t="shared" ca="1" si="40"/>
        <v>55.733069351936955</v>
      </c>
      <c r="AB39">
        <f t="shared" ca="1" si="40"/>
        <v>55.866950093464247</v>
      </c>
      <c r="AC39">
        <f t="shared" ca="1" si="40"/>
        <v>56.15356861024933</v>
      </c>
      <c r="AD39">
        <f t="shared" ca="1" si="40"/>
        <v>57.114864387250321</v>
      </c>
      <c r="AE39">
        <f t="shared" ca="1" si="40"/>
        <v>57.466088132312898</v>
      </c>
      <c r="AF39">
        <f t="shared" ca="1" si="40"/>
        <v>57.087457370058246</v>
      </c>
      <c r="AG39">
        <f t="shared" ca="1" si="40"/>
        <v>56.742114806264006</v>
      </c>
      <c r="AH39">
        <f t="shared" ca="1" si="40"/>
        <v>57.711605056726881</v>
      </c>
      <c r="AI39">
        <f t="shared" ca="1" si="40"/>
        <v>57.52007379892256</v>
      </c>
      <c r="AJ39">
        <f t="shared" ca="1" si="40"/>
        <v>56.463786237766087</v>
      </c>
      <c r="AK39">
        <f t="shared" ca="1" si="40"/>
        <v>56.023032187544771</v>
      </c>
      <c r="AL39">
        <f t="shared" ca="1" si="40"/>
        <v>57.491867994594799</v>
      </c>
      <c r="AM39">
        <f t="shared" ca="1" si="40"/>
        <v>56.238037996375574</v>
      </c>
      <c r="AN39">
        <f t="shared" ca="1" si="40"/>
        <v>58.038716603668909</v>
      </c>
      <c r="AO39">
        <f t="shared" ca="1" si="40"/>
        <v>59.395437046186366</v>
      </c>
      <c r="AP39">
        <f t="shared" ca="1" si="40"/>
        <v>59.591628041824421</v>
      </c>
      <c r="AQ39">
        <f t="shared" ca="1" si="40"/>
        <v>60.09432745637362</v>
      </c>
      <c r="AR39">
        <f t="shared" ca="1" si="40"/>
        <v>59.483184290415792</v>
      </c>
      <c r="AS39">
        <f t="shared" ca="1" si="40"/>
        <v>61.63198423502682</v>
      </c>
      <c r="AT39">
        <f t="shared" ca="1" si="40"/>
        <v>61.882934934325732</v>
      </c>
      <c r="AU39">
        <f t="shared" ca="1" si="40"/>
        <v>61.018635005977373</v>
      </c>
      <c r="AV39">
        <f t="shared" ca="1" si="40"/>
        <v>60.750194286428041</v>
      </c>
      <c r="AW39">
        <f t="shared" ca="1" si="40"/>
        <v>63.094109114870299</v>
      </c>
      <c r="AX39">
        <f t="shared" ca="1" si="40"/>
        <v>62.066941780436792</v>
      </c>
      <c r="AY39">
        <f t="shared" ca="1" si="40"/>
        <v>58.938050171150117</v>
      </c>
      <c r="AZ39">
        <f t="shared" ca="1" si="40"/>
        <v>59.046854634478223</v>
      </c>
      <c r="BA39">
        <f t="shared" ca="1" si="40"/>
        <v>57.938439802663197</v>
      </c>
      <c r="BB39">
        <f t="shared" ca="1" si="40"/>
        <v>57.37815150580785</v>
      </c>
      <c r="BC39">
        <f t="shared" ca="1" si="40"/>
        <v>56.827018656359684</v>
      </c>
      <c r="BD39">
        <f t="shared" ca="1" si="40"/>
        <v>57.315965757627303</v>
      </c>
      <c r="BE39">
        <f t="shared" ca="1" si="40"/>
        <v>57.633583229489254</v>
      </c>
      <c r="BF39">
        <f t="shared" ca="1" si="40"/>
        <v>58.396582856866218</v>
      </c>
      <c r="BG39">
        <f t="shared" ca="1" si="40"/>
        <v>59.195841326816058</v>
      </c>
      <c r="BH39">
        <f t="shared" ca="1" si="40"/>
        <v>58.356900797918399</v>
      </c>
      <c r="BI39">
        <f t="shared" ca="1" si="40"/>
        <v>58.790959544535397</v>
      </c>
      <c r="BJ39">
        <f t="shared" ca="1" si="40"/>
        <v>58.208578590196836</v>
      </c>
      <c r="BK39">
        <f t="shared" ca="1" si="40"/>
        <v>59.748559655418184</v>
      </c>
      <c r="BL39">
        <f t="shared" ca="1" si="40"/>
        <v>58.608123618517304</v>
      </c>
      <c r="BM39">
        <f t="shared" ca="1" si="40"/>
        <v>59.29416669790993</v>
      </c>
      <c r="BN39">
        <f t="shared" ca="1" si="40"/>
        <v>58.740073994117012</v>
      </c>
      <c r="BO39">
        <f t="shared" ca="1" si="4"/>
        <v>0.74007399411701158</v>
      </c>
    </row>
    <row r="40" spans="6:67">
      <c r="F40">
        <f t="shared" si="2"/>
        <v>60.99</v>
      </c>
      <c r="G40">
        <f t="shared" ref="G40:BN40" ca="1" si="41">F40*EXP(($B$2-0.5*$B$3^2)*$B$4+$B$3*_xlfn.NORM.INV(RAND(),0,SQRT($B$4)))</f>
        <v>61.41494206235808</v>
      </c>
      <c r="H40">
        <f t="shared" ca="1" si="41"/>
        <v>63.631262683756837</v>
      </c>
      <c r="I40">
        <f t="shared" ca="1" si="41"/>
        <v>63.730364888348859</v>
      </c>
      <c r="J40">
        <f t="shared" ca="1" si="41"/>
        <v>63.28028529758145</v>
      </c>
      <c r="K40">
        <f t="shared" ca="1" si="41"/>
        <v>63.241733785716079</v>
      </c>
      <c r="L40">
        <f t="shared" ca="1" si="41"/>
        <v>62.885755800545638</v>
      </c>
      <c r="M40">
        <f t="shared" ca="1" si="41"/>
        <v>63.665467225766449</v>
      </c>
      <c r="N40">
        <f t="shared" ca="1" si="41"/>
        <v>64.165396381998221</v>
      </c>
      <c r="O40">
        <f t="shared" ca="1" si="41"/>
        <v>63.804727534204417</v>
      </c>
      <c r="P40">
        <f t="shared" ca="1" si="41"/>
        <v>63.543104974779681</v>
      </c>
      <c r="Q40">
        <f t="shared" ca="1" si="41"/>
        <v>62.845036383347839</v>
      </c>
      <c r="R40">
        <f t="shared" ca="1" si="41"/>
        <v>62.212882913812528</v>
      </c>
      <c r="S40">
        <f t="shared" ca="1" si="41"/>
        <v>63.643652861227494</v>
      </c>
      <c r="T40">
        <f t="shared" ca="1" si="41"/>
        <v>63.95507368156408</v>
      </c>
      <c r="U40">
        <f t="shared" ca="1" si="41"/>
        <v>63.776060357098871</v>
      </c>
      <c r="V40">
        <f t="shared" ca="1" si="41"/>
        <v>62.811654762396017</v>
      </c>
      <c r="W40">
        <f t="shared" ca="1" si="41"/>
        <v>62.32165505468663</v>
      </c>
      <c r="X40">
        <f t="shared" ca="1" si="41"/>
        <v>61.018813545051678</v>
      </c>
      <c r="Y40">
        <f t="shared" ca="1" si="41"/>
        <v>61.474752239666515</v>
      </c>
      <c r="Z40">
        <f t="shared" ca="1" si="41"/>
        <v>61.026852905598204</v>
      </c>
      <c r="AA40">
        <f t="shared" ca="1" si="41"/>
        <v>62.457580713155245</v>
      </c>
      <c r="AB40">
        <f t="shared" ca="1" si="41"/>
        <v>63.120697354317223</v>
      </c>
      <c r="AC40">
        <f t="shared" ca="1" si="41"/>
        <v>62.659200954050085</v>
      </c>
      <c r="AD40">
        <f t="shared" ca="1" si="41"/>
        <v>60.819852879669064</v>
      </c>
      <c r="AE40">
        <f t="shared" ca="1" si="41"/>
        <v>60.052956742414118</v>
      </c>
      <c r="AF40">
        <f t="shared" ca="1" si="41"/>
        <v>59.964758286674574</v>
      </c>
      <c r="AG40">
        <f t="shared" ca="1" si="41"/>
        <v>60.394977314317806</v>
      </c>
      <c r="AH40">
        <f t="shared" ca="1" si="41"/>
        <v>61.014352917649987</v>
      </c>
      <c r="AI40">
        <f t="shared" ca="1" si="41"/>
        <v>59.820831964421721</v>
      </c>
      <c r="AJ40">
        <f t="shared" ca="1" si="41"/>
        <v>60.928448191695587</v>
      </c>
      <c r="AK40">
        <f t="shared" ca="1" si="41"/>
        <v>60.837052044539732</v>
      </c>
      <c r="AL40">
        <f t="shared" ca="1" si="41"/>
        <v>60.417526727667472</v>
      </c>
      <c r="AM40">
        <f t="shared" ca="1" si="41"/>
        <v>61.49049577573021</v>
      </c>
      <c r="AN40">
        <f t="shared" ca="1" si="41"/>
        <v>60.845968581574084</v>
      </c>
      <c r="AO40">
        <f t="shared" ca="1" si="41"/>
        <v>60.943168922347695</v>
      </c>
      <c r="AP40">
        <f t="shared" ca="1" si="41"/>
        <v>60.087346482913219</v>
      </c>
      <c r="AQ40">
        <f t="shared" ca="1" si="41"/>
        <v>59.800054731348204</v>
      </c>
      <c r="AR40">
        <f t="shared" ca="1" si="41"/>
        <v>59.892113251030523</v>
      </c>
      <c r="AS40">
        <f t="shared" ca="1" si="41"/>
        <v>57.576727632476157</v>
      </c>
      <c r="AT40">
        <f t="shared" ca="1" si="41"/>
        <v>58.597315159305801</v>
      </c>
      <c r="AU40">
        <f t="shared" ca="1" si="41"/>
        <v>57.955165781857687</v>
      </c>
      <c r="AV40">
        <f t="shared" ca="1" si="41"/>
        <v>57.859259748661309</v>
      </c>
      <c r="AW40">
        <f t="shared" ca="1" si="41"/>
        <v>57.813762763851663</v>
      </c>
      <c r="AX40">
        <f t="shared" ca="1" si="41"/>
        <v>57.863812960092623</v>
      </c>
      <c r="AY40">
        <f t="shared" ca="1" si="41"/>
        <v>56.411377127885949</v>
      </c>
      <c r="AZ40">
        <f t="shared" ca="1" si="41"/>
        <v>57.779928582076508</v>
      </c>
      <c r="BA40">
        <f t="shared" ca="1" si="41"/>
        <v>57.44896172481225</v>
      </c>
      <c r="BB40">
        <f t="shared" ca="1" si="41"/>
        <v>60.882441745830775</v>
      </c>
      <c r="BC40">
        <f t="shared" ca="1" si="41"/>
        <v>61.062681424493285</v>
      </c>
      <c r="BD40">
        <f t="shared" ca="1" si="41"/>
        <v>61.18200528558333</v>
      </c>
      <c r="BE40">
        <f t="shared" ca="1" si="41"/>
        <v>59.830741153808148</v>
      </c>
      <c r="BF40">
        <f t="shared" ca="1" si="41"/>
        <v>59.776373936570252</v>
      </c>
      <c r="BG40">
        <f t="shared" ca="1" si="41"/>
        <v>60.599016093084252</v>
      </c>
      <c r="BH40">
        <f t="shared" ca="1" si="41"/>
        <v>59.627617448960876</v>
      </c>
      <c r="BI40">
        <f t="shared" ca="1" si="41"/>
        <v>59.774480891290374</v>
      </c>
      <c r="BJ40">
        <f t="shared" ca="1" si="41"/>
        <v>60.507483899761105</v>
      </c>
      <c r="BK40">
        <f t="shared" ca="1" si="41"/>
        <v>59.224128923145386</v>
      </c>
      <c r="BL40">
        <f t="shared" ca="1" si="41"/>
        <v>58.285396435093645</v>
      </c>
      <c r="BM40">
        <f t="shared" ca="1" si="41"/>
        <v>57.052991511796201</v>
      </c>
      <c r="BN40">
        <f t="shared" ca="1" si="41"/>
        <v>56.952145571917953</v>
      </c>
      <c r="BO40">
        <f t="shared" ca="1" si="4"/>
        <v>0</v>
      </c>
    </row>
    <row r="41" spans="6:67">
      <c r="F41">
        <f t="shared" si="2"/>
        <v>60.99</v>
      </c>
      <c r="G41">
        <f t="shared" ref="G41:BN41" ca="1" si="42">F41*EXP(($B$2-0.5*$B$3^2)*$B$4+$B$3*_xlfn.NORM.INV(RAND(),0,SQRT($B$4)))</f>
        <v>61.964889300607197</v>
      </c>
      <c r="H41">
        <f t="shared" ca="1" si="42"/>
        <v>62.956077746905372</v>
      </c>
      <c r="I41">
        <f t="shared" ca="1" si="42"/>
        <v>64.047158463065131</v>
      </c>
      <c r="J41">
        <f t="shared" ca="1" si="42"/>
        <v>64.293309906394981</v>
      </c>
      <c r="K41">
        <f t="shared" ca="1" si="42"/>
        <v>64.300490727250761</v>
      </c>
      <c r="L41">
        <f t="shared" ca="1" si="42"/>
        <v>65.828021054269897</v>
      </c>
      <c r="M41">
        <f t="shared" ca="1" si="42"/>
        <v>66.417700346832262</v>
      </c>
      <c r="N41">
        <f t="shared" ca="1" si="42"/>
        <v>67.080873024275718</v>
      </c>
      <c r="O41">
        <f t="shared" ca="1" si="42"/>
        <v>68.913566752780355</v>
      </c>
      <c r="P41">
        <f t="shared" ca="1" si="42"/>
        <v>69.945255839472964</v>
      </c>
      <c r="Q41">
        <f t="shared" ca="1" si="42"/>
        <v>71.828498095380866</v>
      </c>
      <c r="R41">
        <f t="shared" ca="1" si="42"/>
        <v>71.771931301199459</v>
      </c>
      <c r="S41">
        <f t="shared" ca="1" si="42"/>
        <v>71.11067587344165</v>
      </c>
      <c r="T41">
        <f t="shared" ca="1" si="42"/>
        <v>71.976872960471667</v>
      </c>
      <c r="U41">
        <f t="shared" ca="1" si="42"/>
        <v>71.830550098799947</v>
      </c>
      <c r="V41">
        <f t="shared" ca="1" si="42"/>
        <v>72.413060126197308</v>
      </c>
      <c r="W41">
        <f t="shared" ca="1" si="42"/>
        <v>72.559070134303383</v>
      </c>
      <c r="X41">
        <f t="shared" ca="1" si="42"/>
        <v>71.156784400836983</v>
      </c>
      <c r="Y41">
        <f t="shared" ca="1" si="42"/>
        <v>70.152279018568677</v>
      </c>
      <c r="Z41">
        <f t="shared" ca="1" si="42"/>
        <v>68.435486355377961</v>
      </c>
      <c r="AA41">
        <f t="shared" ca="1" si="42"/>
        <v>67.662317144479417</v>
      </c>
      <c r="AB41">
        <f t="shared" ca="1" si="42"/>
        <v>70.230818656984226</v>
      </c>
      <c r="AC41">
        <f t="shared" ca="1" si="42"/>
        <v>67.536554528451518</v>
      </c>
      <c r="AD41">
        <f t="shared" ca="1" si="42"/>
        <v>66.477075144233126</v>
      </c>
      <c r="AE41">
        <f t="shared" ca="1" si="42"/>
        <v>65.738754781526595</v>
      </c>
      <c r="AF41">
        <f t="shared" ca="1" si="42"/>
        <v>65.386443810331386</v>
      </c>
      <c r="AG41">
        <f t="shared" ca="1" si="42"/>
        <v>65.33987422053292</v>
      </c>
      <c r="AH41">
        <f t="shared" ca="1" si="42"/>
        <v>66.439668390928858</v>
      </c>
      <c r="AI41">
        <f t="shared" ca="1" si="42"/>
        <v>69.693159854549421</v>
      </c>
      <c r="AJ41">
        <f t="shared" ca="1" si="42"/>
        <v>69.401811351328718</v>
      </c>
      <c r="AK41">
        <f t="shared" ca="1" si="42"/>
        <v>71.089372993062412</v>
      </c>
      <c r="AL41">
        <f t="shared" ca="1" si="42"/>
        <v>69.303145156967787</v>
      </c>
      <c r="AM41">
        <f t="shared" ca="1" si="42"/>
        <v>69.386727427833534</v>
      </c>
      <c r="AN41">
        <f t="shared" ca="1" si="42"/>
        <v>67.00718461238192</v>
      </c>
      <c r="AO41">
        <f t="shared" ca="1" si="42"/>
        <v>64.583947518330135</v>
      </c>
      <c r="AP41">
        <f t="shared" ca="1" si="42"/>
        <v>66.647643604762479</v>
      </c>
      <c r="AQ41">
        <f t="shared" ca="1" si="42"/>
        <v>65.4406271548756</v>
      </c>
      <c r="AR41">
        <f t="shared" ca="1" si="42"/>
        <v>67.216822846387402</v>
      </c>
      <c r="AS41">
        <f t="shared" ca="1" si="42"/>
        <v>67.648765528467024</v>
      </c>
      <c r="AT41">
        <f t="shared" ca="1" si="42"/>
        <v>68.328313230906545</v>
      </c>
      <c r="AU41">
        <f t="shared" ca="1" si="42"/>
        <v>71.765266567840399</v>
      </c>
      <c r="AV41">
        <f t="shared" ca="1" si="42"/>
        <v>73.284719771387344</v>
      </c>
      <c r="AW41">
        <f t="shared" ca="1" si="42"/>
        <v>73.726861617529792</v>
      </c>
      <c r="AX41">
        <f t="shared" ca="1" si="42"/>
        <v>73.498111302753159</v>
      </c>
      <c r="AY41">
        <f t="shared" ca="1" si="42"/>
        <v>74.463447956594521</v>
      </c>
      <c r="AZ41">
        <f t="shared" ca="1" si="42"/>
        <v>74.669172978943791</v>
      </c>
      <c r="BA41">
        <f t="shared" ca="1" si="42"/>
        <v>74.86958621002006</v>
      </c>
      <c r="BB41">
        <f t="shared" ca="1" si="42"/>
        <v>73.068493400407149</v>
      </c>
      <c r="BC41">
        <f t="shared" ca="1" si="42"/>
        <v>72.95834383297553</v>
      </c>
      <c r="BD41">
        <f t="shared" ca="1" si="42"/>
        <v>72.77733540355193</v>
      </c>
      <c r="BE41">
        <f t="shared" ca="1" si="42"/>
        <v>74.436526950530705</v>
      </c>
      <c r="BF41">
        <f t="shared" ca="1" si="42"/>
        <v>71.452296120503561</v>
      </c>
      <c r="BG41">
        <f t="shared" ca="1" si="42"/>
        <v>70.762073175054169</v>
      </c>
      <c r="BH41">
        <f t="shared" ca="1" si="42"/>
        <v>71.692099560322831</v>
      </c>
      <c r="BI41">
        <f t="shared" ca="1" si="42"/>
        <v>70.473173239187261</v>
      </c>
      <c r="BJ41">
        <f t="shared" ca="1" si="42"/>
        <v>69.781176820113046</v>
      </c>
      <c r="BK41">
        <f t="shared" ca="1" si="42"/>
        <v>72.088509234281503</v>
      </c>
      <c r="BL41">
        <f t="shared" ca="1" si="42"/>
        <v>71.36753873942709</v>
      </c>
      <c r="BM41">
        <f t="shared" ca="1" si="42"/>
        <v>70.553080008917377</v>
      </c>
      <c r="BN41">
        <f t="shared" ca="1" si="42"/>
        <v>70.594436096087179</v>
      </c>
      <c r="BO41">
        <f t="shared" ca="1" si="4"/>
        <v>12.594436096087179</v>
      </c>
    </row>
    <row r="42" spans="6:67">
      <c r="F42">
        <f t="shared" si="2"/>
        <v>60.99</v>
      </c>
      <c r="G42">
        <f t="shared" ref="G42:BN42" ca="1" si="43">F42*EXP(($B$2-0.5*$B$3^2)*$B$4+$B$3*_xlfn.NORM.INV(RAND(),0,SQRT($B$4)))</f>
        <v>62.389166132069448</v>
      </c>
      <c r="H42">
        <f t="shared" ca="1" si="43"/>
        <v>62.208842289448199</v>
      </c>
      <c r="I42">
        <f t="shared" ca="1" si="43"/>
        <v>64.006262102230053</v>
      </c>
      <c r="J42">
        <f t="shared" ca="1" si="43"/>
        <v>63.804897870315294</v>
      </c>
      <c r="K42">
        <f t="shared" ca="1" si="43"/>
        <v>61.782609527960851</v>
      </c>
      <c r="L42">
        <f t="shared" ca="1" si="43"/>
        <v>63.223473606068737</v>
      </c>
      <c r="M42">
        <f t="shared" ca="1" si="43"/>
        <v>64.415189482761306</v>
      </c>
      <c r="N42">
        <f t="shared" ca="1" si="43"/>
        <v>63.841590175992529</v>
      </c>
      <c r="O42">
        <f t="shared" ca="1" si="43"/>
        <v>62.79726191004967</v>
      </c>
      <c r="P42">
        <f t="shared" ca="1" si="43"/>
        <v>64.37672517716085</v>
      </c>
      <c r="Q42">
        <f t="shared" ca="1" si="43"/>
        <v>67.38249547402387</v>
      </c>
      <c r="R42">
        <f t="shared" ca="1" si="43"/>
        <v>66.805233303412365</v>
      </c>
      <c r="S42">
        <f t="shared" ca="1" si="43"/>
        <v>66.319497397933077</v>
      </c>
      <c r="T42">
        <f t="shared" ca="1" si="43"/>
        <v>65.076261433074009</v>
      </c>
      <c r="U42">
        <f t="shared" ca="1" si="43"/>
        <v>66.047067268838191</v>
      </c>
      <c r="V42">
        <f t="shared" ca="1" si="43"/>
        <v>68.000568955302654</v>
      </c>
      <c r="W42">
        <f t="shared" ca="1" si="43"/>
        <v>70.998547209848269</v>
      </c>
      <c r="X42">
        <f t="shared" ca="1" si="43"/>
        <v>70.587822470388573</v>
      </c>
      <c r="Y42">
        <f t="shared" ca="1" si="43"/>
        <v>69.559888361567502</v>
      </c>
      <c r="Z42">
        <f t="shared" ca="1" si="43"/>
        <v>69.334833985706354</v>
      </c>
      <c r="AA42">
        <f t="shared" ca="1" si="43"/>
        <v>69.408687159649588</v>
      </c>
      <c r="AB42">
        <f t="shared" ca="1" si="43"/>
        <v>70.389850425660867</v>
      </c>
      <c r="AC42">
        <f t="shared" ca="1" si="43"/>
        <v>69.108224843160073</v>
      </c>
      <c r="AD42">
        <f t="shared" ca="1" si="43"/>
        <v>70.368914619140938</v>
      </c>
      <c r="AE42">
        <f t="shared" ca="1" si="43"/>
        <v>73.051120520041323</v>
      </c>
      <c r="AF42">
        <f t="shared" ca="1" si="43"/>
        <v>74.44008321740337</v>
      </c>
      <c r="AG42">
        <f t="shared" ca="1" si="43"/>
        <v>75.407799704051513</v>
      </c>
      <c r="AH42">
        <f t="shared" ca="1" si="43"/>
        <v>77.01772438467853</v>
      </c>
      <c r="AI42">
        <f t="shared" ca="1" si="43"/>
        <v>76.677729253085715</v>
      </c>
      <c r="AJ42">
        <f t="shared" ca="1" si="43"/>
        <v>76.65199216055359</v>
      </c>
      <c r="AK42">
        <f t="shared" ca="1" si="43"/>
        <v>75.921830896960969</v>
      </c>
      <c r="AL42">
        <f t="shared" ca="1" si="43"/>
        <v>76.644767316276869</v>
      </c>
      <c r="AM42">
        <f t="shared" ca="1" si="43"/>
        <v>77.660029739993419</v>
      </c>
      <c r="AN42">
        <f t="shared" ca="1" si="43"/>
        <v>77.407938181033401</v>
      </c>
      <c r="AO42">
        <f t="shared" ca="1" si="43"/>
        <v>76.481323277310921</v>
      </c>
      <c r="AP42">
        <f t="shared" ca="1" si="43"/>
        <v>76.436942356135418</v>
      </c>
      <c r="AQ42">
        <f t="shared" ca="1" si="43"/>
        <v>78.75150607926598</v>
      </c>
      <c r="AR42">
        <f t="shared" ca="1" si="43"/>
        <v>79.336308261117964</v>
      </c>
      <c r="AS42">
        <f t="shared" ca="1" si="43"/>
        <v>80.063385900360444</v>
      </c>
      <c r="AT42">
        <f t="shared" ca="1" si="43"/>
        <v>79.804923689550904</v>
      </c>
      <c r="AU42">
        <f t="shared" ca="1" si="43"/>
        <v>77.987851424146243</v>
      </c>
      <c r="AV42">
        <f t="shared" ca="1" si="43"/>
        <v>78.013066752830468</v>
      </c>
      <c r="AW42">
        <f t="shared" ca="1" si="43"/>
        <v>78.916850339450036</v>
      </c>
      <c r="AX42">
        <f t="shared" ca="1" si="43"/>
        <v>79.525586421641009</v>
      </c>
      <c r="AY42">
        <f t="shared" ca="1" si="43"/>
        <v>78.629532443359864</v>
      </c>
      <c r="AZ42">
        <f t="shared" ca="1" si="43"/>
        <v>80.195948218747162</v>
      </c>
      <c r="BA42">
        <f t="shared" ca="1" si="43"/>
        <v>80.767164837739941</v>
      </c>
      <c r="BB42">
        <f t="shared" ca="1" si="43"/>
        <v>82.81716151184105</v>
      </c>
      <c r="BC42">
        <f t="shared" ca="1" si="43"/>
        <v>82.483466662100142</v>
      </c>
      <c r="BD42">
        <f t="shared" ca="1" si="43"/>
        <v>81.509657882654508</v>
      </c>
      <c r="BE42">
        <f t="shared" ca="1" si="43"/>
        <v>79.548214481857144</v>
      </c>
      <c r="BF42">
        <f t="shared" ca="1" si="43"/>
        <v>79.383745861613647</v>
      </c>
      <c r="BG42">
        <f t="shared" ca="1" si="43"/>
        <v>79.82670657186739</v>
      </c>
      <c r="BH42">
        <f t="shared" ca="1" si="43"/>
        <v>81.149341467103227</v>
      </c>
      <c r="BI42">
        <f t="shared" ca="1" si="43"/>
        <v>82.247390049111829</v>
      </c>
      <c r="BJ42">
        <f t="shared" ca="1" si="43"/>
        <v>81.341667010787532</v>
      </c>
      <c r="BK42">
        <f t="shared" ca="1" si="43"/>
        <v>77.71881591778525</v>
      </c>
      <c r="BL42">
        <f t="shared" ca="1" si="43"/>
        <v>76.681361121674939</v>
      </c>
      <c r="BM42">
        <f t="shared" ca="1" si="43"/>
        <v>76.920000124507169</v>
      </c>
      <c r="BN42">
        <f t="shared" ca="1" si="43"/>
        <v>75.739075027683583</v>
      </c>
      <c r="BO42">
        <f t="shared" ca="1" si="4"/>
        <v>17.739075027683583</v>
      </c>
    </row>
    <row r="43" spans="6:67">
      <c r="F43">
        <f t="shared" si="2"/>
        <v>60.99</v>
      </c>
      <c r="G43">
        <f t="shared" ref="G43:BN43" ca="1" si="44">F43*EXP(($B$2-0.5*$B$3^2)*$B$4+$B$3*_xlfn.NORM.INV(RAND(),0,SQRT($B$4)))</f>
        <v>60.639644352091551</v>
      </c>
      <c r="H43">
        <f t="shared" ca="1" si="44"/>
        <v>61.602295960857568</v>
      </c>
      <c r="I43">
        <f t="shared" ca="1" si="44"/>
        <v>62.045478680484607</v>
      </c>
      <c r="J43">
        <f t="shared" ca="1" si="44"/>
        <v>63.140867276109873</v>
      </c>
      <c r="K43">
        <f t="shared" ca="1" si="44"/>
        <v>63.795548453644827</v>
      </c>
      <c r="L43">
        <f t="shared" ca="1" si="44"/>
        <v>63.264390873134339</v>
      </c>
      <c r="M43">
        <f t="shared" ca="1" si="44"/>
        <v>61.942639607950404</v>
      </c>
      <c r="N43">
        <f t="shared" ca="1" si="44"/>
        <v>63.213674063352165</v>
      </c>
      <c r="O43">
        <f t="shared" ca="1" si="44"/>
        <v>63.591696459103538</v>
      </c>
      <c r="P43">
        <f t="shared" ca="1" si="44"/>
        <v>63.663810280095987</v>
      </c>
      <c r="Q43">
        <f t="shared" ca="1" si="44"/>
        <v>61.89538788176182</v>
      </c>
      <c r="R43">
        <f t="shared" ca="1" si="44"/>
        <v>62.197494871919616</v>
      </c>
      <c r="S43">
        <f t="shared" ca="1" si="44"/>
        <v>64.190135717665868</v>
      </c>
      <c r="T43">
        <f t="shared" ca="1" si="44"/>
        <v>64.85266362112408</v>
      </c>
      <c r="U43">
        <f t="shared" ca="1" si="44"/>
        <v>63.583531924852238</v>
      </c>
      <c r="V43">
        <f t="shared" ca="1" si="44"/>
        <v>61.383145723134824</v>
      </c>
      <c r="W43">
        <f t="shared" ca="1" si="44"/>
        <v>61.455113917840954</v>
      </c>
      <c r="X43">
        <f t="shared" ca="1" si="44"/>
        <v>60.147158894824813</v>
      </c>
      <c r="Y43">
        <f t="shared" ca="1" si="44"/>
        <v>60.857231974473216</v>
      </c>
      <c r="Z43">
        <f t="shared" ca="1" si="44"/>
        <v>60.76093408723716</v>
      </c>
      <c r="AA43">
        <f t="shared" ca="1" si="44"/>
        <v>62.302497246617627</v>
      </c>
      <c r="AB43">
        <f t="shared" ca="1" si="44"/>
        <v>60.556589889385812</v>
      </c>
      <c r="AC43">
        <f t="shared" ca="1" si="44"/>
        <v>59.830784979633563</v>
      </c>
      <c r="AD43">
        <f t="shared" ca="1" si="44"/>
        <v>60.542927080373616</v>
      </c>
      <c r="AE43">
        <f t="shared" ca="1" si="44"/>
        <v>60.178523660855454</v>
      </c>
      <c r="AF43">
        <f t="shared" ca="1" si="44"/>
        <v>62.039006186044695</v>
      </c>
      <c r="AG43">
        <f t="shared" ca="1" si="44"/>
        <v>61.470969455571954</v>
      </c>
      <c r="AH43">
        <f t="shared" ca="1" si="44"/>
        <v>61.866007758137769</v>
      </c>
      <c r="AI43">
        <f t="shared" ca="1" si="44"/>
        <v>63.638078257915069</v>
      </c>
      <c r="AJ43">
        <f t="shared" ca="1" si="44"/>
        <v>65.023504117552164</v>
      </c>
      <c r="AK43">
        <f t="shared" ca="1" si="44"/>
        <v>66.308285917095347</v>
      </c>
      <c r="AL43">
        <f t="shared" ca="1" si="44"/>
        <v>66.779061162696749</v>
      </c>
      <c r="AM43">
        <f t="shared" ca="1" si="44"/>
        <v>68.203551807316657</v>
      </c>
      <c r="AN43">
        <f t="shared" ca="1" si="44"/>
        <v>67.893062542313004</v>
      </c>
      <c r="AO43">
        <f t="shared" ca="1" si="44"/>
        <v>68.457483839231628</v>
      </c>
      <c r="AP43">
        <f t="shared" ca="1" si="44"/>
        <v>69.07846003535677</v>
      </c>
      <c r="AQ43">
        <f t="shared" ca="1" si="44"/>
        <v>69.625151715432551</v>
      </c>
      <c r="AR43">
        <f t="shared" ca="1" si="44"/>
        <v>68.416061944524301</v>
      </c>
      <c r="AS43">
        <f t="shared" ca="1" si="44"/>
        <v>69.345206843442341</v>
      </c>
      <c r="AT43">
        <f t="shared" ca="1" si="44"/>
        <v>70.717999535636153</v>
      </c>
      <c r="AU43">
        <f t="shared" ca="1" si="44"/>
        <v>68.001547204382632</v>
      </c>
      <c r="AV43">
        <f t="shared" ca="1" si="44"/>
        <v>69.855548090857454</v>
      </c>
      <c r="AW43">
        <f t="shared" ca="1" si="44"/>
        <v>70.331260430536531</v>
      </c>
      <c r="AX43">
        <f t="shared" ca="1" si="44"/>
        <v>68.866154145485851</v>
      </c>
      <c r="AY43">
        <f t="shared" ca="1" si="44"/>
        <v>69.862439650224914</v>
      </c>
      <c r="AZ43">
        <f t="shared" ca="1" si="44"/>
        <v>69.804313479669048</v>
      </c>
      <c r="BA43">
        <f t="shared" ca="1" si="44"/>
        <v>69.483860039405329</v>
      </c>
      <c r="BB43">
        <f t="shared" ca="1" si="44"/>
        <v>68.595907834294565</v>
      </c>
      <c r="BC43">
        <f t="shared" ca="1" si="44"/>
        <v>72.241872603437869</v>
      </c>
      <c r="BD43">
        <f t="shared" ca="1" si="44"/>
        <v>74.240821741745322</v>
      </c>
      <c r="BE43">
        <f t="shared" ca="1" si="44"/>
        <v>74.922234202850291</v>
      </c>
      <c r="BF43">
        <f t="shared" ca="1" si="44"/>
        <v>72.808822643675683</v>
      </c>
      <c r="BG43">
        <f t="shared" ca="1" si="44"/>
        <v>73.691498290667667</v>
      </c>
      <c r="BH43">
        <f t="shared" ca="1" si="44"/>
        <v>75.149396718686319</v>
      </c>
      <c r="BI43">
        <f t="shared" ca="1" si="44"/>
        <v>77.386378074442064</v>
      </c>
      <c r="BJ43">
        <f t="shared" ca="1" si="44"/>
        <v>76.899005946408636</v>
      </c>
      <c r="BK43">
        <f t="shared" ca="1" si="44"/>
        <v>74.607196817803498</v>
      </c>
      <c r="BL43">
        <f t="shared" ca="1" si="44"/>
        <v>74.659458889761353</v>
      </c>
      <c r="BM43">
        <f t="shared" ca="1" si="44"/>
        <v>72.192560209923997</v>
      </c>
      <c r="BN43">
        <f t="shared" ca="1" si="44"/>
        <v>73.000866460914494</v>
      </c>
      <c r="BO43">
        <f t="shared" ca="1" si="4"/>
        <v>15.000866460914494</v>
      </c>
    </row>
    <row r="44" spans="6:67">
      <c r="F44">
        <f t="shared" si="2"/>
        <v>60.99</v>
      </c>
      <c r="G44">
        <f t="shared" ref="G44:BN44" ca="1" si="45">F44*EXP(($B$2-0.5*$B$3^2)*$B$4+$B$3*_xlfn.NORM.INV(RAND(),0,SQRT($B$4)))</f>
        <v>61.659043476399333</v>
      </c>
      <c r="H44">
        <f t="shared" ca="1" si="45"/>
        <v>60.334160389302689</v>
      </c>
      <c r="I44">
        <f t="shared" ca="1" si="45"/>
        <v>61.575665245365386</v>
      </c>
      <c r="J44">
        <f t="shared" ca="1" si="45"/>
        <v>60.215747051183648</v>
      </c>
      <c r="K44">
        <f t="shared" ca="1" si="45"/>
        <v>62.108220002337468</v>
      </c>
      <c r="L44">
        <f t="shared" ca="1" si="45"/>
        <v>62.883684737713175</v>
      </c>
      <c r="M44">
        <f t="shared" ca="1" si="45"/>
        <v>62.127805391799221</v>
      </c>
      <c r="N44">
        <f t="shared" ca="1" si="45"/>
        <v>62.503450830385844</v>
      </c>
      <c r="O44">
        <f t="shared" ca="1" si="45"/>
        <v>60.849471585201044</v>
      </c>
      <c r="P44">
        <f t="shared" ca="1" si="45"/>
        <v>57.585460555198686</v>
      </c>
      <c r="Q44">
        <f t="shared" ca="1" si="45"/>
        <v>59.204753692710675</v>
      </c>
      <c r="R44">
        <f t="shared" ca="1" si="45"/>
        <v>58.521477242577973</v>
      </c>
      <c r="S44">
        <f t="shared" ca="1" si="45"/>
        <v>59.962319796237367</v>
      </c>
      <c r="T44">
        <f t="shared" ca="1" si="45"/>
        <v>60.80163686029573</v>
      </c>
      <c r="U44">
        <f t="shared" ca="1" si="45"/>
        <v>62.14236685167856</v>
      </c>
      <c r="V44">
        <f t="shared" ca="1" si="45"/>
        <v>61.987266219056622</v>
      </c>
      <c r="W44">
        <f t="shared" ca="1" si="45"/>
        <v>61.385869819170523</v>
      </c>
      <c r="X44">
        <f t="shared" ca="1" si="45"/>
        <v>61.734706502855367</v>
      </c>
      <c r="Y44">
        <f t="shared" ca="1" si="45"/>
        <v>63.21189336107166</v>
      </c>
      <c r="Z44">
        <f t="shared" ca="1" si="45"/>
        <v>62.705252378441806</v>
      </c>
      <c r="AA44">
        <f t="shared" ca="1" si="45"/>
        <v>61.220624515053856</v>
      </c>
      <c r="AB44">
        <f t="shared" ca="1" si="45"/>
        <v>63.801652401474968</v>
      </c>
      <c r="AC44">
        <f t="shared" ca="1" si="45"/>
        <v>63.255438233927414</v>
      </c>
      <c r="AD44">
        <f t="shared" ca="1" si="45"/>
        <v>62.30010714631532</v>
      </c>
      <c r="AE44">
        <f t="shared" ca="1" si="45"/>
        <v>61.039553768370823</v>
      </c>
      <c r="AF44">
        <f t="shared" ca="1" si="45"/>
        <v>60.919097885795921</v>
      </c>
      <c r="AG44">
        <f t="shared" ca="1" si="45"/>
        <v>62.230717643224416</v>
      </c>
      <c r="AH44">
        <f t="shared" ca="1" si="45"/>
        <v>65.29715020880019</v>
      </c>
      <c r="AI44">
        <f t="shared" ca="1" si="45"/>
        <v>65.073325496024054</v>
      </c>
      <c r="AJ44">
        <f t="shared" ca="1" si="45"/>
        <v>65.268650809387694</v>
      </c>
      <c r="AK44">
        <f t="shared" ca="1" si="45"/>
        <v>65.862303878729165</v>
      </c>
      <c r="AL44">
        <f t="shared" ca="1" si="45"/>
        <v>66.467581224701661</v>
      </c>
      <c r="AM44">
        <f t="shared" ca="1" si="45"/>
        <v>65.984118643326482</v>
      </c>
      <c r="AN44">
        <f t="shared" ca="1" si="45"/>
        <v>64.252934305253248</v>
      </c>
      <c r="AO44">
        <f t="shared" ca="1" si="45"/>
        <v>63.51817536328177</v>
      </c>
      <c r="AP44">
        <f t="shared" ca="1" si="45"/>
        <v>65.452865304976854</v>
      </c>
      <c r="AQ44">
        <f t="shared" ca="1" si="45"/>
        <v>66.623898726556817</v>
      </c>
      <c r="AR44">
        <f t="shared" ca="1" si="45"/>
        <v>65.689685724511151</v>
      </c>
      <c r="AS44">
        <f t="shared" ca="1" si="45"/>
        <v>66.349627724511762</v>
      </c>
      <c r="AT44">
        <f t="shared" ca="1" si="45"/>
        <v>65.223925472610858</v>
      </c>
      <c r="AU44">
        <f t="shared" ca="1" si="45"/>
        <v>64.58630862708074</v>
      </c>
      <c r="AV44">
        <f t="shared" ca="1" si="45"/>
        <v>65.522126524356537</v>
      </c>
      <c r="AW44">
        <f t="shared" ca="1" si="45"/>
        <v>66.897373781943642</v>
      </c>
      <c r="AX44">
        <f t="shared" ca="1" si="45"/>
        <v>67.595676564681881</v>
      </c>
      <c r="AY44">
        <f t="shared" ca="1" si="45"/>
        <v>66.619237630886616</v>
      </c>
      <c r="AZ44">
        <f t="shared" ca="1" si="45"/>
        <v>67.189928911203722</v>
      </c>
      <c r="BA44">
        <f t="shared" ca="1" si="45"/>
        <v>67.038155954139796</v>
      </c>
      <c r="BB44">
        <f t="shared" ca="1" si="45"/>
        <v>66.684100874107031</v>
      </c>
      <c r="BC44">
        <f t="shared" ca="1" si="45"/>
        <v>66.465848988928968</v>
      </c>
      <c r="BD44">
        <f t="shared" ca="1" si="45"/>
        <v>65.57415595177774</v>
      </c>
      <c r="BE44">
        <f t="shared" ca="1" si="45"/>
        <v>64.917960035266191</v>
      </c>
      <c r="BF44">
        <f t="shared" ca="1" si="45"/>
        <v>64.715017599447577</v>
      </c>
      <c r="BG44">
        <f t="shared" ca="1" si="45"/>
        <v>66.651917826855481</v>
      </c>
      <c r="BH44">
        <f t="shared" ca="1" si="45"/>
        <v>68.57588238839179</v>
      </c>
      <c r="BI44">
        <f t="shared" ca="1" si="45"/>
        <v>67.65255294932804</v>
      </c>
      <c r="BJ44">
        <f t="shared" ca="1" si="45"/>
        <v>64.625281153594273</v>
      </c>
      <c r="BK44">
        <f t="shared" ca="1" si="45"/>
        <v>64.208936271321278</v>
      </c>
      <c r="BL44">
        <f t="shared" ca="1" si="45"/>
        <v>64.341278458179303</v>
      </c>
      <c r="BM44">
        <f t="shared" ca="1" si="45"/>
        <v>65.772750127212348</v>
      </c>
      <c r="BN44">
        <f t="shared" ca="1" si="45"/>
        <v>65.775244024732004</v>
      </c>
      <c r="BO44">
        <f t="shared" ca="1" si="4"/>
        <v>7.7752440247320038</v>
      </c>
    </row>
    <row r="45" spans="6:67">
      <c r="F45">
        <f t="shared" si="2"/>
        <v>60.99</v>
      </c>
      <c r="G45">
        <f t="shared" ref="G45:BN45" ca="1" si="46">F45*EXP(($B$2-0.5*$B$3^2)*$B$4+$B$3*_xlfn.NORM.INV(RAND(),0,SQRT($B$4)))</f>
        <v>61.702688567774651</v>
      </c>
      <c r="H45">
        <f t="shared" ca="1" si="46"/>
        <v>61.390933008460436</v>
      </c>
      <c r="I45">
        <f t="shared" ca="1" si="46"/>
        <v>61.931431009505907</v>
      </c>
      <c r="J45">
        <f t="shared" ca="1" si="46"/>
        <v>61.045419746524864</v>
      </c>
      <c r="K45">
        <f t="shared" ca="1" si="46"/>
        <v>60.843909729375689</v>
      </c>
      <c r="L45">
        <f t="shared" ca="1" si="46"/>
        <v>61.768007958965484</v>
      </c>
      <c r="M45">
        <f t="shared" ca="1" si="46"/>
        <v>63.645588398576443</v>
      </c>
      <c r="N45">
        <f t="shared" ca="1" si="46"/>
        <v>63.173639715515137</v>
      </c>
      <c r="O45">
        <f t="shared" ca="1" si="46"/>
        <v>62.255172126806137</v>
      </c>
      <c r="P45">
        <f t="shared" ca="1" si="46"/>
        <v>63.541961578602766</v>
      </c>
      <c r="Q45">
        <f t="shared" ca="1" si="46"/>
        <v>63.441038799259665</v>
      </c>
      <c r="R45">
        <f t="shared" ca="1" si="46"/>
        <v>62.442569684798492</v>
      </c>
      <c r="S45">
        <f t="shared" ca="1" si="46"/>
        <v>61.592726212095684</v>
      </c>
      <c r="T45">
        <f t="shared" ca="1" si="46"/>
        <v>61.774086345765312</v>
      </c>
      <c r="U45">
        <f t="shared" ca="1" si="46"/>
        <v>61.569913475354092</v>
      </c>
      <c r="V45">
        <f t="shared" ca="1" si="46"/>
        <v>63.473373287775473</v>
      </c>
      <c r="W45">
        <f t="shared" ca="1" si="46"/>
        <v>63.818851624139505</v>
      </c>
      <c r="X45">
        <f t="shared" ca="1" si="46"/>
        <v>62.794707734221369</v>
      </c>
      <c r="Y45">
        <f t="shared" ca="1" si="46"/>
        <v>61.868503430642065</v>
      </c>
      <c r="Z45">
        <f t="shared" ca="1" si="46"/>
        <v>63.688792423352233</v>
      </c>
      <c r="AA45">
        <f t="shared" ca="1" si="46"/>
        <v>65.078451662835207</v>
      </c>
      <c r="AB45">
        <f t="shared" ca="1" si="46"/>
        <v>63.468234938041022</v>
      </c>
      <c r="AC45">
        <f t="shared" ca="1" si="46"/>
        <v>64.834369027722602</v>
      </c>
      <c r="AD45">
        <f t="shared" ca="1" si="46"/>
        <v>63.391329293346885</v>
      </c>
      <c r="AE45">
        <f t="shared" ca="1" si="46"/>
        <v>62.282083004933739</v>
      </c>
      <c r="AF45">
        <f t="shared" ca="1" si="46"/>
        <v>64.243170992953324</v>
      </c>
      <c r="AG45">
        <f t="shared" ca="1" si="46"/>
        <v>64.085442577818654</v>
      </c>
      <c r="AH45">
        <f t="shared" ca="1" si="46"/>
        <v>63.938508566836411</v>
      </c>
      <c r="AI45">
        <f t="shared" ca="1" si="46"/>
        <v>64.257031686359738</v>
      </c>
      <c r="AJ45">
        <f t="shared" ca="1" si="46"/>
        <v>62.840193502591887</v>
      </c>
      <c r="AK45">
        <f t="shared" ca="1" si="46"/>
        <v>61.901370340259149</v>
      </c>
      <c r="AL45">
        <f t="shared" ca="1" si="46"/>
        <v>62.464439777052164</v>
      </c>
      <c r="AM45">
        <f t="shared" ca="1" si="46"/>
        <v>65.027602330454172</v>
      </c>
      <c r="AN45">
        <f t="shared" ca="1" si="46"/>
        <v>63.887526080400256</v>
      </c>
      <c r="AO45">
        <f t="shared" ca="1" si="46"/>
        <v>63.427096981396915</v>
      </c>
      <c r="AP45">
        <f t="shared" ca="1" si="46"/>
        <v>62.771180631588706</v>
      </c>
      <c r="AQ45">
        <f t="shared" ca="1" si="46"/>
        <v>63.463973414603885</v>
      </c>
      <c r="AR45">
        <f t="shared" ca="1" si="46"/>
        <v>62.834158373530201</v>
      </c>
      <c r="AS45">
        <f t="shared" ca="1" si="46"/>
        <v>62.948003921743712</v>
      </c>
      <c r="AT45">
        <f t="shared" ca="1" si="46"/>
        <v>64.066888333969658</v>
      </c>
      <c r="AU45">
        <f t="shared" ca="1" si="46"/>
        <v>63.555518351999922</v>
      </c>
      <c r="AV45">
        <f t="shared" ca="1" si="46"/>
        <v>65.362647522154717</v>
      </c>
      <c r="AW45">
        <f t="shared" ca="1" si="46"/>
        <v>67.476064467253934</v>
      </c>
      <c r="AX45">
        <f t="shared" ca="1" si="46"/>
        <v>66.390468233031967</v>
      </c>
      <c r="AY45">
        <f t="shared" ca="1" si="46"/>
        <v>65.638433144776386</v>
      </c>
      <c r="AZ45">
        <f t="shared" ca="1" si="46"/>
        <v>67.995375416614934</v>
      </c>
      <c r="BA45">
        <f t="shared" ca="1" si="46"/>
        <v>66.856434024279707</v>
      </c>
      <c r="BB45">
        <f t="shared" ca="1" si="46"/>
        <v>64.600144798344743</v>
      </c>
      <c r="BC45">
        <f t="shared" ca="1" si="46"/>
        <v>63.691130643468234</v>
      </c>
      <c r="BD45">
        <f t="shared" ca="1" si="46"/>
        <v>61.957759663870526</v>
      </c>
      <c r="BE45">
        <f t="shared" ca="1" si="46"/>
        <v>61.682626028757603</v>
      </c>
      <c r="BF45">
        <f t="shared" ca="1" si="46"/>
        <v>60.504557330960857</v>
      </c>
      <c r="BG45">
        <f t="shared" ca="1" si="46"/>
        <v>58.857933392097287</v>
      </c>
      <c r="BH45">
        <f t="shared" ca="1" si="46"/>
        <v>58.993314070665797</v>
      </c>
      <c r="BI45">
        <f t="shared" ca="1" si="46"/>
        <v>59.05865962364436</v>
      </c>
      <c r="BJ45">
        <f t="shared" ca="1" si="46"/>
        <v>59.791397883944093</v>
      </c>
      <c r="BK45">
        <f t="shared" ca="1" si="46"/>
        <v>60.971021006596729</v>
      </c>
      <c r="BL45">
        <f t="shared" ca="1" si="46"/>
        <v>61.944655438075728</v>
      </c>
      <c r="BM45">
        <f t="shared" ca="1" si="46"/>
        <v>62.525482676639285</v>
      </c>
      <c r="BN45">
        <f t="shared" ca="1" si="46"/>
        <v>62.724354403383991</v>
      </c>
      <c r="BO45">
        <f t="shared" ca="1" si="4"/>
        <v>4.724354403383991</v>
      </c>
    </row>
    <row r="46" spans="6:67">
      <c r="F46">
        <f t="shared" si="2"/>
        <v>60.99</v>
      </c>
      <c r="G46">
        <f t="shared" ref="G46:BN46" ca="1" si="47">F46*EXP(($B$2-0.5*$B$3^2)*$B$4+$B$3*_xlfn.NORM.INV(RAND(),0,SQRT($B$4)))</f>
        <v>62.865780209504919</v>
      </c>
      <c r="H46">
        <f t="shared" ca="1" si="47"/>
        <v>62.657180117131702</v>
      </c>
      <c r="I46">
        <f t="shared" ca="1" si="47"/>
        <v>61.591920613039591</v>
      </c>
      <c r="J46">
        <f t="shared" ca="1" si="47"/>
        <v>62.17112493697411</v>
      </c>
      <c r="K46">
        <f t="shared" ca="1" si="47"/>
        <v>64.351720134645106</v>
      </c>
      <c r="L46">
        <f t="shared" ca="1" si="47"/>
        <v>64.384837557575722</v>
      </c>
      <c r="M46">
        <f t="shared" ca="1" si="47"/>
        <v>62.691377269856673</v>
      </c>
      <c r="N46">
        <f t="shared" ca="1" si="47"/>
        <v>61.682732001130312</v>
      </c>
      <c r="O46">
        <f t="shared" ca="1" si="47"/>
        <v>60.653453449465736</v>
      </c>
      <c r="P46">
        <f t="shared" ca="1" si="47"/>
        <v>60.622021565411806</v>
      </c>
      <c r="Q46">
        <f t="shared" ca="1" si="47"/>
        <v>59.975819692993596</v>
      </c>
      <c r="R46">
        <f t="shared" ca="1" si="47"/>
        <v>58.571472850904023</v>
      </c>
      <c r="S46">
        <f t="shared" ca="1" si="47"/>
        <v>59.419299488541242</v>
      </c>
      <c r="T46">
        <f t="shared" ca="1" si="47"/>
        <v>57.544018594283436</v>
      </c>
      <c r="U46">
        <f t="shared" ca="1" si="47"/>
        <v>57.846635879735793</v>
      </c>
      <c r="V46">
        <f t="shared" ca="1" si="47"/>
        <v>56.323511187964584</v>
      </c>
      <c r="W46">
        <f t="shared" ca="1" si="47"/>
        <v>56.197874264349934</v>
      </c>
      <c r="X46">
        <f t="shared" ca="1" si="47"/>
        <v>55.968521252959718</v>
      </c>
      <c r="Y46">
        <f t="shared" ca="1" si="47"/>
        <v>55.385530675948353</v>
      </c>
      <c r="Z46">
        <f t="shared" ca="1" si="47"/>
        <v>54.037171233937265</v>
      </c>
      <c r="AA46">
        <f t="shared" ca="1" si="47"/>
        <v>53.831213680130261</v>
      </c>
      <c r="AB46">
        <f t="shared" ca="1" si="47"/>
        <v>54.281038985538885</v>
      </c>
      <c r="AC46">
        <f t="shared" ca="1" si="47"/>
        <v>55.780064239616877</v>
      </c>
      <c r="AD46">
        <f t="shared" ca="1" si="47"/>
        <v>57.180585545766647</v>
      </c>
      <c r="AE46">
        <f t="shared" ca="1" si="47"/>
        <v>57.747438389505682</v>
      </c>
      <c r="AF46">
        <f t="shared" ca="1" si="47"/>
        <v>58.345695021023005</v>
      </c>
      <c r="AG46">
        <f t="shared" ca="1" si="47"/>
        <v>59.053646101361686</v>
      </c>
      <c r="AH46">
        <f t="shared" ca="1" si="47"/>
        <v>60.27674366362821</v>
      </c>
      <c r="AI46">
        <f t="shared" ca="1" si="47"/>
        <v>58.713491457579735</v>
      </c>
      <c r="AJ46">
        <f t="shared" ca="1" si="47"/>
        <v>57.453156761344687</v>
      </c>
      <c r="AK46">
        <f t="shared" ca="1" si="47"/>
        <v>56.752135347962387</v>
      </c>
      <c r="AL46">
        <f t="shared" ca="1" si="47"/>
        <v>56.591778671795403</v>
      </c>
      <c r="AM46">
        <f t="shared" ca="1" si="47"/>
        <v>55.468570566639187</v>
      </c>
      <c r="AN46">
        <f t="shared" ca="1" si="47"/>
        <v>55.344029056085084</v>
      </c>
      <c r="AO46">
        <f t="shared" ca="1" si="47"/>
        <v>54.835146247088467</v>
      </c>
      <c r="AP46">
        <f t="shared" ca="1" si="47"/>
        <v>55.756928589349478</v>
      </c>
      <c r="AQ46">
        <f t="shared" ca="1" si="47"/>
        <v>54.344578526440309</v>
      </c>
      <c r="AR46">
        <f t="shared" ca="1" si="47"/>
        <v>54.670875989547142</v>
      </c>
      <c r="AS46">
        <f t="shared" ca="1" si="47"/>
        <v>54.626602692659191</v>
      </c>
      <c r="AT46">
        <f t="shared" ca="1" si="47"/>
        <v>53.418927760978129</v>
      </c>
      <c r="AU46">
        <f t="shared" ca="1" si="47"/>
        <v>52.81714917127794</v>
      </c>
      <c r="AV46">
        <f t="shared" ca="1" si="47"/>
        <v>51.534611067033168</v>
      </c>
      <c r="AW46">
        <f t="shared" ca="1" si="47"/>
        <v>54.071827055266851</v>
      </c>
      <c r="AX46">
        <f t="shared" ca="1" si="47"/>
        <v>55.001630381502906</v>
      </c>
      <c r="AY46">
        <f t="shared" ca="1" si="47"/>
        <v>54.872272978546228</v>
      </c>
      <c r="AZ46">
        <f t="shared" ca="1" si="47"/>
        <v>55.582286145323096</v>
      </c>
      <c r="BA46">
        <f t="shared" ca="1" si="47"/>
        <v>55.580470057545526</v>
      </c>
      <c r="BB46">
        <f t="shared" ca="1" si="47"/>
        <v>55.459986460067277</v>
      </c>
      <c r="BC46">
        <f t="shared" ca="1" si="47"/>
        <v>57.550124393067811</v>
      </c>
      <c r="BD46">
        <f t="shared" ca="1" si="47"/>
        <v>57.917312392569713</v>
      </c>
      <c r="BE46">
        <f t="shared" ca="1" si="47"/>
        <v>57.340713349626043</v>
      </c>
      <c r="BF46">
        <f t="shared" ca="1" si="47"/>
        <v>57.00852872222989</v>
      </c>
      <c r="BG46">
        <f t="shared" ca="1" si="47"/>
        <v>56.592527639108241</v>
      </c>
      <c r="BH46">
        <f t="shared" ca="1" si="47"/>
        <v>54.973684168065574</v>
      </c>
      <c r="BI46">
        <f t="shared" ca="1" si="47"/>
        <v>55.117203254074717</v>
      </c>
      <c r="BJ46">
        <f t="shared" ca="1" si="47"/>
        <v>57.100382674346385</v>
      </c>
      <c r="BK46">
        <f t="shared" ca="1" si="47"/>
        <v>56.095108496111749</v>
      </c>
      <c r="BL46">
        <f t="shared" ca="1" si="47"/>
        <v>55.596984049335511</v>
      </c>
      <c r="BM46">
        <f t="shared" ca="1" si="47"/>
        <v>56.575999785001898</v>
      </c>
      <c r="BN46">
        <f t="shared" ca="1" si="47"/>
        <v>57.54567877855299</v>
      </c>
      <c r="BO46">
        <f t="shared" ca="1" si="4"/>
        <v>0</v>
      </c>
    </row>
    <row r="47" spans="6:67">
      <c r="F47">
        <f t="shared" si="2"/>
        <v>60.99</v>
      </c>
      <c r="G47">
        <f t="shared" ref="G47:BN47" ca="1" si="48">F47*EXP(($B$2-0.5*$B$3^2)*$B$4+$B$3*_xlfn.NORM.INV(RAND(),0,SQRT($B$4)))</f>
        <v>60.460466567761848</v>
      </c>
      <c r="H47">
        <f t="shared" ca="1" si="48"/>
        <v>59.892265181611386</v>
      </c>
      <c r="I47">
        <f t="shared" ca="1" si="48"/>
        <v>58.975380453708652</v>
      </c>
      <c r="J47">
        <f t="shared" ca="1" si="48"/>
        <v>59.383577100132001</v>
      </c>
      <c r="K47">
        <f t="shared" ca="1" si="48"/>
        <v>60.061246207517385</v>
      </c>
      <c r="L47">
        <f t="shared" ca="1" si="48"/>
        <v>60.731700449508622</v>
      </c>
      <c r="M47">
        <f t="shared" ca="1" si="48"/>
        <v>62.016316961438783</v>
      </c>
      <c r="N47">
        <f t="shared" ca="1" si="48"/>
        <v>62.922073388815676</v>
      </c>
      <c r="O47">
        <f t="shared" ca="1" si="48"/>
        <v>62.861624859742228</v>
      </c>
      <c r="P47">
        <f t="shared" ca="1" si="48"/>
        <v>63.11244340308405</v>
      </c>
      <c r="Q47">
        <f t="shared" ca="1" si="48"/>
        <v>63.393070180803733</v>
      </c>
      <c r="R47">
        <f t="shared" ca="1" si="48"/>
        <v>62.947763308576349</v>
      </c>
      <c r="S47">
        <f t="shared" ca="1" si="48"/>
        <v>61.118057906886314</v>
      </c>
      <c r="T47">
        <f t="shared" ca="1" si="48"/>
        <v>60.924509299986369</v>
      </c>
      <c r="U47">
        <f t="shared" ca="1" si="48"/>
        <v>62.848656139836841</v>
      </c>
      <c r="V47">
        <f t="shared" ca="1" si="48"/>
        <v>62.895763314830191</v>
      </c>
      <c r="W47">
        <f t="shared" ca="1" si="48"/>
        <v>62.587943336017481</v>
      </c>
      <c r="X47">
        <f t="shared" ca="1" si="48"/>
        <v>60.25544541897537</v>
      </c>
      <c r="Y47">
        <f t="shared" ca="1" si="48"/>
        <v>61.697118784805021</v>
      </c>
      <c r="Z47">
        <f t="shared" ca="1" si="48"/>
        <v>63.574117469162914</v>
      </c>
      <c r="AA47">
        <f t="shared" ca="1" si="48"/>
        <v>63.59270598504353</v>
      </c>
      <c r="AB47">
        <f t="shared" ca="1" si="48"/>
        <v>64.136334570491499</v>
      </c>
      <c r="AC47">
        <f t="shared" ca="1" si="48"/>
        <v>64.856538960323292</v>
      </c>
      <c r="AD47">
        <f t="shared" ca="1" si="48"/>
        <v>63.966999385710665</v>
      </c>
      <c r="AE47">
        <f t="shared" ca="1" si="48"/>
        <v>64.931559964257445</v>
      </c>
      <c r="AF47">
        <f t="shared" ca="1" si="48"/>
        <v>65.547845709785435</v>
      </c>
      <c r="AG47">
        <f t="shared" ca="1" si="48"/>
        <v>67.262622723556532</v>
      </c>
      <c r="AH47">
        <f t="shared" ca="1" si="48"/>
        <v>65.48922648331893</v>
      </c>
      <c r="AI47">
        <f t="shared" ca="1" si="48"/>
        <v>67.190880011522239</v>
      </c>
      <c r="AJ47">
        <f t="shared" ca="1" si="48"/>
        <v>68.790018159161122</v>
      </c>
      <c r="AK47">
        <f t="shared" ca="1" si="48"/>
        <v>69.265545803935666</v>
      </c>
      <c r="AL47">
        <f t="shared" ca="1" si="48"/>
        <v>69.536982631460404</v>
      </c>
      <c r="AM47">
        <f t="shared" ca="1" si="48"/>
        <v>70.119729468127659</v>
      </c>
      <c r="AN47">
        <f t="shared" ca="1" si="48"/>
        <v>68.73090872284854</v>
      </c>
      <c r="AO47">
        <f t="shared" ca="1" si="48"/>
        <v>68.456630445105645</v>
      </c>
      <c r="AP47">
        <f t="shared" ca="1" si="48"/>
        <v>69.569743596022889</v>
      </c>
      <c r="AQ47">
        <f t="shared" ca="1" si="48"/>
        <v>70.072355169666437</v>
      </c>
      <c r="AR47">
        <f t="shared" ca="1" si="48"/>
        <v>70.614902500149597</v>
      </c>
      <c r="AS47">
        <f t="shared" ca="1" si="48"/>
        <v>72.079057517539141</v>
      </c>
      <c r="AT47">
        <f t="shared" ca="1" si="48"/>
        <v>74.253350088925686</v>
      </c>
      <c r="AU47">
        <f t="shared" ca="1" si="48"/>
        <v>74.033196065474101</v>
      </c>
      <c r="AV47">
        <f t="shared" ca="1" si="48"/>
        <v>74.592604620180282</v>
      </c>
      <c r="AW47">
        <f t="shared" ca="1" si="48"/>
        <v>75.112595556289293</v>
      </c>
      <c r="AX47">
        <f t="shared" ca="1" si="48"/>
        <v>76.285853053272092</v>
      </c>
      <c r="AY47">
        <f t="shared" ca="1" si="48"/>
        <v>75.297719972929869</v>
      </c>
      <c r="AZ47">
        <f t="shared" ca="1" si="48"/>
        <v>76.671989892056274</v>
      </c>
      <c r="BA47">
        <f t="shared" ca="1" si="48"/>
        <v>78.231959484842662</v>
      </c>
      <c r="BB47">
        <f t="shared" ca="1" si="48"/>
        <v>80.800825673243295</v>
      </c>
      <c r="BC47">
        <f t="shared" ca="1" si="48"/>
        <v>81.835181774920898</v>
      </c>
      <c r="BD47">
        <f t="shared" ca="1" si="48"/>
        <v>80.612533239890524</v>
      </c>
      <c r="BE47">
        <f t="shared" ca="1" si="48"/>
        <v>81.673779501919711</v>
      </c>
      <c r="BF47">
        <f t="shared" ca="1" si="48"/>
        <v>81.922659009800029</v>
      </c>
      <c r="BG47">
        <f t="shared" ca="1" si="48"/>
        <v>83.133078957367175</v>
      </c>
      <c r="BH47">
        <f t="shared" ca="1" si="48"/>
        <v>82.869157597449657</v>
      </c>
      <c r="BI47">
        <f t="shared" ca="1" si="48"/>
        <v>82.183769029648602</v>
      </c>
      <c r="BJ47">
        <f t="shared" ca="1" si="48"/>
        <v>83.267372390374391</v>
      </c>
      <c r="BK47">
        <f t="shared" ca="1" si="48"/>
        <v>82.836384113585282</v>
      </c>
      <c r="BL47">
        <f t="shared" ca="1" si="48"/>
        <v>80.514545149215039</v>
      </c>
      <c r="BM47">
        <f t="shared" ca="1" si="48"/>
        <v>82.660918468324937</v>
      </c>
      <c r="BN47">
        <f t="shared" ca="1" si="48"/>
        <v>82.083545343223221</v>
      </c>
      <c r="BO47">
        <f t="shared" ca="1" si="4"/>
        <v>24.083545343223221</v>
      </c>
    </row>
    <row r="48" spans="6:67">
      <c r="F48">
        <f t="shared" si="2"/>
        <v>60.99</v>
      </c>
      <c r="G48">
        <f t="shared" ref="G48:BN48" ca="1" si="49">F48*EXP(($B$2-0.5*$B$3^2)*$B$4+$B$3*_xlfn.NORM.INV(RAND(),0,SQRT($B$4)))</f>
        <v>60.570043389504889</v>
      </c>
      <c r="H48">
        <f t="shared" ca="1" si="49"/>
        <v>61.182003400187305</v>
      </c>
      <c r="I48">
        <f t="shared" ca="1" si="49"/>
        <v>60.929895423305119</v>
      </c>
      <c r="J48">
        <f t="shared" ca="1" si="49"/>
        <v>61.287537692032139</v>
      </c>
      <c r="K48">
        <f t="shared" ca="1" si="49"/>
        <v>60.581430959924312</v>
      </c>
      <c r="L48">
        <f t="shared" ca="1" si="49"/>
        <v>59.942754708215986</v>
      </c>
      <c r="M48">
        <f t="shared" ca="1" si="49"/>
        <v>60.444447570102533</v>
      </c>
      <c r="N48">
        <f t="shared" ca="1" si="49"/>
        <v>60.282423286385047</v>
      </c>
      <c r="O48">
        <f t="shared" ca="1" si="49"/>
        <v>60.763743082097989</v>
      </c>
      <c r="P48">
        <f t="shared" ca="1" si="49"/>
        <v>60.412298026708442</v>
      </c>
      <c r="Q48">
        <f t="shared" ca="1" si="49"/>
        <v>60.607551290459988</v>
      </c>
      <c r="R48">
        <f t="shared" ca="1" si="49"/>
        <v>60.968406302492255</v>
      </c>
      <c r="S48">
        <f t="shared" ca="1" si="49"/>
        <v>61.354031089400721</v>
      </c>
      <c r="T48">
        <f t="shared" ca="1" si="49"/>
        <v>62.932795760611867</v>
      </c>
      <c r="U48">
        <f t="shared" ca="1" si="49"/>
        <v>62.187471288269577</v>
      </c>
      <c r="V48">
        <f t="shared" ca="1" si="49"/>
        <v>62.622639227765575</v>
      </c>
      <c r="W48">
        <f t="shared" ca="1" si="49"/>
        <v>64.122443099616049</v>
      </c>
      <c r="X48">
        <f t="shared" ca="1" si="49"/>
        <v>62.829649651173973</v>
      </c>
      <c r="Y48">
        <f t="shared" ca="1" si="49"/>
        <v>63.072336831404698</v>
      </c>
      <c r="Z48">
        <f t="shared" ca="1" si="49"/>
        <v>61.220947370395642</v>
      </c>
      <c r="AA48">
        <f t="shared" ca="1" si="49"/>
        <v>60.510165426166203</v>
      </c>
      <c r="AB48">
        <f t="shared" ca="1" si="49"/>
        <v>59.889252178947984</v>
      </c>
      <c r="AC48">
        <f t="shared" ca="1" si="49"/>
        <v>59.724506893318932</v>
      </c>
      <c r="AD48">
        <f t="shared" ca="1" si="49"/>
        <v>59.95667583988206</v>
      </c>
      <c r="AE48">
        <f t="shared" ca="1" si="49"/>
        <v>60.052497738106155</v>
      </c>
      <c r="AF48">
        <f t="shared" ca="1" si="49"/>
        <v>60.117237155064892</v>
      </c>
      <c r="AG48">
        <f t="shared" ca="1" si="49"/>
        <v>58.558183840892539</v>
      </c>
      <c r="AH48">
        <f t="shared" ca="1" si="49"/>
        <v>57.506356826688524</v>
      </c>
      <c r="AI48">
        <f t="shared" ca="1" si="49"/>
        <v>58.234895789232041</v>
      </c>
      <c r="AJ48">
        <f t="shared" ca="1" si="49"/>
        <v>57.753650248084035</v>
      </c>
      <c r="AK48">
        <f t="shared" ca="1" si="49"/>
        <v>57.783749665944761</v>
      </c>
      <c r="AL48">
        <f t="shared" ca="1" si="49"/>
        <v>57.703307767625517</v>
      </c>
      <c r="AM48">
        <f t="shared" ca="1" si="49"/>
        <v>57.602598592614896</v>
      </c>
      <c r="AN48">
        <f t="shared" ca="1" si="49"/>
        <v>58.930648543887763</v>
      </c>
      <c r="AO48">
        <f t="shared" ca="1" si="49"/>
        <v>59.201046053933503</v>
      </c>
      <c r="AP48">
        <f t="shared" ca="1" si="49"/>
        <v>61.503900592489394</v>
      </c>
      <c r="AQ48">
        <f t="shared" ca="1" si="49"/>
        <v>60.662011088645556</v>
      </c>
      <c r="AR48">
        <f t="shared" ca="1" si="49"/>
        <v>60.34401343057084</v>
      </c>
      <c r="AS48">
        <f t="shared" ca="1" si="49"/>
        <v>60.772362223816124</v>
      </c>
      <c r="AT48">
        <f t="shared" ca="1" si="49"/>
        <v>59.688710519002228</v>
      </c>
      <c r="AU48">
        <f t="shared" ca="1" si="49"/>
        <v>62.003240067375017</v>
      </c>
      <c r="AV48">
        <f t="shared" ca="1" si="49"/>
        <v>63.495562119344029</v>
      </c>
      <c r="AW48">
        <f t="shared" ca="1" si="49"/>
        <v>63.505735025539011</v>
      </c>
      <c r="AX48">
        <f t="shared" ca="1" si="49"/>
        <v>64.134779732715984</v>
      </c>
      <c r="AY48">
        <f t="shared" ca="1" si="49"/>
        <v>62.820077009765555</v>
      </c>
      <c r="AZ48">
        <f t="shared" ca="1" si="49"/>
        <v>62.112141005714612</v>
      </c>
      <c r="BA48">
        <f t="shared" ca="1" si="49"/>
        <v>63.136094668883032</v>
      </c>
      <c r="BB48">
        <f t="shared" ca="1" si="49"/>
        <v>61.773654305223694</v>
      </c>
      <c r="BC48">
        <f t="shared" ca="1" si="49"/>
        <v>62.43011250055757</v>
      </c>
      <c r="BD48">
        <f t="shared" ca="1" si="49"/>
        <v>61.109863399930902</v>
      </c>
      <c r="BE48">
        <f t="shared" ca="1" si="49"/>
        <v>59.983924118350423</v>
      </c>
      <c r="BF48">
        <f t="shared" ca="1" si="49"/>
        <v>62.40121401443659</v>
      </c>
      <c r="BG48">
        <f t="shared" ca="1" si="49"/>
        <v>64.70809800339633</v>
      </c>
      <c r="BH48">
        <f t="shared" ca="1" si="49"/>
        <v>64.704329985952526</v>
      </c>
      <c r="BI48">
        <f t="shared" ca="1" si="49"/>
        <v>64.445140807341474</v>
      </c>
      <c r="BJ48">
        <f t="shared" ca="1" si="49"/>
        <v>64.840345276286016</v>
      </c>
      <c r="BK48">
        <f t="shared" ca="1" si="49"/>
        <v>64.229163796479924</v>
      </c>
      <c r="BL48">
        <f t="shared" ca="1" si="49"/>
        <v>63.403745250084704</v>
      </c>
      <c r="BM48">
        <f t="shared" ca="1" si="49"/>
        <v>63.01131938721867</v>
      </c>
      <c r="BN48">
        <f t="shared" ca="1" si="49"/>
        <v>63.803999568057044</v>
      </c>
      <c r="BO48">
        <f t="shared" ca="1" si="4"/>
        <v>5.8039995680570442</v>
      </c>
    </row>
    <row r="49" spans="6:67">
      <c r="F49">
        <f t="shared" si="2"/>
        <v>60.99</v>
      </c>
      <c r="G49">
        <f t="shared" ref="G49:BN49" ca="1" si="50">F49*EXP(($B$2-0.5*$B$3^2)*$B$4+$B$3*_xlfn.NORM.INV(RAND(),0,SQRT($B$4)))</f>
        <v>59.814897467381549</v>
      </c>
      <c r="H49">
        <f t="shared" ca="1" si="50"/>
        <v>59.129380777713422</v>
      </c>
      <c r="I49">
        <f t="shared" ca="1" si="50"/>
        <v>60.353445624240251</v>
      </c>
      <c r="J49">
        <f t="shared" ca="1" si="50"/>
        <v>60.551200568054369</v>
      </c>
      <c r="K49">
        <f t="shared" ca="1" si="50"/>
        <v>60.882862332824672</v>
      </c>
      <c r="L49">
        <f t="shared" ca="1" si="50"/>
        <v>58.730780262235768</v>
      </c>
      <c r="M49">
        <f t="shared" ca="1" si="50"/>
        <v>58.676041339867297</v>
      </c>
      <c r="N49">
        <f t="shared" ca="1" si="50"/>
        <v>58.16907627680061</v>
      </c>
      <c r="O49">
        <f t="shared" ca="1" si="50"/>
        <v>57.653987771280676</v>
      </c>
      <c r="P49">
        <f t="shared" ca="1" si="50"/>
        <v>56.376569261376581</v>
      </c>
      <c r="Q49">
        <f t="shared" ca="1" si="50"/>
        <v>58.140869658790081</v>
      </c>
      <c r="R49">
        <f t="shared" ca="1" si="50"/>
        <v>56.009127056141139</v>
      </c>
      <c r="S49">
        <f t="shared" ca="1" si="50"/>
        <v>56.890072996100088</v>
      </c>
      <c r="T49">
        <f t="shared" ca="1" si="50"/>
        <v>56.971813709588211</v>
      </c>
      <c r="U49">
        <f t="shared" ca="1" si="50"/>
        <v>56.51938391121567</v>
      </c>
      <c r="V49">
        <f t="shared" ca="1" si="50"/>
        <v>55.838682602117579</v>
      </c>
      <c r="W49">
        <f t="shared" ca="1" si="50"/>
        <v>56.264484664924254</v>
      </c>
      <c r="X49">
        <f t="shared" ca="1" si="50"/>
        <v>57.898446846969691</v>
      </c>
      <c r="Y49">
        <f t="shared" ca="1" si="50"/>
        <v>58.570668791771837</v>
      </c>
      <c r="Z49">
        <f t="shared" ca="1" si="50"/>
        <v>58.900153601499554</v>
      </c>
      <c r="AA49">
        <f t="shared" ca="1" si="50"/>
        <v>57.875088672183445</v>
      </c>
      <c r="AB49">
        <f t="shared" ca="1" si="50"/>
        <v>57.009258803496216</v>
      </c>
      <c r="AC49">
        <f t="shared" ca="1" si="50"/>
        <v>57.570278959729457</v>
      </c>
      <c r="AD49">
        <f t="shared" ca="1" si="50"/>
        <v>55.56331952031487</v>
      </c>
      <c r="AE49">
        <f t="shared" ca="1" si="50"/>
        <v>56.675426528579365</v>
      </c>
      <c r="AF49">
        <f t="shared" ca="1" si="50"/>
        <v>58.674228730393416</v>
      </c>
      <c r="AG49">
        <f t="shared" ca="1" si="50"/>
        <v>59.953055509224114</v>
      </c>
      <c r="AH49">
        <f t="shared" ca="1" si="50"/>
        <v>59.243463495181707</v>
      </c>
      <c r="AI49">
        <f t="shared" ca="1" si="50"/>
        <v>59.380572997354228</v>
      </c>
      <c r="AJ49">
        <f t="shared" ca="1" si="50"/>
        <v>57.306022916747757</v>
      </c>
      <c r="AK49">
        <f t="shared" ca="1" si="50"/>
        <v>56.893442242235807</v>
      </c>
      <c r="AL49">
        <f t="shared" ca="1" si="50"/>
        <v>56.975234645966744</v>
      </c>
      <c r="AM49">
        <f t="shared" ca="1" si="50"/>
        <v>54.358629658981705</v>
      </c>
      <c r="AN49">
        <f t="shared" ca="1" si="50"/>
        <v>53.598487747428671</v>
      </c>
      <c r="AO49">
        <f t="shared" ca="1" si="50"/>
        <v>51.951433389701187</v>
      </c>
      <c r="AP49">
        <f t="shared" ca="1" si="50"/>
        <v>53.116002280667281</v>
      </c>
      <c r="AQ49">
        <f t="shared" ca="1" si="50"/>
        <v>53.482511695725428</v>
      </c>
      <c r="AR49">
        <f t="shared" ca="1" si="50"/>
        <v>52.508618218600191</v>
      </c>
      <c r="AS49">
        <f t="shared" ca="1" si="50"/>
        <v>53.940335928244018</v>
      </c>
      <c r="AT49">
        <f t="shared" ca="1" si="50"/>
        <v>53.191409537552772</v>
      </c>
      <c r="AU49">
        <f t="shared" ca="1" si="50"/>
        <v>52.965831911414952</v>
      </c>
      <c r="AV49">
        <f t="shared" ca="1" si="50"/>
        <v>52.776985514634021</v>
      </c>
      <c r="AW49">
        <f t="shared" ca="1" si="50"/>
        <v>52.316995605524006</v>
      </c>
      <c r="AX49">
        <f t="shared" ca="1" si="50"/>
        <v>52.92849514841393</v>
      </c>
      <c r="AY49">
        <f t="shared" ca="1" si="50"/>
        <v>51.980719409448291</v>
      </c>
      <c r="AZ49">
        <f t="shared" ca="1" si="50"/>
        <v>52.067406657331219</v>
      </c>
      <c r="BA49">
        <f t="shared" ca="1" si="50"/>
        <v>52.101832212545517</v>
      </c>
      <c r="BB49">
        <f t="shared" ca="1" si="50"/>
        <v>52.813361644434757</v>
      </c>
      <c r="BC49">
        <f t="shared" ca="1" si="50"/>
        <v>52.321389366386192</v>
      </c>
      <c r="BD49">
        <f t="shared" ca="1" si="50"/>
        <v>52.929195921193163</v>
      </c>
      <c r="BE49">
        <f t="shared" ca="1" si="50"/>
        <v>52.65813985398011</v>
      </c>
      <c r="BF49">
        <f t="shared" ca="1" si="50"/>
        <v>52.573627462335914</v>
      </c>
      <c r="BG49">
        <f t="shared" ca="1" si="50"/>
        <v>52.65932710878068</v>
      </c>
      <c r="BH49">
        <f t="shared" ca="1" si="50"/>
        <v>54.575481083139465</v>
      </c>
      <c r="BI49">
        <f t="shared" ca="1" si="50"/>
        <v>55.188677127377169</v>
      </c>
      <c r="BJ49">
        <f t="shared" ca="1" si="50"/>
        <v>54.732419604437993</v>
      </c>
      <c r="BK49">
        <f t="shared" ca="1" si="50"/>
        <v>55.545512142002273</v>
      </c>
      <c r="BL49">
        <f t="shared" ca="1" si="50"/>
        <v>54.428354157463914</v>
      </c>
      <c r="BM49">
        <f t="shared" ca="1" si="50"/>
        <v>54.600271659515627</v>
      </c>
      <c r="BN49">
        <f t="shared" ca="1" si="50"/>
        <v>54.945234872920246</v>
      </c>
      <c r="BO49">
        <f t="shared" ca="1" si="4"/>
        <v>0</v>
      </c>
    </row>
    <row r="50" spans="6:67">
      <c r="F50">
        <f t="shared" si="2"/>
        <v>60.99</v>
      </c>
      <c r="G50">
        <f t="shared" ref="G50:BN50" ca="1" si="51">F50*EXP(($B$2-0.5*$B$3^2)*$B$4+$B$3*_xlfn.NORM.INV(RAND(),0,SQRT($B$4)))</f>
        <v>62.23588309036419</v>
      </c>
      <c r="H50">
        <f t="shared" ca="1" si="51"/>
        <v>63.878557389128808</v>
      </c>
      <c r="I50">
        <f t="shared" ca="1" si="51"/>
        <v>63.291262032350339</v>
      </c>
      <c r="J50">
        <f t="shared" ca="1" si="51"/>
        <v>63.461272065903863</v>
      </c>
      <c r="K50">
        <f t="shared" ca="1" si="51"/>
        <v>63.079945482750333</v>
      </c>
      <c r="L50">
        <f t="shared" ca="1" si="51"/>
        <v>62.738225430497813</v>
      </c>
      <c r="M50">
        <f t="shared" ca="1" si="51"/>
        <v>63.739272466250888</v>
      </c>
      <c r="N50">
        <f t="shared" ca="1" si="51"/>
        <v>65.238517168024813</v>
      </c>
      <c r="O50">
        <f t="shared" ca="1" si="51"/>
        <v>64.561399699561392</v>
      </c>
      <c r="P50">
        <f t="shared" ca="1" si="51"/>
        <v>65.010899877638721</v>
      </c>
      <c r="Q50">
        <f t="shared" ca="1" si="51"/>
        <v>66.333448774752398</v>
      </c>
      <c r="R50">
        <f t="shared" ca="1" si="51"/>
        <v>66.822238830872067</v>
      </c>
      <c r="S50">
        <f t="shared" ca="1" si="51"/>
        <v>68.096948395207718</v>
      </c>
      <c r="T50">
        <f t="shared" ca="1" si="51"/>
        <v>70.298315829154774</v>
      </c>
      <c r="U50">
        <f t="shared" ca="1" si="51"/>
        <v>70.960543153080451</v>
      </c>
      <c r="V50">
        <f t="shared" ca="1" si="51"/>
        <v>71.78522075980834</v>
      </c>
      <c r="W50">
        <f t="shared" ca="1" si="51"/>
        <v>72.520733215781007</v>
      </c>
      <c r="X50">
        <f t="shared" ca="1" si="51"/>
        <v>73.024792036679884</v>
      </c>
      <c r="Y50">
        <f t="shared" ca="1" si="51"/>
        <v>76.153397925017401</v>
      </c>
      <c r="Z50">
        <f t="shared" ca="1" si="51"/>
        <v>78.306931880410474</v>
      </c>
      <c r="AA50">
        <f t="shared" ca="1" si="51"/>
        <v>76.649958250947734</v>
      </c>
      <c r="AB50">
        <f t="shared" ca="1" si="51"/>
        <v>76.619737039731973</v>
      </c>
      <c r="AC50">
        <f t="shared" ca="1" si="51"/>
        <v>75.555432601749786</v>
      </c>
      <c r="AD50">
        <f t="shared" ca="1" si="51"/>
        <v>76.932335618249894</v>
      </c>
      <c r="AE50">
        <f t="shared" ca="1" si="51"/>
        <v>77.764745490280021</v>
      </c>
      <c r="AF50">
        <f t="shared" ca="1" si="51"/>
        <v>77.291765486147341</v>
      </c>
      <c r="AG50">
        <f t="shared" ca="1" si="51"/>
        <v>75.400087981088717</v>
      </c>
      <c r="AH50">
        <f t="shared" ca="1" si="51"/>
        <v>77.974452244249377</v>
      </c>
      <c r="AI50">
        <f t="shared" ca="1" si="51"/>
        <v>77.05213006379816</v>
      </c>
      <c r="AJ50">
        <f t="shared" ca="1" si="51"/>
        <v>78.679972728938068</v>
      </c>
      <c r="AK50">
        <f t="shared" ca="1" si="51"/>
        <v>79.986682192104766</v>
      </c>
      <c r="AL50">
        <f t="shared" ca="1" si="51"/>
        <v>79.164017142273835</v>
      </c>
      <c r="AM50">
        <f t="shared" ca="1" si="51"/>
        <v>81.159156888547358</v>
      </c>
      <c r="AN50">
        <f t="shared" ca="1" si="51"/>
        <v>82.272459658622694</v>
      </c>
      <c r="AO50">
        <f t="shared" ca="1" si="51"/>
        <v>82.757437268037435</v>
      </c>
      <c r="AP50">
        <f t="shared" ca="1" si="51"/>
        <v>83.982089967485706</v>
      </c>
      <c r="AQ50">
        <f t="shared" ca="1" si="51"/>
        <v>82.374898623813792</v>
      </c>
      <c r="AR50">
        <f t="shared" ca="1" si="51"/>
        <v>84.571368040290992</v>
      </c>
      <c r="AS50">
        <f t="shared" ca="1" si="51"/>
        <v>85.813015323310893</v>
      </c>
      <c r="AT50">
        <f t="shared" ca="1" si="51"/>
        <v>84.037612752183932</v>
      </c>
      <c r="AU50">
        <f t="shared" ca="1" si="51"/>
        <v>83.20267634414131</v>
      </c>
      <c r="AV50">
        <f t="shared" ca="1" si="51"/>
        <v>84.009850418143074</v>
      </c>
      <c r="AW50">
        <f t="shared" ca="1" si="51"/>
        <v>81.732427996453282</v>
      </c>
      <c r="AX50">
        <f t="shared" ca="1" si="51"/>
        <v>81.282074457996274</v>
      </c>
      <c r="AY50">
        <f t="shared" ca="1" si="51"/>
        <v>83.333621495354976</v>
      </c>
      <c r="AZ50">
        <f t="shared" ca="1" si="51"/>
        <v>86.99434063965947</v>
      </c>
      <c r="BA50">
        <f t="shared" ca="1" si="51"/>
        <v>88.907674032682095</v>
      </c>
      <c r="BB50">
        <f t="shared" ca="1" si="51"/>
        <v>88.027031155978932</v>
      </c>
      <c r="BC50">
        <f t="shared" ca="1" si="51"/>
        <v>88.716309699980798</v>
      </c>
      <c r="BD50">
        <f t="shared" ca="1" si="51"/>
        <v>90.972417427714333</v>
      </c>
      <c r="BE50">
        <f t="shared" ca="1" si="51"/>
        <v>89.334889255039442</v>
      </c>
      <c r="BF50">
        <f t="shared" ca="1" si="51"/>
        <v>92.390626938917976</v>
      </c>
      <c r="BG50">
        <f t="shared" ca="1" si="51"/>
        <v>93.861301627283723</v>
      </c>
      <c r="BH50">
        <f t="shared" ca="1" si="51"/>
        <v>96.406100890391755</v>
      </c>
      <c r="BI50">
        <f t="shared" ca="1" si="51"/>
        <v>94.979461859780912</v>
      </c>
      <c r="BJ50">
        <f t="shared" ca="1" si="51"/>
        <v>94.161495781135315</v>
      </c>
      <c r="BK50">
        <f t="shared" ca="1" si="51"/>
        <v>93.763686651545541</v>
      </c>
      <c r="BL50">
        <f t="shared" ca="1" si="51"/>
        <v>93.619805731701277</v>
      </c>
      <c r="BM50">
        <f t="shared" ca="1" si="51"/>
        <v>96.53107845056897</v>
      </c>
      <c r="BN50">
        <f t="shared" ca="1" si="51"/>
        <v>96.843411635879377</v>
      </c>
      <c r="BO50">
        <f t="shared" ca="1" si="4"/>
        <v>38.843411635879377</v>
      </c>
    </row>
    <row r="51" spans="6:67">
      <c r="F51">
        <f t="shared" si="2"/>
        <v>60.99</v>
      </c>
      <c r="G51">
        <f t="shared" ref="G51:BN51" ca="1" si="52">F51*EXP(($B$2-0.5*$B$3^2)*$B$4+$B$3*_xlfn.NORM.INV(RAND(),0,SQRT($B$4)))</f>
        <v>60.716366894677883</v>
      </c>
      <c r="H51">
        <f t="shared" ca="1" si="52"/>
        <v>60.804948125478759</v>
      </c>
      <c r="I51">
        <f t="shared" ca="1" si="52"/>
        <v>60.707929519207113</v>
      </c>
      <c r="J51">
        <f t="shared" ca="1" si="52"/>
        <v>61.643436401775922</v>
      </c>
      <c r="K51">
        <f t="shared" ca="1" si="52"/>
        <v>63.63808933837484</v>
      </c>
      <c r="L51">
        <f t="shared" ca="1" si="52"/>
        <v>63.14748320584593</v>
      </c>
      <c r="M51">
        <f t="shared" ca="1" si="52"/>
        <v>61.887635189100799</v>
      </c>
      <c r="N51">
        <f t="shared" ca="1" si="52"/>
        <v>61.807926852861137</v>
      </c>
      <c r="O51">
        <f t="shared" ca="1" si="52"/>
        <v>62.242088457648315</v>
      </c>
      <c r="P51">
        <f t="shared" ca="1" si="52"/>
        <v>62.003534229773422</v>
      </c>
      <c r="Q51">
        <f t="shared" ca="1" si="52"/>
        <v>63.621314409628468</v>
      </c>
      <c r="R51">
        <f t="shared" ca="1" si="52"/>
        <v>64.777158344397108</v>
      </c>
      <c r="S51">
        <f t="shared" ca="1" si="52"/>
        <v>66.42923023886982</v>
      </c>
      <c r="T51">
        <f t="shared" ca="1" si="52"/>
        <v>64.923623684113878</v>
      </c>
      <c r="U51">
        <f t="shared" ca="1" si="52"/>
        <v>65.488586496020247</v>
      </c>
      <c r="V51">
        <f t="shared" ca="1" si="52"/>
        <v>64.789322069585154</v>
      </c>
      <c r="W51">
        <f t="shared" ca="1" si="52"/>
        <v>64.408862245693669</v>
      </c>
      <c r="X51">
        <f t="shared" ca="1" si="52"/>
        <v>65.334833714007203</v>
      </c>
      <c r="Y51">
        <f t="shared" ca="1" si="52"/>
        <v>65.761927148325995</v>
      </c>
      <c r="Z51">
        <f t="shared" ca="1" si="52"/>
        <v>65.048414728441188</v>
      </c>
      <c r="AA51">
        <f t="shared" ca="1" si="52"/>
        <v>64.231154131825733</v>
      </c>
      <c r="AB51">
        <f t="shared" ca="1" si="52"/>
        <v>63.517207140872834</v>
      </c>
      <c r="AC51">
        <f t="shared" ca="1" si="52"/>
        <v>65.234767182112464</v>
      </c>
      <c r="AD51">
        <f t="shared" ca="1" si="52"/>
        <v>64.630596056749013</v>
      </c>
      <c r="AE51">
        <f t="shared" ca="1" si="52"/>
        <v>64.927715753343961</v>
      </c>
      <c r="AF51">
        <f t="shared" ca="1" si="52"/>
        <v>65.43326287804193</v>
      </c>
      <c r="AG51">
        <f t="shared" ca="1" si="52"/>
        <v>63.773098314676538</v>
      </c>
      <c r="AH51">
        <f t="shared" ca="1" si="52"/>
        <v>62.294527068612645</v>
      </c>
      <c r="AI51">
        <f t="shared" ca="1" si="52"/>
        <v>64.032800265636411</v>
      </c>
      <c r="AJ51">
        <f t="shared" ca="1" si="52"/>
        <v>64.873976560142296</v>
      </c>
      <c r="AK51">
        <f t="shared" ca="1" si="52"/>
        <v>64.758677348464062</v>
      </c>
      <c r="AL51">
        <f t="shared" ca="1" si="52"/>
        <v>66.735849273992514</v>
      </c>
      <c r="AM51">
        <f t="shared" ca="1" si="52"/>
        <v>67.694218030187258</v>
      </c>
      <c r="AN51">
        <f t="shared" ca="1" si="52"/>
        <v>65.633249438224738</v>
      </c>
      <c r="AO51">
        <f t="shared" ca="1" si="52"/>
        <v>67.294045526185343</v>
      </c>
      <c r="AP51">
        <f t="shared" ca="1" si="52"/>
        <v>66.843191291541473</v>
      </c>
      <c r="AQ51">
        <f t="shared" ca="1" si="52"/>
        <v>68.733831420641081</v>
      </c>
      <c r="AR51">
        <f t="shared" ca="1" si="52"/>
        <v>69.129549455548826</v>
      </c>
      <c r="AS51">
        <f t="shared" ca="1" si="52"/>
        <v>68.838922327205282</v>
      </c>
      <c r="AT51">
        <f t="shared" ca="1" si="52"/>
        <v>70.237254692193162</v>
      </c>
      <c r="AU51">
        <f t="shared" ca="1" si="52"/>
        <v>71.613947953452907</v>
      </c>
      <c r="AV51">
        <f t="shared" ca="1" si="52"/>
        <v>74.001220066677874</v>
      </c>
      <c r="AW51">
        <f t="shared" ca="1" si="52"/>
        <v>72.017872850218879</v>
      </c>
      <c r="AX51">
        <f t="shared" ca="1" si="52"/>
        <v>71.082474165953627</v>
      </c>
      <c r="AY51">
        <f t="shared" ca="1" si="52"/>
        <v>70.992523285451853</v>
      </c>
      <c r="AZ51">
        <f t="shared" ca="1" si="52"/>
        <v>73.593955054241064</v>
      </c>
      <c r="BA51">
        <f t="shared" ca="1" si="52"/>
        <v>75.127508575409919</v>
      </c>
      <c r="BB51">
        <f t="shared" ca="1" si="52"/>
        <v>74.676515224043214</v>
      </c>
      <c r="BC51">
        <f t="shared" ca="1" si="52"/>
        <v>73.754146143674163</v>
      </c>
      <c r="BD51">
        <f t="shared" ca="1" si="52"/>
        <v>73.034270948167389</v>
      </c>
      <c r="BE51">
        <f t="shared" ca="1" si="52"/>
        <v>73.518625513830898</v>
      </c>
      <c r="BF51">
        <f t="shared" ca="1" si="52"/>
        <v>74.456040287057306</v>
      </c>
      <c r="BG51">
        <f t="shared" ca="1" si="52"/>
        <v>77.433410217609079</v>
      </c>
      <c r="BH51">
        <f t="shared" ca="1" si="52"/>
        <v>76.953046463363222</v>
      </c>
      <c r="BI51">
        <f t="shared" ca="1" si="52"/>
        <v>75.148749903316883</v>
      </c>
      <c r="BJ51">
        <f t="shared" ca="1" si="52"/>
        <v>74.413260210642008</v>
      </c>
      <c r="BK51">
        <f t="shared" ca="1" si="52"/>
        <v>75.150402380212867</v>
      </c>
      <c r="BL51">
        <f t="shared" ca="1" si="52"/>
        <v>76.240507579229103</v>
      </c>
      <c r="BM51">
        <f t="shared" ca="1" si="52"/>
        <v>76.581639000505191</v>
      </c>
      <c r="BN51">
        <f t="shared" ca="1" si="52"/>
        <v>76.280295566740406</v>
      </c>
      <c r="BO51">
        <f t="shared" ca="1" si="4"/>
        <v>18.280295566740406</v>
      </c>
    </row>
    <row r="52" spans="6:67">
      <c r="F52">
        <f t="shared" si="2"/>
        <v>60.99</v>
      </c>
      <c r="G52">
        <f t="shared" ref="G52:BN52" ca="1" si="53">F52*EXP(($B$2-0.5*$B$3^2)*$B$4+$B$3*_xlfn.NORM.INV(RAND(),0,SQRT($B$4)))</f>
        <v>60.027780424837914</v>
      </c>
      <c r="H52">
        <f t="shared" ca="1" si="53"/>
        <v>60.184448937222527</v>
      </c>
      <c r="I52">
        <f t="shared" ca="1" si="53"/>
        <v>63.763056963503665</v>
      </c>
      <c r="J52">
        <f t="shared" ca="1" si="53"/>
        <v>65.580455291818339</v>
      </c>
      <c r="K52">
        <f t="shared" ca="1" si="53"/>
        <v>65.317361094566849</v>
      </c>
      <c r="L52">
        <f t="shared" ca="1" si="53"/>
        <v>66.381045333844185</v>
      </c>
      <c r="M52">
        <f t="shared" ca="1" si="53"/>
        <v>68.418507160629375</v>
      </c>
      <c r="N52">
        <f t="shared" ca="1" si="53"/>
        <v>67.988628693603417</v>
      </c>
      <c r="O52">
        <f t="shared" ca="1" si="53"/>
        <v>71.69505290951119</v>
      </c>
      <c r="P52">
        <f t="shared" ca="1" si="53"/>
        <v>70.321377405056637</v>
      </c>
      <c r="Q52">
        <f t="shared" ca="1" si="53"/>
        <v>70.674877953189096</v>
      </c>
      <c r="R52">
        <f t="shared" ca="1" si="53"/>
        <v>70.547231865271215</v>
      </c>
      <c r="S52">
        <f t="shared" ca="1" si="53"/>
        <v>70.545256663060641</v>
      </c>
      <c r="T52">
        <f t="shared" ca="1" si="53"/>
        <v>69.553277725139836</v>
      </c>
      <c r="U52">
        <f t="shared" ca="1" si="53"/>
        <v>67.905764845959482</v>
      </c>
      <c r="V52">
        <f t="shared" ca="1" si="53"/>
        <v>67.907046300222532</v>
      </c>
      <c r="W52">
        <f t="shared" ca="1" si="53"/>
        <v>67.919751327190212</v>
      </c>
      <c r="X52">
        <f t="shared" ca="1" si="53"/>
        <v>66.424868018103666</v>
      </c>
      <c r="Y52">
        <f t="shared" ca="1" si="53"/>
        <v>67.348543352987676</v>
      </c>
      <c r="Z52">
        <f t="shared" ca="1" si="53"/>
        <v>67.151442311424262</v>
      </c>
      <c r="AA52">
        <f t="shared" ca="1" si="53"/>
        <v>68.889802441427221</v>
      </c>
      <c r="AB52">
        <f t="shared" ca="1" si="53"/>
        <v>68.850116988206665</v>
      </c>
      <c r="AC52">
        <f t="shared" ca="1" si="53"/>
        <v>69.412719775283023</v>
      </c>
      <c r="AD52">
        <f t="shared" ca="1" si="53"/>
        <v>68.639811056420442</v>
      </c>
      <c r="AE52">
        <f t="shared" ca="1" si="53"/>
        <v>71.590265665713105</v>
      </c>
      <c r="AF52">
        <f t="shared" ca="1" si="53"/>
        <v>69.347096995238317</v>
      </c>
      <c r="AG52">
        <f t="shared" ca="1" si="53"/>
        <v>70.368030705977134</v>
      </c>
      <c r="AH52">
        <f t="shared" ca="1" si="53"/>
        <v>69.689726406892461</v>
      </c>
      <c r="AI52">
        <f t="shared" ca="1" si="53"/>
        <v>73.773633284251389</v>
      </c>
      <c r="AJ52">
        <f t="shared" ca="1" si="53"/>
        <v>74.559961494671342</v>
      </c>
      <c r="AK52">
        <f t="shared" ca="1" si="53"/>
        <v>70.602246776896635</v>
      </c>
      <c r="AL52">
        <f t="shared" ca="1" si="53"/>
        <v>69.844800257052583</v>
      </c>
      <c r="AM52">
        <f t="shared" ca="1" si="53"/>
        <v>70.016771007985938</v>
      </c>
      <c r="AN52">
        <f t="shared" ca="1" si="53"/>
        <v>70.613793508520089</v>
      </c>
      <c r="AO52">
        <f t="shared" ca="1" si="53"/>
        <v>70.011538712078377</v>
      </c>
      <c r="AP52">
        <f t="shared" ca="1" si="53"/>
        <v>69.576098925956515</v>
      </c>
      <c r="AQ52">
        <f t="shared" ca="1" si="53"/>
        <v>70.033741560863746</v>
      </c>
      <c r="AR52">
        <f t="shared" ca="1" si="53"/>
        <v>69.572687594914186</v>
      </c>
      <c r="AS52">
        <f t="shared" ca="1" si="53"/>
        <v>69.000997788530128</v>
      </c>
      <c r="AT52">
        <f t="shared" ca="1" si="53"/>
        <v>70.047879818090053</v>
      </c>
      <c r="AU52">
        <f t="shared" ca="1" si="53"/>
        <v>70.660075454606897</v>
      </c>
      <c r="AV52">
        <f t="shared" ca="1" si="53"/>
        <v>70.480370513627037</v>
      </c>
      <c r="AW52">
        <f t="shared" ca="1" si="53"/>
        <v>72.874178340727681</v>
      </c>
      <c r="AX52">
        <f t="shared" ca="1" si="53"/>
        <v>72.724376282126528</v>
      </c>
      <c r="AY52">
        <f t="shared" ca="1" si="53"/>
        <v>72.579256057297627</v>
      </c>
      <c r="AZ52">
        <f t="shared" ca="1" si="53"/>
        <v>71.78740548577737</v>
      </c>
      <c r="BA52">
        <f t="shared" ca="1" si="53"/>
        <v>70.978907779060506</v>
      </c>
      <c r="BB52">
        <f t="shared" ca="1" si="53"/>
        <v>71.747440782543308</v>
      </c>
      <c r="BC52">
        <f t="shared" ca="1" si="53"/>
        <v>72.297883780899156</v>
      </c>
      <c r="BD52">
        <f t="shared" ca="1" si="53"/>
        <v>72.477035531874677</v>
      </c>
      <c r="BE52">
        <f t="shared" ca="1" si="53"/>
        <v>72.632709620775657</v>
      </c>
      <c r="BF52">
        <f t="shared" ca="1" si="53"/>
        <v>72.919685497360717</v>
      </c>
      <c r="BG52">
        <f t="shared" ca="1" si="53"/>
        <v>72.341671347612291</v>
      </c>
      <c r="BH52">
        <f t="shared" ca="1" si="53"/>
        <v>72.530297196981209</v>
      </c>
      <c r="BI52">
        <f t="shared" ca="1" si="53"/>
        <v>73.510703982636528</v>
      </c>
      <c r="BJ52">
        <f t="shared" ca="1" si="53"/>
        <v>75.627814864702813</v>
      </c>
      <c r="BK52">
        <f t="shared" ca="1" si="53"/>
        <v>75.737934166545813</v>
      </c>
      <c r="BL52">
        <f t="shared" ca="1" si="53"/>
        <v>74.350853898281258</v>
      </c>
      <c r="BM52">
        <f t="shared" ca="1" si="53"/>
        <v>72.861364583640508</v>
      </c>
      <c r="BN52">
        <f t="shared" ca="1" si="53"/>
        <v>74.462466482014165</v>
      </c>
      <c r="BO52">
        <f t="shared" ca="1" si="4"/>
        <v>16.462466482014165</v>
      </c>
    </row>
    <row r="53" spans="6:67">
      <c r="F53">
        <f t="shared" si="2"/>
        <v>60.99</v>
      </c>
      <c r="G53">
        <f t="shared" ref="G53:BN53" ca="1" si="54">F53*EXP(($B$2-0.5*$B$3^2)*$B$4+$B$3*_xlfn.NORM.INV(RAND(),0,SQRT($B$4)))</f>
        <v>60.559454655624499</v>
      </c>
      <c r="H53">
        <f t="shared" ca="1" si="54"/>
        <v>57.630166170546786</v>
      </c>
      <c r="I53">
        <f t="shared" ca="1" si="54"/>
        <v>57.589079890606975</v>
      </c>
      <c r="J53">
        <f t="shared" ca="1" si="54"/>
        <v>56.664323912263306</v>
      </c>
      <c r="K53">
        <f t="shared" ca="1" si="54"/>
        <v>55.630471328335091</v>
      </c>
      <c r="L53">
        <f t="shared" ca="1" si="54"/>
        <v>56.98075819021691</v>
      </c>
      <c r="M53">
        <f t="shared" ca="1" si="54"/>
        <v>56.730315163622777</v>
      </c>
      <c r="N53">
        <f t="shared" ca="1" si="54"/>
        <v>56.211457138858094</v>
      </c>
      <c r="O53">
        <f t="shared" ca="1" si="54"/>
        <v>56.039478421242286</v>
      </c>
      <c r="P53">
        <f t="shared" ca="1" si="54"/>
        <v>56.762914147167855</v>
      </c>
      <c r="Q53">
        <f t="shared" ca="1" si="54"/>
        <v>56.453902551172803</v>
      </c>
      <c r="R53">
        <f t="shared" ca="1" si="54"/>
        <v>56.642506398149223</v>
      </c>
      <c r="S53">
        <f t="shared" ca="1" si="54"/>
        <v>55.51831559836095</v>
      </c>
      <c r="T53">
        <f t="shared" ca="1" si="54"/>
        <v>56.708064518711787</v>
      </c>
      <c r="U53">
        <f t="shared" ca="1" si="54"/>
        <v>56.015120510453841</v>
      </c>
      <c r="V53">
        <f t="shared" ca="1" si="54"/>
        <v>57.294349269870366</v>
      </c>
      <c r="W53">
        <f t="shared" ca="1" si="54"/>
        <v>58.214893932830435</v>
      </c>
      <c r="X53">
        <f t="shared" ca="1" si="54"/>
        <v>58.80323654879102</v>
      </c>
      <c r="Y53">
        <f t="shared" ca="1" si="54"/>
        <v>57.274134439918065</v>
      </c>
      <c r="Z53">
        <f t="shared" ca="1" si="54"/>
        <v>57.468631923701359</v>
      </c>
      <c r="AA53">
        <f t="shared" ca="1" si="54"/>
        <v>58.402540180506762</v>
      </c>
      <c r="AB53">
        <f t="shared" ca="1" si="54"/>
        <v>56.278144395989742</v>
      </c>
      <c r="AC53">
        <f t="shared" ca="1" si="54"/>
        <v>56.941223016147113</v>
      </c>
      <c r="AD53">
        <f t="shared" ca="1" si="54"/>
        <v>57.668398438459839</v>
      </c>
      <c r="AE53">
        <f t="shared" ca="1" si="54"/>
        <v>56.45444861861548</v>
      </c>
      <c r="AF53">
        <f t="shared" ca="1" si="54"/>
        <v>56.481807606475151</v>
      </c>
      <c r="AG53">
        <f t="shared" ca="1" si="54"/>
        <v>57.544645412941968</v>
      </c>
      <c r="AH53">
        <f t="shared" ca="1" si="54"/>
        <v>59.339794842990507</v>
      </c>
      <c r="AI53">
        <f t="shared" ca="1" si="54"/>
        <v>60.471607902864221</v>
      </c>
      <c r="AJ53">
        <f t="shared" ca="1" si="54"/>
        <v>59.122366343324053</v>
      </c>
      <c r="AK53">
        <f t="shared" ca="1" si="54"/>
        <v>58.266642707541365</v>
      </c>
      <c r="AL53">
        <f t="shared" ca="1" si="54"/>
        <v>59.203382973990216</v>
      </c>
      <c r="AM53">
        <f t="shared" ca="1" si="54"/>
        <v>59.62225016249122</v>
      </c>
      <c r="AN53">
        <f t="shared" ca="1" si="54"/>
        <v>60.436079092445858</v>
      </c>
      <c r="AO53">
        <f t="shared" ca="1" si="54"/>
        <v>58.579902400779545</v>
      </c>
      <c r="AP53">
        <f t="shared" ca="1" si="54"/>
        <v>57.858540022132424</v>
      </c>
      <c r="AQ53">
        <f t="shared" ca="1" si="54"/>
        <v>58.848344977170413</v>
      </c>
      <c r="AR53">
        <f t="shared" ca="1" si="54"/>
        <v>60.218824856752576</v>
      </c>
      <c r="AS53">
        <f t="shared" ca="1" si="54"/>
        <v>59.519704413449595</v>
      </c>
      <c r="AT53">
        <f t="shared" ca="1" si="54"/>
        <v>59.682880219586508</v>
      </c>
      <c r="AU53">
        <f t="shared" ca="1" si="54"/>
        <v>59.946938360768037</v>
      </c>
      <c r="AV53">
        <f t="shared" ca="1" si="54"/>
        <v>58.282141788008232</v>
      </c>
      <c r="AW53">
        <f t="shared" ca="1" si="54"/>
        <v>58.927837037013163</v>
      </c>
      <c r="AX53">
        <f t="shared" ca="1" si="54"/>
        <v>59.335466550094594</v>
      </c>
      <c r="AY53">
        <f t="shared" ca="1" si="54"/>
        <v>59.362564748247941</v>
      </c>
      <c r="AZ53">
        <f t="shared" ca="1" si="54"/>
        <v>61.039326847410727</v>
      </c>
      <c r="BA53">
        <f t="shared" ca="1" si="54"/>
        <v>62.520157132631269</v>
      </c>
      <c r="BB53">
        <f t="shared" ca="1" si="54"/>
        <v>60.503119350383358</v>
      </c>
      <c r="BC53">
        <f t="shared" ca="1" si="54"/>
        <v>61.453605467474141</v>
      </c>
      <c r="BD53">
        <f t="shared" ca="1" si="54"/>
        <v>62.038068552734188</v>
      </c>
      <c r="BE53">
        <f t="shared" ca="1" si="54"/>
        <v>61.378371839790525</v>
      </c>
      <c r="BF53">
        <f t="shared" ca="1" si="54"/>
        <v>62.29535090136828</v>
      </c>
      <c r="BG53">
        <f t="shared" ca="1" si="54"/>
        <v>61.484216975048852</v>
      </c>
      <c r="BH53">
        <f t="shared" ca="1" si="54"/>
        <v>60.013994667733769</v>
      </c>
      <c r="BI53">
        <f t="shared" ca="1" si="54"/>
        <v>60.968455631819616</v>
      </c>
      <c r="BJ53">
        <f t="shared" ca="1" si="54"/>
        <v>64.489173222063528</v>
      </c>
      <c r="BK53">
        <f t="shared" ca="1" si="54"/>
        <v>65.901565923589473</v>
      </c>
      <c r="BL53">
        <f t="shared" ca="1" si="54"/>
        <v>66.486049970159314</v>
      </c>
      <c r="BM53">
        <f t="shared" ca="1" si="54"/>
        <v>67.913862942788981</v>
      </c>
      <c r="BN53">
        <f t="shared" ca="1" si="54"/>
        <v>66.550568500352398</v>
      </c>
      <c r="BO53">
        <f t="shared" ca="1" si="4"/>
        <v>8.5505685003523979</v>
      </c>
    </row>
    <row r="54" spans="6:67">
      <c r="F54">
        <f t="shared" si="2"/>
        <v>60.99</v>
      </c>
      <c r="G54">
        <f t="shared" ref="G54:BN54" ca="1" si="55">F54*EXP(($B$2-0.5*$B$3^2)*$B$4+$B$3*_xlfn.NORM.INV(RAND(),0,SQRT($B$4)))</f>
        <v>59.8284617041882</v>
      </c>
      <c r="H54">
        <f t="shared" ca="1" si="55"/>
        <v>61.492875815291995</v>
      </c>
      <c r="I54">
        <f t="shared" ca="1" si="55"/>
        <v>61.355488149811009</v>
      </c>
      <c r="J54">
        <f t="shared" ca="1" si="55"/>
        <v>63.058296105647258</v>
      </c>
      <c r="K54">
        <f t="shared" ca="1" si="55"/>
        <v>64.527739524398399</v>
      </c>
      <c r="L54">
        <f t="shared" ca="1" si="55"/>
        <v>64.054055847840928</v>
      </c>
      <c r="M54">
        <f t="shared" ca="1" si="55"/>
        <v>62.35584461145082</v>
      </c>
      <c r="N54">
        <f t="shared" ca="1" si="55"/>
        <v>64.047566997820368</v>
      </c>
      <c r="O54">
        <f t="shared" ca="1" si="55"/>
        <v>66.482305557573682</v>
      </c>
      <c r="P54">
        <f t="shared" ca="1" si="55"/>
        <v>65.740345376013423</v>
      </c>
      <c r="Q54">
        <f t="shared" ca="1" si="55"/>
        <v>66.026622644393981</v>
      </c>
      <c r="R54">
        <f t="shared" ca="1" si="55"/>
        <v>65.646150041694838</v>
      </c>
      <c r="S54">
        <f t="shared" ca="1" si="55"/>
        <v>66.914584466949719</v>
      </c>
      <c r="T54">
        <f t="shared" ca="1" si="55"/>
        <v>65.718785220873031</v>
      </c>
      <c r="U54">
        <f t="shared" ca="1" si="55"/>
        <v>64.575778621561426</v>
      </c>
      <c r="V54">
        <f t="shared" ca="1" si="55"/>
        <v>63.984078572476761</v>
      </c>
      <c r="W54">
        <f t="shared" ca="1" si="55"/>
        <v>65.188189332092875</v>
      </c>
      <c r="X54">
        <f t="shared" ca="1" si="55"/>
        <v>66.501425241801087</v>
      </c>
      <c r="Y54">
        <f t="shared" ca="1" si="55"/>
        <v>65.541740845878593</v>
      </c>
      <c r="Z54">
        <f t="shared" ca="1" si="55"/>
        <v>63.828918745412714</v>
      </c>
      <c r="AA54">
        <f t="shared" ca="1" si="55"/>
        <v>64.527805723254673</v>
      </c>
      <c r="AB54">
        <f t="shared" ca="1" si="55"/>
        <v>65.940331157106982</v>
      </c>
      <c r="AC54">
        <f t="shared" ca="1" si="55"/>
        <v>63.797007928020165</v>
      </c>
      <c r="AD54">
        <f t="shared" ca="1" si="55"/>
        <v>64.564993762931067</v>
      </c>
      <c r="AE54">
        <f t="shared" ca="1" si="55"/>
        <v>65.017489341167831</v>
      </c>
      <c r="AF54">
        <f t="shared" ca="1" si="55"/>
        <v>64.787505351140283</v>
      </c>
      <c r="AG54">
        <f t="shared" ca="1" si="55"/>
        <v>64.322759039023524</v>
      </c>
      <c r="AH54">
        <f t="shared" ca="1" si="55"/>
        <v>66.020981373335943</v>
      </c>
      <c r="AI54">
        <f t="shared" ca="1" si="55"/>
        <v>66.409960844011422</v>
      </c>
      <c r="AJ54">
        <f t="shared" ca="1" si="55"/>
        <v>66.509901274282726</v>
      </c>
      <c r="AK54">
        <f t="shared" ca="1" si="55"/>
        <v>67.866076118077601</v>
      </c>
      <c r="AL54">
        <f t="shared" ca="1" si="55"/>
        <v>69.236875622062627</v>
      </c>
      <c r="AM54">
        <f t="shared" ca="1" si="55"/>
        <v>69.237762371372128</v>
      </c>
      <c r="AN54">
        <f t="shared" ca="1" si="55"/>
        <v>68.97900155732367</v>
      </c>
      <c r="AO54">
        <f t="shared" ca="1" si="55"/>
        <v>68.411618628603264</v>
      </c>
      <c r="AP54">
        <f t="shared" ca="1" si="55"/>
        <v>66.471434031629727</v>
      </c>
      <c r="AQ54">
        <f t="shared" ca="1" si="55"/>
        <v>69.277145295343061</v>
      </c>
      <c r="AR54">
        <f t="shared" ca="1" si="55"/>
        <v>69.191275839060197</v>
      </c>
      <c r="AS54">
        <f t="shared" ca="1" si="55"/>
        <v>69.862049108630927</v>
      </c>
      <c r="AT54">
        <f t="shared" ca="1" si="55"/>
        <v>69.612727642606743</v>
      </c>
      <c r="AU54">
        <f t="shared" ca="1" si="55"/>
        <v>70.640312077679241</v>
      </c>
      <c r="AV54">
        <f t="shared" ca="1" si="55"/>
        <v>70.918166680890991</v>
      </c>
      <c r="AW54">
        <f t="shared" ca="1" si="55"/>
        <v>72.486976033408823</v>
      </c>
      <c r="AX54">
        <f t="shared" ca="1" si="55"/>
        <v>72.889877637519703</v>
      </c>
      <c r="AY54">
        <f t="shared" ca="1" si="55"/>
        <v>73.468284605661651</v>
      </c>
      <c r="AZ54">
        <f t="shared" ca="1" si="55"/>
        <v>73.817736811406519</v>
      </c>
      <c r="BA54">
        <f t="shared" ca="1" si="55"/>
        <v>71.683498906322825</v>
      </c>
      <c r="BB54">
        <f t="shared" ca="1" si="55"/>
        <v>71.766358313793134</v>
      </c>
      <c r="BC54">
        <f t="shared" ca="1" si="55"/>
        <v>72.43998062730239</v>
      </c>
      <c r="BD54">
        <f t="shared" ca="1" si="55"/>
        <v>70.909590892637382</v>
      </c>
      <c r="BE54">
        <f t="shared" ca="1" si="55"/>
        <v>71.561792207162014</v>
      </c>
      <c r="BF54">
        <f t="shared" ca="1" si="55"/>
        <v>72.64724970459099</v>
      </c>
      <c r="BG54">
        <f t="shared" ca="1" si="55"/>
        <v>73.491653489319873</v>
      </c>
      <c r="BH54">
        <f t="shared" ca="1" si="55"/>
        <v>72.940742376167435</v>
      </c>
      <c r="BI54">
        <f t="shared" ca="1" si="55"/>
        <v>74.021595651033692</v>
      </c>
      <c r="BJ54">
        <f t="shared" ca="1" si="55"/>
        <v>75.033115369610215</v>
      </c>
      <c r="BK54">
        <f t="shared" ca="1" si="55"/>
        <v>74.635661620163575</v>
      </c>
      <c r="BL54">
        <f t="shared" ca="1" si="55"/>
        <v>74.329515254529284</v>
      </c>
      <c r="BM54">
        <f t="shared" ca="1" si="55"/>
        <v>76.237418446197211</v>
      </c>
      <c r="BN54">
        <f t="shared" ca="1" si="55"/>
        <v>75.445601427473278</v>
      </c>
      <c r="BO54">
        <f t="shared" ca="1" si="4"/>
        <v>17.445601427473278</v>
      </c>
    </row>
    <row r="55" spans="6:67">
      <c r="F55">
        <f t="shared" si="2"/>
        <v>60.99</v>
      </c>
      <c r="G55">
        <f t="shared" ref="G55:BN55" ca="1" si="56">F55*EXP(($B$2-0.5*$B$3^2)*$B$4+$B$3*_xlfn.NORM.INV(RAND(),0,SQRT($B$4)))</f>
        <v>62.935262711293134</v>
      </c>
      <c r="H55">
        <f t="shared" ca="1" si="56"/>
        <v>63.932743885021544</v>
      </c>
      <c r="I55">
        <f t="shared" ca="1" si="56"/>
        <v>64.222382707275401</v>
      </c>
      <c r="J55">
        <f t="shared" ca="1" si="56"/>
        <v>62.186780429293805</v>
      </c>
      <c r="K55">
        <f t="shared" ca="1" si="56"/>
        <v>62.428503551790499</v>
      </c>
      <c r="L55">
        <f t="shared" ca="1" si="56"/>
        <v>60.791069155998819</v>
      </c>
      <c r="M55">
        <f t="shared" ca="1" si="56"/>
        <v>59.726910970245278</v>
      </c>
      <c r="N55">
        <f t="shared" ca="1" si="56"/>
        <v>60.534588649548489</v>
      </c>
      <c r="O55">
        <f t="shared" ca="1" si="56"/>
        <v>60.580808568051665</v>
      </c>
      <c r="P55">
        <f t="shared" ca="1" si="56"/>
        <v>61.417308539725056</v>
      </c>
      <c r="Q55">
        <f t="shared" ca="1" si="56"/>
        <v>60.213687598664457</v>
      </c>
      <c r="R55">
        <f t="shared" ca="1" si="56"/>
        <v>57.987522327154316</v>
      </c>
      <c r="S55">
        <f t="shared" ca="1" si="56"/>
        <v>58.079907899914467</v>
      </c>
      <c r="T55">
        <f t="shared" ca="1" si="56"/>
        <v>56.423509279882367</v>
      </c>
      <c r="U55">
        <f t="shared" ca="1" si="56"/>
        <v>56.852658476030314</v>
      </c>
      <c r="V55">
        <f t="shared" ca="1" si="56"/>
        <v>56.691372518462757</v>
      </c>
      <c r="W55">
        <f t="shared" ca="1" si="56"/>
        <v>55.612484541658425</v>
      </c>
      <c r="X55">
        <f t="shared" ca="1" si="56"/>
        <v>55.621156518236589</v>
      </c>
      <c r="Y55">
        <f t="shared" ca="1" si="56"/>
        <v>55.720532580015309</v>
      </c>
      <c r="Z55">
        <f t="shared" ca="1" si="56"/>
        <v>58.083435425236317</v>
      </c>
      <c r="AA55">
        <f t="shared" ca="1" si="56"/>
        <v>58.355158200548942</v>
      </c>
      <c r="AB55">
        <f t="shared" ca="1" si="56"/>
        <v>59.860779325100111</v>
      </c>
      <c r="AC55">
        <f t="shared" ca="1" si="56"/>
        <v>58.914220463491212</v>
      </c>
      <c r="AD55">
        <f t="shared" ca="1" si="56"/>
        <v>59.447131070642506</v>
      </c>
      <c r="AE55">
        <f t="shared" ca="1" si="56"/>
        <v>59.468417980148288</v>
      </c>
      <c r="AF55">
        <f t="shared" ca="1" si="56"/>
        <v>57.777656721705505</v>
      </c>
      <c r="AG55">
        <f t="shared" ca="1" si="56"/>
        <v>56.058566097121592</v>
      </c>
      <c r="AH55">
        <f t="shared" ca="1" si="56"/>
        <v>57.247704654628585</v>
      </c>
      <c r="AI55">
        <f t="shared" ca="1" si="56"/>
        <v>57.782916947378297</v>
      </c>
      <c r="AJ55">
        <f t="shared" ca="1" si="56"/>
        <v>59.600178073121562</v>
      </c>
      <c r="AK55">
        <f t="shared" ca="1" si="56"/>
        <v>58.650046836074296</v>
      </c>
      <c r="AL55">
        <f t="shared" ca="1" si="56"/>
        <v>56.620094273116337</v>
      </c>
      <c r="AM55">
        <f t="shared" ca="1" si="56"/>
        <v>57.99939289588746</v>
      </c>
      <c r="AN55">
        <f t="shared" ca="1" si="56"/>
        <v>57.149119820812132</v>
      </c>
      <c r="AO55">
        <f t="shared" ca="1" si="56"/>
        <v>58.56145153924993</v>
      </c>
      <c r="AP55">
        <f t="shared" ca="1" si="56"/>
        <v>60.75903599844947</v>
      </c>
      <c r="AQ55">
        <f t="shared" ca="1" si="56"/>
        <v>60.892931707634162</v>
      </c>
      <c r="AR55">
        <f t="shared" ca="1" si="56"/>
        <v>59.372876961660253</v>
      </c>
      <c r="AS55">
        <f t="shared" ca="1" si="56"/>
        <v>59.365974345083757</v>
      </c>
      <c r="AT55">
        <f t="shared" ca="1" si="56"/>
        <v>58.708456857749354</v>
      </c>
      <c r="AU55">
        <f t="shared" ca="1" si="56"/>
        <v>58.024966372650447</v>
      </c>
      <c r="AV55">
        <f t="shared" ca="1" si="56"/>
        <v>58.487237494470712</v>
      </c>
      <c r="AW55">
        <f t="shared" ca="1" si="56"/>
        <v>57.377115286522063</v>
      </c>
      <c r="AX55">
        <f t="shared" ca="1" si="56"/>
        <v>56.92413606422982</v>
      </c>
      <c r="AY55">
        <f t="shared" ca="1" si="56"/>
        <v>57.13708714302129</v>
      </c>
      <c r="AZ55">
        <f t="shared" ca="1" si="56"/>
        <v>56.561290691056762</v>
      </c>
      <c r="BA55">
        <f t="shared" ca="1" si="56"/>
        <v>55.309676283190832</v>
      </c>
      <c r="BB55">
        <f t="shared" ca="1" si="56"/>
        <v>55.517222493728354</v>
      </c>
      <c r="BC55">
        <f t="shared" ca="1" si="56"/>
        <v>56.157797533596607</v>
      </c>
      <c r="BD55">
        <f t="shared" ca="1" si="56"/>
        <v>54.911905071116664</v>
      </c>
      <c r="BE55">
        <f t="shared" ca="1" si="56"/>
        <v>56.003972918036787</v>
      </c>
      <c r="BF55">
        <f t="shared" ca="1" si="56"/>
        <v>55.862652213623562</v>
      </c>
      <c r="BG55">
        <f t="shared" ca="1" si="56"/>
        <v>57.335678208371064</v>
      </c>
      <c r="BH55">
        <f t="shared" ca="1" si="56"/>
        <v>58.425610757152931</v>
      </c>
      <c r="BI55">
        <f t="shared" ca="1" si="56"/>
        <v>60.094364070759859</v>
      </c>
      <c r="BJ55">
        <f t="shared" ca="1" si="56"/>
        <v>62.339575887605051</v>
      </c>
      <c r="BK55">
        <f t="shared" ca="1" si="56"/>
        <v>63.594805573039359</v>
      </c>
      <c r="BL55">
        <f t="shared" ca="1" si="56"/>
        <v>64.254812077758658</v>
      </c>
      <c r="BM55">
        <f t="shared" ca="1" si="56"/>
        <v>63.657685862571697</v>
      </c>
      <c r="BN55">
        <f t="shared" ca="1" si="56"/>
        <v>64.537786492887435</v>
      </c>
      <c r="BO55">
        <f t="shared" ca="1" si="4"/>
        <v>6.5377864928874345</v>
      </c>
    </row>
    <row r="56" spans="6:67">
      <c r="F56">
        <f t="shared" si="2"/>
        <v>60.99</v>
      </c>
      <c r="G56">
        <f t="shared" ref="G56:BN56" ca="1" si="57">F56*EXP(($B$2-0.5*$B$3^2)*$B$4+$B$3*_xlfn.NORM.INV(RAND(),0,SQRT($B$4)))</f>
        <v>62.250894045904609</v>
      </c>
      <c r="H56">
        <f t="shared" ca="1" si="57"/>
        <v>62.957754124936656</v>
      </c>
      <c r="I56">
        <f t="shared" ca="1" si="57"/>
        <v>63.015306610512539</v>
      </c>
      <c r="J56">
        <f t="shared" ca="1" si="57"/>
        <v>62.046062654310226</v>
      </c>
      <c r="K56">
        <f t="shared" ca="1" si="57"/>
        <v>62.231040622627958</v>
      </c>
      <c r="L56">
        <f t="shared" ca="1" si="57"/>
        <v>62.442794621950121</v>
      </c>
      <c r="M56">
        <f t="shared" ca="1" si="57"/>
        <v>61.794705931379561</v>
      </c>
      <c r="N56">
        <f t="shared" ca="1" si="57"/>
        <v>62.211720456108324</v>
      </c>
      <c r="O56">
        <f t="shared" ca="1" si="57"/>
        <v>60.384836582463556</v>
      </c>
      <c r="P56">
        <f t="shared" ca="1" si="57"/>
        <v>60.112382455229373</v>
      </c>
      <c r="Q56">
        <f t="shared" ca="1" si="57"/>
        <v>58.066597552581626</v>
      </c>
      <c r="R56">
        <f t="shared" ca="1" si="57"/>
        <v>59.089435464244097</v>
      </c>
      <c r="S56">
        <f t="shared" ca="1" si="57"/>
        <v>58.954358061479603</v>
      </c>
      <c r="T56">
        <f t="shared" ca="1" si="57"/>
        <v>58.344046859627795</v>
      </c>
      <c r="U56">
        <f t="shared" ca="1" si="57"/>
        <v>60.559302676833845</v>
      </c>
      <c r="V56">
        <f t="shared" ca="1" si="57"/>
        <v>62.154569541774876</v>
      </c>
      <c r="W56">
        <f t="shared" ca="1" si="57"/>
        <v>61.183385360067135</v>
      </c>
      <c r="X56">
        <f t="shared" ca="1" si="57"/>
        <v>61.615607323378526</v>
      </c>
      <c r="Y56">
        <f t="shared" ca="1" si="57"/>
        <v>59.82102315450426</v>
      </c>
      <c r="Z56">
        <f t="shared" ca="1" si="57"/>
        <v>60.602859643995416</v>
      </c>
      <c r="AA56">
        <f t="shared" ca="1" si="57"/>
        <v>60.941236345095376</v>
      </c>
      <c r="AB56">
        <f t="shared" ca="1" si="57"/>
        <v>60.661757984484602</v>
      </c>
      <c r="AC56">
        <f t="shared" ca="1" si="57"/>
        <v>60.654172274520739</v>
      </c>
      <c r="AD56">
        <f t="shared" ca="1" si="57"/>
        <v>61.554253033646617</v>
      </c>
      <c r="AE56">
        <f t="shared" ca="1" si="57"/>
        <v>62.333441135605206</v>
      </c>
      <c r="AF56">
        <f t="shared" ca="1" si="57"/>
        <v>61.68169826928527</v>
      </c>
      <c r="AG56">
        <f t="shared" ca="1" si="57"/>
        <v>61.851717870702927</v>
      </c>
      <c r="AH56">
        <f t="shared" ca="1" si="57"/>
        <v>61.670210112422069</v>
      </c>
      <c r="AI56">
        <f t="shared" ca="1" si="57"/>
        <v>62.803130854211688</v>
      </c>
      <c r="AJ56">
        <f t="shared" ca="1" si="57"/>
        <v>64.675168922901861</v>
      </c>
      <c r="AK56">
        <f t="shared" ca="1" si="57"/>
        <v>63.218775378459668</v>
      </c>
      <c r="AL56">
        <f t="shared" ca="1" si="57"/>
        <v>64.114007775921948</v>
      </c>
      <c r="AM56">
        <f t="shared" ca="1" si="57"/>
        <v>62.865740369649878</v>
      </c>
      <c r="AN56">
        <f t="shared" ca="1" si="57"/>
        <v>64.792320703249047</v>
      </c>
      <c r="AO56">
        <f t="shared" ca="1" si="57"/>
        <v>63.897438876801196</v>
      </c>
      <c r="AP56">
        <f t="shared" ca="1" si="57"/>
        <v>63.018677676735138</v>
      </c>
      <c r="AQ56">
        <f t="shared" ca="1" si="57"/>
        <v>63.659810112575194</v>
      </c>
      <c r="AR56">
        <f t="shared" ca="1" si="57"/>
        <v>63.40537241799138</v>
      </c>
      <c r="AS56">
        <f t="shared" ca="1" si="57"/>
        <v>61.630081802194248</v>
      </c>
      <c r="AT56">
        <f t="shared" ca="1" si="57"/>
        <v>61.994689620656636</v>
      </c>
      <c r="AU56">
        <f t="shared" ca="1" si="57"/>
        <v>61.089360066647124</v>
      </c>
      <c r="AV56">
        <f t="shared" ca="1" si="57"/>
        <v>61.414969043891503</v>
      </c>
      <c r="AW56">
        <f t="shared" ca="1" si="57"/>
        <v>61.720270986962959</v>
      </c>
      <c r="AX56">
        <f t="shared" ca="1" si="57"/>
        <v>62.139939585294734</v>
      </c>
      <c r="AY56">
        <f t="shared" ca="1" si="57"/>
        <v>60.032132710709909</v>
      </c>
      <c r="AZ56">
        <f t="shared" ca="1" si="57"/>
        <v>62.035230654852349</v>
      </c>
      <c r="BA56">
        <f t="shared" ca="1" si="57"/>
        <v>64.195600460838378</v>
      </c>
      <c r="BB56">
        <f t="shared" ca="1" si="57"/>
        <v>64.830721280336974</v>
      </c>
      <c r="BC56">
        <f t="shared" ca="1" si="57"/>
        <v>64.09756988413659</v>
      </c>
      <c r="BD56">
        <f t="shared" ca="1" si="57"/>
        <v>64.795098814797825</v>
      </c>
      <c r="BE56">
        <f t="shared" ca="1" si="57"/>
        <v>62.807919515260224</v>
      </c>
      <c r="BF56">
        <f t="shared" ca="1" si="57"/>
        <v>63.60268667489887</v>
      </c>
      <c r="BG56">
        <f t="shared" ca="1" si="57"/>
        <v>60.582625324833266</v>
      </c>
      <c r="BH56">
        <f t="shared" ca="1" si="57"/>
        <v>62.03854705990431</v>
      </c>
      <c r="BI56">
        <f t="shared" ca="1" si="57"/>
        <v>62.741456751533505</v>
      </c>
      <c r="BJ56">
        <f t="shared" ca="1" si="57"/>
        <v>63.635872338395501</v>
      </c>
      <c r="BK56">
        <f t="shared" ca="1" si="57"/>
        <v>63.197034951067963</v>
      </c>
      <c r="BL56">
        <f t="shared" ca="1" si="57"/>
        <v>63.833126928445743</v>
      </c>
      <c r="BM56">
        <f t="shared" ca="1" si="57"/>
        <v>65.224820056090465</v>
      </c>
      <c r="BN56">
        <f t="shared" ca="1" si="57"/>
        <v>64.660965100888674</v>
      </c>
      <c r="BO56">
        <f t="shared" ca="1" si="4"/>
        <v>6.6609651008886743</v>
      </c>
    </row>
    <row r="57" spans="6:67">
      <c r="F57">
        <f t="shared" si="2"/>
        <v>60.99</v>
      </c>
      <c r="G57">
        <f t="shared" ref="G57:BN57" ca="1" si="58">F57*EXP(($B$2-0.5*$B$3^2)*$B$4+$B$3*_xlfn.NORM.INV(RAND(),0,SQRT($B$4)))</f>
        <v>61.299313503480839</v>
      </c>
      <c r="H57">
        <f t="shared" ca="1" si="58"/>
        <v>61.188312969377996</v>
      </c>
      <c r="I57">
        <f t="shared" ca="1" si="58"/>
        <v>59.731977269467649</v>
      </c>
      <c r="J57">
        <f t="shared" ca="1" si="58"/>
        <v>58.771939644217539</v>
      </c>
      <c r="K57">
        <f t="shared" ca="1" si="58"/>
        <v>58.070953282074626</v>
      </c>
      <c r="L57">
        <f t="shared" ca="1" si="58"/>
        <v>58.174788060251579</v>
      </c>
      <c r="M57">
        <f t="shared" ca="1" si="58"/>
        <v>58.890961866246158</v>
      </c>
      <c r="N57">
        <f t="shared" ca="1" si="58"/>
        <v>59.675515460761176</v>
      </c>
      <c r="O57">
        <f t="shared" ca="1" si="58"/>
        <v>58.041038215622869</v>
      </c>
      <c r="P57">
        <f t="shared" ca="1" si="58"/>
        <v>57.031350606894939</v>
      </c>
      <c r="Q57">
        <f t="shared" ca="1" si="58"/>
        <v>58.688711241907754</v>
      </c>
      <c r="R57">
        <f t="shared" ca="1" si="58"/>
        <v>60.802774198903656</v>
      </c>
      <c r="S57">
        <f t="shared" ca="1" si="58"/>
        <v>61.931163274572029</v>
      </c>
      <c r="T57">
        <f t="shared" ca="1" si="58"/>
        <v>61.056274644352477</v>
      </c>
      <c r="U57">
        <f t="shared" ca="1" si="58"/>
        <v>60.962731716596238</v>
      </c>
      <c r="V57">
        <f t="shared" ca="1" si="58"/>
        <v>61.470432944640891</v>
      </c>
      <c r="W57">
        <f t="shared" ca="1" si="58"/>
        <v>62.461636378826469</v>
      </c>
      <c r="X57">
        <f t="shared" ca="1" si="58"/>
        <v>61.939526597984091</v>
      </c>
      <c r="Y57">
        <f t="shared" ca="1" si="58"/>
        <v>60.129859331484944</v>
      </c>
      <c r="Z57">
        <f t="shared" ca="1" si="58"/>
        <v>58.804400626705984</v>
      </c>
      <c r="AA57">
        <f t="shared" ca="1" si="58"/>
        <v>56.850831849695581</v>
      </c>
      <c r="AB57">
        <f t="shared" ca="1" si="58"/>
        <v>57.424578149091865</v>
      </c>
      <c r="AC57">
        <f t="shared" ca="1" si="58"/>
        <v>58.218643473046939</v>
      </c>
      <c r="AD57">
        <f t="shared" ca="1" si="58"/>
        <v>59.594787600794554</v>
      </c>
      <c r="AE57">
        <f t="shared" ca="1" si="58"/>
        <v>60.318538894722202</v>
      </c>
      <c r="AF57">
        <f t="shared" ca="1" si="58"/>
        <v>59.863559385583031</v>
      </c>
      <c r="AG57">
        <f t="shared" ca="1" si="58"/>
        <v>59.82402174813776</v>
      </c>
      <c r="AH57">
        <f t="shared" ca="1" si="58"/>
        <v>60.988134747683006</v>
      </c>
      <c r="AI57">
        <f t="shared" ca="1" si="58"/>
        <v>60.317396459142799</v>
      </c>
      <c r="AJ57">
        <f t="shared" ca="1" si="58"/>
        <v>59.217422000545426</v>
      </c>
      <c r="AK57">
        <f t="shared" ca="1" si="58"/>
        <v>60.263284302717089</v>
      </c>
      <c r="AL57">
        <f t="shared" ca="1" si="58"/>
        <v>60.705446507388523</v>
      </c>
      <c r="AM57">
        <f t="shared" ca="1" si="58"/>
        <v>60.595579320224751</v>
      </c>
      <c r="AN57">
        <f t="shared" ca="1" si="58"/>
        <v>61.010586514949281</v>
      </c>
      <c r="AO57">
        <f t="shared" ca="1" si="58"/>
        <v>61.49350232477935</v>
      </c>
      <c r="AP57">
        <f t="shared" ca="1" si="58"/>
        <v>60.957178926214048</v>
      </c>
      <c r="AQ57">
        <f t="shared" ca="1" si="58"/>
        <v>61.860970173679412</v>
      </c>
      <c r="AR57">
        <f t="shared" ca="1" si="58"/>
        <v>63.953922037564126</v>
      </c>
      <c r="AS57">
        <f t="shared" ca="1" si="58"/>
        <v>65.399236673335096</v>
      </c>
      <c r="AT57">
        <f t="shared" ca="1" si="58"/>
        <v>65.892123925911477</v>
      </c>
      <c r="AU57">
        <f t="shared" ca="1" si="58"/>
        <v>67.626780804910808</v>
      </c>
      <c r="AV57">
        <f t="shared" ca="1" si="58"/>
        <v>67.263831910535487</v>
      </c>
      <c r="AW57">
        <f t="shared" ca="1" si="58"/>
        <v>65.521315385546316</v>
      </c>
      <c r="AX57">
        <f t="shared" ca="1" si="58"/>
        <v>64.364373798795924</v>
      </c>
      <c r="AY57">
        <f t="shared" ca="1" si="58"/>
        <v>64.926977460322703</v>
      </c>
      <c r="AZ57">
        <f t="shared" ca="1" si="58"/>
        <v>65.267765840633359</v>
      </c>
      <c r="BA57">
        <f t="shared" ca="1" si="58"/>
        <v>65.511550691543661</v>
      </c>
      <c r="BB57">
        <f t="shared" ca="1" si="58"/>
        <v>64.432947929681063</v>
      </c>
      <c r="BC57">
        <f t="shared" ca="1" si="58"/>
        <v>63.79691085968777</v>
      </c>
      <c r="BD57">
        <f t="shared" ca="1" si="58"/>
        <v>63.73004086368924</v>
      </c>
      <c r="BE57">
        <f t="shared" ca="1" si="58"/>
        <v>63.170586421093176</v>
      </c>
      <c r="BF57">
        <f t="shared" ca="1" si="58"/>
        <v>64.807508477859287</v>
      </c>
      <c r="BG57">
        <f t="shared" ca="1" si="58"/>
        <v>65.25726735401004</v>
      </c>
      <c r="BH57">
        <f t="shared" ca="1" si="58"/>
        <v>66.473713471429889</v>
      </c>
      <c r="BI57">
        <f t="shared" ca="1" si="58"/>
        <v>66.95299264607371</v>
      </c>
      <c r="BJ57">
        <f t="shared" ca="1" si="58"/>
        <v>65.779658877102619</v>
      </c>
      <c r="BK57">
        <f t="shared" ca="1" si="58"/>
        <v>65.495885224785866</v>
      </c>
      <c r="BL57">
        <f t="shared" ca="1" si="58"/>
        <v>68.506947449986242</v>
      </c>
      <c r="BM57">
        <f t="shared" ca="1" si="58"/>
        <v>68.131676128993405</v>
      </c>
      <c r="BN57">
        <f t="shared" ca="1" si="58"/>
        <v>68.539387243968747</v>
      </c>
      <c r="BO57">
        <f t="shared" ca="1" si="4"/>
        <v>10.539387243968747</v>
      </c>
    </row>
    <row r="58" spans="6:67">
      <c r="F58">
        <f t="shared" si="2"/>
        <v>60.99</v>
      </c>
      <c r="G58">
        <f t="shared" ref="G58:BN58" ca="1" si="59">F58*EXP(($B$2-0.5*$B$3^2)*$B$4+$B$3*_xlfn.NORM.INV(RAND(),0,SQRT($B$4)))</f>
        <v>61.777867664595952</v>
      </c>
      <c r="H58">
        <f t="shared" ca="1" si="59"/>
        <v>59.374556689052376</v>
      </c>
      <c r="I58">
        <f t="shared" ca="1" si="59"/>
        <v>58.380759361830023</v>
      </c>
      <c r="J58">
        <f t="shared" ca="1" si="59"/>
        <v>58.02347744539766</v>
      </c>
      <c r="K58">
        <f t="shared" ca="1" si="59"/>
        <v>58.34180496778886</v>
      </c>
      <c r="L58">
        <f t="shared" ca="1" si="59"/>
        <v>58.617177137409776</v>
      </c>
      <c r="M58">
        <f t="shared" ca="1" si="59"/>
        <v>58.632480993784185</v>
      </c>
      <c r="N58">
        <f t="shared" ca="1" si="59"/>
        <v>57.841914827823047</v>
      </c>
      <c r="O58">
        <f t="shared" ca="1" si="59"/>
        <v>56.885010533850057</v>
      </c>
      <c r="P58">
        <f t="shared" ca="1" si="59"/>
        <v>58.641328466310711</v>
      </c>
      <c r="Q58">
        <f t="shared" ca="1" si="59"/>
        <v>58.07758474584945</v>
      </c>
      <c r="R58">
        <f t="shared" ca="1" si="59"/>
        <v>59.027677358741933</v>
      </c>
      <c r="S58">
        <f t="shared" ca="1" si="59"/>
        <v>58.691335231979295</v>
      </c>
      <c r="T58">
        <f t="shared" ca="1" si="59"/>
        <v>60.808469707149833</v>
      </c>
      <c r="U58">
        <f t="shared" ca="1" si="59"/>
        <v>61.955610138916818</v>
      </c>
      <c r="V58">
        <f t="shared" ca="1" si="59"/>
        <v>62.084279092690849</v>
      </c>
      <c r="W58">
        <f t="shared" ca="1" si="59"/>
        <v>60.266216499137904</v>
      </c>
      <c r="X58">
        <f t="shared" ca="1" si="59"/>
        <v>61.016510024291399</v>
      </c>
      <c r="Y58">
        <f t="shared" ca="1" si="59"/>
        <v>61.784695543409534</v>
      </c>
      <c r="Z58">
        <f t="shared" ca="1" si="59"/>
        <v>62.370193591608285</v>
      </c>
      <c r="AA58">
        <f t="shared" ca="1" si="59"/>
        <v>61.166073517056084</v>
      </c>
      <c r="AB58">
        <f t="shared" ca="1" si="59"/>
        <v>61.858851496762753</v>
      </c>
      <c r="AC58">
        <f t="shared" ca="1" si="59"/>
        <v>64.18605375787466</v>
      </c>
      <c r="AD58">
        <f t="shared" ca="1" si="59"/>
        <v>64.662635145639001</v>
      </c>
      <c r="AE58">
        <f t="shared" ca="1" si="59"/>
        <v>65.099226057634439</v>
      </c>
      <c r="AF58">
        <f t="shared" ca="1" si="59"/>
        <v>63.795389606945172</v>
      </c>
      <c r="AG58">
        <f t="shared" ca="1" si="59"/>
        <v>64.936218957511173</v>
      </c>
      <c r="AH58">
        <f t="shared" ca="1" si="59"/>
        <v>65.337558966850651</v>
      </c>
      <c r="AI58">
        <f t="shared" ca="1" si="59"/>
        <v>65.957645040032915</v>
      </c>
      <c r="AJ58">
        <f t="shared" ca="1" si="59"/>
        <v>65.202467199305161</v>
      </c>
      <c r="AK58">
        <f t="shared" ca="1" si="59"/>
        <v>67.636338233465437</v>
      </c>
      <c r="AL58">
        <f t="shared" ca="1" si="59"/>
        <v>67.023402508987004</v>
      </c>
      <c r="AM58">
        <f t="shared" ca="1" si="59"/>
        <v>66.465233623211162</v>
      </c>
      <c r="AN58">
        <f t="shared" ca="1" si="59"/>
        <v>66.600074553132501</v>
      </c>
      <c r="AO58">
        <f t="shared" ca="1" si="59"/>
        <v>66.351772040740471</v>
      </c>
      <c r="AP58">
        <f t="shared" ca="1" si="59"/>
        <v>67.401168864869717</v>
      </c>
      <c r="AQ58">
        <f t="shared" ca="1" si="59"/>
        <v>66.834048902427753</v>
      </c>
      <c r="AR58">
        <f t="shared" ca="1" si="59"/>
        <v>64.747583292986363</v>
      </c>
      <c r="AS58">
        <f t="shared" ca="1" si="59"/>
        <v>64.267169837530489</v>
      </c>
      <c r="AT58">
        <f t="shared" ca="1" si="59"/>
        <v>63.475354213376995</v>
      </c>
      <c r="AU58">
        <f t="shared" ca="1" si="59"/>
        <v>64.857137454319016</v>
      </c>
      <c r="AV58">
        <f t="shared" ca="1" si="59"/>
        <v>63.254613874553293</v>
      </c>
      <c r="AW58">
        <f t="shared" ca="1" si="59"/>
        <v>64.160391464625903</v>
      </c>
      <c r="AX58">
        <f t="shared" ca="1" si="59"/>
        <v>65.340099058474095</v>
      </c>
      <c r="AY58">
        <f t="shared" ca="1" si="59"/>
        <v>64.264911329140006</v>
      </c>
      <c r="AZ58">
        <f t="shared" ca="1" si="59"/>
        <v>64.055155386261063</v>
      </c>
      <c r="BA58">
        <f t="shared" ca="1" si="59"/>
        <v>63.761832561913586</v>
      </c>
      <c r="BB58">
        <f t="shared" ca="1" si="59"/>
        <v>65.617760281492949</v>
      </c>
      <c r="BC58">
        <f t="shared" ca="1" si="59"/>
        <v>66.932961984614778</v>
      </c>
      <c r="BD58">
        <f t="shared" ca="1" si="59"/>
        <v>64.424336792900547</v>
      </c>
      <c r="BE58">
        <f t="shared" ca="1" si="59"/>
        <v>66.62358462530635</v>
      </c>
      <c r="BF58">
        <f t="shared" ca="1" si="59"/>
        <v>64.243446626892023</v>
      </c>
      <c r="BG58">
        <f t="shared" ca="1" si="59"/>
        <v>64.657303429865479</v>
      </c>
      <c r="BH58">
        <f t="shared" ca="1" si="59"/>
        <v>67.082810182640486</v>
      </c>
      <c r="BI58">
        <f t="shared" ca="1" si="59"/>
        <v>67.329326369715034</v>
      </c>
      <c r="BJ58">
        <f t="shared" ca="1" si="59"/>
        <v>68.252531060788513</v>
      </c>
      <c r="BK58">
        <f t="shared" ca="1" si="59"/>
        <v>68.036039128900299</v>
      </c>
      <c r="BL58">
        <f t="shared" ca="1" si="59"/>
        <v>67.618550802390473</v>
      </c>
      <c r="BM58">
        <f t="shared" ca="1" si="59"/>
        <v>68.384542514795498</v>
      </c>
      <c r="BN58">
        <f t="shared" ca="1" si="59"/>
        <v>70.493347139159596</v>
      </c>
      <c r="BO58">
        <f t="shared" ca="1" si="4"/>
        <v>12.493347139159596</v>
      </c>
    </row>
    <row r="59" spans="6:67">
      <c r="F59">
        <f t="shared" si="2"/>
        <v>60.99</v>
      </c>
      <c r="G59">
        <f t="shared" ref="G59:BN59" ca="1" si="60">F59*EXP(($B$2-0.5*$B$3^2)*$B$4+$B$3*_xlfn.NORM.INV(RAND(),0,SQRT($B$4)))</f>
        <v>62.03797192589662</v>
      </c>
      <c r="H59">
        <f t="shared" ca="1" si="60"/>
        <v>62.354079106411852</v>
      </c>
      <c r="I59">
        <f t="shared" ca="1" si="60"/>
        <v>62.00634737796365</v>
      </c>
      <c r="J59">
        <f t="shared" ca="1" si="60"/>
        <v>63.810051763930609</v>
      </c>
      <c r="K59">
        <f t="shared" ca="1" si="60"/>
        <v>64.787840501255928</v>
      </c>
      <c r="L59">
        <f t="shared" ca="1" si="60"/>
        <v>64.009886710142766</v>
      </c>
      <c r="M59">
        <f t="shared" ca="1" si="60"/>
        <v>64.103421434676775</v>
      </c>
      <c r="N59">
        <f t="shared" ca="1" si="60"/>
        <v>65.30504339380451</v>
      </c>
      <c r="O59">
        <f t="shared" ca="1" si="60"/>
        <v>65.531908975190063</v>
      </c>
      <c r="P59">
        <f t="shared" ca="1" si="60"/>
        <v>63.059305718620706</v>
      </c>
      <c r="Q59">
        <f t="shared" ca="1" si="60"/>
        <v>61.275450563461874</v>
      </c>
      <c r="R59">
        <f t="shared" ca="1" si="60"/>
        <v>59.774732217892506</v>
      </c>
      <c r="S59">
        <f t="shared" ca="1" si="60"/>
        <v>58.322261221115618</v>
      </c>
      <c r="T59">
        <f t="shared" ca="1" si="60"/>
        <v>59.795222099167951</v>
      </c>
      <c r="U59">
        <f t="shared" ca="1" si="60"/>
        <v>60.414213516752262</v>
      </c>
      <c r="V59">
        <f t="shared" ca="1" si="60"/>
        <v>59.968246558626831</v>
      </c>
      <c r="W59">
        <f t="shared" ca="1" si="60"/>
        <v>59.270599439818213</v>
      </c>
      <c r="X59">
        <f t="shared" ca="1" si="60"/>
        <v>57.780210913009149</v>
      </c>
      <c r="Y59">
        <f t="shared" ca="1" si="60"/>
        <v>58.742480894712244</v>
      </c>
      <c r="Z59">
        <f t="shared" ca="1" si="60"/>
        <v>59.376646421250584</v>
      </c>
      <c r="AA59">
        <f t="shared" ca="1" si="60"/>
        <v>58.734444265517475</v>
      </c>
      <c r="AB59">
        <f t="shared" ca="1" si="60"/>
        <v>57.605970375577733</v>
      </c>
      <c r="AC59">
        <f t="shared" ca="1" si="60"/>
        <v>57.805428503192253</v>
      </c>
      <c r="AD59">
        <f t="shared" ca="1" si="60"/>
        <v>57.644559514619601</v>
      </c>
      <c r="AE59">
        <f t="shared" ca="1" si="60"/>
        <v>58.219574202640764</v>
      </c>
      <c r="AF59">
        <f t="shared" ca="1" si="60"/>
        <v>59.128906135168549</v>
      </c>
      <c r="AG59">
        <f t="shared" ca="1" si="60"/>
        <v>59.737524004119415</v>
      </c>
      <c r="AH59">
        <f t="shared" ca="1" si="60"/>
        <v>59.794893230512521</v>
      </c>
      <c r="AI59">
        <f t="shared" ca="1" si="60"/>
        <v>59.931579309819448</v>
      </c>
      <c r="AJ59">
        <f t="shared" ca="1" si="60"/>
        <v>59.683936658261338</v>
      </c>
      <c r="AK59">
        <f t="shared" ca="1" si="60"/>
        <v>60.495077187546649</v>
      </c>
      <c r="AL59">
        <f t="shared" ca="1" si="60"/>
        <v>60.127193701415116</v>
      </c>
      <c r="AM59">
        <f t="shared" ca="1" si="60"/>
        <v>59.518416023725088</v>
      </c>
      <c r="AN59">
        <f t="shared" ca="1" si="60"/>
        <v>58.184611375274827</v>
      </c>
      <c r="AO59">
        <f t="shared" ca="1" si="60"/>
        <v>58.372058463135588</v>
      </c>
      <c r="AP59">
        <f t="shared" ca="1" si="60"/>
        <v>58.204914464143698</v>
      </c>
      <c r="AQ59">
        <f t="shared" ca="1" si="60"/>
        <v>57.680760025136244</v>
      </c>
      <c r="AR59">
        <f t="shared" ca="1" si="60"/>
        <v>57.844861612326284</v>
      </c>
      <c r="AS59">
        <f t="shared" ca="1" si="60"/>
        <v>58.652401485171644</v>
      </c>
      <c r="AT59">
        <f t="shared" ca="1" si="60"/>
        <v>59.1250860556652</v>
      </c>
      <c r="AU59">
        <f t="shared" ca="1" si="60"/>
        <v>60.486345650587701</v>
      </c>
      <c r="AV59">
        <f t="shared" ca="1" si="60"/>
        <v>60.437388559361452</v>
      </c>
      <c r="AW59">
        <f t="shared" ca="1" si="60"/>
        <v>60.226785930204251</v>
      </c>
      <c r="AX59">
        <f t="shared" ca="1" si="60"/>
        <v>60.397530442739317</v>
      </c>
      <c r="AY59">
        <f t="shared" ca="1" si="60"/>
        <v>58.720758708755099</v>
      </c>
      <c r="AZ59">
        <f t="shared" ca="1" si="60"/>
        <v>59.122503960906442</v>
      </c>
      <c r="BA59">
        <f t="shared" ca="1" si="60"/>
        <v>60.824960751324497</v>
      </c>
      <c r="BB59">
        <f t="shared" ca="1" si="60"/>
        <v>61.745009381230503</v>
      </c>
      <c r="BC59">
        <f t="shared" ca="1" si="60"/>
        <v>61.178555626232473</v>
      </c>
      <c r="BD59">
        <f t="shared" ca="1" si="60"/>
        <v>62.906097966302845</v>
      </c>
      <c r="BE59">
        <f t="shared" ca="1" si="60"/>
        <v>64.217440544668122</v>
      </c>
      <c r="BF59">
        <f t="shared" ca="1" si="60"/>
        <v>65.267901404188422</v>
      </c>
      <c r="BG59">
        <f t="shared" ca="1" si="60"/>
        <v>65.218822982277331</v>
      </c>
      <c r="BH59">
        <f t="shared" ca="1" si="60"/>
        <v>62.590080355458198</v>
      </c>
      <c r="BI59">
        <f t="shared" ca="1" si="60"/>
        <v>61.205195370547713</v>
      </c>
      <c r="BJ59">
        <f t="shared" ca="1" si="60"/>
        <v>61.345927308784098</v>
      </c>
      <c r="BK59">
        <f t="shared" ca="1" si="60"/>
        <v>62.276197830759379</v>
      </c>
      <c r="BL59">
        <f t="shared" ca="1" si="60"/>
        <v>60.950641810285603</v>
      </c>
      <c r="BM59">
        <f t="shared" ca="1" si="60"/>
        <v>61.049541997984164</v>
      </c>
      <c r="BN59">
        <f t="shared" ca="1" si="60"/>
        <v>60.164404261713166</v>
      </c>
      <c r="BO59">
        <f t="shared" ca="1" si="4"/>
        <v>2.164404261713166</v>
      </c>
    </row>
    <row r="60" spans="6:67">
      <c r="F60">
        <f t="shared" si="2"/>
        <v>60.99</v>
      </c>
      <c r="G60">
        <f t="shared" ref="G60:BN60" ca="1" si="61">F60*EXP(($B$2-0.5*$B$3^2)*$B$4+$B$3*_xlfn.NORM.INV(RAND(),0,SQRT($B$4)))</f>
        <v>61.546956049164621</v>
      </c>
      <c r="H60">
        <f t="shared" ca="1" si="61"/>
        <v>61.304186794434479</v>
      </c>
      <c r="I60">
        <f t="shared" ca="1" si="61"/>
        <v>61.655250175370149</v>
      </c>
      <c r="J60">
        <f t="shared" ca="1" si="61"/>
        <v>61.268522933863558</v>
      </c>
      <c r="K60">
        <f t="shared" ca="1" si="61"/>
        <v>59.700333327711625</v>
      </c>
      <c r="L60">
        <f t="shared" ca="1" si="61"/>
        <v>59.857971551316723</v>
      </c>
      <c r="M60">
        <f t="shared" ca="1" si="61"/>
        <v>57.392880962955999</v>
      </c>
      <c r="N60">
        <f t="shared" ca="1" si="61"/>
        <v>58.732111465245033</v>
      </c>
      <c r="O60">
        <f t="shared" ca="1" si="61"/>
        <v>58.018097040328108</v>
      </c>
      <c r="P60">
        <f t="shared" ca="1" si="61"/>
        <v>59.213862960060325</v>
      </c>
      <c r="Q60">
        <f t="shared" ca="1" si="61"/>
        <v>59.066565026470194</v>
      </c>
      <c r="R60">
        <f t="shared" ca="1" si="61"/>
        <v>60.335762176583692</v>
      </c>
      <c r="S60">
        <f t="shared" ca="1" si="61"/>
        <v>62.011328445609358</v>
      </c>
      <c r="T60">
        <f t="shared" ca="1" si="61"/>
        <v>63.741568058927676</v>
      </c>
      <c r="U60">
        <f t="shared" ca="1" si="61"/>
        <v>64.706440627086963</v>
      </c>
      <c r="V60">
        <f t="shared" ca="1" si="61"/>
        <v>65.457351671468672</v>
      </c>
      <c r="W60">
        <f t="shared" ca="1" si="61"/>
        <v>65.366871894728916</v>
      </c>
      <c r="X60">
        <f t="shared" ca="1" si="61"/>
        <v>65.372748647413502</v>
      </c>
      <c r="Y60">
        <f t="shared" ca="1" si="61"/>
        <v>65.782852742967819</v>
      </c>
      <c r="Z60">
        <f t="shared" ca="1" si="61"/>
        <v>65.552222073510762</v>
      </c>
      <c r="AA60">
        <f t="shared" ca="1" si="61"/>
        <v>65.067358588369686</v>
      </c>
      <c r="AB60">
        <f t="shared" ca="1" si="61"/>
        <v>66.296567219599609</v>
      </c>
      <c r="AC60">
        <f t="shared" ca="1" si="61"/>
        <v>66.429242318534506</v>
      </c>
      <c r="AD60">
        <f t="shared" ca="1" si="61"/>
        <v>65.162124423276978</v>
      </c>
      <c r="AE60">
        <f t="shared" ca="1" si="61"/>
        <v>63.097262132549325</v>
      </c>
      <c r="AF60">
        <f t="shared" ca="1" si="61"/>
        <v>62.2429748102373</v>
      </c>
      <c r="AG60">
        <f t="shared" ca="1" si="61"/>
        <v>62.8523860318519</v>
      </c>
      <c r="AH60">
        <f t="shared" ca="1" si="61"/>
        <v>63.704738433128604</v>
      </c>
      <c r="AI60">
        <f t="shared" ca="1" si="61"/>
        <v>62.921594339216696</v>
      </c>
      <c r="AJ60">
        <f t="shared" ca="1" si="61"/>
        <v>61.244827691879813</v>
      </c>
      <c r="AK60">
        <f t="shared" ca="1" si="61"/>
        <v>62.371352448062112</v>
      </c>
      <c r="AL60">
        <f t="shared" ca="1" si="61"/>
        <v>62.557079804270792</v>
      </c>
      <c r="AM60">
        <f t="shared" ca="1" si="61"/>
        <v>60.484756057680386</v>
      </c>
      <c r="AN60">
        <f t="shared" ca="1" si="61"/>
        <v>61.248310608055206</v>
      </c>
      <c r="AO60">
        <f t="shared" ca="1" si="61"/>
        <v>61.989737544761503</v>
      </c>
      <c r="AP60">
        <f t="shared" ca="1" si="61"/>
        <v>62.586048799741512</v>
      </c>
      <c r="AQ60">
        <f t="shared" ca="1" si="61"/>
        <v>62.101905533563915</v>
      </c>
      <c r="AR60">
        <f t="shared" ca="1" si="61"/>
        <v>62.283622609064743</v>
      </c>
      <c r="AS60">
        <f t="shared" ca="1" si="61"/>
        <v>62.584124598811414</v>
      </c>
      <c r="AT60">
        <f t="shared" ca="1" si="61"/>
        <v>66.264859911933712</v>
      </c>
      <c r="AU60">
        <f t="shared" ca="1" si="61"/>
        <v>65.031492195640027</v>
      </c>
      <c r="AV60">
        <f t="shared" ca="1" si="61"/>
        <v>66.824121258867279</v>
      </c>
      <c r="AW60">
        <f t="shared" ca="1" si="61"/>
        <v>67.470586722090957</v>
      </c>
      <c r="AX60">
        <f t="shared" ca="1" si="61"/>
        <v>67.227040727290898</v>
      </c>
      <c r="AY60">
        <f t="shared" ca="1" si="61"/>
        <v>70.230703428738764</v>
      </c>
      <c r="AZ60">
        <f t="shared" ca="1" si="61"/>
        <v>67.316310125101722</v>
      </c>
      <c r="BA60">
        <f t="shared" ca="1" si="61"/>
        <v>65.562970516241649</v>
      </c>
      <c r="BB60">
        <f t="shared" ca="1" si="61"/>
        <v>66.1633313362709</v>
      </c>
      <c r="BC60">
        <f t="shared" ca="1" si="61"/>
        <v>65.126421755146382</v>
      </c>
      <c r="BD60">
        <f t="shared" ca="1" si="61"/>
        <v>66.264099582095596</v>
      </c>
      <c r="BE60">
        <f t="shared" ca="1" si="61"/>
        <v>66.309643875105664</v>
      </c>
      <c r="BF60">
        <f t="shared" ca="1" si="61"/>
        <v>67.157818569683755</v>
      </c>
      <c r="BG60">
        <f t="shared" ca="1" si="61"/>
        <v>67.749351618860402</v>
      </c>
      <c r="BH60">
        <f t="shared" ca="1" si="61"/>
        <v>66.907377482784426</v>
      </c>
      <c r="BI60">
        <f t="shared" ca="1" si="61"/>
        <v>68.646991876575726</v>
      </c>
      <c r="BJ60">
        <f t="shared" ca="1" si="61"/>
        <v>70.511982439674711</v>
      </c>
      <c r="BK60">
        <f t="shared" ca="1" si="61"/>
        <v>70.712812966556214</v>
      </c>
      <c r="BL60">
        <f t="shared" ca="1" si="61"/>
        <v>72.060728514699576</v>
      </c>
      <c r="BM60">
        <f t="shared" ca="1" si="61"/>
        <v>73.985276167417581</v>
      </c>
      <c r="BN60">
        <f t="shared" ca="1" si="61"/>
        <v>74.228920073449416</v>
      </c>
      <c r="BO60">
        <f t="shared" ca="1" si="4"/>
        <v>16.228920073449416</v>
      </c>
    </row>
    <row r="61" spans="6:67">
      <c r="F61">
        <f t="shared" si="2"/>
        <v>60.99</v>
      </c>
      <c r="G61">
        <f t="shared" ref="G61:BN61" ca="1" si="62">F61*EXP(($B$2-0.5*$B$3^2)*$B$4+$B$3*_xlfn.NORM.INV(RAND(),0,SQRT($B$4)))</f>
        <v>59.197695150777733</v>
      </c>
      <c r="H61">
        <f t="shared" ca="1" si="62"/>
        <v>57.357454911900355</v>
      </c>
      <c r="I61">
        <f t="shared" ca="1" si="62"/>
        <v>57.306971797179365</v>
      </c>
      <c r="J61">
        <f t="shared" ca="1" si="62"/>
        <v>57.69777991441542</v>
      </c>
      <c r="K61">
        <f t="shared" ca="1" si="62"/>
        <v>56.426498325126722</v>
      </c>
      <c r="L61">
        <f t="shared" ca="1" si="62"/>
        <v>55.037472033807511</v>
      </c>
      <c r="M61">
        <f t="shared" ca="1" si="62"/>
        <v>54.83282097661597</v>
      </c>
      <c r="N61">
        <f t="shared" ca="1" si="62"/>
        <v>55.356008672330304</v>
      </c>
      <c r="O61">
        <f t="shared" ca="1" si="62"/>
        <v>55.607197240037188</v>
      </c>
      <c r="P61">
        <f t="shared" ca="1" si="62"/>
        <v>57.460357720574564</v>
      </c>
      <c r="Q61">
        <f t="shared" ca="1" si="62"/>
        <v>58.612900222174375</v>
      </c>
      <c r="R61">
        <f t="shared" ca="1" si="62"/>
        <v>58.648597991684568</v>
      </c>
      <c r="S61">
        <f t="shared" ca="1" si="62"/>
        <v>58.539461953539934</v>
      </c>
      <c r="T61">
        <f t="shared" ca="1" si="62"/>
        <v>58.862046211650082</v>
      </c>
      <c r="U61">
        <f t="shared" ca="1" si="62"/>
        <v>59.424051253751671</v>
      </c>
      <c r="V61">
        <f t="shared" ca="1" si="62"/>
        <v>59.898924622750393</v>
      </c>
      <c r="W61">
        <f t="shared" ca="1" si="62"/>
        <v>60.098743691214054</v>
      </c>
      <c r="X61">
        <f t="shared" ca="1" si="62"/>
        <v>59.078042900171447</v>
      </c>
      <c r="Y61">
        <f t="shared" ca="1" si="62"/>
        <v>58.754479774294751</v>
      </c>
      <c r="Z61">
        <f t="shared" ca="1" si="62"/>
        <v>59.229196767499566</v>
      </c>
      <c r="AA61">
        <f t="shared" ca="1" si="62"/>
        <v>59.617336380952331</v>
      </c>
      <c r="AB61">
        <f t="shared" ca="1" si="62"/>
        <v>59.022528836248448</v>
      </c>
      <c r="AC61">
        <f t="shared" ca="1" si="62"/>
        <v>57.12772839878069</v>
      </c>
      <c r="AD61">
        <f t="shared" ca="1" si="62"/>
        <v>57.05114848729</v>
      </c>
      <c r="AE61">
        <f t="shared" ca="1" si="62"/>
        <v>56.457919679439605</v>
      </c>
      <c r="AF61">
        <f t="shared" ca="1" si="62"/>
        <v>57.372716334441421</v>
      </c>
      <c r="AG61">
        <f t="shared" ca="1" si="62"/>
        <v>57.845313764825974</v>
      </c>
      <c r="AH61">
        <f t="shared" ca="1" si="62"/>
        <v>57.539611883936843</v>
      </c>
      <c r="AI61">
        <f t="shared" ca="1" si="62"/>
        <v>55.715238796087874</v>
      </c>
      <c r="AJ61">
        <f t="shared" ca="1" si="62"/>
        <v>55.095080683355107</v>
      </c>
      <c r="AK61">
        <f t="shared" ca="1" si="62"/>
        <v>55.98996421233084</v>
      </c>
      <c r="AL61">
        <f t="shared" ca="1" si="62"/>
        <v>57.246609124687993</v>
      </c>
      <c r="AM61">
        <f t="shared" ca="1" si="62"/>
        <v>58.007158182419332</v>
      </c>
      <c r="AN61">
        <f t="shared" ca="1" si="62"/>
        <v>58.511593429440587</v>
      </c>
      <c r="AO61">
        <f t="shared" ca="1" si="62"/>
        <v>57.606094010201303</v>
      </c>
      <c r="AP61">
        <f t="shared" ca="1" si="62"/>
        <v>58.137999214453941</v>
      </c>
      <c r="AQ61">
        <f t="shared" ca="1" si="62"/>
        <v>58.730297463543764</v>
      </c>
      <c r="AR61">
        <f t="shared" ca="1" si="62"/>
        <v>60.263069752840771</v>
      </c>
      <c r="AS61">
        <f t="shared" ca="1" si="62"/>
        <v>61.505012162062215</v>
      </c>
      <c r="AT61">
        <f t="shared" ca="1" si="62"/>
        <v>62.312576919453342</v>
      </c>
      <c r="AU61">
        <f t="shared" ca="1" si="62"/>
        <v>63.591797692322025</v>
      </c>
      <c r="AV61">
        <f t="shared" ca="1" si="62"/>
        <v>64.154760672976806</v>
      </c>
      <c r="AW61">
        <f t="shared" ca="1" si="62"/>
        <v>64.548768202243863</v>
      </c>
      <c r="AX61">
        <f t="shared" ca="1" si="62"/>
        <v>64.692069351271087</v>
      </c>
      <c r="AY61">
        <f t="shared" ca="1" si="62"/>
        <v>65.475205346654249</v>
      </c>
      <c r="AZ61">
        <f t="shared" ca="1" si="62"/>
        <v>63.88108840296961</v>
      </c>
      <c r="BA61">
        <f t="shared" ca="1" si="62"/>
        <v>63.899720505000623</v>
      </c>
      <c r="BB61">
        <f t="shared" ca="1" si="62"/>
        <v>64.635233675483519</v>
      </c>
      <c r="BC61">
        <f t="shared" ca="1" si="62"/>
        <v>64.995574072126345</v>
      </c>
      <c r="BD61">
        <f t="shared" ca="1" si="62"/>
        <v>66.136258832090206</v>
      </c>
      <c r="BE61">
        <f t="shared" ca="1" si="62"/>
        <v>65.30047248316869</v>
      </c>
      <c r="BF61">
        <f t="shared" ca="1" si="62"/>
        <v>64.895634621490871</v>
      </c>
      <c r="BG61">
        <f t="shared" ca="1" si="62"/>
        <v>65.567011503450232</v>
      </c>
      <c r="BH61">
        <f t="shared" ca="1" si="62"/>
        <v>67.097816583877346</v>
      </c>
      <c r="BI61">
        <f t="shared" ca="1" si="62"/>
        <v>66.168972725578939</v>
      </c>
      <c r="BJ61">
        <f t="shared" ca="1" si="62"/>
        <v>68.274190933872489</v>
      </c>
      <c r="BK61">
        <f t="shared" ca="1" si="62"/>
        <v>69.783752933985369</v>
      </c>
      <c r="BL61">
        <f t="shared" ca="1" si="62"/>
        <v>69.880799385986577</v>
      </c>
      <c r="BM61">
        <f t="shared" ca="1" si="62"/>
        <v>68.587330658110204</v>
      </c>
      <c r="BN61">
        <f t="shared" ca="1" si="62"/>
        <v>69.693991110267575</v>
      </c>
      <c r="BO61">
        <f t="shared" ca="1" si="4"/>
        <v>11.693991110267575</v>
      </c>
    </row>
    <row r="62" spans="6:67">
      <c r="F62">
        <f t="shared" si="2"/>
        <v>60.99</v>
      </c>
      <c r="G62">
        <f t="shared" ref="G62:BN62" ca="1" si="63">F62*EXP(($B$2-0.5*$B$3^2)*$B$4+$B$3*_xlfn.NORM.INV(RAND(),0,SQRT($B$4)))</f>
        <v>60.192643282349984</v>
      </c>
      <c r="H62">
        <f t="shared" ca="1" si="63"/>
        <v>60.216888860215434</v>
      </c>
      <c r="I62">
        <f t="shared" ca="1" si="63"/>
        <v>59.669970843288098</v>
      </c>
      <c r="J62">
        <f t="shared" ca="1" si="63"/>
        <v>60.112246021789247</v>
      </c>
      <c r="K62">
        <f t="shared" ca="1" si="63"/>
        <v>59.943002947651507</v>
      </c>
      <c r="L62">
        <f t="shared" ca="1" si="63"/>
        <v>59.709661982765532</v>
      </c>
      <c r="M62">
        <f t="shared" ca="1" si="63"/>
        <v>59.476864524724547</v>
      </c>
      <c r="N62">
        <f t="shared" ca="1" si="63"/>
        <v>57.552369030175377</v>
      </c>
      <c r="O62">
        <f t="shared" ca="1" si="63"/>
        <v>56.633782591124721</v>
      </c>
      <c r="P62">
        <f t="shared" ca="1" si="63"/>
        <v>55.94869846151343</v>
      </c>
      <c r="Q62">
        <f t="shared" ca="1" si="63"/>
        <v>56.356076165595972</v>
      </c>
      <c r="R62">
        <f t="shared" ca="1" si="63"/>
        <v>54.773626978428254</v>
      </c>
      <c r="S62">
        <f t="shared" ca="1" si="63"/>
        <v>55.06277808145348</v>
      </c>
      <c r="T62">
        <f t="shared" ca="1" si="63"/>
        <v>54.942816757660822</v>
      </c>
      <c r="U62">
        <f t="shared" ca="1" si="63"/>
        <v>54.529085207669176</v>
      </c>
      <c r="V62">
        <f t="shared" ca="1" si="63"/>
        <v>54.4653213773408</v>
      </c>
      <c r="W62">
        <f t="shared" ca="1" si="63"/>
        <v>53.976819057367123</v>
      </c>
      <c r="X62">
        <f t="shared" ca="1" si="63"/>
        <v>53.676965367208247</v>
      </c>
      <c r="Y62">
        <f t="shared" ca="1" si="63"/>
        <v>56.538890725211928</v>
      </c>
      <c r="Z62">
        <f t="shared" ca="1" si="63"/>
        <v>56.2244987212393</v>
      </c>
      <c r="AA62">
        <f t="shared" ca="1" si="63"/>
        <v>56.847518320803779</v>
      </c>
      <c r="AB62">
        <f t="shared" ca="1" si="63"/>
        <v>56.419254285133036</v>
      </c>
      <c r="AC62">
        <f t="shared" ca="1" si="63"/>
        <v>55.818151552454466</v>
      </c>
      <c r="AD62">
        <f t="shared" ca="1" si="63"/>
        <v>56.363324122408009</v>
      </c>
      <c r="AE62">
        <f t="shared" ca="1" si="63"/>
        <v>56.474484620376714</v>
      </c>
      <c r="AF62">
        <f t="shared" ca="1" si="63"/>
        <v>55.475342760715094</v>
      </c>
      <c r="AG62">
        <f t="shared" ca="1" si="63"/>
        <v>56.381479592788587</v>
      </c>
      <c r="AH62">
        <f t="shared" ca="1" si="63"/>
        <v>56.731835347981935</v>
      </c>
      <c r="AI62">
        <f t="shared" ca="1" si="63"/>
        <v>54.974050259258775</v>
      </c>
      <c r="AJ62">
        <f t="shared" ca="1" si="63"/>
        <v>53.159697552495331</v>
      </c>
      <c r="AK62">
        <f t="shared" ca="1" si="63"/>
        <v>53.488986982561372</v>
      </c>
      <c r="AL62">
        <f t="shared" ca="1" si="63"/>
        <v>53.29162607591897</v>
      </c>
      <c r="AM62">
        <f t="shared" ca="1" si="63"/>
        <v>53.101373182554624</v>
      </c>
      <c r="AN62">
        <f t="shared" ca="1" si="63"/>
        <v>53.31034538593515</v>
      </c>
      <c r="AO62">
        <f t="shared" ca="1" si="63"/>
        <v>53.604765041820883</v>
      </c>
      <c r="AP62">
        <f t="shared" ca="1" si="63"/>
        <v>51.943377502897249</v>
      </c>
      <c r="AQ62">
        <f t="shared" ca="1" si="63"/>
        <v>52.587588171875886</v>
      </c>
      <c r="AR62">
        <f t="shared" ca="1" si="63"/>
        <v>53.112026811679975</v>
      </c>
      <c r="AS62">
        <f t="shared" ca="1" si="63"/>
        <v>54.067596154320505</v>
      </c>
      <c r="AT62">
        <f t="shared" ca="1" si="63"/>
        <v>52.834781776412584</v>
      </c>
      <c r="AU62">
        <f t="shared" ca="1" si="63"/>
        <v>53.772858783745299</v>
      </c>
      <c r="AV62">
        <f t="shared" ca="1" si="63"/>
        <v>53.320160830524678</v>
      </c>
      <c r="AW62">
        <f t="shared" ca="1" si="63"/>
        <v>54.132807889219123</v>
      </c>
      <c r="AX62">
        <f t="shared" ca="1" si="63"/>
        <v>53.966294857485323</v>
      </c>
      <c r="AY62">
        <f t="shared" ca="1" si="63"/>
        <v>54.335322033780137</v>
      </c>
      <c r="AZ62">
        <f t="shared" ca="1" si="63"/>
        <v>55.100174738540801</v>
      </c>
      <c r="BA62">
        <f t="shared" ca="1" si="63"/>
        <v>55.50174233561102</v>
      </c>
      <c r="BB62">
        <f t="shared" ca="1" si="63"/>
        <v>55.464291215269064</v>
      </c>
      <c r="BC62">
        <f t="shared" ca="1" si="63"/>
        <v>54.858515143352008</v>
      </c>
      <c r="BD62">
        <f t="shared" ca="1" si="63"/>
        <v>54.312743114974758</v>
      </c>
      <c r="BE62">
        <f t="shared" ca="1" si="63"/>
        <v>53.716511851385562</v>
      </c>
      <c r="BF62">
        <f t="shared" ca="1" si="63"/>
        <v>55.173025143903047</v>
      </c>
      <c r="BG62">
        <f t="shared" ca="1" si="63"/>
        <v>55.564824453865448</v>
      </c>
      <c r="BH62">
        <f t="shared" ca="1" si="63"/>
        <v>56.403388938325627</v>
      </c>
      <c r="BI62">
        <f t="shared" ca="1" si="63"/>
        <v>57.732171645989716</v>
      </c>
      <c r="BJ62">
        <f t="shared" ca="1" si="63"/>
        <v>57.104644757412842</v>
      </c>
      <c r="BK62">
        <f t="shared" ca="1" si="63"/>
        <v>56.783809658505767</v>
      </c>
      <c r="BL62">
        <f t="shared" ca="1" si="63"/>
        <v>56.219416055079634</v>
      </c>
      <c r="BM62">
        <f t="shared" ca="1" si="63"/>
        <v>58.037553921634597</v>
      </c>
      <c r="BN62">
        <f t="shared" ca="1" si="63"/>
        <v>58.329827748146208</v>
      </c>
      <c r="BO62">
        <f t="shared" ca="1" si="4"/>
        <v>0.32982774814620797</v>
      </c>
    </row>
    <row r="63" spans="6:67">
      <c r="F63">
        <f t="shared" si="2"/>
        <v>60.99</v>
      </c>
      <c r="G63">
        <f t="shared" ref="G63:BN63" ca="1" si="64">F63*EXP(($B$2-0.5*$B$3^2)*$B$4+$B$3*_xlfn.NORM.INV(RAND(),0,SQRT($B$4)))</f>
        <v>61.426757388865546</v>
      </c>
      <c r="H63">
        <f t="shared" ca="1" si="64"/>
        <v>60.363398256870767</v>
      </c>
      <c r="I63">
        <f t="shared" ca="1" si="64"/>
        <v>60.334032313449605</v>
      </c>
      <c r="J63">
        <f t="shared" ca="1" si="64"/>
        <v>61.434633579495483</v>
      </c>
      <c r="K63">
        <f t="shared" ca="1" si="64"/>
        <v>59.534691792639777</v>
      </c>
      <c r="L63">
        <f t="shared" ca="1" si="64"/>
        <v>59.978892119015448</v>
      </c>
      <c r="M63">
        <f t="shared" ca="1" si="64"/>
        <v>59.816442047028929</v>
      </c>
      <c r="N63">
        <f t="shared" ca="1" si="64"/>
        <v>61.05459294542397</v>
      </c>
      <c r="O63">
        <f t="shared" ca="1" si="64"/>
        <v>60.988752675707836</v>
      </c>
      <c r="P63">
        <f t="shared" ca="1" si="64"/>
        <v>59.946442503157272</v>
      </c>
      <c r="Q63">
        <f t="shared" ca="1" si="64"/>
        <v>60.622536121458495</v>
      </c>
      <c r="R63">
        <f t="shared" ca="1" si="64"/>
        <v>61.270873129689114</v>
      </c>
      <c r="S63">
        <f t="shared" ca="1" si="64"/>
        <v>62.452575614893099</v>
      </c>
      <c r="T63">
        <f t="shared" ca="1" si="64"/>
        <v>63.609031188313757</v>
      </c>
      <c r="U63">
        <f t="shared" ca="1" si="64"/>
        <v>63.832299276407412</v>
      </c>
      <c r="V63">
        <f t="shared" ca="1" si="64"/>
        <v>63.497869099566856</v>
      </c>
      <c r="W63">
        <f t="shared" ca="1" si="64"/>
        <v>63.151122611217673</v>
      </c>
      <c r="X63">
        <f t="shared" ca="1" si="64"/>
        <v>63.888027243934729</v>
      </c>
      <c r="Y63">
        <f t="shared" ca="1" si="64"/>
        <v>62.307095393494578</v>
      </c>
      <c r="Z63">
        <f t="shared" ca="1" si="64"/>
        <v>61.629877750348037</v>
      </c>
      <c r="AA63">
        <f t="shared" ca="1" si="64"/>
        <v>61.884451203960808</v>
      </c>
      <c r="AB63">
        <f t="shared" ca="1" si="64"/>
        <v>59.540711039958808</v>
      </c>
      <c r="AC63">
        <f t="shared" ca="1" si="64"/>
        <v>60.629767909021822</v>
      </c>
      <c r="AD63">
        <f t="shared" ca="1" si="64"/>
        <v>63.265458715651953</v>
      </c>
      <c r="AE63">
        <f t="shared" ca="1" si="64"/>
        <v>63.514729962534467</v>
      </c>
      <c r="AF63">
        <f t="shared" ca="1" si="64"/>
        <v>62.4831625581878</v>
      </c>
      <c r="AG63">
        <f t="shared" ca="1" si="64"/>
        <v>62.753952359624655</v>
      </c>
      <c r="AH63">
        <f t="shared" ca="1" si="64"/>
        <v>62.269650540724733</v>
      </c>
      <c r="AI63">
        <f t="shared" ca="1" si="64"/>
        <v>64.268318778343556</v>
      </c>
      <c r="AJ63">
        <f t="shared" ca="1" si="64"/>
        <v>64.198782357704559</v>
      </c>
      <c r="AK63">
        <f t="shared" ca="1" si="64"/>
        <v>64.006544949972948</v>
      </c>
      <c r="AL63">
        <f t="shared" ca="1" si="64"/>
        <v>65.093887448992831</v>
      </c>
      <c r="AM63">
        <f t="shared" ca="1" si="64"/>
        <v>66.766791519578675</v>
      </c>
      <c r="AN63">
        <f t="shared" ca="1" si="64"/>
        <v>67.511090840881266</v>
      </c>
      <c r="AO63">
        <f t="shared" ca="1" si="64"/>
        <v>68.032863649078678</v>
      </c>
      <c r="AP63">
        <f t="shared" ca="1" si="64"/>
        <v>67.870469346187562</v>
      </c>
      <c r="AQ63">
        <f t="shared" ca="1" si="64"/>
        <v>66.88985660786193</v>
      </c>
      <c r="AR63">
        <f t="shared" ca="1" si="64"/>
        <v>65.62546211914092</v>
      </c>
      <c r="AS63">
        <f t="shared" ca="1" si="64"/>
        <v>64.986160234121854</v>
      </c>
      <c r="AT63">
        <f t="shared" ca="1" si="64"/>
        <v>64.236164450010591</v>
      </c>
      <c r="AU63">
        <f t="shared" ca="1" si="64"/>
        <v>65.119131634531058</v>
      </c>
      <c r="AV63">
        <f t="shared" ca="1" si="64"/>
        <v>64.759971451111355</v>
      </c>
      <c r="AW63">
        <f t="shared" ca="1" si="64"/>
        <v>64.979396409027345</v>
      </c>
      <c r="AX63">
        <f t="shared" ca="1" si="64"/>
        <v>63.436702513544375</v>
      </c>
      <c r="AY63">
        <f t="shared" ca="1" si="64"/>
        <v>62.123646024390688</v>
      </c>
      <c r="AZ63">
        <f t="shared" ca="1" si="64"/>
        <v>60.304371487315194</v>
      </c>
      <c r="BA63">
        <f t="shared" ca="1" si="64"/>
        <v>60.389868394998928</v>
      </c>
      <c r="BB63">
        <f t="shared" ca="1" si="64"/>
        <v>60.31620706724614</v>
      </c>
      <c r="BC63">
        <f t="shared" ca="1" si="64"/>
        <v>61.180233546651259</v>
      </c>
      <c r="BD63">
        <f t="shared" ca="1" si="64"/>
        <v>61.146804200949191</v>
      </c>
      <c r="BE63">
        <f t="shared" ca="1" si="64"/>
        <v>61.041267555422074</v>
      </c>
      <c r="BF63">
        <f t="shared" ca="1" si="64"/>
        <v>61.652344352921652</v>
      </c>
      <c r="BG63">
        <f t="shared" ca="1" si="64"/>
        <v>60.004695933865449</v>
      </c>
      <c r="BH63">
        <f t="shared" ca="1" si="64"/>
        <v>58.163931765841895</v>
      </c>
      <c r="BI63">
        <f t="shared" ca="1" si="64"/>
        <v>58.779502531475032</v>
      </c>
      <c r="BJ63">
        <f t="shared" ca="1" si="64"/>
        <v>61.70619408259013</v>
      </c>
      <c r="BK63">
        <f t="shared" ca="1" si="64"/>
        <v>61.257404289339618</v>
      </c>
      <c r="BL63">
        <f t="shared" ca="1" si="64"/>
        <v>62.88009991858334</v>
      </c>
      <c r="BM63">
        <f t="shared" ca="1" si="64"/>
        <v>62.727253960403544</v>
      </c>
      <c r="BN63">
        <f t="shared" ca="1" si="64"/>
        <v>60.890840704173684</v>
      </c>
      <c r="BO63">
        <f t="shared" ca="1" si="4"/>
        <v>2.8908407041736837</v>
      </c>
    </row>
    <row r="64" spans="6:67">
      <c r="F64">
        <f t="shared" si="2"/>
        <v>60.99</v>
      </c>
      <c r="G64">
        <f t="shared" ref="G64:BN64" ca="1" si="65">F64*EXP(($B$2-0.5*$B$3^2)*$B$4+$B$3*_xlfn.NORM.INV(RAND(),0,SQRT($B$4)))</f>
        <v>60.759730224747081</v>
      </c>
      <c r="H64">
        <f t="shared" ca="1" si="65"/>
        <v>59.264404590439234</v>
      </c>
      <c r="I64">
        <f t="shared" ca="1" si="65"/>
        <v>58.707666483625921</v>
      </c>
      <c r="J64">
        <f t="shared" ca="1" si="65"/>
        <v>57.68951724069273</v>
      </c>
      <c r="K64">
        <f t="shared" ca="1" si="65"/>
        <v>58.417954652087637</v>
      </c>
      <c r="L64">
        <f t="shared" ca="1" si="65"/>
        <v>58.718945305572504</v>
      </c>
      <c r="M64">
        <f t="shared" ca="1" si="65"/>
        <v>60.038078435849663</v>
      </c>
      <c r="N64">
        <f t="shared" ca="1" si="65"/>
        <v>59.947036162451042</v>
      </c>
      <c r="O64">
        <f t="shared" ca="1" si="65"/>
        <v>61.255067484710573</v>
      </c>
      <c r="P64">
        <f t="shared" ca="1" si="65"/>
        <v>59.9256934723482</v>
      </c>
      <c r="Q64">
        <f t="shared" ca="1" si="65"/>
        <v>60.413469205036549</v>
      </c>
      <c r="R64">
        <f t="shared" ca="1" si="65"/>
        <v>59.01278390614609</v>
      </c>
      <c r="S64">
        <f t="shared" ca="1" si="65"/>
        <v>58.727229916205786</v>
      </c>
      <c r="T64">
        <f t="shared" ca="1" si="65"/>
        <v>59.21333584042295</v>
      </c>
      <c r="U64">
        <f t="shared" ca="1" si="65"/>
        <v>59.826645825044267</v>
      </c>
      <c r="V64">
        <f t="shared" ca="1" si="65"/>
        <v>60.407732696950823</v>
      </c>
      <c r="W64">
        <f t="shared" ca="1" si="65"/>
        <v>61.323758579492242</v>
      </c>
      <c r="X64">
        <f t="shared" ca="1" si="65"/>
        <v>61.911634258091318</v>
      </c>
      <c r="Y64">
        <f t="shared" ca="1" si="65"/>
        <v>62.962065340732849</v>
      </c>
      <c r="Z64">
        <f t="shared" ca="1" si="65"/>
        <v>62.860070052008567</v>
      </c>
      <c r="AA64">
        <f t="shared" ca="1" si="65"/>
        <v>63.916760320007604</v>
      </c>
      <c r="AB64">
        <f t="shared" ca="1" si="65"/>
        <v>63.979189993056231</v>
      </c>
      <c r="AC64">
        <f t="shared" ca="1" si="65"/>
        <v>63.53879996593637</v>
      </c>
      <c r="AD64">
        <f t="shared" ca="1" si="65"/>
        <v>65.589750033560023</v>
      </c>
      <c r="AE64">
        <f t="shared" ca="1" si="65"/>
        <v>64.802275301150033</v>
      </c>
      <c r="AF64">
        <f t="shared" ca="1" si="65"/>
        <v>64.850202178809994</v>
      </c>
      <c r="AG64">
        <f t="shared" ca="1" si="65"/>
        <v>65.701854552167887</v>
      </c>
      <c r="AH64">
        <f t="shared" ca="1" si="65"/>
        <v>63.212858660863496</v>
      </c>
      <c r="AI64">
        <f t="shared" ca="1" si="65"/>
        <v>62.357787958426456</v>
      </c>
      <c r="AJ64">
        <f t="shared" ca="1" si="65"/>
        <v>62.44172632448462</v>
      </c>
      <c r="AK64">
        <f t="shared" ca="1" si="65"/>
        <v>61.984771704259465</v>
      </c>
      <c r="AL64">
        <f t="shared" ca="1" si="65"/>
        <v>61.644994551796145</v>
      </c>
      <c r="AM64">
        <f t="shared" ca="1" si="65"/>
        <v>62.163547992702568</v>
      </c>
      <c r="AN64">
        <f t="shared" ca="1" si="65"/>
        <v>63.595675374577006</v>
      </c>
      <c r="AO64">
        <f t="shared" ca="1" si="65"/>
        <v>64.571326552144967</v>
      </c>
      <c r="AP64">
        <f t="shared" ca="1" si="65"/>
        <v>63.436780263014377</v>
      </c>
      <c r="AQ64">
        <f t="shared" ca="1" si="65"/>
        <v>66.058883542882</v>
      </c>
      <c r="AR64">
        <f t="shared" ca="1" si="65"/>
        <v>65.938337172755439</v>
      </c>
      <c r="AS64">
        <f t="shared" ca="1" si="65"/>
        <v>65.966058774559372</v>
      </c>
      <c r="AT64">
        <f t="shared" ca="1" si="65"/>
        <v>68.195538688091105</v>
      </c>
      <c r="AU64">
        <f t="shared" ca="1" si="65"/>
        <v>67.622842565005001</v>
      </c>
      <c r="AV64">
        <f t="shared" ca="1" si="65"/>
        <v>67.499135894512037</v>
      </c>
      <c r="AW64">
        <f t="shared" ca="1" si="65"/>
        <v>66.89605564975075</v>
      </c>
      <c r="AX64">
        <f t="shared" ca="1" si="65"/>
        <v>67.894142012523062</v>
      </c>
      <c r="AY64">
        <f t="shared" ca="1" si="65"/>
        <v>67.945268100081677</v>
      </c>
      <c r="AZ64">
        <f t="shared" ca="1" si="65"/>
        <v>68.427145809819223</v>
      </c>
      <c r="BA64">
        <f t="shared" ca="1" si="65"/>
        <v>68.440076115199943</v>
      </c>
      <c r="BB64">
        <f t="shared" ca="1" si="65"/>
        <v>69.608896828190183</v>
      </c>
      <c r="BC64">
        <f t="shared" ca="1" si="65"/>
        <v>70.209412997591883</v>
      </c>
      <c r="BD64">
        <f t="shared" ca="1" si="65"/>
        <v>73.227843048134901</v>
      </c>
      <c r="BE64">
        <f t="shared" ca="1" si="65"/>
        <v>73.541887418490745</v>
      </c>
      <c r="BF64">
        <f t="shared" ca="1" si="65"/>
        <v>72.259871708196897</v>
      </c>
      <c r="BG64">
        <f t="shared" ca="1" si="65"/>
        <v>71.882711076584684</v>
      </c>
      <c r="BH64">
        <f t="shared" ca="1" si="65"/>
        <v>69.1650011899915</v>
      </c>
      <c r="BI64">
        <f t="shared" ca="1" si="65"/>
        <v>69.008932383054997</v>
      </c>
      <c r="BJ64">
        <f t="shared" ca="1" si="65"/>
        <v>69.698143430114698</v>
      </c>
      <c r="BK64">
        <f t="shared" ca="1" si="65"/>
        <v>68.749385369634297</v>
      </c>
      <c r="BL64">
        <f t="shared" ca="1" si="65"/>
        <v>69.301476474213402</v>
      </c>
      <c r="BM64">
        <f t="shared" ca="1" si="65"/>
        <v>68.726937213137703</v>
      </c>
      <c r="BN64">
        <f t="shared" ca="1" si="65"/>
        <v>69.321770054824739</v>
      </c>
      <c r="BO64">
        <f t="shared" ca="1" si="4"/>
        <v>11.321770054824739</v>
      </c>
    </row>
    <row r="65" spans="6:67">
      <c r="F65">
        <f t="shared" si="2"/>
        <v>60.99</v>
      </c>
      <c r="G65">
        <f t="shared" ref="G65:BN65" ca="1" si="66">F65*EXP(($B$2-0.5*$B$3^2)*$B$4+$B$3*_xlfn.NORM.INV(RAND(),0,SQRT($B$4)))</f>
        <v>61.904411784116398</v>
      </c>
      <c r="H65">
        <f t="shared" ca="1" si="66"/>
        <v>62.032481394177225</v>
      </c>
      <c r="I65">
        <f t="shared" ca="1" si="66"/>
        <v>63.125109447513843</v>
      </c>
      <c r="J65">
        <f t="shared" ca="1" si="66"/>
        <v>63.67968548192318</v>
      </c>
      <c r="K65">
        <f t="shared" ca="1" si="66"/>
        <v>62.600755126103543</v>
      </c>
      <c r="L65">
        <f t="shared" ca="1" si="66"/>
        <v>60.88483395647981</v>
      </c>
      <c r="M65">
        <f t="shared" ca="1" si="66"/>
        <v>60.906326240063457</v>
      </c>
      <c r="N65">
        <f t="shared" ca="1" si="66"/>
        <v>60.182314580321794</v>
      </c>
      <c r="O65">
        <f t="shared" ca="1" si="66"/>
        <v>59.472164797210468</v>
      </c>
      <c r="P65">
        <f t="shared" ca="1" si="66"/>
        <v>60.134424162031088</v>
      </c>
      <c r="Q65">
        <f t="shared" ca="1" si="66"/>
        <v>60.777846473095849</v>
      </c>
      <c r="R65">
        <f t="shared" ca="1" si="66"/>
        <v>60.928414026668982</v>
      </c>
      <c r="S65">
        <f t="shared" ca="1" si="66"/>
        <v>63.126899638652013</v>
      </c>
      <c r="T65">
        <f t="shared" ca="1" si="66"/>
        <v>61.218718336831742</v>
      </c>
      <c r="U65">
        <f t="shared" ca="1" si="66"/>
        <v>60.693960509839371</v>
      </c>
      <c r="V65">
        <f t="shared" ca="1" si="66"/>
        <v>57.310133011861993</v>
      </c>
      <c r="W65">
        <f t="shared" ca="1" si="66"/>
        <v>56.733747648240659</v>
      </c>
      <c r="X65">
        <f t="shared" ca="1" si="66"/>
        <v>58.138563910082254</v>
      </c>
      <c r="Y65">
        <f t="shared" ca="1" si="66"/>
        <v>55.881870487130655</v>
      </c>
      <c r="Z65">
        <f t="shared" ca="1" si="66"/>
        <v>56.063992485438469</v>
      </c>
      <c r="AA65">
        <f t="shared" ca="1" si="66"/>
        <v>57.059441357415423</v>
      </c>
      <c r="AB65">
        <f t="shared" ca="1" si="66"/>
        <v>56.992890261986879</v>
      </c>
      <c r="AC65">
        <f t="shared" ca="1" si="66"/>
        <v>56.765762371182099</v>
      </c>
      <c r="AD65">
        <f t="shared" ca="1" si="66"/>
        <v>56.810389471010254</v>
      </c>
      <c r="AE65">
        <f t="shared" ca="1" si="66"/>
        <v>57.132348372293869</v>
      </c>
      <c r="AF65">
        <f t="shared" ca="1" si="66"/>
        <v>56.57215496063651</v>
      </c>
      <c r="AG65">
        <f t="shared" ca="1" si="66"/>
        <v>56.172716392585045</v>
      </c>
      <c r="AH65">
        <f t="shared" ca="1" si="66"/>
        <v>56.78386414289406</v>
      </c>
      <c r="AI65">
        <f t="shared" ca="1" si="66"/>
        <v>56.169680274570425</v>
      </c>
      <c r="AJ65">
        <f t="shared" ca="1" si="66"/>
        <v>55.230094335789339</v>
      </c>
      <c r="AK65">
        <f t="shared" ca="1" si="66"/>
        <v>55.223034489240995</v>
      </c>
      <c r="AL65">
        <f t="shared" ca="1" si="66"/>
        <v>55.2997182544729</v>
      </c>
      <c r="AM65">
        <f t="shared" ca="1" si="66"/>
        <v>57.061232503678937</v>
      </c>
      <c r="AN65">
        <f t="shared" ca="1" si="66"/>
        <v>56.290071836690835</v>
      </c>
      <c r="AO65">
        <f t="shared" ca="1" si="66"/>
        <v>55.490257504918951</v>
      </c>
      <c r="AP65">
        <f t="shared" ca="1" si="66"/>
        <v>56.324551437520604</v>
      </c>
      <c r="AQ65">
        <f t="shared" ca="1" si="66"/>
        <v>54.300928619500581</v>
      </c>
      <c r="AR65">
        <f t="shared" ca="1" si="66"/>
        <v>54.70067993286743</v>
      </c>
      <c r="AS65">
        <f t="shared" ca="1" si="66"/>
        <v>54.282377478208218</v>
      </c>
      <c r="AT65">
        <f t="shared" ca="1" si="66"/>
        <v>56.538302896519696</v>
      </c>
      <c r="AU65">
        <f t="shared" ca="1" si="66"/>
        <v>54.504465503470314</v>
      </c>
      <c r="AV65">
        <f t="shared" ca="1" si="66"/>
        <v>55.162764953767578</v>
      </c>
      <c r="AW65">
        <f t="shared" ca="1" si="66"/>
        <v>54.327374806898199</v>
      </c>
      <c r="AX65">
        <f t="shared" ca="1" si="66"/>
        <v>56.757615024873921</v>
      </c>
      <c r="AY65">
        <f t="shared" ca="1" si="66"/>
        <v>56.261662019456551</v>
      </c>
      <c r="AZ65">
        <f t="shared" ca="1" si="66"/>
        <v>55.922992338752792</v>
      </c>
      <c r="BA65">
        <f t="shared" ca="1" si="66"/>
        <v>54.511228783177039</v>
      </c>
      <c r="BB65">
        <f t="shared" ca="1" si="66"/>
        <v>54.935842150733372</v>
      </c>
      <c r="BC65">
        <f t="shared" ca="1" si="66"/>
        <v>56.375640864103616</v>
      </c>
      <c r="BD65">
        <f t="shared" ca="1" si="66"/>
        <v>58.0289507777604</v>
      </c>
      <c r="BE65">
        <f t="shared" ca="1" si="66"/>
        <v>58.708600753921196</v>
      </c>
      <c r="BF65">
        <f t="shared" ca="1" si="66"/>
        <v>59.837533559839407</v>
      </c>
      <c r="BG65">
        <f t="shared" ca="1" si="66"/>
        <v>60.067400945961353</v>
      </c>
      <c r="BH65">
        <f t="shared" ca="1" si="66"/>
        <v>59.438237723577814</v>
      </c>
      <c r="BI65">
        <f t="shared" ca="1" si="66"/>
        <v>58.005238286804634</v>
      </c>
      <c r="BJ65">
        <f t="shared" ca="1" si="66"/>
        <v>58.634653530407661</v>
      </c>
      <c r="BK65">
        <f t="shared" ca="1" si="66"/>
        <v>58.362100630892684</v>
      </c>
      <c r="BL65">
        <f t="shared" ca="1" si="66"/>
        <v>58.571286096950182</v>
      </c>
      <c r="BM65">
        <f t="shared" ca="1" si="66"/>
        <v>58.448682945935424</v>
      </c>
      <c r="BN65">
        <f t="shared" ca="1" si="66"/>
        <v>60.079362682984616</v>
      </c>
      <c r="BO65">
        <f t="shared" ca="1" si="4"/>
        <v>2.0793626829846161</v>
      </c>
    </row>
    <row r="66" spans="6:67">
      <c r="F66">
        <f t="shared" si="2"/>
        <v>60.99</v>
      </c>
      <c r="G66">
        <f t="shared" ref="G66:BN66" ca="1" si="67">F66*EXP(($B$2-0.5*$B$3^2)*$B$4+$B$3*_xlfn.NORM.INV(RAND(),0,SQRT($B$4)))</f>
        <v>63.603226837009878</v>
      </c>
      <c r="H66">
        <f t="shared" ca="1" si="67"/>
        <v>63.746995339080229</v>
      </c>
      <c r="I66">
        <f t="shared" ca="1" si="67"/>
        <v>63.4431071079878</v>
      </c>
      <c r="J66">
        <f t="shared" ca="1" si="67"/>
        <v>63.238697368793616</v>
      </c>
      <c r="K66">
        <f t="shared" ca="1" si="67"/>
        <v>61.96938870173171</v>
      </c>
      <c r="L66">
        <f t="shared" ca="1" si="67"/>
        <v>62.425007138487501</v>
      </c>
      <c r="M66">
        <f t="shared" ca="1" si="67"/>
        <v>62.002415593740096</v>
      </c>
      <c r="N66">
        <f t="shared" ca="1" si="67"/>
        <v>62.599699292237688</v>
      </c>
      <c r="O66">
        <f t="shared" ca="1" si="67"/>
        <v>62.749746569106478</v>
      </c>
      <c r="P66">
        <f t="shared" ca="1" si="67"/>
        <v>62.700607735947152</v>
      </c>
      <c r="Q66">
        <f t="shared" ca="1" si="67"/>
        <v>63.620948412633794</v>
      </c>
      <c r="R66">
        <f t="shared" ca="1" si="67"/>
        <v>65.399031529589848</v>
      </c>
      <c r="S66">
        <f t="shared" ca="1" si="67"/>
        <v>66.728121547276004</v>
      </c>
      <c r="T66">
        <f t="shared" ca="1" si="67"/>
        <v>67.930509632940826</v>
      </c>
      <c r="U66">
        <f t="shared" ca="1" si="67"/>
        <v>67.518502590977505</v>
      </c>
      <c r="V66">
        <f t="shared" ca="1" si="67"/>
        <v>69.284841049806801</v>
      </c>
      <c r="W66">
        <f t="shared" ca="1" si="67"/>
        <v>68.066798157550252</v>
      </c>
      <c r="X66">
        <f t="shared" ca="1" si="67"/>
        <v>67.154957919330855</v>
      </c>
      <c r="Y66">
        <f t="shared" ca="1" si="67"/>
        <v>68.224561984052983</v>
      </c>
      <c r="Z66">
        <f t="shared" ca="1" si="67"/>
        <v>67.776165900957395</v>
      </c>
      <c r="AA66">
        <f t="shared" ca="1" si="67"/>
        <v>67.364717969350636</v>
      </c>
      <c r="AB66">
        <f t="shared" ca="1" si="67"/>
        <v>70.196471938478339</v>
      </c>
      <c r="AC66">
        <f t="shared" ca="1" si="67"/>
        <v>68.379401347010102</v>
      </c>
      <c r="AD66">
        <f t="shared" ca="1" si="67"/>
        <v>68.426500220068377</v>
      </c>
      <c r="AE66">
        <f t="shared" ca="1" si="67"/>
        <v>68.790700016248962</v>
      </c>
      <c r="AF66">
        <f t="shared" ca="1" si="67"/>
        <v>69.113323617358731</v>
      </c>
      <c r="AG66">
        <f t="shared" ca="1" si="67"/>
        <v>69.843479938569828</v>
      </c>
      <c r="AH66">
        <f t="shared" ca="1" si="67"/>
        <v>70.775365804155257</v>
      </c>
      <c r="AI66">
        <f t="shared" ca="1" si="67"/>
        <v>70.074163177494469</v>
      </c>
      <c r="AJ66">
        <f t="shared" ca="1" si="67"/>
        <v>70.07421492573279</v>
      </c>
      <c r="AK66">
        <f t="shared" ca="1" si="67"/>
        <v>71.339190701935749</v>
      </c>
      <c r="AL66">
        <f t="shared" ca="1" si="67"/>
        <v>73.186650897848125</v>
      </c>
      <c r="AM66">
        <f t="shared" ca="1" si="67"/>
        <v>72.278395143060635</v>
      </c>
      <c r="AN66">
        <f t="shared" ca="1" si="67"/>
        <v>71.842571963856486</v>
      </c>
      <c r="AO66">
        <f t="shared" ca="1" si="67"/>
        <v>71.176344612809956</v>
      </c>
      <c r="AP66">
        <f t="shared" ca="1" si="67"/>
        <v>71.517000941803474</v>
      </c>
      <c r="AQ66">
        <f t="shared" ca="1" si="67"/>
        <v>73.405123208657514</v>
      </c>
      <c r="AR66">
        <f t="shared" ca="1" si="67"/>
        <v>73.912301252428009</v>
      </c>
      <c r="AS66">
        <f t="shared" ca="1" si="67"/>
        <v>74.563303527603836</v>
      </c>
      <c r="AT66">
        <f t="shared" ca="1" si="67"/>
        <v>74.808550339276479</v>
      </c>
      <c r="AU66">
        <f t="shared" ca="1" si="67"/>
        <v>73.783283704335787</v>
      </c>
      <c r="AV66">
        <f t="shared" ca="1" si="67"/>
        <v>72.431931425542274</v>
      </c>
      <c r="AW66">
        <f t="shared" ca="1" si="67"/>
        <v>70.707217008497196</v>
      </c>
      <c r="AX66">
        <f t="shared" ca="1" si="67"/>
        <v>72.144179592583967</v>
      </c>
      <c r="AY66">
        <f t="shared" ca="1" si="67"/>
        <v>74.057710606143928</v>
      </c>
      <c r="AZ66">
        <f t="shared" ca="1" si="67"/>
        <v>72.4327844756274</v>
      </c>
      <c r="BA66">
        <f t="shared" ca="1" si="67"/>
        <v>72.0180156985965</v>
      </c>
      <c r="BB66">
        <f t="shared" ca="1" si="67"/>
        <v>73.151047172257449</v>
      </c>
      <c r="BC66">
        <f t="shared" ca="1" si="67"/>
        <v>74.044747340370122</v>
      </c>
      <c r="BD66">
        <f t="shared" ca="1" si="67"/>
        <v>72.082561124210969</v>
      </c>
      <c r="BE66">
        <f t="shared" ca="1" si="67"/>
        <v>72.773426658483942</v>
      </c>
      <c r="BF66">
        <f t="shared" ca="1" si="67"/>
        <v>72.981768551215353</v>
      </c>
      <c r="BG66">
        <f t="shared" ca="1" si="67"/>
        <v>71.954279472104844</v>
      </c>
      <c r="BH66">
        <f t="shared" ca="1" si="67"/>
        <v>70.82231340219559</v>
      </c>
      <c r="BI66">
        <f t="shared" ca="1" si="67"/>
        <v>70.54939457997807</v>
      </c>
      <c r="BJ66">
        <f t="shared" ca="1" si="67"/>
        <v>71.445858126999923</v>
      </c>
      <c r="BK66">
        <f t="shared" ca="1" si="67"/>
        <v>73.906845110649641</v>
      </c>
      <c r="BL66">
        <f t="shared" ca="1" si="67"/>
        <v>74.60156348964334</v>
      </c>
      <c r="BM66">
        <f t="shared" ca="1" si="67"/>
        <v>75.3237317244227</v>
      </c>
      <c r="BN66">
        <f t="shared" ca="1" si="67"/>
        <v>76.437937860182515</v>
      </c>
      <c r="BO66">
        <f t="shared" ca="1" si="4"/>
        <v>18.437937860182515</v>
      </c>
    </row>
    <row r="67" spans="6:67">
      <c r="F67">
        <f t="shared" ref="F67:F102" si="68">$B$1</f>
        <v>60.99</v>
      </c>
      <c r="G67">
        <f t="shared" ref="G67:BN67" ca="1" si="69">F67*EXP(($B$2-0.5*$B$3^2)*$B$4+$B$3*_xlfn.NORM.INV(RAND(),0,SQRT($B$4)))</f>
        <v>60.09608002335812</v>
      </c>
      <c r="H67">
        <f t="shared" ca="1" si="69"/>
        <v>58.683622824199283</v>
      </c>
      <c r="I67">
        <f t="shared" ca="1" si="69"/>
        <v>59.233336696445498</v>
      </c>
      <c r="J67">
        <f t="shared" ca="1" si="69"/>
        <v>60.236221379985651</v>
      </c>
      <c r="K67">
        <f t="shared" ca="1" si="69"/>
        <v>60.87155785087289</v>
      </c>
      <c r="L67">
        <f t="shared" ca="1" si="69"/>
        <v>60.210007401769964</v>
      </c>
      <c r="M67">
        <f t="shared" ca="1" si="69"/>
        <v>61.361274890170463</v>
      </c>
      <c r="N67">
        <f t="shared" ca="1" si="69"/>
        <v>63.244186484719513</v>
      </c>
      <c r="O67">
        <f t="shared" ca="1" si="69"/>
        <v>61.532378247059583</v>
      </c>
      <c r="P67">
        <f t="shared" ca="1" si="69"/>
        <v>62.295863450875117</v>
      </c>
      <c r="Q67">
        <f t="shared" ca="1" si="69"/>
        <v>60.363507137182168</v>
      </c>
      <c r="R67">
        <f t="shared" ca="1" si="69"/>
        <v>59.309899634732432</v>
      </c>
      <c r="S67">
        <f t="shared" ca="1" si="69"/>
        <v>58.21108080186027</v>
      </c>
      <c r="T67">
        <f t="shared" ca="1" si="69"/>
        <v>58.791289013835083</v>
      </c>
      <c r="U67">
        <f t="shared" ca="1" si="69"/>
        <v>58.618178816206594</v>
      </c>
      <c r="V67">
        <f t="shared" ca="1" si="69"/>
        <v>57.360686245428923</v>
      </c>
      <c r="W67">
        <f t="shared" ca="1" si="69"/>
        <v>57.350903876130268</v>
      </c>
      <c r="X67">
        <f t="shared" ca="1" si="69"/>
        <v>55.900708763613103</v>
      </c>
      <c r="Y67">
        <f t="shared" ca="1" si="69"/>
        <v>55.159050275432271</v>
      </c>
      <c r="Z67">
        <f t="shared" ca="1" si="69"/>
        <v>56.587391400242218</v>
      </c>
      <c r="AA67">
        <f t="shared" ca="1" si="69"/>
        <v>57.127158433107709</v>
      </c>
      <c r="AB67">
        <f t="shared" ca="1" si="69"/>
        <v>57.123616349287332</v>
      </c>
      <c r="AC67">
        <f t="shared" ca="1" si="69"/>
        <v>56.030254598312233</v>
      </c>
      <c r="AD67">
        <f t="shared" ca="1" si="69"/>
        <v>55.347596618851945</v>
      </c>
      <c r="AE67">
        <f t="shared" ca="1" si="69"/>
        <v>55.517965564169636</v>
      </c>
      <c r="AF67">
        <f t="shared" ca="1" si="69"/>
        <v>56.25782687199554</v>
      </c>
      <c r="AG67">
        <f t="shared" ca="1" si="69"/>
        <v>55.243020832016462</v>
      </c>
      <c r="AH67">
        <f t="shared" ca="1" si="69"/>
        <v>54.145681960788501</v>
      </c>
      <c r="AI67">
        <f t="shared" ca="1" si="69"/>
        <v>53.137739811588986</v>
      </c>
      <c r="AJ67">
        <f t="shared" ca="1" si="69"/>
        <v>53.80920903995726</v>
      </c>
      <c r="AK67">
        <f t="shared" ca="1" si="69"/>
        <v>53.317632623006332</v>
      </c>
      <c r="AL67">
        <f t="shared" ca="1" si="69"/>
        <v>52.171339784457757</v>
      </c>
      <c r="AM67">
        <f t="shared" ca="1" si="69"/>
        <v>51.548963615384999</v>
      </c>
      <c r="AN67">
        <f t="shared" ca="1" si="69"/>
        <v>51.993525960794514</v>
      </c>
      <c r="AO67">
        <f t="shared" ca="1" si="69"/>
        <v>52.553540098963985</v>
      </c>
      <c r="AP67">
        <f t="shared" ca="1" si="69"/>
        <v>51.914889195311162</v>
      </c>
      <c r="AQ67">
        <f t="shared" ca="1" si="69"/>
        <v>51.507564255758439</v>
      </c>
      <c r="AR67">
        <f t="shared" ca="1" si="69"/>
        <v>52.514560841764741</v>
      </c>
      <c r="AS67">
        <f t="shared" ca="1" si="69"/>
        <v>52.624071134468572</v>
      </c>
      <c r="AT67">
        <f t="shared" ca="1" si="69"/>
        <v>54.026676398374924</v>
      </c>
      <c r="AU67">
        <f t="shared" ca="1" si="69"/>
        <v>54.179360271975689</v>
      </c>
      <c r="AV67">
        <f t="shared" ca="1" si="69"/>
        <v>54.790857792529721</v>
      </c>
      <c r="AW67">
        <f t="shared" ca="1" si="69"/>
        <v>56.478099480835468</v>
      </c>
      <c r="AX67">
        <f t="shared" ca="1" si="69"/>
        <v>57.880785953241578</v>
      </c>
      <c r="AY67">
        <f t="shared" ca="1" si="69"/>
        <v>55.904784098546735</v>
      </c>
      <c r="AZ67">
        <f t="shared" ca="1" si="69"/>
        <v>57.172346054072527</v>
      </c>
      <c r="BA67">
        <f t="shared" ca="1" si="69"/>
        <v>56.8976951611264</v>
      </c>
      <c r="BB67">
        <f t="shared" ca="1" si="69"/>
        <v>55.980072251095564</v>
      </c>
      <c r="BC67">
        <f t="shared" ca="1" si="69"/>
        <v>56.121482328230798</v>
      </c>
      <c r="BD67">
        <f t="shared" ca="1" si="69"/>
        <v>55.320305313956844</v>
      </c>
      <c r="BE67">
        <f t="shared" ca="1" si="69"/>
        <v>54.184370446345881</v>
      </c>
      <c r="BF67">
        <f t="shared" ca="1" si="69"/>
        <v>54.447915284040825</v>
      </c>
      <c r="BG67">
        <f t="shared" ca="1" si="69"/>
        <v>54.430841226853843</v>
      </c>
      <c r="BH67">
        <f t="shared" ca="1" si="69"/>
        <v>54.818316316266483</v>
      </c>
      <c r="BI67">
        <f t="shared" ca="1" si="69"/>
        <v>54.158139050695453</v>
      </c>
      <c r="BJ67">
        <f t="shared" ca="1" si="69"/>
        <v>54.007205089608327</v>
      </c>
      <c r="BK67">
        <f t="shared" ca="1" si="69"/>
        <v>55.406251739134909</v>
      </c>
      <c r="BL67">
        <f t="shared" ca="1" si="69"/>
        <v>54.570357225243676</v>
      </c>
      <c r="BM67">
        <f t="shared" ca="1" si="69"/>
        <v>55.903086596065975</v>
      </c>
      <c r="BN67">
        <f t="shared" ca="1" si="69"/>
        <v>55.099401011982145</v>
      </c>
      <c r="BO67">
        <f t="shared" ref="BO67:BO102" ca="1" si="70">MAX(BN67-$BN$104,0)</f>
        <v>0</v>
      </c>
    </row>
    <row r="68" spans="6:67">
      <c r="F68">
        <f t="shared" si="68"/>
        <v>60.99</v>
      </c>
      <c r="G68">
        <f t="shared" ref="G68:BN68" ca="1" si="71">F68*EXP(($B$2-0.5*$B$3^2)*$B$4+$B$3*_xlfn.NORM.INV(RAND(),0,SQRT($B$4)))</f>
        <v>61.468496539566239</v>
      </c>
      <c r="H68">
        <f t="shared" ca="1" si="71"/>
        <v>61.502426531326691</v>
      </c>
      <c r="I68">
        <f t="shared" ca="1" si="71"/>
        <v>63.711535107011471</v>
      </c>
      <c r="J68">
        <f t="shared" ca="1" si="71"/>
        <v>63.763557711672995</v>
      </c>
      <c r="K68">
        <f t="shared" ca="1" si="71"/>
        <v>64.662487094488498</v>
      </c>
      <c r="L68">
        <f t="shared" ca="1" si="71"/>
        <v>65.505244889615284</v>
      </c>
      <c r="M68">
        <f t="shared" ca="1" si="71"/>
        <v>64.647782782401919</v>
      </c>
      <c r="N68">
        <f t="shared" ca="1" si="71"/>
        <v>64.629976154036086</v>
      </c>
      <c r="O68">
        <f t="shared" ca="1" si="71"/>
        <v>64.205947427372138</v>
      </c>
      <c r="P68">
        <f t="shared" ca="1" si="71"/>
        <v>64.358736291963083</v>
      </c>
      <c r="Q68">
        <f t="shared" ca="1" si="71"/>
        <v>64.014858947861327</v>
      </c>
      <c r="R68">
        <f t="shared" ca="1" si="71"/>
        <v>64.187126884546714</v>
      </c>
      <c r="S68">
        <f t="shared" ca="1" si="71"/>
        <v>65.442222097653072</v>
      </c>
      <c r="T68">
        <f t="shared" ca="1" si="71"/>
        <v>66.989230058725795</v>
      </c>
      <c r="U68">
        <f t="shared" ca="1" si="71"/>
        <v>68.545983082062705</v>
      </c>
      <c r="V68">
        <f t="shared" ca="1" si="71"/>
        <v>69.143773047749065</v>
      </c>
      <c r="W68">
        <f t="shared" ca="1" si="71"/>
        <v>67.175614615195968</v>
      </c>
      <c r="X68">
        <f t="shared" ca="1" si="71"/>
        <v>67.670373187477892</v>
      </c>
      <c r="Y68">
        <f t="shared" ca="1" si="71"/>
        <v>66.826921162510615</v>
      </c>
      <c r="Z68">
        <f t="shared" ca="1" si="71"/>
        <v>68.553942257896409</v>
      </c>
      <c r="AA68">
        <f t="shared" ca="1" si="71"/>
        <v>69.299945331426571</v>
      </c>
      <c r="AB68">
        <f t="shared" ca="1" si="71"/>
        <v>70.905147444809117</v>
      </c>
      <c r="AC68">
        <f t="shared" ca="1" si="71"/>
        <v>71.82867063578243</v>
      </c>
      <c r="AD68">
        <f t="shared" ca="1" si="71"/>
        <v>71.826147704467814</v>
      </c>
      <c r="AE68">
        <f t="shared" ca="1" si="71"/>
        <v>71.29077344284859</v>
      </c>
      <c r="AF68">
        <f t="shared" ca="1" si="71"/>
        <v>71.092615590788867</v>
      </c>
      <c r="AG68">
        <f t="shared" ca="1" si="71"/>
        <v>70.845779187046986</v>
      </c>
      <c r="AH68">
        <f t="shared" ca="1" si="71"/>
        <v>70.949579167166192</v>
      </c>
      <c r="AI68">
        <f t="shared" ca="1" si="71"/>
        <v>71.358426126780643</v>
      </c>
      <c r="AJ68">
        <f t="shared" ca="1" si="71"/>
        <v>71.756028077925421</v>
      </c>
      <c r="AK68">
        <f t="shared" ca="1" si="71"/>
        <v>71.355033862803523</v>
      </c>
      <c r="AL68">
        <f t="shared" ca="1" si="71"/>
        <v>72.513899444682593</v>
      </c>
      <c r="AM68">
        <f t="shared" ca="1" si="71"/>
        <v>74.058654212081677</v>
      </c>
      <c r="AN68">
        <f t="shared" ca="1" si="71"/>
        <v>76.779133988384331</v>
      </c>
      <c r="AO68">
        <f t="shared" ca="1" si="71"/>
        <v>75.329464151979565</v>
      </c>
      <c r="AP68">
        <f t="shared" ca="1" si="71"/>
        <v>73.754108454634391</v>
      </c>
      <c r="AQ68">
        <f t="shared" ca="1" si="71"/>
        <v>72.26967299524344</v>
      </c>
      <c r="AR68">
        <f t="shared" ca="1" si="71"/>
        <v>72.104766104851961</v>
      </c>
      <c r="AS68">
        <f t="shared" ca="1" si="71"/>
        <v>69.962990586566889</v>
      </c>
      <c r="AT68">
        <f t="shared" ca="1" si="71"/>
        <v>69.481313538307532</v>
      </c>
      <c r="AU68">
        <f t="shared" ca="1" si="71"/>
        <v>70.163961986927291</v>
      </c>
      <c r="AV68">
        <f t="shared" ca="1" si="71"/>
        <v>69.303921925278644</v>
      </c>
      <c r="AW68">
        <f t="shared" ca="1" si="71"/>
        <v>70.514670755113016</v>
      </c>
      <c r="AX68">
        <f t="shared" ca="1" si="71"/>
        <v>71.280104681564026</v>
      </c>
      <c r="AY68">
        <f t="shared" ca="1" si="71"/>
        <v>68.761237663589768</v>
      </c>
      <c r="AZ68">
        <f t="shared" ca="1" si="71"/>
        <v>69.858430947270776</v>
      </c>
      <c r="BA68">
        <f t="shared" ca="1" si="71"/>
        <v>69.677829228004398</v>
      </c>
      <c r="BB68">
        <f t="shared" ca="1" si="71"/>
        <v>70.867481064719541</v>
      </c>
      <c r="BC68">
        <f t="shared" ca="1" si="71"/>
        <v>71.842126692535672</v>
      </c>
      <c r="BD68">
        <f t="shared" ca="1" si="71"/>
        <v>72.336188107584533</v>
      </c>
      <c r="BE68">
        <f t="shared" ca="1" si="71"/>
        <v>70.913625934695574</v>
      </c>
      <c r="BF68">
        <f t="shared" ca="1" si="71"/>
        <v>68.907590117118886</v>
      </c>
      <c r="BG68">
        <f t="shared" ca="1" si="71"/>
        <v>70.940464853293037</v>
      </c>
      <c r="BH68">
        <f t="shared" ca="1" si="71"/>
        <v>72.539813567531439</v>
      </c>
      <c r="BI68">
        <f t="shared" ca="1" si="71"/>
        <v>71.90462339384581</v>
      </c>
      <c r="BJ68">
        <f t="shared" ca="1" si="71"/>
        <v>72.306941223118287</v>
      </c>
      <c r="BK68">
        <f t="shared" ca="1" si="71"/>
        <v>73.335778638601511</v>
      </c>
      <c r="BL68">
        <f t="shared" ca="1" si="71"/>
        <v>72.510785449626553</v>
      </c>
      <c r="BM68">
        <f t="shared" ca="1" si="71"/>
        <v>69.584332851415169</v>
      </c>
      <c r="BN68">
        <f t="shared" ca="1" si="71"/>
        <v>72.568148958433412</v>
      </c>
      <c r="BO68">
        <f t="shared" ca="1" si="70"/>
        <v>14.568148958433412</v>
      </c>
    </row>
    <row r="69" spans="6:67">
      <c r="F69">
        <f t="shared" si="68"/>
        <v>60.99</v>
      </c>
      <c r="G69">
        <f t="shared" ref="G69:BN69" ca="1" si="72">F69*EXP(($B$2-0.5*$B$3^2)*$B$4+$B$3*_xlfn.NORM.INV(RAND(),0,SQRT($B$4)))</f>
        <v>61.844209669879731</v>
      </c>
      <c r="H69">
        <f t="shared" ca="1" si="72"/>
        <v>60.316989685300527</v>
      </c>
      <c r="I69">
        <f t="shared" ca="1" si="72"/>
        <v>60.787038162653516</v>
      </c>
      <c r="J69">
        <f t="shared" ca="1" si="72"/>
        <v>59.477101214188622</v>
      </c>
      <c r="K69">
        <f t="shared" ca="1" si="72"/>
        <v>59.661021422081994</v>
      </c>
      <c r="L69">
        <f t="shared" ca="1" si="72"/>
        <v>62.676179149490764</v>
      </c>
      <c r="M69">
        <f t="shared" ca="1" si="72"/>
        <v>63.455455474991879</v>
      </c>
      <c r="N69">
        <f t="shared" ca="1" si="72"/>
        <v>62.61070230778823</v>
      </c>
      <c r="O69">
        <f t="shared" ca="1" si="72"/>
        <v>63.107209484577474</v>
      </c>
      <c r="P69">
        <f t="shared" ca="1" si="72"/>
        <v>64.099262363906405</v>
      </c>
      <c r="Q69">
        <f t="shared" ca="1" si="72"/>
        <v>64.142605824404455</v>
      </c>
      <c r="R69">
        <f t="shared" ca="1" si="72"/>
        <v>63.382548596425181</v>
      </c>
      <c r="S69">
        <f t="shared" ca="1" si="72"/>
        <v>63.049950594048454</v>
      </c>
      <c r="T69">
        <f t="shared" ca="1" si="72"/>
        <v>63.170658252393068</v>
      </c>
      <c r="U69">
        <f t="shared" ca="1" si="72"/>
        <v>62.234343350166817</v>
      </c>
      <c r="V69">
        <f t="shared" ca="1" si="72"/>
        <v>62.224543873128539</v>
      </c>
      <c r="W69">
        <f t="shared" ca="1" si="72"/>
        <v>63.297519243365294</v>
      </c>
      <c r="X69">
        <f t="shared" ca="1" si="72"/>
        <v>65.278951397518469</v>
      </c>
      <c r="Y69">
        <f t="shared" ca="1" si="72"/>
        <v>64.611589853814124</v>
      </c>
      <c r="Z69">
        <f t="shared" ca="1" si="72"/>
        <v>62.148256785350839</v>
      </c>
      <c r="AA69">
        <f t="shared" ca="1" si="72"/>
        <v>61.383176387077405</v>
      </c>
      <c r="AB69">
        <f t="shared" ca="1" si="72"/>
        <v>61.545392397609568</v>
      </c>
      <c r="AC69">
        <f t="shared" ca="1" si="72"/>
        <v>62.927979136702582</v>
      </c>
      <c r="AD69">
        <f t="shared" ca="1" si="72"/>
        <v>61.557663223332277</v>
      </c>
      <c r="AE69">
        <f t="shared" ca="1" si="72"/>
        <v>61.940122420495854</v>
      </c>
      <c r="AF69">
        <f t="shared" ca="1" si="72"/>
        <v>61.560042714081554</v>
      </c>
      <c r="AG69">
        <f t="shared" ca="1" si="72"/>
        <v>62.89394057250091</v>
      </c>
      <c r="AH69">
        <f t="shared" ca="1" si="72"/>
        <v>62.711050762465831</v>
      </c>
      <c r="AI69">
        <f t="shared" ca="1" si="72"/>
        <v>62.654216599848027</v>
      </c>
      <c r="AJ69">
        <f t="shared" ca="1" si="72"/>
        <v>62.281560949862914</v>
      </c>
      <c r="AK69">
        <f t="shared" ca="1" si="72"/>
        <v>63.736394514461082</v>
      </c>
      <c r="AL69">
        <f t="shared" ca="1" si="72"/>
        <v>63.192743185626888</v>
      </c>
      <c r="AM69">
        <f t="shared" ca="1" si="72"/>
        <v>64.225187727656163</v>
      </c>
      <c r="AN69">
        <f t="shared" ca="1" si="72"/>
        <v>63.667021313878863</v>
      </c>
      <c r="AO69">
        <f t="shared" ca="1" si="72"/>
        <v>64.450715386322742</v>
      </c>
      <c r="AP69">
        <f t="shared" ca="1" si="72"/>
        <v>64.952898851373106</v>
      </c>
      <c r="AQ69">
        <f t="shared" ca="1" si="72"/>
        <v>67.14952003305639</v>
      </c>
      <c r="AR69">
        <f t="shared" ca="1" si="72"/>
        <v>67.222474634056553</v>
      </c>
      <c r="AS69">
        <f t="shared" ca="1" si="72"/>
        <v>67.95117051931534</v>
      </c>
      <c r="AT69">
        <f t="shared" ca="1" si="72"/>
        <v>67.703070800079331</v>
      </c>
      <c r="AU69">
        <f t="shared" ca="1" si="72"/>
        <v>68.028636114375203</v>
      </c>
      <c r="AV69">
        <f t="shared" ca="1" si="72"/>
        <v>70.079795276028833</v>
      </c>
      <c r="AW69">
        <f t="shared" ca="1" si="72"/>
        <v>68.988769931372246</v>
      </c>
      <c r="AX69">
        <f t="shared" ca="1" si="72"/>
        <v>68.915213124241276</v>
      </c>
      <c r="AY69">
        <f t="shared" ca="1" si="72"/>
        <v>67.999151189825994</v>
      </c>
      <c r="AZ69">
        <f t="shared" ca="1" si="72"/>
        <v>70.739913686613235</v>
      </c>
      <c r="BA69">
        <f t="shared" ca="1" si="72"/>
        <v>70.91408649948356</v>
      </c>
      <c r="BB69">
        <f t="shared" ca="1" si="72"/>
        <v>70.652342721605166</v>
      </c>
      <c r="BC69">
        <f t="shared" ca="1" si="72"/>
        <v>71.123446346951212</v>
      </c>
      <c r="BD69">
        <f t="shared" ca="1" si="72"/>
        <v>71.577261229504472</v>
      </c>
      <c r="BE69">
        <f t="shared" ca="1" si="72"/>
        <v>70.370207437793979</v>
      </c>
      <c r="BF69">
        <f t="shared" ca="1" si="72"/>
        <v>69.617979179447119</v>
      </c>
      <c r="BG69">
        <f t="shared" ca="1" si="72"/>
        <v>68.853324594787409</v>
      </c>
      <c r="BH69">
        <f t="shared" ca="1" si="72"/>
        <v>66.738890141963694</v>
      </c>
      <c r="BI69">
        <f t="shared" ca="1" si="72"/>
        <v>66.62299655907789</v>
      </c>
      <c r="BJ69">
        <f t="shared" ca="1" si="72"/>
        <v>65.776317685898945</v>
      </c>
      <c r="BK69">
        <f t="shared" ca="1" si="72"/>
        <v>66.862336926301623</v>
      </c>
      <c r="BL69">
        <f t="shared" ca="1" si="72"/>
        <v>70.099595481504991</v>
      </c>
      <c r="BM69">
        <f t="shared" ca="1" si="72"/>
        <v>68.297006988554969</v>
      </c>
      <c r="BN69">
        <f t="shared" ca="1" si="72"/>
        <v>67.740172026478916</v>
      </c>
      <c r="BO69">
        <f t="shared" ca="1" si="70"/>
        <v>9.7401720264789162</v>
      </c>
    </row>
    <row r="70" spans="6:67">
      <c r="F70">
        <f t="shared" si="68"/>
        <v>60.99</v>
      </c>
      <c r="G70">
        <f t="shared" ref="G70:BN70" ca="1" si="73">F70*EXP(($B$2-0.5*$B$3^2)*$B$4+$B$3*_xlfn.NORM.INV(RAND(),0,SQRT($B$4)))</f>
        <v>60.543460002121527</v>
      </c>
      <c r="H70">
        <f t="shared" ca="1" si="73"/>
        <v>61.033527563473704</v>
      </c>
      <c r="I70">
        <f t="shared" ca="1" si="73"/>
        <v>59.930727874294924</v>
      </c>
      <c r="J70">
        <f t="shared" ca="1" si="73"/>
        <v>59.518061115450358</v>
      </c>
      <c r="K70">
        <f t="shared" ca="1" si="73"/>
        <v>61.065616635192889</v>
      </c>
      <c r="L70">
        <f t="shared" ca="1" si="73"/>
        <v>60.496380439859649</v>
      </c>
      <c r="M70">
        <f t="shared" ca="1" si="73"/>
        <v>59.642393590579843</v>
      </c>
      <c r="N70">
        <f t="shared" ca="1" si="73"/>
        <v>58.276440351924741</v>
      </c>
      <c r="O70">
        <f t="shared" ca="1" si="73"/>
        <v>58.804261425501402</v>
      </c>
      <c r="P70">
        <f t="shared" ca="1" si="73"/>
        <v>60.092564936640571</v>
      </c>
      <c r="Q70">
        <f t="shared" ca="1" si="73"/>
        <v>61.156063610741938</v>
      </c>
      <c r="R70">
        <f t="shared" ca="1" si="73"/>
        <v>60.43587652760651</v>
      </c>
      <c r="S70">
        <f t="shared" ca="1" si="73"/>
        <v>62.246672025823955</v>
      </c>
      <c r="T70">
        <f t="shared" ca="1" si="73"/>
        <v>63.166343724078956</v>
      </c>
      <c r="U70">
        <f t="shared" ca="1" si="73"/>
        <v>62.234926548506749</v>
      </c>
      <c r="V70">
        <f t="shared" ca="1" si="73"/>
        <v>63.152865857252237</v>
      </c>
      <c r="W70">
        <f t="shared" ca="1" si="73"/>
        <v>64.365134940798185</v>
      </c>
      <c r="X70">
        <f t="shared" ca="1" si="73"/>
        <v>66.958991634399027</v>
      </c>
      <c r="Y70">
        <f t="shared" ca="1" si="73"/>
        <v>66.289027344839752</v>
      </c>
      <c r="Z70">
        <f t="shared" ca="1" si="73"/>
        <v>65.699865634556971</v>
      </c>
      <c r="AA70">
        <f t="shared" ca="1" si="73"/>
        <v>64.871425606641125</v>
      </c>
      <c r="AB70">
        <f t="shared" ca="1" si="73"/>
        <v>64.90890055157378</v>
      </c>
      <c r="AC70">
        <f t="shared" ca="1" si="73"/>
        <v>65.747901380777648</v>
      </c>
      <c r="AD70">
        <f t="shared" ca="1" si="73"/>
        <v>66.08504372985179</v>
      </c>
      <c r="AE70">
        <f t="shared" ca="1" si="73"/>
        <v>66.037637269666646</v>
      </c>
      <c r="AF70">
        <f t="shared" ca="1" si="73"/>
        <v>66.628331843462348</v>
      </c>
      <c r="AG70">
        <f t="shared" ca="1" si="73"/>
        <v>67.05421599793776</v>
      </c>
      <c r="AH70">
        <f t="shared" ca="1" si="73"/>
        <v>67.976572275339791</v>
      </c>
      <c r="AI70">
        <f t="shared" ca="1" si="73"/>
        <v>67.190413720547312</v>
      </c>
      <c r="AJ70">
        <f t="shared" ca="1" si="73"/>
        <v>66.530871120349403</v>
      </c>
      <c r="AK70">
        <f t="shared" ca="1" si="73"/>
        <v>68.335629437348757</v>
      </c>
      <c r="AL70">
        <f t="shared" ca="1" si="73"/>
        <v>71.467570329045472</v>
      </c>
      <c r="AM70">
        <f t="shared" ca="1" si="73"/>
        <v>69.881351683132507</v>
      </c>
      <c r="AN70">
        <f t="shared" ca="1" si="73"/>
        <v>71.89404292122488</v>
      </c>
      <c r="AO70">
        <f t="shared" ca="1" si="73"/>
        <v>71.991050223272609</v>
      </c>
      <c r="AP70">
        <f t="shared" ca="1" si="73"/>
        <v>71.464825277428687</v>
      </c>
      <c r="AQ70">
        <f t="shared" ca="1" si="73"/>
        <v>73.134032678577</v>
      </c>
      <c r="AR70">
        <f t="shared" ca="1" si="73"/>
        <v>74.320915277713709</v>
      </c>
      <c r="AS70">
        <f t="shared" ca="1" si="73"/>
        <v>74.149391226702761</v>
      </c>
      <c r="AT70">
        <f t="shared" ca="1" si="73"/>
        <v>71.954289118703272</v>
      </c>
      <c r="AU70">
        <f t="shared" ca="1" si="73"/>
        <v>73.529210115636971</v>
      </c>
      <c r="AV70">
        <f t="shared" ca="1" si="73"/>
        <v>71.848451699262</v>
      </c>
      <c r="AW70">
        <f t="shared" ca="1" si="73"/>
        <v>69.910581699708231</v>
      </c>
      <c r="AX70">
        <f t="shared" ca="1" si="73"/>
        <v>71.771241860006214</v>
      </c>
      <c r="AY70">
        <f t="shared" ca="1" si="73"/>
        <v>70.323013117933243</v>
      </c>
      <c r="AZ70">
        <f t="shared" ca="1" si="73"/>
        <v>70.930778297280042</v>
      </c>
      <c r="BA70">
        <f t="shared" ca="1" si="73"/>
        <v>70.75807202604804</v>
      </c>
      <c r="BB70">
        <f t="shared" ca="1" si="73"/>
        <v>71.704583011686651</v>
      </c>
      <c r="BC70">
        <f t="shared" ca="1" si="73"/>
        <v>72.717371475743704</v>
      </c>
      <c r="BD70">
        <f t="shared" ca="1" si="73"/>
        <v>75.60634946027929</v>
      </c>
      <c r="BE70">
        <f t="shared" ca="1" si="73"/>
        <v>79.367856356935448</v>
      </c>
      <c r="BF70">
        <f t="shared" ca="1" si="73"/>
        <v>79.576837127978735</v>
      </c>
      <c r="BG70">
        <f t="shared" ca="1" si="73"/>
        <v>78.668980812715375</v>
      </c>
      <c r="BH70">
        <f t="shared" ca="1" si="73"/>
        <v>78.967028151708405</v>
      </c>
      <c r="BI70">
        <f t="shared" ca="1" si="73"/>
        <v>77.706726903868656</v>
      </c>
      <c r="BJ70">
        <f t="shared" ca="1" si="73"/>
        <v>78.009322173624867</v>
      </c>
      <c r="BK70">
        <f t="shared" ca="1" si="73"/>
        <v>78.12946604390676</v>
      </c>
      <c r="BL70">
        <f t="shared" ca="1" si="73"/>
        <v>79.97766224976202</v>
      </c>
      <c r="BM70">
        <f t="shared" ca="1" si="73"/>
        <v>77.513021060106325</v>
      </c>
      <c r="BN70">
        <f t="shared" ca="1" si="73"/>
        <v>75.777650161987367</v>
      </c>
      <c r="BO70">
        <f t="shared" ca="1" si="70"/>
        <v>17.777650161987367</v>
      </c>
    </row>
    <row r="71" spans="6:67">
      <c r="F71">
        <f t="shared" si="68"/>
        <v>60.99</v>
      </c>
      <c r="G71">
        <f t="shared" ref="G71:BN71" ca="1" si="74">F71*EXP(($B$2-0.5*$B$3^2)*$B$4+$B$3*_xlfn.NORM.INV(RAND(),0,SQRT($B$4)))</f>
        <v>60.195507839160236</v>
      </c>
      <c r="H71">
        <f t="shared" ca="1" si="74"/>
        <v>60.486496176704847</v>
      </c>
      <c r="I71">
        <f t="shared" ca="1" si="74"/>
        <v>60.668353540614454</v>
      </c>
      <c r="J71">
        <f t="shared" ca="1" si="74"/>
        <v>62.142988214813968</v>
      </c>
      <c r="K71">
        <f t="shared" ca="1" si="74"/>
        <v>60.301993257061135</v>
      </c>
      <c r="L71">
        <f t="shared" ca="1" si="74"/>
        <v>60.825598316704259</v>
      </c>
      <c r="M71">
        <f t="shared" ca="1" si="74"/>
        <v>60.158263203960615</v>
      </c>
      <c r="N71">
        <f t="shared" ca="1" si="74"/>
        <v>63.353337032407758</v>
      </c>
      <c r="O71">
        <f t="shared" ca="1" si="74"/>
        <v>63.61852904343489</v>
      </c>
      <c r="P71">
        <f t="shared" ca="1" si="74"/>
        <v>62.69094141827005</v>
      </c>
      <c r="Q71">
        <f t="shared" ca="1" si="74"/>
        <v>64.342971291337307</v>
      </c>
      <c r="R71">
        <f t="shared" ca="1" si="74"/>
        <v>64.669764435073986</v>
      </c>
      <c r="S71">
        <f t="shared" ca="1" si="74"/>
        <v>66.57001172618105</v>
      </c>
      <c r="T71">
        <f t="shared" ca="1" si="74"/>
        <v>67.329763441808225</v>
      </c>
      <c r="U71">
        <f t="shared" ca="1" si="74"/>
        <v>67.730186356622269</v>
      </c>
      <c r="V71">
        <f t="shared" ca="1" si="74"/>
        <v>67.056849837687722</v>
      </c>
      <c r="W71">
        <f t="shared" ca="1" si="74"/>
        <v>67.409111399553808</v>
      </c>
      <c r="X71">
        <f t="shared" ca="1" si="74"/>
        <v>67.536462797024399</v>
      </c>
      <c r="Y71">
        <f t="shared" ca="1" si="74"/>
        <v>67.52082232725347</v>
      </c>
      <c r="Z71">
        <f t="shared" ca="1" si="74"/>
        <v>65.930621341793639</v>
      </c>
      <c r="AA71">
        <f t="shared" ca="1" si="74"/>
        <v>65.501875291436917</v>
      </c>
      <c r="AB71">
        <f t="shared" ca="1" si="74"/>
        <v>68.131021496907607</v>
      </c>
      <c r="AC71">
        <f t="shared" ca="1" si="74"/>
        <v>65.856252311918439</v>
      </c>
      <c r="AD71">
        <f t="shared" ca="1" si="74"/>
        <v>65.899189950478018</v>
      </c>
      <c r="AE71">
        <f t="shared" ca="1" si="74"/>
        <v>67.274632312224199</v>
      </c>
      <c r="AF71">
        <f t="shared" ca="1" si="74"/>
        <v>69.415318559066037</v>
      </c>
      <c r="AG71">
        <f t="shared" ca="1" si="74"/>
        <v>69.790456728903621</v>
      </c>
      <c r="AH71">
        <f t="shared" ca="1" si="74"/>
        <v>67.480202395537873</v>
      </c>
      <c r="AI71">
        <f t="shared" ca="1" si="74"/>
        <v>68.872875115707188</v>
      </c>
      <c r="AJ71">
        <f t="shared" ca="1" si="74"/>
        <v>69.724654571662896</v>
      </c>
      <c r="AK71">
        <f t="shared" ca="1" si="74"/>
        <v>70.58935205437777</v>
      </c>
      <c r="AL71">
        <f t="shared" ca="1" si="74"/>
        <v>70.535119711184251</v>
      </c>
      <c r="AM71">
        <f t="shared" ca="1" si="74"/>
        <v>69.294730902693843</v>
      </c>
      <c r="AN71">
        <f t="shared" ca="1" si="74"/>
        <v>68.667173137314705</v>
      </c>
      <c r="AO71">
        <f t="shared" ca="1" si="74"/>
        <v>69.476100194856514</v>
      </c>
      <c r="AP71">
        <f t="shared" ca="1" si="74"/>
        <v>67.776930768393726</v>
      </c>
      <c r="AQ71">
        <f t="shared" ca="1" si="74"/>
        <v>68.363026331831662</v>
      </c>
      <c r="AR71">
        <f t="shared" ca="1" si="74"/>
        <v>68.570029214218479</v>
      </c>
      <c r="AS71">
        <f t="shared" ca="1" si="74"/>
        <v>68.053798053848283</v>
      </c>
      <c r="AT71">
        <f t="shared" ca="1" si="74"/>
        <v>68.70250543543537</v>
      </c>
      <c r="AU71">
        <f t="shared" ca="1" si="74"/>
        <v>68.910894035977378</v>
      </c>
      <c r="AV71">
        <f t="shared" ca="1" si="74"/>
        <v>69.653993018340003</v>
      </c>
      <c r="AW71">
        <f t="shared" ca="1" si="74"/>
        <v>68.153210506293505</v>
      </c>
      <c r="AX71">
        <f t="shared" ca="1" si="74"/>
        <v>66.640707649281424</v>
      </c>
      <c r="AY71">
        <f t="shared" ca="1" si="74"/>
        <v>68.09795560690597</v>
      </c>
      <c r="AZ71">
        <f t="shared" ca="1" si="74"/>
        <v>66.288538937797</v>
      </c>
      <c r="BA71">
        <f t="shared" ca="1" si="74"/>
        <v>66.654750698702586</v>
      </c>
      <c r="BB71">
        <f t="shared" ca="1" si="74"/>
        <v>66.360471451911891</v>
      </c>
      <c r="BC71">
        <f t="shared" ca="1" si="74"/>
        <v>65.024209647338907</v>
      </c>
      <c r="BD71">
        <f t="shared" ca="1" si="74"/>
        <v>64.614880446054741</v>
      </c>
      <c r="BE71">
        <f t="shared" ca="1" si="74"/>
        <v>66.401460945253234</v>
      </c>
      <c r="BF71">
        <f t="shared" ca="1" si="74"/>
        <v>67.875953170489836</v>
      </c>
      <c r="BG71">
        <f t="shared" ca="1" si="74"/>
        <v>66.965575784970156</v>
      </c>
      <c r="BH71">
        <f t="shared" ca="1" si="74"/>
        <v>66.329856668204613</v>
      </c>
      <c r="BI71">
        <f t="shared" ca="1" si="74"/>
        <v>67.513513291940143</v>
      </c>
      <c r="BJ71">
        <f t="shared" ca="1" si="74"/>
        <v>68.477691260936339</v>
      </c>
      <c r="BK71">
        <f t="shared" ca="1" si="74"/>
        <v>66.889035838386889</v>
      </c>
      <c r="BL71">
        <f t="shared" ca="1" si="74"/>
        <v>67.736495050528745</v>
      </c>
      <c r="BM71">
        <f t="shared" ca="1" si="74"/>
        <v>66.801472829473894</v>
      </c>
      <c r="BN71">
        <f t="shared" ca="1" si="74"/>
        <v>68.080092993778138</v>
      </c>
      <c r="BO71">
        <f t="shared" ca="1" si="70"/>
        <v>10.080092993778138</v>
      </c>
    </row>
    <row r="72" spans="6:67">
      <c r="F72">
        <f t="shared" si="68"/>
        <v>60.99</v>
      </c>
      <c r="G72">
        <f t="shared" ref="G72:BN72" ca="1" si="75">F72*EXP(($B$2-0.5*$B$3^2)*$B$4+$B$3*_xlfn.NORM.INV(RAND(),0,SQRT($B$4)))</f>
        <v>62.159317118025442</v>
      </c>
      <c r="H72">
        <f t="shared" ca="1" si="75"/>
        <v>64.328471396753685</v>
      </c>
      <c r="I72">
        <f t="shared" ca="1" si="75"/>
        <v>65.612876677511622</v>
      </c>
      <c r="J72">
        <f t="shared" ca="1" si="75"/>
        <v>65.430729607791974</v>
      </c>
      <c r="K72">
        <f t="shared" ca="1" si="75"/>
        <v>65.30215953247783</v>
      </c>
      <c r="L72">
        <f t="shared" ca="1" si="75"/>
        <v>65.632965171944392</v>
      </c>
      <c r="M72">
        <f t="shared" ca="1" si="75"/>
        <v>64.663061773017944</v>
      </c>
      <c r="N72">
        <f t="shared" ca="1" si="75"/>
        <v>64.002676123814268</v>
      </c>
      <c r="O72">
        <f t="shared" ca="1" si="75"/>
        <v>64.782282397996227</v>
      </c>
      <c r="P72">
        <f t="shared" ca="1" si="75"/>
        <v>65.88578166524681</v>
      </c>
      <c r="Q72">
        <f t="shared" ca="1" si="75"/>
        <v>65.569540233205217</v>
      </c>
      <c r="R72">
        <f t="shared" ca="1" si="75"/>
        <v>66.211402314600477</v>
      </c>
      <c r="S72">
        <f t="shared" ca="1" si="75"/>
        <v>66.035515337016747</v>
      </c>
      <c r="T72">
        <f t="shared" ca="1" si="75"/>
        <v>67.576598966986808</v>
      </c>
      <c r="U72">
        <f t="shared" ca="1" si="75"/>
        <v>68.392800127405039</v>
      </c>
      <c r="V72">
        <f t="shared" ca="1" si="75"/>
        <v>70.6890612152676</v>
      </c>
      <c r="W72">
        <f t="shared" ca="1" si="75"/>
        <v>70.667463171032722</v>
      </c>
      <c r="X72">
        <f t="shared" ca="1" si="75"/>
        <v>68.470899832143445</v>
      </c>
      <c r="Y72">
        <f t="shared" ca="1" si="75"/>
        <v>70.066713558013376</v>
      </c>
      <c r="Z72">
        <f t="shared" ca="1" si="75"/>
        <v>71.230513206116441</v>
      </c>
      <c r="AA72">
        <f t="shared" ca="1" si="75"/>
        <v>70.481419916621718</v>
      </c>
      <c r="AB72">
        <f t="shared" ca="1" si="75"/>
        <v>71.720984580846903</v>
      </c>
      <c r="AC72">
        <f t="shared" ca="1" si="75"/>
        <v>71.848617561113002</v>
      </c>
      <c r="AD72">
        <f t="shared" ca="1" si="75"/>
        <v>70.569656526801822</v>
      </c>
      <c r="AE72">
        <f t="shared" ca="1" si="75"/>
        <v>73.238624379235873</v>
      </c>
      <c r="AF72">
        <f t="shared" ca="1" si="75"/>
        <v>72.107346674072389</v>
      </c>
      <c r="AG72">
        <f t="shared" ca="1" si="75"/>
        <v>72.102820953420746</v>
      </c>
      <c r="AH72">
        <f t="shared" ca="1" si="75"/>
        <v>70.968707323464244</v>
      </c>
      <c r="AI72">
        <f t="shared" ca="1" si="75"/>
        <v>69.547754727794199</v>
      </c>
      <c r="AJ72">
        <f t="shared" ca="1" si="75"/>
        <v>69.329800925401159</v>
      </c>
      <c r="AK72">
        <f t="shared" ca="1" si="75"/>
        <v>67.818111795193218</v>
      </c>
      <c r="AL72">
        <f t="shared" ca="1" si="75"/>
        <v>69.833898204538016</v>
      </c>
      <c r="AM72">
        <f t="shared" ca="1" si="75"/>
        <v>66.401539726179863</v>
      </c>
      <c r="AN72">
        <f t="shared" ca="1" si="75"/>
        <v>66.671256693662798</v>
      </c>
      <c r="AO72">
        <f t="shared" ca="1" si="75"/>
        <v>66.438845700385727</v>
      </c>
      <c r="AP72">
        <f t="shared" ca="1" si="75"/>
        <v>65.488339970102587</v>
      </c>
      <c r="AQ72">
        <f t="shared" ca="1" si="75"/>
        <v>63.692339827948274</v>
      </c>
      <c r="AR72">
        <f t="shared" ca="1" si="75"/>
        <v>64.518572876179562</v>
      </c>
      <c r="AS72">
        <f t="shared" ca="1" si="75"/>
        <v>63.688704699192257</v>
      </c>
      <c r="AT72">
        <f t="shared" ca="1" si="75"/>
        <v>63.627117546179271</v>
      </c>
      <c r="AU72">
        <f t="shared" ca="1" si="75"/>
        <v>62.804700968263461</v>
      </c>
      <c r="AV72">
        <f t="shared" ca="1" si="75"/>
        <v>62.869335542796016</v>
      </c>
      <c r="AW72">
        <f t="shared" ca="1" si="75"/>
        <v>63.127951998781597</v>
      </c>
      <c r="AX72">
        <f t="shared" ca="1" si="75"/>
        <v>61.984639294988831</v>
      </c>
      <c r="AY72">
        <f t="shared" ca="1" si="75"/>
        <v>63.124812634049015</v>
      </c>
      <c r="AZ72">
        <f t="shared" ca="1" si="75"/>
        <v>63.191162292143929</v>
      </c>
      <c r="BA72">
        <f t="shared" ca="1" si="75"/>
        <v>64.300082200765374</v>
      </c>
      <c r="BB72">
        <f t="shared" ca="1" si="75"/>
        <v>63.851349183253738</v>
      </c>
      <c r="BC72">
        <f t="shared" ca="1" si="75"/>
        <v>63.511557904224844</v>
      </c>
      <c r="BD72">
        <f t="shared" ca="1" si="75"/>
        <v>62.913879843206296</v>
      </c>
      <c r="BE72">
        <f t="shared" ca="1" si="75"/>
        <v>61.230287700494685</v>
      </c>
      <c r="BF72">
        <f t="shared" ca="1" si="75"/>
        <v>60.67929223287689</v>
      </c>
      <c r="BG72">
        <f t="shared" ca="1" si="75"/>
        <v>58.886868583603913</v>
      </c>
      <c r="BH72">
        <f t="shared" ca="1" si="75"/>
        <v>58.202074300405542</v>
      </c>
      <c r="BI72">
        <f t="shared" ca="1" si="75"/>
        <v>60.933207802860153</v>
      </c>
      <c r="BJ72">
        <f t="shared" ca="1" si="75"/>
        <v>59.519629489352681</v>
      </c>
      <c r="BK72">
        <f t="shared" ca="1" si="75"/>
        <v>59.428809099145155</v>
      </c>
      <c r="BL72">
        <f t="shared" ca="1" si="75"/>
        <v>59.367230508183603</v>
      </c>
      <c r="BM72">
        <f t="shared" ca="1" si="75"/>
        <v>60.021826996769718</v>
      </c>
      <c r="BN72">
        <f t="shared" ca="1" si="75"/>
        <v>60.540490031705595</v>
      </c>
      <c r="BO72">
        <f t="shared" ca="1" si="70"/>
        <v>2.5404900317055947</v>
      </c>
    </row>
    <row r="73" spans="6:67">
      <c r="F73">
        <f t="shared" si="68"/>
        <v>60.99</v>
      </c>
      <c r="G73">
        <f t="shared" ref="G73:BN73" ca="1" si="76">F73*EXP(($B$2-0.5*$B$3^2)*$B$4+$B$3*_xlfn.NORM.INV(RAND(),0,SQRT($B$4)))</f>
        <v>61.098825761423925</v>
      </c>
      <c r="H73">
        <f t="shared" ca="1" si="76"/>
        <v>62.102928956250935</v>
      </c>
      <c r="I73">
        <f t="shared" ca="1" si="76"/>
        <v>61.256622861250875</v>
      </c>
      <c r="J73">
        <f t="shared" ca="1" si="76"/>
        <v>59.489044934252256</v>
      </c>
      <c r="K73">
        <f t="shared" ca="1" si="76"/>
        <v>61.095263021903314</v>
      </c>
      <c r="L73">
        <f t="shared" ca="1" si="76"/>
        <v>60.240186443532046</v>
      </c>
      <c r="M73">
        <f t="shared" ca="1" si="76"/>
        <v>60.612481522248032</v>
      </c>
      <c r="N73">
        <f t="shared" ca="1" si="76"/>
        <v>60.643638994235587</v>
      </c>
      <c r="O73">
        <f t="shared" ca="1" si="76"/>
        <v>61.764763159587702</v>
      </c>
      <c r="P73">
        <f t="shared" ca="1" si="76"/>
        <v>64.072104350831324</v>
      </c>
      <c r="Q73">
        <f t="shared" ca="1" si="76"/>
        <v>64.283399021960207</v>
      </c>
      <c r="R73">
        <f t="shared" ca="1" si="76"/>
        <v>64.328478395849785</v>
      </c>
      <c r="S73">
        <f t="shared" ca="1" si="76"/>
        <v>66.974650568238388</v>
      </c>
      <c r="T73">
        <f t="shared" ca="1" si="76"/>
        <v>68.066015710363843</v>
      </c>
      <c r="U73">
        <f t="shared" ca="1" si="76"/>
        <v>70.295034410824925</v>
      </c>
      <c r="V73">
        <f t="shared" ca="1" si="76"/>
        <v>71.957889541153108</v>
      </c>
      <c r="W73">
        <f t="shared" ca="1" si="76"/>
        <v>72.824967555733664</v>
      </c>
      <c r="X73">
        <f t="shared" ca="1" si="76"/>
        <v>73.058958752054778</v>
      </c>
      <c r="Y73">
        <f t="shared" ca="1" si="76"/>
        <v>75.389443087026478</v>
      </c>
      <c r="Z73">
        <f t="shared" ca="1" si="76"/>
        <v>74.134274415378073</v>
      </c>
      <c r="AA73">
        <f t="shared" ca="1" si="76"/>
        <v>74.950973055118226</v>
      </c>
      <c r="AB73">
        <f t="shared" ca="1" si="76"/>
        <v>75.35248953042921</v>
      </c>
      <c r="AC73">
        <f t="shared" ca="1" si="76"/>
        <v>73.921162390219067</v>
      </c>
      <c r="AD73">
        <f t="shared" ca="1" si="76"/>
        <v>72.054367149086147</v>
      </c>
      <c r="AE73">
        <f t="shared" ca="1" si="76"/>
        <v>69.826631249145805</v>
      </c>
      <c r="AF73">
        <f t="shared" ca="1" si="76"/>
        <v>71.056321354493647</v>
      </c>
      <c r="AG73">
        <f t="shared" ca="1" si="76"/>
        <v>71.875932912452029</v>
      </c>
      <c r="AH73">
        <f t="shared" ca="1" si="76"/>
        <v>69.870565355586322</v>
      </c>
      <c r="AI73">
        <f t="shared" ca="1" si="76"/>
        <v>71.717427304653285</v>
      </c>
      <c r="AJ73">
        <f t="shared" ca="1" si="76"/>
        <v>71.750703579645219</v>
      </c>
      <c r="AK73">
        <f t="shared" ca="1" si="76"/>
        <v>71.150179329226873</v>
      </c>
      <c r="AL73">
        <f t="shared" ca="1" si="76"/>
        <v>68.92434829179119</v>
      </c>
      <c r="AM73">
        <f t="shared" ca="1" si="76"/>
        <v>67.079695037015625</v>
      </c>
      <c r="AN73">
        <f t="shared" ca="1" si="76"/>
        <v>67.223609402544824</v>
      </c>
      <c r="AO73">
        <f t="shared" ca="1" si="76"/>
        <v>67.349068873503342</v>
      </c>
      <c r="AP73">
        <f t="shared" ca="1" si="76"/>
        <v>68.348420994473614</v>
      </c>
      <c r="AQ73">
        <f t="shared" ca="1" si="76"/>
        <v>67.521619542474767</v>
      </c>
      <c r="AR73">
        <f t="shared" ca="1" si="76"/>
        <v>66.052971884964933</v>
      </c>
      <c r="AS73">
        <f t="shared" ca="1" si="76"/>
        <v>62.497801918625427</v>
      </c>
      <c r="AT73">
        <f t="shared" ca="1" si="76"/>
        <v>61.565764244357467</v>
      </c>
      <c r="AU73">
        <f t="shared" ca="1" si="76"/>
        <v>60.847954908839881</v>
      </c>
      <c r="AV73">
        <f t="shared" ca="1" si="76"/>
        <v>61.292915434059864</v>
      </c>
      <c r="AW73">
        <f t="shared" ca="1" si="76"/>
        <v>62.266143867621018</v>
      </c>
      <c r="AX73">
        <f t="shared" ca="1" si="76"/>
        <v>63.841108800666063</v>
      </c>
      <c r="AY73">
        <f t="shared" ca="1" si="76"/>
        <v>62.793648803641318</v>
      </c>
      <c r="AZ73">
        <f t="shared" ca="1" si="76"/>
        <v>62.851527835783742</v>
      </c>
      <c r="BA73">
        <f t="shared" ca="1" si="76"/>
        <v>62.685916471972341</v>
      </c>
      <c r="BB73">
        <f t="shared" ca="1" si="76"/>
        <v>61.431506072475997</v>
      </c>
      <c r="BC73">
        <f t="shared" ca="1" si="76"/>
        <v>60.530964127959884</v>
      </c>
      <c r="BD73">
        <f t="shared" ca="1" si="76"/>
        <v>64.069035675926045</v>
      </c>
      <c r="BE73">
        <f t="shared" ca="1" si="76"/>
        <v>65.775153860678131</v>
      </c>
      <c r="BF73">
        <f t="shared" ca="1" si="76"/>
        <v>64.953413859689491</v>
      </c>
      <c r="BG73">
        <f t="shared" ca="1" si="76"/>
        <v>65.030474031832526</v>
      </c>
      <c r="BH73">
        <f t="shared" ca="1" si="76"/>
        <v>65.184918797602435</v>
      </c>
      <c r="BI73">
        <f t="shared" ca="1" si="76"/>
        <v>66.612898064017074</v>
      </c>
      <c r="BJ73">
        <f t="shared" ca="1" si="76"/>
        <v>66.152733966053574</v>
      </c>
      <c r="BK73">
        <f t="shared" ca="1" si="76"/>
        <v>67.130668514423292</v>
      </c>
      <c r="BL73">
        <f t="shared" ca="1" si="76"/>
        <v>67.156400133588065</v>
      </c>
      <c r="BM73">
        <f t="shared" ca="1" si="76"/>
        <v>66.657336497564046</v>
      </c>
      <c r="BN73">
        <f t="shared" ca="1" si="76"/>
        <v>67.03481555788035</v>
      </c>
      <c r="BO73">
        <f t="shared" ca="1" si="70"/>
        <v>9.03481555788035</v>
      </c>
    </row>
    <row r="74" spans="6:67">
      <c r="F74">
        <f t="shared" si="68"/>
        <v>60.99</v>
      </c>
      <c r="G74">
        <f t="shared" ref="G74:BN74" ca="1" si="77">F74*EXP(($B$2-0.5*$B$3^2)*$B$4+$B$3*_xlfn.NORM.INV(RAND(),0,SQRT($B$4)))</f>
        <v>61.965245446277819</v>
      </c>
      <c r="H74">
        <f t="shared" ca="1" si="77"/>
        <v>62.259096634279977</v>
      </c>
      <c r="I74">
        <f t="shared" ca="1" si="77"/>
        <v>64.032662710250122</v>
      </c>
      <c r="J74">
        <f t="shared" ca="1" si="77"/>
        <v>62.862704815280416</v>
      </c>
      <c r="K74">
        <f t="shared" ca="1" si="77"/>
        <v>63.74306511472367</v>
      </c>
      <c r="L74">
        <f t="shared" ca="1" si="77"/>
        <v>64.412927490157401</v>
      </c>
      <c r="M74">
        <f t="shared" ca="1" si="77"/>
        <v>65.80155895665925</v>
      </c>
      <c r="N74">
        <f t="shared" ca="1" si="77"/>
        <v>66.00498397877962</v>
      </c>
      <c r="O74">
        <f t="shared" ca="1" si="77"/>
        <v>66.139764105692365</v>
      </c>
      <c r="P74">
        <f t="shared" ca="1" si="77"/>
        <v>65.352844102081221</v>
      </c>
      <c r="Q74">
        <f t="shared" ca="1" si="77"/>
        <v>63.347249527245523</v>
      </c>
      <c r="R74">
        <f t="shared" ca="1" si="77"/>
        <v>63.155026182340187</v>
      </c>
      <c r="S74">
        <f t="shared" ca="1" si="77"/>
        <v>62.077707769134811</v>
      </c>
      <c r="T74">
        <f t="shared" ca="1" si="77"/>
        <v>63.524020288564707</v>
      </c>
      <c r="U74">
        <f t="shared" ca="1" si="77"/>
        <v>65.68404482602736</v>
      </c>
      <c r="V74">
        <f t="shared" ca="1" si="77"/>
        <v>67.629451497991866</v>
      </c>
      <c r="W74">
        <f t="shared" ca="1" si="77"/>
        <v>69.32238034822457</v>
      </c>
      <c r="X74">
        <f t="shared" ca="1" si="77"/>
        <v>69.175223496601532</v>
      </c>
      <c r="Y74">
        <f t="shared" ca="1" si="77"/>
        <v>69.783505796100613</v>
      </c>
      <c r="Z74">
        <f t="shared" ca="1" si="77"/>
        <v>70.540934424545199</v>
      </c>
      <c r="AA74">
        <f t="shared" ca="1" si="77"/>
        <v>71.009577483985836</v>
      </c>
      <c r="AB74">
        <f t="shared" ca="1" si="77"/>
        <v>71.296056785129338</v>
      </c>
      <c r="AC74">
        <f t="shared" ca="1" si="77"/>
        <v>71.531765449419339</v>
      </c>
      <c r="AD74">
        <f t="shared" ca="1" si="77"/>
        <v>72.35719426658477</v>
      </c>
      <c r="AE74">
        <f t="shared" ca="1" si="77"/>
        <v>72.807259913333922</v>
      </c>
      <c r="AF74">
        <f t="shared" ca="1" si="77"/>
        <v>74.794837370411003</v>
      </c>
      <c r="AG74">
        <f t="shared" ca="1" si="77"/>
        <v>75.676365260201024</v>
      </c>
      <c r="AH74">
        <f t="shared" ca="1" si="77"/>
        <v>77.673852799378594</v>
      </c>
      <c r="AI74">
        <f t="shared" ca="1" si="77"/>
        <v>79.252672843374057</v>
      </c>
      <c r="AJ74">
        <f t="shared" ca="1" si="77"/>
        <v>81.015957210852122</v>
      </c>
      <c r="AK74">
        <f t="shared" ca="1" si="77"/>
        <v>80.631531414422014</v>
      </c>
      <c r="AL74">
        <f t="shared" ca="1" si="77"/>
        <v>76.319026835109042</v>
      </c>
      <c r="AM74">
        <f t="shared" ca="1" si="77"/>
        <v>79.774957595324153</v>
      </c>
      <c r="AN74">
        <f t="shared" ca="1" si="77"/>
        <v>78.696716740295869</v>
      </c>
      <c r="AO74">
        <f t="shared" ca="1" si="77"/>
        <v>76.63246312187195</v>
      </c>
      <c r="AP74">
        <f t="shared" ca="1" si="77"/>
        <v>76.159560324211427</v>
      </c>
      <c r="AQ74">
        <f t="shared" ca="1" si="77"/>
        <v>78.728044571794868</v>
      </c>
      <c r="AR74">
        <f t="shared" ca="1" si="77"/>
        <v>78.442633960194428</v>
      </c>
      <c r="AS74">
        <f t="shared" ca="1" si="77"/>
        <v>79.68297387627527</v>
      </c>
      <c r="AT74">
        <f t="shared" ca="1" si="77"/>
        <v>79.637703745863377</v>
      </c>
      <c r="AU74">
        <f t="shared" ca="1" si="77"/>
        <v>77.890113015037784</v>
      </c>
      <c r="AV74">
        <f t="shared" ca="1" si="77"/>
        <v>77.820007742627197</v>
      </c>
      <c r="AW74">
        <f t="shared" ca="1" si="77"/>
        <v>79.466201792974488</v>
      </c>
      <c r="AX74">
        <f t="shared" ca="1" si="77"/>
        <v>79.335241564176215</v>
      </c>
      <c r="AY74">
        <f t="shared" ca="1" si="77"/>
        <v>79.020082523883787</v>
      </c>
      <c r="AZ74">
        <f t="shared" ca="1" si="77"/>
        <v>80.882290145784907</v>
      </c>
      <c r="BA74">
        <f t="shared" ca="1" si="77"/>
        <v>84.323418348745534</v>
      </c>
      <c r="BB74">
        <f t="shared" ca="1" si="77"/>
        <v>86.648594185025516</v>
      </c>
      <c r="BC74">
        <f t="shared" ca="1" si="77"/>
        <v>88.457885216794068</v>
      </c>
      <c r="BD74">
        <f t="shared" ca="1" si="77"/>
        <v>88.409149857789174</v>
      </c>
      <c r="BE74">
        <f t="shared" ca="1" si="77"/>
        <v>89.209010114313656</v>
      </c>
      <c r="BF74">
        <f t="shared" ca="1" si="77"/>
        <v>83.311580707314121</v>
      </c>
      <c r="BG74">
        <f t="shared" ca="1" si="77"/>
        <v>84.940334114974249</v>
      </c>
      <c r="BH74">
        <f t="shared" ca="1" si="77"/>
        <v>84.086413943007415</v>
      </c>
      <c r="BI74">
        <f t="shared" ca="1" si="77"/>
        <v>82.977913961799331</v>
      </c>
      <c r="BJ74">
        <f t="shared" ca="1" si="77"/>
        <v>84.71156256345229</v>
      </c>
      <c r="BK74">
        <f t="shared" ca="1" si="77"/>
        <v>87.837513302978024</v>
      </c>
      <c r="BL74">
        <f t="shared" ca="1" si="77"/>
        <v>85.893457722315574</v>
      </c>
      <c r="BM74">
        <f t="shared" ca="1" si="77"/>
        <v>82.731191031925263</v>
      </c>
      <c r="BN74">
        <f t="shared" ca="1" si="77"/>
        <v>84.731223610325586</v>
      </c>
      <c r="BO74">
        <f t="shared" ca="1" si="70"/>
        <v>26.731223610325586</v>
      </c>
    </row>
    <row r="75" spans="6:67">
      <c r="F75">
        <f t="shared" si="68"/>
        <v>60.99</v>
      </c>
      <c r="G75">
        <f t="shared" ref="G75:BN75" ca="1" si="78">F75*EXP(($B$2-0.5*$B$3^2)*$B$4+$B$3*_xlfn.NORM.INV(RAND(),0,SQRT($B$4)))</f>
        <v>62.076071823871985</v>
      </c>
      <c r="H75">
        <f t="shared" ca="1" si="78"/>
        <v>62.809132566382182</v>
      </c>
      <c r="I75">
        <f t="shared" ca="1" si="78"/>
        <v>63.328757494388626</v>
      </c>
      <c r="J75">
        <f t="shared" ca="1" si="78"/>
        <v>63.541791690399819</v>
      </c>
      <c r="K75">
        <f t="shared" ca="1" si="78"/>
        <v>63.96700716224688</v>
      </c>
      <c r="L75">
        <f t="shared" ca="1" si="78"/>
        <v>63.999899884585595</v>
      </c>
      <c r="M75">
        <f t="shared" ca="1" si="78"/>
        <v>62.792453491602998</v>
      </c>
      <c r="N75">
        <f t="shared" ca="1" si="78"/>
        <v>61.748019437769763</v>
      </c>
      <c r="O75">
        <f t="shared" ca="1" si="78"/>
        <v>60.835188987727115</v>
      </c>
      <c r="P75">
        <f t="shared" ca="1" si="78"/>
        <v>58.82859784259027</v>
      </c>
      <c r="Q75">
        <f t="shared" ca="1" si="78"/>
        <v>60.131172377356137</v>
      </c>
      <c r="R75">
        <f t="shared" ca="1" si="78"/>
        <v>56.683638344660764</v>
      </c>
      <c r="S75">
        <f t="shared" ca="1" si="78"/>
        <v>56.101140202611376</v>
      </c>
      <c r="T75">
        <f t="shared" ca="1" si="78"/>
        <v>56.40538556220195</v>
      </c>
      <c r="U75">
        <f t="shared" ca="1" si="78"/>
        <v>56.082883814494899</v>
      </c>
      <c r="V75">
        <f t="shared" ca="1" si="78"/>
        <v>55.54001279746511</v>
      </c>
      <c r="W75">
        <f t="shared" ca="1" si="78"/>
        <v>54.799917834645989</v>
      </c>
      <c r="X75">
        <f t="shared" ca="1" si="78"/>
        <v>54.773606403267237</v>
      </c>
      <c r="Y75">
        <f t="shared" ca="1" si="78"/>
        <v>54.906916837244857</v>
      </c>
      <c r="Z75">
        <f t="shared" ca="1" si="78"/>
        <v>55.512681995988999</v>
      </c>
      <c r="AA75">
        <f t="shared" ca="1" si="78"/>
        <v>55.078561075649567</v>
      </c>
      <c r="AB75">
        <f t="shared" ca="1" si="78"/>
        <v>55.749613873680822</v>
      </c>
      <c r="AC75">
        <f t="shared" ca="1" si="78"/>
        <v>55.744094653164765</v>
      </c>
      <c r="AD75">
        <f t="shared" ca="1" si="78"/>
        <v>56.85596169265493</v>
      </c>
      <c r="AE75">
        <f t="shared" ca="1" si="78"/>
        <v>57.152715708251712</v>
      </c>
      <c r="AF75">
        <f t="shared" ca="1" si="78"/>
        <v>57.677265642298536</v>
      </c>
      <c r="AG75">
        <f t="shared" ca="1" si="78"/>
        <v>54.648064732818362</v>
      </c>
      <c r="AH75">
        <f t="shared" ca="1" si="78"/>
        <v>55.195821021712334</v>
      </c>
      <c r="AI75">
        <f t="shared" ca="1" si="78"/>
        <v>54.876547642793774</v>
      </c>
      <c r="AJ75">
        <f t="shared" ca="1" si="78"/>
        <v>55.120892553830224</v>
      </c>
      <c r="AK75">
        <f t="shared" ca="1" si="78"/>
        <v>56.22679537853314</v>
      </c>
      <c r="AL75">
        <f t="shared" ca="1" si="78"/>
        <v>56.396602787718436</v>
      </c>
      <c r="AM75">
        <f t="shared" ca="1" si="78"/>
        <v>55.562098150838487</v>
      </c>
      <c r="AN75">
        <f t="shared" ca="1" si="78"/>
        <v>55.572482637869307</v>
      </c>
      <c r="AO75">
        <f t="shared" ca="1" si="78"/>
        <v>54.945118765384755</v>
      </c>
      <c r="AP75">
        <f t="shared" ca="1" si="78"/>
        <v>54.73351520075304</v>
      </c>
      <c r="AQ75">
        <f t="shared" ca="1" si="78"/>
        <v>56.761092151730956</v>
      </c>
      <c r="AR75">
        <f t="shared" ca="1" si="78"/>
        <v>56.85011597262541</v>
      </c>
      <c r="AS75">
        <f t="shared" ca="1" si="78"/>
        <v>55.728152382627854</v>
      </c>
      <c r="AT75">
        <f t="shared" ca="1" si="78"/>
        <v>56.55136334040165</v>
      </c>
      <c r="AU75">
        <f t="shared" ca="1" si="78"/>
        <v>55.328963782411378</v>
      </c>
      <c r="AV75">
        <f t="shared" ca="1" si="78"/>
        <v>55.709773597135182</v>
      </c>
      <c r="AW75">
        <f t="shared" ca="1" si="78"/>
        <v>54.976573340541499</v>
      </c>
      <c r="AX75">
        <f t="shared" ca="1" si="78"/>
        <v>55.99907418870206</v>
      </c>
      <c r="AY75">
        <f t="shared" ca="1" si="78"/>
        <v>55.598016186702075</v>
      </c>
      <c r="AZ75">
        <f t="shared" ca="1" si="78"/>
        <v>55.586061679434636</v>
      </c>
      <c r="BA75">
        <f t="shared" ca="1" si="78"/>
        <v>57.016879689837012</v>
      </c>
      <c r="BB75">
        <f t="shared" ca="1" si="78"/>
        <v>58.165159150015349</v>
      </c>
      <c r="BC75">
        <f t="shared" ca="1" si="78"/>
        <v>57.654456335541227</v>
      </c>
      <c r="BD75">
        <f t="shared" ca="1" si="78"/>
        <v>55.978778004002919</v>
      </c>
      <c r="BE75">
        <f t="shared" ca="1" si="78"/>
        <v>55.699133924841512</v>
      </c>
      <c r="BF75">
        <f t="shared" ca="1" si="78"/>
        <v>54.778682343475417</v>
      </c>
      <c r="BG75">
        <f t="shared" ca="1" si="78"/>
        <v>54.961037961126621</v>
      </c>
      <c r="BH75">
        <f t="shared" ca="1" si="78"/>
        <v>56.536469437722182</v>
      </c>
      <c r="BI75">
        <f t="shared" ca="1" si="78"/>
        <v>56.492227678363626</v>
      </c>
      <c r="BJ75">
        <f t="shared" ca="1" si="78"/>
        <v>54.469048959656654</v>
      </c>
      <c r="BK75">
        <f t="shared" ca="1" si="78"/>
        <v>54.150645030462094</v>
      </c>
      <c r="BL75">
        <f t="shared" ca="1" si="78"/>
        <v>54.329460798971056</v>
      </c>
      <c r="BM75">
        <f t="shared" ca="1" si="78"/>
        <v>54.676293750677978</v>
      </c>
      <c r="BN75">
        <f t="shared" ca="1" si="78"/>
        <v>53.231643681203494</v>
      </c>
      <c r="BO75">
        <f t="shared" ca="1" si="70"/>
        <v>0</v>
      </c>
    </row>
    <row r="76" spans="6:67">
      <c r="F76">
        <f t="shared" si="68"/>
        <v>60.99</v>
      </c>
      <c r="G76">
        <f t="shared" ref="G76:BN76" ca="1" si="79">F76*EXP(($B$2-0.5*$B$3^2)*$B$4+$B$3*_xlfn.NORM.INV(RAND(),0,SQRT($B$4)))</f>
        <v>63.035950468402156</v>
      </c>
      <c r="H76">
        <f t="shared" ca="1" si="79"/>
        <v>63.923526473899194</v>
      </c>
      <c r="I76">
        <f t="shared" ca="1" si="79"/>
        <v>64.612451973036229</v>
      </c>
      <c r="J76">
        <f t="shared" ca="1" si="79"/>
        <v>64.734941364472192</v>
      </c>
      <c r="K76">
        <f t="shared" ca="1" si="79"/>
        <v>63.448102352816385</v>
      </c>
      <c r="L76">
        <f t="shared" ca="1" si="79"/>
        <v>61.869592065586346</v>
      </c>
      <c r="M76">
        <f t="shared" ca="1" si="79"/>
        <v>60.214986097465356</v>
      </c>
      <c r="N76">
        <f t="shared" ca="1" si="79"/>
        <v>60.850489982576832</v>
      </c>
      <c r="O76">
        <f t="shared" ca="1" si="79"/>
        <v>62.121309247304374</v>
      </c>
      <c r="P76">
        <f t="shared" ca="1" si="79"/>
        <v>61.930265082369289</v>
      </c>
      <c r="Q76">
        <f t="shared" ca="1" si="79"/>
        <v>65.066821142049761</v>
      </c>
      <c r="R76">
        <f t="shared" ca="1" si="79"/>
        <v>65.691306271885921</v>
      </c>
      <c r="S76">
        <f t="shared" ca="1" si="79"/>
        <v>66.42295811319066</v>
      </c>
      <c r="T76">
        <f t="shared" ca="1" si="79"/>
        <v>67.233665432651577</v>
      </c>
      <c r="U76">
        <f t="shared" ca="1" si="79"/>
        <v>65.36315035151236</v>
      </c>
      <c r="V76">
        <f t="shared" ca="1" si="79"/>
        <v>65.69910450640883</v>
      </c>
      <c r="W76">
        <f t="shared" ca="1" si="79"/>
        <v>64.295487386955557</v>
      </c>
      <c r="X76">
        <f t="shared" ca="1" si="79"/>
        <v>64.304298917673421</v>
      </c>
      <c r="Y76">
        <f t="shared" ca="1" si="79"/>
        <v>63.722217464310035</v>
      </c>
      <c r="Z76">
        <f t="shared" ca="1" si="79"/>
        <v>65.45709355521754</v>
      </c>
      <c r="AA76">
        <f t="shared" ca="1" si="79"/>
        <v>63.620990102687934</v>
      </c>
      <c r="AB76">
        <f t="shared" ca="1" si="79"/>
        <v>63.531913450137523</v>
      </c>
      <c r="AC76">
        <f t="shared" ca="1" si="79"/>
        <v>62.661660307058611</v>
      </c>
      <c r="AD76">
        <f t="shared" ca="1" si="79"/>
        <v>61.125850762316517</v>
      </c>
      <c r="AE76">
        <f t="shared" ca="1" si="79"/>
        <v>60.49969079907622</v>
      </c>
      <c r="AF76">
        <f t="shared" ca="1" si="79"/>
        <v>59.917177453307104</v>
      </c>
      <c r="AG76">
        <f t="shared" ca="1" si="79"/>
        <v>60.88203489577878</v>
      </c>
      <c r="AH76">
        <f t="shared" ca="1" si="79"/>
        <v>61.400450287983269</v>
      </c>
      <c r="AI76">
        <f t="shared" ca="1" si="79"/>
        <v>59.87650739818973</v>
      </c>
      <c r="AJ76">
        <f t="shared" ca="1" si="79"/>
        <v>60.90940481144245</v>
      </c>
      <c r="AK76">
        <f t="shared" ca="1" si="79"/>
        <v>59.886968759926212</v>
      </c>
      <c r="AL76">
        <f t="shared" ca="1" si="79"/>
        <v>58.394589967858131</v>
      </c>
      <c r="AM76">
        <f t="shared" ca="1" si="79"/>
        <v>57.860734515637034</v>
      </c>
      <c r="AN76">
        <f t="shared" ca="1" si="79"/>
        <v>56.674568598442541</v>
      </c>
      <c r="AO76">
        <f t="shared" ca="1" si="79"/>
        <v>58.031433028825653</v>
      </c>
      <c r="AP76">
        <f t="shared" ca="1" si="79"/>
        <v>57.807453598055204</v>
      </c>
      <c r="AQ76">
        <f t="shared" ca="1" si="79"/>
        <v>57.406718227032194</v>
      </c>
      <c r="AR76">
        <f t="shared" ca="1" si="79"/>
        <v>60.548349223122344</v>
      </c>
      <c r="AS76">
        <f t="shared" ca="1" si="79"/>
        <v>61.313168991824114</v>
      </c>
      <c r="AT76">
        <f t="shared" ca="1" si="79"/>
        <v>63.099345917071389</v>
      </c>
      <c r="AU76">
        <f t="shared" ca="1" si="79"/>
        <v>62.033954071211149</v>
      </c>
      <c r="AV76">
        <f t="shared" ca="1" si="79"/>
        <v>61.035902589045897</v>
      </c>
      <c r="AW76">
        <f t="shared" ca="1" si="79"/>
        <v>61.140735288078289</v>
      </c>
      <c r="AX76">
        <f t="shared" ca="1" si="79"/>
        <v>62.071893192226689</v>
      </c>
      <c r="AY76">
        <f t="shared" ca="1" si="79"/>
        <v>60.773418847100729</v>
      </c>
      <c r="AZ76">
        <f t="shared" ca="1" si="79"/>
        <v>60.847502018321237</v>
      </c>
      <c r="BA76">
        <f t="shared" ca="1" si="79"/>
        <v>62.241313026058364</v>
      </c>
      <c r="BB76">
        <f t="shared" ca="1" si="79"/>
        <v>62.582000903787346</v>
      </c>
      <c r="BC76">
        <f t="shared" ca="1" si="79"/>
        <v>64.83761327884919</v>
      </c>
      <c r="BD76">
        <f t="shared" ca="1" si="79"/>
        <v>64.021497391460628</v>
      </c>
      <c r="BE76">
        <f t="shared" ca="1" si="79"/>
        <v>63.567904802044396</v>
      </c>
      <c r="BF76">
        <f t="shared" ca="1" si="79"/>
        <v>63.811261692495044</v>
      </c>
      <c r="BG76">
        <f t="shared" ca="1" si="79"/>
        <v>63.432769585757583</v>
      </c>
      <c r="BH76">
        <f t="shared" ca="1" si="79"/>
        <v>63.309472107973477</v>
      </c>
      <c r="BI76">
        <f t="shared" ca="1" si="79"/>
        <v>61.700141350172672</v>
      </c>
      <c r="BJ76">
        <f t="shared" ca="1" si="79"/>
        <v>61.110312133176215</v>
      </c>
      <c r="BK76">
        <f t="shared" ca="1" si="79"/>
        <v>61.789247966449516</v>
      </c>
      <c r="BL76">
        <f t="shared" ca="1" si="79"/>
        <v>61.649929717095731</v>
      </c>
      <c r="BM76">
        <f t="shared" ca="1" si="79"/>
        <v>61.763955374936501</v>
      </c>
      <c r="BN76">
        <f t="shared" ca="1" si="79"/>
        <v>59.947794560574174</v>
      </c>
      <c r="BO76">
        <f t="shared" ca="1" si="70"/>
        <v>1.9477945605741738</v>
      </c>
    </row>
    <row r="77" spans="6:67">
      <c r="F77">
        <f t="shared" si="68"/>
        <v>60.99</v>
      </c>
      <c r="G77">
        <f t="shared" ref="G77:BN77" ca="1" si="80">F77*EXP(($B$2-0.5*$B$3^2)*$B$4+$B$3*_xlfn.NORM.INV(RAND(),0,SQRT($B$4)))</f>
        <v>61.874043567046812</v>
      </c>
      <c r="H77">
        <f t="shared" ca="1" si="80"/>
        <v>62.921289662398564</v>
      </c>
      <c r="I77">
        <f t="shared" ca="1" si="80"/>
        <v>63.522122604347402</v>
      </c>
      <c r="J77">
        <f t="shared" ca="1" si="80"/>
        <v>64.274860876148836</v>
      </c>
      <c r="K77">
        <f t="shared" ca="1" si="80"/>
        <v>63.112916094346382</v>
      </c>
      <c r="L77">
        <f t="shared" ca="1" si="80"/>
        <v>60.767097783581846</v>
      </c>
      <c r="M77">
        <f t="shared" ca="1" si="80"/>
        <v>61.762304209014864</v>
      </c>
      <c r="N77">
        <f t="shared" ca="1" si="80"/>
        <v>60.307765083368054</v>
      </c>
      <c r="O77">
        <f t="shared" ca="1" si="80"/>
        <v>59.490239735742094</v>
      </c>
      <c r="P77">
        <f t="shared" ca="1" si="80"/>
        <v>58.626025003298302</v>
      </c>
      <c r="Q77">
        <f t="shared" ca="1" si="80"/>
        <v>58.052808673973537</v>
      </c>
      <c r="R77">
        <f t="shared" ca="1" si="80"/>
        <v>55.209056003517794</v>
      </c>
      <c r="S77">
        <f t="shared" ca="1" si="80"/>
        <v>55.637609499298115</v>
      </c>
      <c r="T77">
        <f t="shared" ca="1" si="80"/>
        <v>57.8081318918656</v>
      </c>
      <c r="U77">
        <f t="shared" ca="1" si="80"/>
        <v>56.477384317429284</v>
      </c>
      <c r="V77">
        <f t="shared" ca="1" si="80"/>
        <v>58.309297438430043</v>
      </c>
      <c r="W77">
        <f t="shared" ca="1" si="80"/>
        <v>59.647455031552681</v>
      </c>
      <c r="X77">
        <f t="shared" ca="1" si="80"/>
        <v>60.627832748051503</v>
      </c>
      <c r="Y77">
        <f t="shared" ca="1" si="80"/>
        <v>59.81209902504591</v>
      </c>
      <c r="Z77">
        <f t="shared" ca="1" si="80"/>
        <v>61.791478527037178</v>
      </c>
      <c r="AA77">
        <f t="shared" ca="1" si="80"/>
        <v>61.789156969137359</v>
      </c>
      <c r="AB77">
        <f t="shared" ca="1" si="80"/>
        <v>62.633932578047784</v>
      </c>
      <c r="AC77">
        <f t="shared" ca="1" si="80"/>
        <v>63.087517846959344</v>
      </c>
      <c r="AD77">
        <f t="shared" ca="1" si="80"/>
        <v>64.751939374616953</v>
      </c>
      <c r="AE77">
        <f t="shared" ca="1" si="80"/>
        <v>63.148653760775787</v>
      </c>
      <c r="AF77">
        <f t="shared" ca="1" si="80"/>
        <v>62.966938812149458</v>
      </c>
      <c r="AG77">
        <f t="shared" ca="1" si="80"/>
        <v>62.544495027495266</v>
      </c>
      <c r="AH77">
        <f t="shared" ca="1" si="80"/>
        <v>61.902322914299177</v>
      </c>
      <c r="AI77">
        <f t="shared" ca="1" si="80"/>
        <v>62.887629069269941</v>
      </c>
      <c r="AJ77">
        <f t="shared" ca="1" si="80"/>
        <v>64.409129586518887</v>
      </c>
      <c r="AK77">
        <f t="shared" ca="1" si="80"/>
        <v>62.364910949417116</v>
      </c>
      <c r="AL77">
        <f t="shared" ca="1" si="80"/>
        <v>59.591170601030264</v>
      </c>
      <c r="AM77">
        <f t="shared" ca="1" si="80"/>
        <v>58.197122362847587</v>
      </c>
      <c r="AN77">
        <f t="shared" ca="1" si="80"/>
        <v>59.313208182348639</v>
      </c>
      <c r="AO77">
        <f t="shared" ca="1" si="80"/>
        <v>58.479661757381606</v>
      </c>
      <c r="AP77">
        <f t="shared" ca="1" si="80"/>
        <v>60.533138703460565</v>
      </c>
      <c r="AQ77">
        <f t="shared" ca="1" si="80"/>
        <v>63.147317447561257</v>
      </c>
      <c r="AR77">
        <f t="shared" ca="1" si="80"/>
        <v>64.054162882387999</v>
      </c>
      <c r="AS77">
        <f t="shared" ca="1" si="80"/>
        <v>64.88867480292231</v>
      </c>
      <c r="AT77">
        <f t="shared" ca="1" si="80"/>
        <v>64.433558039009682</v>
      </c>
      <c r="AU77">
        <f t="shared" ca="1" si="80"/>
        <v>65.14045592961412</v>
      </c>
      <c r="AV77">
        <f t="shared" ca="1" si="80"/>
        <v>65.522475452488294</v>
      </c>
      <c r="AW77">
        <f t="shared" ca="1" si="80"/>
        <v>64.969897208697319</v>
      </c>
      <c r="AX77">
        <f t="shared" ca="1" si="80"/>
        <v>65.536637442229861</v>
      </c>
      <c r="AY77">
        <f t="shared" ca="1" si="80"/>
        <v>65.409226335189516</v>
      </c>
      <c r="AZ77">
        <f t="shared" ca="1" si="80"/>
        <v>66.617536517146789</v>
      </c>
      <c r="BA77">
        <f t="shared" ca="1" si="80"/>
        <v>67.084342109242527</v>
      </c>
      <c r="BB77">
        <f t="shared" ca="1" si="80"/>
        <v>67.11098849089413</v>
      </c>
      <c r="BC77">
        <f t="shared" ca="1" si="80"/>
        <v>67.265966684890159</v>
      </c>
      <c r="BD77">
        <f t="shared" ca="1" si="80"/>
        <v>70.129137790322844</v>
      </c>
      <c r="BE77">
        <f t="shared" ca="1" si="80"/>
        <v>70.805775279496473</v>
      </c>
      <c r="BF77">
        <f t="shared" ca="1" si="80"/>
        <v>73.266602258147202</v>
      </c>
      <c r="BG77">
        <f t="shared" ca="1" si="80"/>
        <v>73.494773237170833</v>
      </c>
      <c r="BH77">
        <f t="shared" ca="1" si="80"/>
        <v>75.199790688817487</v>
      </c>
      <c r="BI77">
        <f t="shared" ca="1" si="80"/>
        <v>74.034667773243015</v>
      </c>
      <c r="BJ77">
        <f t="shared" ca="1" si="80"/>
        <v>75.547486988207609</v>
      </c>
      <c r="BK77">
        <f t="shared" ca="1" si="80"/>
        <v>75.684768851943289</v>
      </c>
      <c r="BL77">
        <f t="shared" ca="1" si="80"/>
        <v>77.736851758134534</v>
      </c>
      <c r="BM77">
        <f t="shared" ca="1" si="80"/>
        <v>78.679716983211833</v>
      </c>
      <c r="BN77">
        <f t="shared" ca="1" si="80"/>
        <v>78.028716125267181</v>
      </c>
      <c r="BO77">
        <f t="shared" ca="1" si="70"/>
        <v>20.028716125267181</v>
      </c>
    </row>
    <row r="78" spans="6:67">
      <c r="F78">
        <f t="shared" si="68"/>
        <v>60.99</v>
      </c>
      <c r="G78">
        <f t="shared" ref="G78:BN78" ca="1" si="81">F78*EXP(($B$2-0.5*$B$3^2)*$B$4+$B$3*_xlfn.NORM.INV(RAND(),0,SQRT($B$4)))</f>
        <v>59.769580675221995</v>
      </c>
      <c r="H78">
        <f t="shared" ca="1" si="81"/>
        <v>59.738169982031224</v>
      </c>
      <c r="I78">
        <f t="shared" ca="1" si="81"/>
        <v>61.760723952398514</v>
      </c>
      <c r="J78">
        <f t="shared" ca="1" si="81"/>
        <v>60.858070403019909</v>
      </c>
      <c r="K78">
        <f t="shared" ca="1" si="81"/>
        <v>60.2987682790421</v>
      </c>
      <c r="L78">
        <f t="shared" ca="1" si="81"/>
        <v>61.4224743838111</v>
      </c>
      <c r="M78">
        <f t="shared" ca="1" si="81"/>
        <v>62.949643108475264</v>
      </c>
      <c r="N78">
        <f t="shared" ca="1" si="81"/>
        <v>63.545770604189272</v>
      </c>
      <c r="O78">
        <f t="shared" ca="1" si="81"/>
        <v>64.026628671661285</v>
      </c>
      <c r="P78">
        <f t="shared" ca="1" si="81"/>
        <v>62.540660559163626</v>
      </c>
      <c r="Q78">
        <f t="shared" ca="1" si="81"/>
        <v>61.662124428798464</v>
      </c>
      <c r="R78">
        <f t="shared" ca="1" si="81"/>
        <v>62.698025715366214</v>
      </c>
      <c r="S78">
        <f t="shared" ca="1" si="81"/>
        <v>61.800244135705206</v>
      </c>
      <c r="T78">
        <f t="shared" ca="1" si="81"/>
        <v>61.360345217796443</v>
      </c>
      <c r="U78">
        <f t="shared" ca="1" si="81"/>
        <v>61.101863199950181</v>
      </c>
      <c r="V78">
        <f t="shared" ca="1" si="81"/>
        <v>60.780686813465529</v>
      </c>
      <c r="W78">
        <f t="shared" ca="1" si="81"/>
        <v>62.048749761638113</v>
      </c>
      <c r="X78">
        <f t="shared" ca="1" si="81"/>
        <v>64.534417001469478</v>
      </c>
      <c r="Y78">
        <f t="shared" ca="1" si="81"/>
        <v>64.374942543503892</v>
      </c>
      <c r="Z78">
        <f t="shared" ca="1" si="81"/>
        <v>64.282862659645559</v>
      </c>
      <c r="AA78">
        <f t="shared" ca="1" si="81"/>
        <v>63.047162371214817</v>
      </c>
      <c r="AB78">
        <f t="shared" ca="1" si="81"/>
        <v>62.81328494974953</v>
      </c>
      <c r="AC78">
        <f t="shared" ca="1" si="81"/>
        <v>62.75340376102654</v>
      </c>
      <c r="AD78">
        <f t="shared" ca="1" si="81"/>
        <v>61.697670701886203</v>
      </c>
      <c r="AE78">
        <f t="shared" ca="1" si="81"/>
        <v>63.685395435574407</v>
      </c>
      <c r="AF78">
        <f t="shared" ca="1" si="81"/>
        <v>61.931649154055961</v>
      </c>
      <c r="AG78">
        <f t="shared" ca="1" si="81"/>
        <v>61.733501145219201</v>
      </c>
      <c r="AH78">
        <f t="shared" ca="1" si="81"/>
        <v>61.25373005265272</v>
      </c>
      <c r="AI78">
        <f t="shared" ca="1" si="81"/>
        <v>59.608852648852512</v>
      </c>
      <c r="AJ78">
        <f t="shared" ca="1" si="81"/>
        <v>60.415952503545988</v>
      </c>
      <c r="AK78">
        <f t="shared" ca="1" si="81"/>
        <v>59.062432499737859</v>
      </c>
      <c r="AL78">
        <f t="shared" ca="1" si="81"/>
        <v>57.861839108447427</v>
      </c>
      <c r="AM78">
        <f t="shared" ca="1" si="81"/>
        <v>59.280799047836481</v>
      </c>
      <c r="AN78">
        <f t="shared" ca="1" si="81"/>
        <v>60.018574177489612</v>
      </c>
      <c r="AO78">
        <f t="shared" ca="1" si="81"/>
        <v>60.143742065413932</v>
      </c>
      <c r="AP78">
        <f t="shared" ca="1" si="81"/>
        <v>60.294757603742987</v>
      </c>
      <c r="AQ78">
        <f t="shared" ca="1" si="81"/>
        <v>60.859594297273212</v>
      </c>
      <c r="AR78">
        <f t="shared" ca="1" si="81"/>
        <v>62.344404298824635</v>
      </c>
      <c r="AS78">
        <f t="shared" ca="1" si="81"/>
        <v>62.328681528245539</v>
      </c>
      <c r="AT78">
        <f t="shared" ca="1" si="81"/>
        <v>62.545164646853223</v>
      </c>
      <c r="AU78">
        <f t="shared" ca="1" si="81"/>
        <v>63.194600313539027</v>
      </c>
      <c r="AV78">
        <f t="shared" ca="1" si="81"/>
        <v>61.460968646284186</v>
      </c>
      <c r="AW78">
        <f t="shared" ca="1" si="81"/>
        <v>60.673631676287734</v>
      </c>
      <c r="AX78">
        <f t="shared" ca="1" si="81"/>
        <v>61.034913203586846</v>
      </c>
      <c r="AY78">
        <f t="shared" ca="1" si="81"/>
        <v>60.501288721180941</v>
      </c>
      <c r="AZ78">
        <f t="shared" ca="1" si="81"/>
        <v>58.511093127909064</v>
      </c>
      <c r="BA78">
        <f t="shared" ca="1" si="81"/>
        <v>59.598048260563296</v>
      </c>
      <c r="BB78">
        <f t="shared" ca="1" si="81"/>
        <v>58.302640180819338</v>
      </c>
      <c r="BC78">
        <f t="shared" ca="1" si="81"/>
        <v>56.477442388974815</v>
      </c>
      <c r="BD78">
        <f t="shared" ca="1" si="81"/>
        <v>56.663270472153478</v>
      </c>
      <c r="BE78">
        <f t="shared" ca="1" si="81"/>
        <v>57.228813010968992</v>
      </c>
      <c r="BF78">
        <f t="shared" ca="1" si="81"/>
        <v>56.859713501642524</v>
      </c>
      <c r="BG78">
        <f t="shared" ca="1" si="81"/>
        <v>57.352672297353635</v>
      </c>
      <c r="BH78">
        <f t="shared" ca="1" si="81"/>
        <v>55.703091395725586</v>
      </c>
      <c r="BI78">
        <f t="shared" ca="1" si="81"/>
        <v>56.230675035220393</v>
      </c>
      <c r="BJ78">
        <f t="shared" ca="1" si="81"/>
        <v>56.205566007257495</v>
      </c>
      <c r="BK78">
        <f t="shared" ca="1" si="81"/>
        <v>54.650035274772186</v>
      </c>
      <c r="BL78">
        <f t="shared" ca="1" si="81"/>
        <v>56.464548335122451</v>
      </c>
      <c r="BM78">
        <f t="shared" ca="1" si="81"/>
        <v>56.920643755287081</v>
      </c>
      <c r="BN78">
        <f t="shared" ca="1" si="81"/>
        <v>56.653357215541632</v>
      </c>
      <c r="BO78">
        <f t="shared" ca="1" si="70"/>
        <v>0</v>
      </c>
    </row>
    <row r="79" spans="6:67">
      <c r="F79">
        <f t="shared" si="68"/>
        <v>60.99</v>
      </c>
      <c r="G79">
        <f t="shared" ref="G79:BN79" ca="1" si="82">F79*EXP(($B$2-0.5*$B$3^2)*$B$4+$B$3*_xlfn.NORM.INV(RAND(),0,SQRT($B$4)))</f>
        <v>60.949074446917543</v>
      </c>
      <c r="H79">
        <f t="shared" ca="1" si="82"/>
        <v>60.13191867924025</v>
      </c>
      <c r="I79">
        <f t="shared" ca="1" si="82"/>
        <v>59.841816348205079</v>
      </c>
      <c r="J79">
        <f t="shared" ca="1" si="82"/>
        <v>61.621831520913403</v>
      </c>
      <c r="K79">
        <f t="shared" ca="1" si="82"/>
        <v>61.870802024386776</v>
      </c>
      <c r="L79">
        <f t="shared" ca="1" si="82"/>
        <v>61.725912157413219</v>
      </c>
      <c r="M79">
        <f t="shared" ca="1" si="82"/>
        <v>62.55055523927745</v>
      </c>
      <c r="N79">
        <f t="shared" ca="1" si="82"/>
        <v>62.500590536799372</v>
      </c>
      <c r="O79">
        <f t="shared" ca="1" si="82"/>
        <v>62.655319074548387</v>
      </c>
      <c r="P79">
        <f t="shared" ca="1" si="82"/>
        <v>61.477217537337538</v>
      </c>
      <c r="Q79">
        <f t="shared" ca="1" si="82"/>
        <v>62.586011182096669</v>
      </c>
      <c r="R79">
        <f t="shared" ca="1" si="82"/>
        <v>61.8889958254235</v>
      </c>
      <c r="S79">
        <f t="shared" ca="1" si="82"/>
        <v>63.105087431385833</v>
      </c>
      <c r="T79">
        <f t="shared" ca="1" si="82"/>
        <v>62.807355095399195</v>
      </c>
      <c r="U79">
        <f t="shared" ca="1" si="82"/>
        <v>61.046252526339735</v>
      </c>
      <c r="V79">
        <f t="shared" ca="1" si="82"/>
        <v>61.831775239436283</v>
      </c>
      <c r="W79">
        <f t="shared" ca="1" si="82"/>
        <v>62.417696017928691</v>
      </c>
      <c r="X79">
        <f t="shared" ca="1" si="82"/>
        <v>63.044630715891223</v>
      </c>
      <c r="Y79">
        <f t="shared" ca="1" si="82"/>
        <v>63.056060919075136</v>
      </c>
      <c r="Z79">
        <f t="shared" ca="1" si="82"/>
        <v>62.475862271355659</v>
      </c>
      <c r="AA79">
        <f t="shared" ca="1" si="82"/>
        <v>62.499727894175102</v>
      </c>
      <c r="AB79">
        <f t="shared" ca="1" si="82"/>
        <v>61.817563975648689</v>
      </c>
      <c r="AC79">
        <f t="shared" ca="1" si="82"/>
        <v>64.119255696059525</v>
      </c>
      <c r="AD79">
        <f t="shared" ca="1" si="82"/>
        <v>64.579502937808911</v>
      </c>
      <c r="AE79">
        <f t="shared" ca="1" si="82"/>
        <v>65.841255844851446</v>
      </c>
      <c r="AF79">
        <f t="shared" ca="1" si="82"/>
        <v>65.42004457056882</v>
      </c>
      <c r="AG79">
        <f t="shared" ca="1" si="82"/>
        <v>66.570216816762212</v>
      </c>
      <c r="AH79">
        <f t="shared" ca="1" si="82"/>
        <v>64.953831999802375</v>
      </c>
      <c r="AI79">
        <f t="shared" ca="1" si="82"/>
        <v>64.631077436226605</v>
      </c>
      <c r="AJ79">
        <f t="shared" ca="1" si="82"/>
        <v>64.75536260988784</v>
      </c>
      <c r="AK79">
        <f t="shared" ca="1" si="82"/>
        <v>65.495870029243179</v>
      </c>
      <c r="AL79">
        <f t="shared" ca="1" si="82"/>
        <v>65.959223978903168</v>
      </c>
      <c r="AM79">
        <f t="shared" ca="1" si="82"/>
        <v>66.793121568424183</v>
      </c>
      <c r="AN79">
        <f t="shared" ca="1" si="82"/>
        <v>66.669969066697078</v>
      </c>
      <c r="AO79">
        <f t="shared" ca="1" si="82"/>
        <v>66.902368866974342</v>
      </c>
      <c r="AP79">
        <f t="shared" ca="1" si="82"/>
        <v>66.914660518989621</v>
      </c>
      <c r="AQ79">
        <f t="shared" ca="1" si="82"/>
        <v>69.044650867428459</v>
      </c>
      <c r="AR79">
        <f t="shared" ca="1" si="82"/>
        <v>68.531183675727291</v>
      </c>
      <c r="AS79">
        <f t="shared" ca="1" si="82"/>
        <v>68.724425639806057</v>
      </c>
      <c r="AT79">
        <f t="shared" ca="1" si="82"/>
        <v>66.831905733929119</v>
      </c>
      <c r="AU79">
        <f t="shared" ca="1" si="82"/>
        <v>69.576332340131486</v>
      </c>
      <c r="AV79">
        <f t="shared" ca="1" si="82"/>
        <v>68.101955238331769</v>
      </c>
      <c r="AW79">
        <f t="shared" ca="1" si="82"/>
        <v>68.126930472988334</v>
      </c>
      <c r="AX79">
        <f t="shared" ca="1" si="82"/>
        <v>67.463307773191332</v>
      </c>
      <c r="AY79">
        <f t="shared" ca="1" si="82"/>
        <v>66.934888320527378</v>
      </c>
      <c r="AZ79">
        <f t="shared" ca="1" si="82"/>
        <v>67.786221831330124</v>
      </c>
      <c r="BA79">
        <f t="shared" ca="1" si="82"/>
        <v>66.705191935228214</v>
      </c>
      <c r="BB79">
        <f t="shared" ca="1" si="82"/>
        <v>66.399956206536913</v>
      </c>
      <c r="BC79">
        <f t="shared" ca="1" si="82"/>
        <v>66.949152012821557</v>
      </c>
      <c r="BD79">
        <f t="shared" ca="1" si="82"/>
        <v>66.869849621534158</v>
      </c>
      <c r="BE79">
        <f t="shared" ca="1" si="82"/>
        <v>66.098633379784886</v>
      </c>
      <c r="BF79">
        <f t="shared" ca="1" si="82"/>
        <v>65.78021107584928</v>
      </c>
      <c r="BG79">
        <f t="shared" ca="1" si="82"/>
        <v>65.034196102458637</v>
      </c>
      <c r="BH79">
        <f t="shared" ca="1" si="82"/>
        <v>65.049283820480298</v>
      </c>
      <c r="BI79">
        <f t="shared" ca="1" si="82"/>
        <v>68.010902106326483</v>
      </c>
      <c r="BJ79">
        <f t="shared" ca="1" si="82"/>
        <v>68.773931719355545</v>
      </c>
      <c r="BK79">
        <f t="shared" ca="1" si="82"/>
        <v>68.813235284225826</v>
      </c>
      <c r="BL79">
        <f t="shared" ca="1" si="82"/>
        <v>66.162604818134184</v>
      </c>
      <c r="BM79">
        <f t="shared" ca="1" si="82"/>
        <v>65.749622210437153</v>
      </c>
      <c r="BN79">
        <f t="shared" ca="1" si="82"/>
        <v>65.728629493748699</v>
      </c>
      <c r="BO79">
        <f t="shared" ca="1" si="70"/>
        <v>7.7286294937486986</v>
      </c>
    </row>
    <row r="80" spans="6:67">
      <c r="F80">
        <f t="shared" si="68"/>
        <v>60.99</v>
      </c>
      <c r="G80">
        <f t="shared" ref="G80:BN80" ca="1" si="83">F80*EXP(($B$2-0.5*$B$3^2)*$B$4+$B$3*_xlfn.NORM.INV(RAND(),0,SQRT($B$4)))</f>
        <v>61.594242507113144</v>
      </c>
      <c r="H80">
        <f t="shared" ca="1" si="83"/>
        <v>63.484083747770256</v>
      </c>
      <c r="I80">
        <f t="shared" ca="1" si="83"/>
        <v>61.633956767209625</v>
      </c>
      <c r="J80">
        <f t="shared" ca="1" si="83"/>
        <v>62.050410506563061</v>
      </c>
      <c r="K80">
        <f t="shared" ca="1" si="83"/>
        <v>60.932752665611716</v>
      </c>
      <c r="L80">
        <f t="shared" ca="1" si="83"/>
        <v>60.480003238713174</v>
      </c>
      <c r="M80">
        <f t="shared" ca="1" si="83"/>
        <v>60.63531604711045</v>
      </c>
      <c r="N80">
        <f t="shared" ca="1" si="83"/>
        <v>60.943060919897341</v>
      </c>
      <c r="O80">
        <f t="shared" ca="1" si="83"/>
        <v>62.015194639669154</v>
      </c>
      <c r="P80">
        <f t="shared" ca="1" si="83"/>
        <v>61.707448713969143</v>
      </c>
      <c r="Q80">
        <f t="shared" ca="1" si="83"/>
        <v>60.565580180924471</v>
      </c>
      <c r="R80">
        <f t="shared" ca="1" si="83"/>
        <v>62.226247776030078</v>
      </c>
      <c r="S80">
        <f t="shared" ca="1" si="83"/>
        <v>63.777714106375413</v>
      </c>
      <c r="T80">
        <f t="shared" ca="1" si="83"/>
        <v>64.067417412801618</v>
      </c>
      <c r="U80">
        <f t="shared" ca="1" si="83"/>
        <v>62.996729215108594</v>
      </c>
      <c r="V80">
        <f t="shared" ca="1" si="83"/>
        <v>64.768545616262543</v>
      </c>
      <c r="W80">
        <f t="shared" ca="1" si="83"/>
        <v>66.005350642203908</v>
      </c>
      <c r="X80">
        <f t="shared" ca="1" si="83"/>
        <v>65.894900118874617</v>
      </c>
      <c r="Y80">
        <f t="shared" ca="1" si="83"/>
        <v>64.819008437044431</v>
      </c>
      <c r="Z80">
        <f t="shared" ca="1" si="83"/>
        <v>63.655563165973554</v>
      </c>
      <c r="AA80">
        <f t="shared" ca="1" si="83"/>
        <v>63.695731608035722</v>
      </c>
      <c r="AB80">
        <f t="shared" ca="1" si="83"/>
        <v>63.748182282865343</v>
      </c>
      <c r="AC80">
        <f t="shared" ca="1" si="83"/>
        <v>63.040072188585768</v>
      </c>
      <c r="AD80">
        <f t="shared" ca="1" si="83"/>
        <v>62.699821246228971</v>
      </c>
      <c r="AE80">
        <f t="shared" ca="1" si="83"/>
        <v>63.756867152315188</v>
      </c>
      <c r="AF80">
        <f t="shared" ca="1" si="83"/>
        <v>65.329735133103469</v>
      </c>
      <c r="AG80">
        <f t="shared" ca="1" si="83"/>
        <v>66.185701619017593</v>
      </c>
      <c r="AH80">
        <f t="shared" ca="1" si="83"/>
        <v>65.597512555135097</v>
      </c>
      <c r="AI80">
        <f t="shared" ca="1" si="83"/>
        <v>67.453475194610391</v>
      </c>
      <c r="AJ80">
        <f t="shared" ca="1" si="83"/>
        <v>66.555688429902673</v>
      </c>
      <c r="AK80">
        <f t="shared" ca="1" si="83"/>
        <v>66.082021498513768</v>
      </c>
      <c r="AL80">
        <f t="shared" ca="1" si="83"/>
        <v>64.624020072797393</v>
      </c>
      <c r="AM80">
        <f t="shared" ca="1" si="83"/>
        <v>65.427990879829039</v>
      </c>
      <c r="AN80">
        <f t="shared" ca="1" si="83"/>
        <v>65.317852116596328</v>
      </c>
      <c r="AO80">
        <f t="shared" ca="1" si="83"/>
        <v>65.387882030519322</v>
      </c>
      <c r="AP80">
        <f t="shared" ca="1" si="83"/>
        <v>66.878076152924052</v>
      </c>
      <c r="AQ80">
        <f t="shared" ca="1" si="83"/>
        <v>67.435944701705765</v>
      </c>
      <c r="AR80">
        <f t="shared" ca="1" si="83"/>
        <v>67.264330765716508</v>
      </c>
      <c r="AS80">
        <f t="shared" ca="1" si="83"/>
        <v>68.362360738044288</v>
      </c>
      <c r="AT80">
        <f t="shared" ca="1" si="83"/>
        <v>69.042001106976912</v>
      </c>
      <c r="AU80">
        <f t="shared" ca="1" si="83"/>
        <v>69.317955399018686</v>
      </c>
      <c r="AV80">
        <f t="shared" ca="1" si="83"/>
        <v>68.783466502475633</v>
      </c>
      <c r="AW80">
        <f t="shared" ca="1" si="83"/>
        <v>69.948243504089845</v>
      </c>
      <c r="AX80">
        <f t="shared" ca="1" si="83"/>
        <v>71.465907304302917</v>
      </c>
      <c r="AY80">
        <f t="shared" ca="1" si="83"/>
        <v>71.616159097866699</v>
      </c>
      <c r="AZ80">
        <f t="shared" ca="1" si="83"/>
        <v>70.141207288135149</v>
      </c>
      <c r="BA80">
        <f t="shared" ca="1" si="83"/>
        <v>68.499872186600925</v>
      </c>
      <c r="BB80">
        <f t="shared" ca="1" si="83"/>
        <v>66.005350664722656</v>
      </c>
      <c r="BC80">
        <f t="shared" ca="1" si="83"/>
        <v>66.139854513020396</v>
      </c>
      <c r="BD80">
        <f t="shared" ca="1" si="83"/>
        <v>66.853564772404113</v>
      </c>
      <c r="BE80">
        <f t="shared" ca="1" si="83"/>
        <v>67.350343419562805</v>
      </c>
      <c r="BF80">
        <f t="shared" ca="1" si="83"/>
        <v>66.097761767367714</v>
      </c>
      <c r="BG80">
        <f t="shared" ca="1" si="83"/>
        <v>67.058367733981058</v>
      </c>
      <c r="BH80">
        <f t="shared" ca="1" si="83"/>
        <v>66.967027007727992</v>
      </c>
      <c r="BI80">
        <f t="shared" ca="1" si="83"/>
        <v>68.058858997364112</v>
      </c>
      <c r="BJ80">
        <f t="shared" ca="1" si="83"/>
        <v>68.743623629432193</v>
      </c>
      <c r="BK80">
        <f t="shared" ca="1" si="83"/>
        <v>67.921660424213954</v>
      </c>
      <c r="BL80">
        <f t="shared" ca="1" si="83"/>
        <v>69.120712994963526</v>
      </c>
      <c r="BM80">
        <f t="shared" ca="1" si="83"/>
        <v>69.021860375409943</v>
      </c>
      <c r="BN80">
        <f t="shared" ca="1" si="83"/>
        <v>68.547971196201786</v>
      </c>
      <c r="BO80">
        <f t="shared" ca="1" si="70"/>
        <v>10.547971196201786</v>
      </c>
    </row>
    <row r="81" spans="6:67">
      <c r="F81">
        <f t="shared" si="68"/>
        <v>60.99</v>
      </c>
      <c r="G81">
        <f t="shared" ref="G81:BN81" ca="1" si="84">F81*EXP(($B$2-0.5*$B$3^2)*$B$4+$B$3*_xlfn.NORM.INV(RAND(),0,SQRT($B$4)))</f>
        <v>60.456498917791073</v>
      </c>
      <c r="H81">
        <f t="shared" ca="1" si="84"/>
        <v>61.579345242445214</v>
      </c>
      <c r="I81">
        <f t="shared" ca="1" si="84"/>
        <v>61.041568492052221</v>
      </c>
      <c r="J81">
        <f t="shared" ca="1" si="84"/>
        <v>61.346579724656237</v>
      </c>
      <c r="K81">
        <f t="shared" ca="1" si="84"/>
        <v>60.316433851614782</v>
      </c>
      <c r="L81">
        <f t="shared" ca="1" si="84"/>
        <v>58.93790919549734</v>
      </c>
      <c r="M81">
        <f t="shared" ca="1" si="84"/>
        <v>57.805248958727084</v>
      </c>
      <c r="N81">
        <f t="shared" ca="1" si="84"/>
        <v>57.658208785447762</v>
      </c>
      <c r="O81">
        <f t="shared" ca="1" si="84"/>
        <v>56.926889871562764</v>
      </c>
      <c r="P81">
        <f t="shared" ca="1" si="84"/>
        <v>57.093222032379003</v>
      </c>
      <c r="Q81">
        <f t="shared" ca="1" si="84"/>
        <v>56.898617456131056</v>
      </c>
      <c r="R81">
        <f t="shared" ca="1" si="84"/>
        <v>57.730667511434625</v>
      </c>
      <c r="S81">
        <f t="shared" ca="1" si="84"/>
        <v>58.68454599615486</v>
      </c>
      <c r="T81">
        <f t="shared" ca="1" si="84"/>
        <v>60.249916036702153</v>
      </c>
      <c r="U81">
        <f t="shared" ca="1" si="84"/>
        <v>61.5749924499274</v>
      </c>
      <c r="V81">
        <f t="shared" ca="1" si="84"/>
        <v>61.195379233568566</v>
      </c>
      <c r="W81">
        <f t="shared" ca="1" si="84"/>
        <v>59.608739728081417</v>
      </c>
      <c r="X81">
        <f t="shared" ca="1" si="84"/>
        <v>60.735154227120169</v>
      </c>
      <c r="Y81">
        <f t="shared" ca="1" si="84"/>
        <v>60.111673314063189</v>
      </c>
      <c r="Z81">
        <f t="shared" ca="1" si="84"/>
        <v>62.297292934960247</v>
      </c>
      <c r="AA81">
        <f t="shared" ca="1" si="84"/>
        <v>64.589472761568771</v>
      </c>
      <c r="AB81">
        <f t="shared" ca="1" si="84"/>
        <v>66.222323008370836</v>
      </c>
      <c r="AC81">
        <f t="shared" ca="1" si="84"/>
        <v>66.910769505194082</v>
      </c>
      <c r="AD81">
        <f t="shared" ca="1" si="84"/>
        <v>65.218558494917417</v>
      </c>
      <c r="AE81">
        <f t="shared" ca="1" si="84"/>
        <v>64.638872487079851</v>
      </c>
      <c r="AF81">
        <f t="shared" ca="1" si="84"/>
        <v>66.643117794641512</v>
      </c>
      <c r="AG81">
        <f t="shared" ca="1" si="84"/>
        <v>67.889419425710116</v>
      </c>
      <c r="AH81">
        <f t="shared" ca="1" si="84"/>
        <v>69.386461441024935</v>
      </c>
      <c r="AI81">
        <f t="shared" ca="1" si="84"/>
        <v>69.68948605234732</v>
      </c>
      <c r="AJ81">
        <f t="shared" ca="1" si="84"/>
        <v>69.448293138366409</v>
      </c>
      <c r="AK81">
        <f t="shared" ca="1" si="84"/>
        <v>72.778820514246206</v>
      </c>
      <c r="AL81">
        <f t="shared" ca="1" si="84"/>
        <v>70.994690614432201</v>
      </c>
      <c r="AM81">
        <f t="shared" ca="1" si="84"/>
        <v>70.43007079949021</v>
      </c>
      <c r="AN81">
        <f t="shared" ca="1" si="84"/>
        <v>69.966136476025071</v>
      </c>
      <c r="AO81">
        <f t="shared" ca="1" si="84"/>
        <v>68.879980807823983</v>
      </c>
      <c r="AP81">
        <f t="shared" ca="1" si="84"/>
        <v>66.387530196852026</v>
      </c>
      <c r="AQ81">
        <f t="shared" ca="1" si="84"/>
        <v>65.782149371544449</v>
      </c>
      <c r="AR81">
        <f t="shared" ca="1" si="84"/>
        <v>63.82565195823971</v>
      </c>
      <c r="AS81">
        <f t="shared" ca="1" si="84"/>
        <v>65.816644498023294</v>
      </c>
      <c r="AT81">
        <f t="shared" ca="1" si="84"/>
        <v>64.5297381321339</v>
      </c>
      <c r="AU81">
        <f t="shared" ca="1" si="84"/>
        <v>64.042761172097499</v>
      </c>
      <c r="AV81">
        <f t="shared" ca="1" si="84"/>
        <v>65.846205594076039</v>
      </c>
      <c r="AW81">
        <f t="shared" ca="1" si="84"/>
        <v>65.975246203022778</v>
      </c>
      <c r="AX81">
        <f t="shared" ca="1" si="84"/>
        <v>64.973112045008662</v>
      </c>
      <c r="AY81">
        <f t="shared" ca="1" si="84"/>
        <v>65.211433631550776</v>
      </c>
      <c r="AZ81">
        <f t="shared" ca="1" si="84"/>
        <v>64.64634979918948</v>
      </c>
      <c r="BA81">
        <f t="shared" ca="1" si="84"/>
        <v>65.146132151537671</v>
      </c>
      <c r="BB81">
        <f t="shared" ca="1" si="84"/>
        <v>65.405075505682646</v>
      </c>
      <c r="BC81">
        <f t="shared" ca="1" si="84"/>
        <v>66.895634810121152</v>
      </c>
      <c r="BD81">
        <f t="shared" ca="1" si="84"/>
        <v>64.540615597374156</v>
      </c>
      <c r="BE81">
        <f t="shared" ca="1" si="84"/>
        <v>63.554401385317071</v>
      </c>
      <c r="BF81">
        <f t="shared" ca="1" si="84"/>
        <v>62.530081442056883</v>
      </c>
      <c r="BG81">
        <f t="shared" ca="1" si="84"/>
        <v>61.974975836360677</v>
      </c>
      <c r="BH81">
        <f t="shared" ca="1" si="84"/>
        <v>60.434792695092561</v>
      </c>
      <c r="BI81">
        <f t="shared" ca="1" si="84"/>
        <v>60.308408419671757</v>
      </c>
      <c r="BJ81">
        <f t="shared" ca="1" si="84"/>
        <v>60.95356926125843</v>
      </c>
      <c r="BK81">
        <f t="shared" ca="1" si="84"/>
        <v>61.339110351531048</v>
      </c>
      <c r="BL81">
        <f t="shared" ca="1" si="84"/>
        <v>62.465626748000929</v>
      </c>
      <c r="BM81">
        <f t="shared" ca="1" si="84"/>
        <v>62.174892156392772</v>
      </c>
      <c r="BN81">
        <f t="shared" ca="1" si="84"/>
        <v>61.929912177470499</v>
      </c>
      <c r="BO81">
        <f t="shared" ca="1" si="70"/>
        <v>3.9299121774704986</v>
      </c>
    </row>
    <row r="82" spans="6:67">
      <c r="F82">
        <f t="shared" si="68"/>
        <v>60.99</v>
      </c>
      <c r="G82">
        <f t="shared" ref="G82:BN82" ca="1" si="85">F82*EXP(($B$2-0.5*$B$3^2)*$B$4+$B$3*_xlfn.NORM.INV(RAND(),0,SQRT($B$4)))</f>
        <v>61.545169391477998</v>
      </c>
      <c r="H82">
        <f t="shared" ca="1" si="85"/>
        <v>62.587684128259504</v>
      </c>
      <c r="I82">
        <f t="shared" ca="1" si="85"/>
        <v>61.457903410158458</v>
      </c>
      <c r="J82">
        <f t="shared" ca="1" si="85"/>
        <v>64.23150102673678</v>
      </c>
      <c r="K82">
        <f t="shared" ca="1" si="85"/>
        <v>65.650977321045104</v>
      </c>
      <c r="L82">
        <f t="shared" ca="1" si="85"/>
        <v>64.026628640699712</v>
      </c>
      <c r="M82">
        <f t="shared" ca="1" si="85"/>
        <v>65.88933615686966</v>
      </c>
      <c r="N82">
        <f t="shared" ca="1" si="85"/>
        <v>65.9095480794916</v>
      </c>
      <c r="O82">
        <f t="shared" ca="1" si="85"/>
        <v>65.313005992187215</v>
      </c>
      <c r="P82">
        <f t="shared" ca="1" si="85"/>
        <v>65.662218379461009</v>
      </c>
      <c r="Q82">
        <f t="shared" ca="1" si="85"/>
        <v>64.824173628154497</v>
      </c>
      <c r="R82">
        <f t="shared" ca="1" si="85"/>
        <v>65.424284342507192</v>
      </c>
      <c r="S82">
        <f t="shared" ca="1" si="85"/>
        <v>67.276066935648331</v>
      </c>
      <c r="T82">
        <f t="shared" ca="1" si="85"/>
        <v>65.983925499597504</v>
      </c>
      <c r="U82">
        <f t="shared" ca="1" si="85"/>
        <v>65.221361311500914</v>
      </c>
      <c r="V82">
        <f t="shared" ca="1" si="85"/>
        <v>66.327416900419209</v>
      </c>
      <c r="W82">
        <f t="shared" ca="1" si="85"/>
        <v>66.556428111884898</v>
      </c>
      <c r="X82">
        <f t="shared" ca="1" si="85"/>
        <v>67.585805294203553</v>
      </c>
      <c r="Y82">
        <f t="shared" ca="1" si="85"/>
        <v>67.701661930442597</v>
      </c>
      <c r="Z82">
        <f t="shared" ca="1" si="85"/>
        <v>65.88757260324347</v>
      </c>
      <c r="AA82">
        <f t="shared" ca="1" si="85"/>
        <v>67.788131742952544</v>
      </c>
      <c r="AB82">
        <f t="shared" ca="1" si="85"/>
        <v>68.368840030655534</v>
      </c>
      <c r="AC82">
        <f t="shared" ca="1" si="85"/>
        <v>65.754955207827436</v>
      </c>
      <c r="AD82">
        <f t="shared" ca="1" si="85"/>
        <v>64.603899912074041</v>
      </c>
      <c r="AE82">
        <f t="shared" ca="1" si="85"/>
        <v>64.48922927090193</v>
      </c>
      <c r="AF82">
        <f t="shared" ca="1" si="85"/>
        <v>63.715191969178321</v>
      </c>
      <c r="AG82">
        <f t="shared" ca="1" si="85"/>
        <v>62.437601072069178</v>
      </c>
      <c r="AH82">
        <f t="shared" ca="1" si="85"/>
        <v>62.092606159488433</v>
      </c>
      <c r="AI82">
        <f t="shared" ca="1" si="85"/>
        <v>61.472683079097642</v>
      </c>
      <c r="AJ82">
        <f t="shared" ca="1" si="85"/>
        <v>62.797448557112659</v>
      </c>
      <c r="AK82">
        <f t="shared" ca="1" si="85"/>
        <v>63.515364672715826</v>
      </c>
      <c r="AL82">
        <f t="shared" ca="1" si="85"/>
        <v>61.446735767497799</v>
      </c>
      <c r="AM82">
        <f t="shared" ca="1" si="85"/>
        <v>60.284751911056574</v>
      </c>
      <c r="AN82">
        <f t="shared" ca="1" si="85"/>
        <v>60.891462821409867</v>
      </c>
      <c r="AO82">
        <f t="shared" ca="1" si="85"/>
        <v>63.40055247496943</v>
      </c>
      <c r="AP82">
        <f t="shared" ca="1" si="85"/>
        <v>61.381117168884614</v>
      </c>
      <c r="AQ82">
        <f t="shared" ca="1" si="85"/>
        <v>62.755132427587</v>
      </c>
      <c r="AR82">
        <f t="shared" ca="1" si="85"/>
        <v>62.655633315017973</v>
      </c>
      <c r="AS82">
        <f t="shared" ca="1" si="85"/>
        <v>63.560132914277951</v>
      </c>
      <c r="AT82">
        <f t="shared" ca="1" si="85"/>
        <v>64.378101954824473</v>
      </c>
      <c r="AU82">
        <f t="shared" ca="1" si="85"/>
        <v>64.763341007704071</v>
      </c>
      <c r="AV82">
        <f t="shared" ca="1" si="85"/>
        <v>65.226220890562473</v>
      </c>
      <c r="AW82">
        <f t="shared" ca="1" si="85"/>
        <v>63.149158109197622</v>
      </c>
      <c r="AX82">
        <f t="shared" ca="1" si="85"/>
        <v>61.617770262348039</v>
      </c>
      <c r="AY82">
        <f t="shared" ca="1" si="85"/>
        <v>60.898481277453314</v>
      </c>
      <c r="AZ82">
        <f t="shared" ca="1" si="85"/>
        <v>60.306595285678831</v>
      </c>
      <c r="BA82">
        <f t="shared" ca="1" si="85"/>
        <v>60.733489580310504</v>
      </c>
      <c r="BB82">
        <f t="shared" ca="1" si="85"/>
        <v>59.67864421440072</v>
      </c>
      <c r="BC82">
        <f t="shared" ca="1" si="85"/>
        <v>58.018401122755826</v>
      </c>
      <c r="BD82">
        <f t="shared" ca="1" si="85"/>
        <v>57.718732262046267</v>
      </c>
      <c r="BE82">
        <f t="shared" ca="1" si="85"/>
        <v>56.918466869141064</v>
      </c>
      <c r="BF82">
        <f t="shared" ca="1" si="85"/>
        <v>57.007874685882172</v>
      </c>
      <c r="BG82">
        <f t="shared" ca="1" si="85"/>
        <v>57.34467130394939</v>
      </c>
      <c r="BH82">
        <f t="shared" ca="1" si="85"/>
        <v>58.852354750451084</v>
      </c>
      <c r="BI82">
        <f t="shared" ca="1" si="85"/>
        <v>59.230496285611729</v>
      </c>
      <c r="BJ82">
        <f t="shared" ca="1" si="85"/>
        <v>58.721554618025394</v>
      </c>
      <c r="BK82">
        <f t="shared" ca="1" si="85"/>
        <v>59.300800293140966</v>
      </c>
      <c r="BL82">
        <f t="shared" ca="1" si="85"/>
        <v>61.010268955417942</v>
      </c>
      <c r="BM82">
        <f t="shared" ca="1" si="85"/>
        <v>60.161154109639995</v>
      </c>
      <c r="BN82">
        <f t="shared" ca="1" si="85"/>
        <v>62.368963112825362</v>
      </c>
      <c r="BO82">
        <f t="shared" ca="1" si="70"/>
        <v>4.3689631128253623</v>
      </c>
    </row>
    <row r="83" spans="6:67">
      <c r="F83">
        <f t="shared" si="68"/>
        <v>60.99</v>
      </c>
      <c r="G83">
        <f t="shared" ref="G83:BN83" ca="1" si="86">F83*EXP(($B$2-0.5*$B$3^2)*$B$4+$B$3*_xlfn.NORM.INV(RAND(),0,SQRT($B$4)))</f>
        <v>60.53348956791119</v>
      </c>
      <c r="H83">
        <f t="shared" ca="1" si="86"/>
        <v>62.420824147253242</v>
      </c>
      <c r="I83">
        <f t="shared" ca="1" si="86"/>
        <v>60.967736733715832</v>
      </c>
      <c r="J83">
        <f t="shared" ca="1" si="86"/>
        <v>63.525304503529107</v>
      </c>
      <c r="K83">
        <f t="shared" ca="1" si="86"/>
        <v>65.087381324159338</v>
      </c>
      <c r="L83">
        <f t="shared" ca="1" si="86"/>
        <v>65.241426473049827</v>
      </c>
      <c r="M83">
        <f t="shared" ca="1" si="86"/>
        <v>64.952659484497062</v>
      </c>
      <c r="N83">
        <f t="shared" ca="1" si="86"/>
        <v>65.141371536995393</v>
      </c>
      <c r="O83">
        <f t="shared" ca="1" si="86"/>
        <v>65.928679012546439</v>
      </c>
      <c r="P83">
        <f t="shared" ca="1" si="86"/>
        <v>66.422366409915995</v>
      </c>
      <c r="Q83">
        <f t="shared" ca="1" si="86"/>
        <v>68.589442465008318</v>
      </c>
      <c r="R83">
        <f t="shared" ca="1" si="86"/>
        <v>66.254431222104742</v>
      </c>
      <c r="S83">
        <f t="shared" ca="1" si="86"/>
        <v>66.17142927778788</v>
      </c>
      <c r="T83">
        <f t="shared" ca="1" si="86"/>
        <v>65.536185976229135</v>
      </c>
      <c r="U83">
        <f t="shared" ca="1" si="86"/>
        <v>67.49191526654586</v>
      </c>
      <c r="V83">
        <f t="shared" ca="1" si="86"/>
        <v>65.922302575276703</v>
      </c>
      <c r="W83">
        <f t="shared" ca="1" si="86"/>
        <v>65.211111103839897</v>
      </c>
      <c r="X83">
        <f t="shared" ca="1" si="86"/>
        <v>65.397284094419334</v>
      </c>
      <c r="Y83">
        <f t="shared" ca="1" si="86"/>
        <v>65.703555516390651</v>
      </c>
      <c r="Z83">
        <f t="shared" ca="1" si="86"/>
        <v>65.829653239282905</v>
      </c>
      <c r="AA83">
        <f t="shared" ca="1" si="86"/>
        <v>65.824662423801499</v>
      </c>
      <c r="AB83">
        <f t="shared" ca="1" si="86"/>
        <v>65.814578198998035</v>
      </c>
      <c r="AC83">
        <f t="shared" ca="1" si="86"/>
        <v>64.997171483223468</v>
      </c>
      <c r="AD83">
        <f t="shared" ca="1" si="86"/>
        <v>64.477543010495893</v>
      </c>
      <c r="AE83">
        <f t="shared" ca="1" si="86"/>
        <v>63.452525867375918</v>
      </c>
      <c r="AF83">
        <f t="shared" ca="1" si="86"/>
        <v>62.457103232978433</v>
      </c>
      <c r="AG83">
        <f t="shared" ca="1" si="86"/>
        <v>60.1424367005067</v>
      </c>
      <c r="AH83">
        <f t="shared" ca="1" si="86"/>
        <v>58.747844960180416</v>
      </c>
      <c r="AI83">
        <f t="shared" ca="1" si="86"/>
        <v>60.330462092721142</v>
      </c>
      <c r="AJ83">
        <f t="shared" ca="1" si="86"/>
        <v>62.778460609954791</v>
      </c>
      <c r="AK83">
        <f t="shared" ca="1" si="86"/>
        <v>63.619604846432217</v>
      </c>
      <c r="AL83">
        <f t="shared" ca="1" si="86"/>
        <v>63.308143027247979</v>
      </c>
      <c r="AM83">
        <f t="shared" ca="1" si="86"/>
        <v>61.676669596833506</v>
      </c>
      <c r="AN83">
        <f t="shared" ca="1" si="86"/>
        <v>62.502636041283289</v>
      </c>
      <c r="AO83">
        <f t="shared" ca="1" si="86"/>
        <v>62.365064001702365</v>
      </c>
      <c r="AP83">
        <f t="shared" ca="1" si="86"/>
        <v>64.043422497709841</v>
      </c>
      <c r="AQ83">
        <f t="shared" ca="1" si="86"/>
        <v>65.795466438627415</v>
      </c>
      <c r="AR83">
        <f t="shared" ca="1" si="86"/>
        <v>66.04390150393796</v>
      </c>
      <c r="AS83">
        <f t="shared" ca="1" si="86"/>
        <v>67.280591389472633</v>
      </c>
      <c r="AT83">
        <f t="shared" ca="1" si="86"/>
        <v>65.506221203134658</v>
      </c>
      <c r="AU83">
        <f t="shared" ca="1" si="86"/>
        <v>66.687482377550111</v>
      </c>
      <c r="AV83">
        <f t="shared" ca="1" si="86"/>
        <v>65.770733278830093</v>
      </c>
      <c r="AW83">
        <f t="shared" ca="1" si="86"/>
        <v>65.656393147415841</v>
      </c>
      <c r="AX83">
        <f t="shared" ca="1" si="86"/>
        <v>64.989368474158468</v>
      </c>
      <c r="AY83">
        <f t="shared" ca="1" si="86"/>
        <v>64.507867019914997</v>
      </c>
      <c r="AZ83">
        <f t="shared" ca="1" si="86"/>
        <v>64.011987341783041</v>
      </c>
      <c r="BA83">
        <f t="shared" ca="1" si="86"/>
        <v>65.141790748577975</v>
      </c>
      <c r="BB83">
        <f t="shared" ca="1" si="86"/>
        <v>65.40804213958269</v>
      </c>
      <c r="BC83">
        <f t="shared" ca="1" si="86"/>
        <v>66.0388347274464</v>
      </c>
      <c r="BD83">
        <f t="shared" ca="1" si="86"/>
        <v>68.092338954962571</v>
      </c>
      <c r="BE83">
        <f t="shared" ca="1" si="86"/>
        <v>67.49471835206424</v>
      </c>
      <c r="BF83">
        <f t="shared" ca="1" si="86"/>
        <v>67.68341408230593</v>
      </c>
      <c r="BG83">
        <f t="shared" ca="1" si="86"/>
        <v>65.620519651722674</v>
      </c>
      <c r="BH83">
        <f t="shared" ca="1" si="86"/>
        <v>64.65538306297492</v>
      </c>
      <c r="BI83">
        <f t="shared" ca="1" si="86"/>
        <v>65.396662197555742</v>
      </c>
      <c r="BJ83">
        <f t="shared" ca="1" si="86"/>
        <v>66.71002298651878</v>
      </c>
      <c r="BK83">
        <f t="shared" ca="1" si="86"/>
        <v>65.53314691392589</v>
      </c>
      <c r="BL83">
        <f t="shared" ca="1" si="86"/>
        <v>67.013290081598129</v>
      </c>
      <c r="BM83">
        <f t="shared" ca="1" si="86"/>
        <v>66.52343473707505</v>
      </c>
      <c r="BN83">
        <f t="shared" ca="1" si="86"/>
        <v>67.767081632673879</v>
      </c>
      <c r="BO83">
        <f t="shared" ca="1" si="70"/>
        <v>9.7670816326738787</v>
      </c>
    </row>
    <row r="84" spans="6:67">
      <c r="F84">
        <f t="shared" si="68"/>
        <v>60.99</v>
      </c>
      <c r="G84">
        <f t="shared" ref="G84:BN84" ca="1" si="87">F84*EXP(($B$2-0.5*$B$3^2)*$B$4+$B$3*_xlfn.NORM.INV(RAND(),0,SQRT($B$4)))</f>
        <v>61.741829433692139</v>
      </c>
      <c r="H84">
        <f t="shared" ca="1" si="87"/>
        <v>61.24171650703088</v>
      </c>
      <c r="I84">
        <f t="shared" ca="1" si="87"/>
        <v>60.812370529122866</v>
      </c>
      <c r="J84">
        <f t="shared" ca="1" si="87"/>
        <v>60.361201263235493</v>
      </c>
      <c r="K84">
        <f t="shared" ca="1" si="87"/>
        <v>62.936760151690386</v>
      </c>
      <c r="L84">
        <f t="shared" ca="1" si="87"/>
        <v>63.695317243573463</v>
      </c>
      <c r="M84">
        <f t="shared" ca="1" si="87"/>
        <v>65.326917352123758</v>
      </c>
      <c r="N84">
        <f t="shared" ca="1" si="87"/>
        <v>65.881644528278358</v>
      </c>
      <c r="O84">
        <f t="shared" ca="1" si="87"/>
        <v>67.015977273219704</v>
      </c>
      <c r="P84">
        <f t="shared" ca="1" si="87"/>
        <v>68.641652276367168</v>
      </c>
      <c r="Q84">
        <f t="shared" ca="1" si="87"/>
        <v>67.588810965570985</v>
      </c>
      <c r="R84">
        <f t="shared" ca="1" si="87"/>
        <v>66.715300530034426</v>
      </c>
      <c r="S84">
        <f t="shared" ca="1" si="87"/>
        <v>67.379184849205785</v>
      </c>
      <c r="T84">
        <f t="shared" ca="1" si="87"/>
        <v>66.713828064743524</v>
      </c>
      <c r="U84">
        <f t="shared" ca="1" si="87"/>
        <v>69.398194995092339</v>
      </c>
      <c r="V84">
        <f t="shared" ca="1" si="87"/>
        <v>71.083348003270842</v>
      </c>
      <c r="W84">
        <f t="shared" ca="1" si="87"/>
        <v>73.450466155165287</v>
      </c>
      <c r="X84">
        <f t="shared" ca="1" si="87"/>
        <v>70.921048369652652</v>
      </c>
      <c r="Y84">
        <f t="shared" ca="1" si="87"/>
        <v>69.772158004050667</v>
      </c>
      <c r="Z84">
        <f t="shared" ca="1" si="87"/>
        <v>67.772798747348602</v>
      </c>
      <c r="AA84">
        <f t="shared" ca="1" si="87"/>
        <v>69.798461016261825</v>
      </c>
      <c r="AB84">
        <f t="shared" ca="1" si="87"/>
        <v>69.73927177802824</v>
      </c>
      <c r="AC84">
        <f t="shared" ca="1" si="87"/>
        <v>69.058507368064852</v>
      </c>
      <c r="AD84">
        <f t="shared" ca="1" si="87"/>
        <v>70.017101803106414</v>
      </c>
      <c r="AE84">
        <f t="shared" ca="1" si="87"/>
        <v>68.704809276197622</v>
      </c>
      <c r="AF84">
        <f t="shared" ca="1" si="87"/>
        <v>70.326427138733351</v>
      </c>
      <c r="AG84">
        <f t="shared" ca="1" si="87"/>
        <v>71.287114543608723</v>
      </c>
      <c r="AH84">
        <f t="shared" ca="1" si="87"/>
        <v>72.461310652353831</v>
      </c>
      <c r="AI84">
        <f t="shared" ca="1" si="87"/>
        <v>72.037121985682006</v>
      </c>
      <c r="AJ84">
        <f t="shared" ca="1" si="87"/>
        <v>70.314075835165681</v>
      </c>
      <c r="AK84">
        <f t="shared" ca="1" si="87"/>
        <v>70.753717481014277</v>
      </c>
      <c r="AL84">
        <f t="shared" ca="1" si="87"/>
        <v>69.358076146239696</v>
      </c>
      <c r="AM84">
        <f t="shared" ca="1" si="87"/>
        <v>72.364835142859391</v>
      </c>
      <c r="AN84">
        <f t="shared" ca="1" si="87"/>
        <v>73.055188689474264</v>
      </c>
      <c r="AO84">
        <f t="shared" ca="1" si="87"/>
        <v>73.585968646524179</v>
      </c>
      <c r="AP84">
        <f t="shared" ca="1" si="87"/>
        <v>74.562680737928517</v>
      </c>
      <c r="AQ84">
        <f t="shared" ca="1" si="87"/>
        <v>75.064266723890725</v>
      </c>
      <c r="AR84">
        <f t="shared" ca="1" si="87"/>
        <v>76.480683273259629</v>
      </c>
      <c r="AS84">
        <f t="shared" ca="1" si="87"/>
        <v>76.19635721685755</v>
      </c>
      <c r="AT84">
        <f t="shared" ca="1" si="87"/>
        <v>78.412330423343903</v>
      </c>
      <c r="AU84">
        <f t="shared" ca="1" si="87"/>
        <v>76.844798139497769</v>
      </c>
      <c r="AV84">
        <f t="shared" ca="1" si="87"/>
        <v>75.93246509654719</v>
      </c>
      <c r="AW84">
        <f t="shared" ca="1" si="87"/>
        <v>74.804124346172514</v>
      </c>
      <c r="AX84">
        <f t="shared" ca="1" si="87"/>
        <v>72.97620334570756</v>
      </c>
      <c r="AY84">
        <f t="shared" ca="1" si="87"/>
        <v>73.123798046382987</v>
      </c>
      <c r="AZ84">
        <f t="shared" ca="1" si="87"/>
        <v>72.31269472084368</v>
      </c>
      <c r="BA84">
        <f t="shared" ca="1" si="87"/>
        <v>71.450034027963781</v>
      </c>
      <c r="BB84">
        <f t="shared" ca="1" si="87"/>
        <v>71.20268252259001</v>
      </c>
      <c r="BC84">
        <f t="shared" ca="1" si="87"/>
        <v>73.418400153332612</v>
      </c>
      <c r="BD84">
        <f t="shared" ca="1" si="87"/>
        <v>72.330344395003394</v>
      </c>
      <c r="BE84">
        <f t="shared" ca="1" si="87"/>
        <v>72.446835072824271</v>
      </c>
      <c r="BF84">
        <f t="shared" ca="1" si="87"/>
        <v>72.13232003634478</v>
      </c>
      <c r="BG84">
        <f t="shared" ca="1" si="87"/>
        <v>72.056738026535513</v>
      </c>
      <c r="BH84">
        <f t="shared" ca="1" si="87"/>
        <v>72.42460327763105</v>
      </c>
      <c r="BI84">
        <f t="shared" ca="1" si="87"/>
        <v>72.37623684851593</v>
      </c>
      <c r="BJ84">
        <f t="shared" ca="1" si="87"/>
        <v>73.40226789490255</v>
      </c>
      <c r="BK84">
        <f t="shared" ca="1" si="87"/>
        <v>73.945224550737763</v>
      </c>
      <c r="BL84">
        <f t="shared" ca="1" si="87"/>
        <v>74.021639576527036</v>
      </c>
      <c r="BM84">
        <f t="shared" ca="1" si="87"/>
        <v>76.481020927904112</v>
      </c>
      <c r="BN84">
        <f t="shared" ca="1" si="87"/>
        <v>80.93575204311955</v>
      </c>
      <c r="BO84">
        <f t="shared" ca="1" si="70"/>
        <v>22.93575204311955</v>
      </c>
    </row>
    <row r="85" spans="6:67">
      <c r="F85">
        <f t="shared" si="68"/>
        <v>60.99</v>
      </c>
      <c r="G85">
        <f t="shared" ref="G85:BN85" ca="1" si="88">F85*EXP(($B$2-0.5*$B$3^2)*$B$4+$B$3*_xlfn.NORM.INV(RAND(),0,SQRT($B$4)))</f>
        <v>59.531933680334262</v>
      </c>
      <c r="H85">
        <f t="shared" ca="1" si="88"/>
        <v>59.449807707682098</v>
      </c>
      <c r="I85">
        <f t="shared" ca="1" si="88"/>
        <v>61.63357737826675</v>
      </c>
      <c r="J85">
        <f t="shared" ca="1" si="88"/>
        <v>61.374556937546878</v>
      </c>
      <c r="K85">
        <f t="shared" ca="1" si="88"/>
        <v>61.27828520153767</v>
      </c>
      <c r="L85">
        <f t="shared" ca="1" si="88"/>
        <v>62.081993977647024</v>
      </c>
      <c r="M85">
        <f t="shared" ca="1" si="88"/>
        <v>62.701828916015749</v>
      </c>
      <c r="N85">
        <f t="shared" ca="1" si="88"/>
        <v>66.109279367214327</v>
      </c>
      <c r="O85">
        <f t="shared" ca="1" si="88"/>
        <v>63.717231286348827</v>
      </c>
      <c r="P85">
        <f t="shared" ca="1" si="88"/>
        <v>64.497975528014834</v>
      </c>
      <c r="Q85">
        <f t="shared" ca="1" si="88"/>
        <v>66.501770336315985</v>
      </c>
      <c r="R85">
        <f t="shared" ca="1" si="88"/>
        <v>67.256942205406418</v>
      </c>
      <c r="S85">
        <f t="shared" ca="1" si="88"/>
        <v>66.738932491097856</v>
      </c>
      <c r="T85">
        <f t="shared" ca="1" si="88"/>
        <v>65.301756033424908</v>
      </c>
      <c r="U85">
        <f t="shared" ca="1" si="88"/>
        <v>65.373003897045479</v>
      </c>
      <c r="V85">
        <f t="shared" ca="1" si="88"/>
        <v>64.693877765368683</v>
      </c>
      <c r="W85">
        <f t="shared" ca="1" si="88"/>
        <v>66.297814932934145</v>
      </c>
      <c r="X85">
        <f t="shared" ca="1" si="88"/>
        <v>64.067757353720623</v>
      </c>
      <c r="Y85">
        <f t="shared" ca="1" si="88"/>
        <v>63.809257444043929</v>
      </c>
      <c r="Z85">
        <f t="shared" ca="1" si="88"/>
        <v>64.972446007488742</v>
      </c>
      <c r="AA85">
        <f t="shared" ca="1" si="88"/>
        <v>65.12527098843195</v>
      </c>
      <c r="AB85">
        <f t="shared" ca="1" si="88"/>
        <v>65.002295410209669</v>
      </c>
      <c r="AC85">
        <f t="shared" ca="1" si="88"/>
        <v>65.840387772212466</v>
      </c>
      <c r="AD85">
        <f t="shared" ca="1" si="88"/>
        <v>65.9218900122072</v>
      </c>
      <c r="AE85">
        <f t="shared" ca="1" si="88"/>
        <v>66.387077057579944</v>
      </c>
      <c r="AF85">
        <f t="shared" ca="1" si="88"/>
        <v>66.941477349829924</v>
      </c>
      <c r="AG85">
        <f t="shared" ca="1" si="88"/>
        <v>66.837403297374095</v>
      </c>
      <c r="AH85">
        <f t="shared" ca="1" si="88"/>
        <v>67.086982839746867</v>
      </c>
      <c r="AI85">
        <f t="shared" ca="1" si="88"/>
        <v>69.388119387386638</v>
      </c>
      <c r="AJ85">
        <f t="shared" ca="1" si="88"/>
        <v>69.485923116399277</v>
      </c>
      <c r="AK85">
        <f t="shared" ca="1" si="88"/>
        <v>70.750061971378145</v>
      </c>
      <c r="AL85">
        <f t="shared" ca="1" si="88"/>
        <v>69.068183714231324</v>
      </c>
      <c r="AM85">
        <f t="shared" ca="1" si="88"/>
        <v>68.609880091770464</v>
      </c>
      <c r="AN85">
        <f t="shared" ca="1" si="88"/>
        <v>70.890191671438572</v>
      </c>
      <c r="AO85">
        <f t="shared" ca="1" si="88"/>
        <v>70.435341854747364</v>
      </c>
      <c r="AP85">
        <f t="shared" ca="1" si="88"/>
        <v>72.388532173005828</v>
      </c>
      <c r="AQ85">
        <f t="shared" ca="1" si="88"/>
        <v>72.825739701541394</v>
      </c>
      <c r="AR85">
        <f t="shared" ca="1" si="88"/>
        <v>70.748883743929568</v>
      </c>
      <c r="AS85">
        <f t="shared" ca="1" si="88"/>
        <v>72.15795736703177</v>
      </c>
      <c r="AT85">
        <f t="shared" ca="1" si="88"/>
        <v>73.273857829846193</v>
      </c>
      <c r="AU85">
        <f t="shared" ca="1" si="88"/>
        <v>72.304660581334005</v>
      </c>
      <c r="AV85">
        <f t="shared" ca="1" si="88"/>
        <v>72.733628630621482</v>
      </c>
      <c r="AW85">
        <f t="shared" ca="1" si="88"/>
        <v>74.095541023967584</v>
      </c>
      <c r="AX85">
        <f t="shared" ca="1" si="88"/>
        <v>73.918562186384904</v>
      </c>
      <c r="AY85">
        <f t="shared" ca="1" si="88"/>
        <v>72.46880533844687</v>
      </c>
      <c r="AZ85">
        <f t="shared" ca="1" si="88"/>
        <v>72.457585359501593</v>
      </c>
      <c r="BA85">
        <f t="shared" ca="1" si="88"/>
        <v>72.130029130486221</v>
      </c>
      <c r="BB85">
        <f t="shared" ca="1" si="88"/>
        <v>71.965798706858493</v>
      </c>
      <c r="BC85">
        <f t="shared" ca="1" si="88"/>
        <v>71.084170625004575</v>
      </c>
      <c r="BD85">
        <f t="shared" ca="1" si="88"/>
        <v>69.583110623579941</v>
      </c>
      <c r="BE85">
        <f t="shared" ca="1" si="88"/>
        <v>68.856644811886014</v>
      </c>
      <c r="BF85">
        <f t="shared" ca="1" si="88"/>
        <v>68.589835995090525</v>
      </c>
      <c r="BG85">
        <f t="shared" ca="1" si="88"/>
        <v>69.76702749447108</v>
      </c>
      <c r="BH85">
        <f t="shared" ca="1" si="88"/>
        <v>68.877873995846571</v>
      </c>
      <c r="BI85">
        <f t="shared" ca="1" si="88"/>
        <v>67.894213812355005</v>
      </c>
      <c r="BJ85">
        <f t="shared" ca="1" si="88"/>
        <v>68.955198691237555</v>
      </c>
      <c r="BK85">
        <f t="shared" ca="1" si="88"/>
        <v>70.246546281362896</v>
      </c>
      <c r="BL85">
        <f t="shared" ca="1" si="88"/>
        <v>69.886773337919166</v>
      </c>
      <c r="BM85">
        <f t="shared" ca="1" si="88"/>
        <v>68.67869877370444</v>
      </c>
      <c r="BN85">
        <f t="shared" ca="1" si="88"/>
        <v>66.534439398552905</v>
      </c>
      <c r="BO85">
        <f t="shared" ca="1" si="70"/>
        <v>8.5344393985529052</v>
      </c>
    </row>
    <row r="86" spans="6:67">
      <c r="F86">
        <f t="shared" si="68"/>
        <v>60.99</v>
      </c>
      <c r="G86">
        <f t="shared" ref="G86:BN86" ca="1" si="89">F86*EXP(($B$2-0.5*$B$3^2)*$B$4+$B$3*_xlfn.NORM.INV(RAND(),0,SQRT($B$4)))</f>
        <v>60.035500666382291</v>
      </c>
      <c r="H86">
        <f t="shared" ca="1" si="89"/>
        <v>58.661425544741235</v>
      </c>
      <c r="I86">
        <f t="shared" ca="1" si="89"/>
        <v>58.751766648071694</v>
      </c>
      <c r="J86">
        <f t="shared" ca="1" si="89"/>
        <v>59.404371703976061</v>
      </c>
      <c r="K86">
        <f t="shared" ca="1" si="89"/>
        <v>61.190485390370888</v>
      </c>
      <c r="L86">
        <f t="shared" ca="1" si="89"/>
        <v>61.922714916017519</v>
      </c>
      <c r="M86">
        <f t="shared" ca="1" si="89"/>
        <v>61.291453243168938</v>
      </c>
      <c r="N86">
        <f t="shared" ca="1" si="89"/>
        <v>62.94570916543141</v>
      </c>
      <c r="O86">
        <f t="shared" ca="1" si="89"/>
        <v>62.145893778689427</v>
      </c>
      <c r="P86">
        <f t="shared" ca="1" si="89"/>
        <v>63.03644054057122</v>
      </c>
      <c r="Q86">
        <f t="shared" ca="1" si="89"/>
        <v>61.885848271827733</v>
      </c>
      <c r="R86">
        <f t="shared" ca="1" si="89"/>
        <v>62.300173249822407</v>
      </c>
      <c r="S86">
        <f t="shared" ca="1" si="89"/>
        <v>62.386279091724369</v>
      </c>
      <c r="T86">
        <f t="shared" ca="1" si="89"/>
        <v>65.105589946755572</v>
      </c>
      <c r="U86">
        <f t="shared" ca="1" si="89"/>
        <v>63.842309969842731</v>
      </c>
      <c r="V86">
        <f t="shared" ca="1" si="89"/>
        <v>65.633071801093863</v>
      </c>
      <c r="W86">
        <f t="shared" ca="1" si="89"/>
        <v>64.124455812704284</v>
      </c>
      <c r="X86">
        <f t="shared" ca="1" si="89"/>
        <v>64.409081644587516</v>
      </c>
      <c r="Y86">
        <f t="shared" ca="1" si="89"/>
        <v>67.623214833010991</v>
      </c>
      <c r="Z86">
        <f t="shared" ca="1" si="89"/>
        <v>66.927832412705598</v>
      </c>
      <c r="AA86">
        <f t="shared" ca="1" si="89"/>
        <v>66.714653663194255</v>
      </c>
      <c r="AB86">
        <f t="shared" ca="1" si="89"/>
        <v>66.422168141432394</v>
      </c>
      <c r="AC86">
        <f t="shared" ca="1" si="89"/>
        <v>67.731177536013249</v>
      </c>
      <c r="AD86">
        <f t="shared" ca="1" si="89"/>
        <v>69.623974824690393</v>
      </c>
      <c r="AE86">
        <f t="shared" ca="1" si="89"/>
        <v>69.964824008506071</v>
      </c>
      <c r="AF86">
        <f t="shared" ca="1" si="89"/>
        <v>70.608261325424948</v>
      </c>
      <c r="AG86">
        <f t="shared" ca="1" si="89"/>
        <v>70.430988728498548</v>
      </c>
      <c r="AH86">
        <f t="shared" ca="1" si="89"/>
        <v>68.51058189915355</v>
      </c>
      <c r="AI86">
        <f t="shared" ca="1" si="89"/>
        <v>66.652467855043184</v>
      </c>
      <c r="AJ86">
        <f t="shared" ca="1" si="89"/>
        <v>68.106830925867342</v>
      </c>
      <c r="AK86">
        <f t="shared" ca="1" si="89"/>
        <v>66.625071977354196</v>
      </c>
      <c r="AL86">
        <f t="shared" ca="1" si="89"/>
        <v>67.476652331328296</v>
      </c>
      <c r="AM86">
        <f t="shared" ca="1" si="89"/>
        <v>68.566519695574016</v>
      </c>
      <c r="AN86">
        <f t="shared" ca="1" si="89"/>
        <v>69.978971992116982</v>
      </c>
      <c r="AO86">
        <f t="shared" ca="1" si="89"/>
        <v>70.644858157978206</v>
      </c>
      <c r="AP86">
        <f t="shared" ca="1" si="89"/>
        <v>72.962002494240323</v>
      </c>
      <c r="AQ86">
        <f t="shared" ca="1" si="89"/>
        <v>73.5203431239282</v>
      </c>
      <c r="AR86">
        <f t="shared" ca="1" si="89"/>
        <v>71.074661599711604</v>
      </c>
      <c r="AS86">
        <f t="shared" ca="1" si="89"/>
        <v>71.786667780354279</v>
      </c>
      <c r="AT86">
        <f t="shared" ca="1" si="89"/>
        <v>71.069105274933918</v>
      </c>
      <c r="AU86">
        <f t="shared" ca="1" si="89"/>
        <v>71.109630477728729</v>
      </c>
      <c r="AV86">
        <f t="shared" ca="1" si="89"/>
        <v>72.552221513688551</v>
      </c>
      <c r="AW86">
        <f t="shared" ca="1" si="89"/>
        <v>75.935927940112791</v>
      </c>
      <c r="AX86">
        <f t="shared" ca="1" si="89"/>
        <v>74.580664076326983</v>
      </c>
      <c r="AY86">
        <f t="shared" ca="1" si="89"/>
        <v>76.061006249789912</v>
      </c>
      <c r="AZ86">
        <f t="shared" ca="1" si="89"/>
        <v>72.486483137487255</v>
      </c>
      <c r="BA86">
        <f t="shared" ca="1" si="89"/>
        <v>74.596943908545924</v>
      </c>
      <c r="BB86">
        <f t="shared" ca="1" si="89"/>
        <v>74.434595585192724</v>
      </c>
      <c r="BC86">
        <f t="shared" ca="1" si="89"/>
        <v>74.764867756292986</v>
      </c>
      <c r="BD86">
        <f t="shared" ca="1" si="89"/>
        <v>75.51020784434067</v>
      </c>
      <c r="BE86">
        <f t="shared" ca="1" si="89"/>
        <v>77.486533565672545</v>
      </c>
      <c r="BF86">
        <f t="shared" ca="1" si="89"/>
        <v>79.073320610349356</v>
      </c>
      <c r="BG86">
        <f t="shared" ca="1" si="89"/>
        <v>79.227727892878903</v>
      </c>
      <c r="BH86">
        <f t="shared" ca="1" si="89"/>
        <v>81.250315515799784</v>
      </c>
      <c r="BI86">
        <f t="shared" ca="1" si="89"/>
        <v>79.05874716497047</v>
      </c>
      <c r="BJ86">
        <f t="shared" ca="1" si="89"/>
        <v>78.322927844504918</v>
      </c>
      <c r="BK86">
        <f t="shared" ca="1" si="89"/>
        <v>80.431918583863293</v>
      </c>
      <c r="BL86">
        <f t="shared" ca="1" si="89"/>
        <v>83.416870824714422</v>
      </c>
      <c r="BM86">
        <f t="shared" ca="1" si="89"/>
        <v>84.954006566747296</v>
      </c>
      <c r="BN86">
        <f t="shared" ca="1" si="89"/>
        <v>84.657001272141827</v>
      </c>
      <c r="BO86">
        <f t="shared" ca="1" si="70"/>
        <v>26.657001272141827</v>
      </c>
    </row>
    <row r="87" spans="6:67">
      <c r="F87">
        <f t="shared" si="68"/>
        <v>60.99</v>
      </c>
      <c r="G87">
        <f t="shared" ref="G87:BN87" ca="1" si="90">F87*EXP(($B$2-0.5*$B$3^2)*$B$4+$B$3*_xlfn.NORM.INV(RAND(),0,SQRT($B$4)))</f>
        <v>60.020114174519406</v>
      </c>
      <c r="H87">
        <f t="shared" ca="1" si="90"/>
        <v>60.974369001671853</v>
      </c>
      <c r="I87">
        <f t="shared" ca="1" si="90"/>
        <v>61.507860906067393</v>
      </c>
      <c r="J87">
        <f t="shared" ca="1" si="90"/>
        <v>61.871101160917064</v>
      </c>
      <c r="K87">
        <f t="shared" ca="1" si="90"/>
        <v>62.506378552563334</v>
      </c>
      <c r="L87">
        <f t="shared" ca="1" si="90"/>
        <v>61.781447958932347</v>
      </c>
      <c r="M87">
        <f t="shared" ca="1" si="90"/>
        <v>63.686922277411718</v>
      </c>
      <c r="N87">
        <f t="shared" ca="1" si="90"/>
        <v>64.377272286588365</v>
      </c>
      <c r="O87">
        <f t="shared" ca="1" si="90"/>
        <v>66.0633631523297</v>
      </c>
      <c r="P87">
        <f t="shared" ca="1" si="90"/>
        <v>65.462014587105799</v>
      </c>
      <c r="Q87">
        <f t="shared" ca="1" si="90"/>
        <v>66.914340514823806</v>
      </c>
      <c r="R87">
        <f t="shared" ca="1" si="90"/>
        <v>66.09166422974684</v>
      </c>
      <c r="S87">
        <f t="shared" ca="1" si="90"/>
        <v>66.449861479263546</v>
      </c>
      <c r="T87">
        <f t="shared" ca="1" si="90"/>
        <v>68.402817170210383</v>
      </c>
      <c r="U87">
        <f t="shared" ca="1" si="90"/>
        <v>69.915683511449089</v>
      </c>
      <c r="V87">
        <f t="shared" ca="1" si="90"/>
        <v>69.159932098869561</v>
      </c>
      <c r="W87">
        <f t="shared" ca="1" si="90"/>
        <v>67.786265986970321</v>
      </c>
      <c r="X87">
        <f t="shared" ca="1" si="90"/>
        <v>67.266336019444566</v>
      </c>
      <c r="Y87">
        <f t="shared" ca="1" si="90"/>
        <v>67.349123510766788</v>
      </c>
      <c r="Z87">
        <f t="shared" ca="1" si="90"/>
        <v>69.198202036964858</v>
      </c>
      <c r="AA87">
        <f t="shared" ca="1" si="90"/>
        <v>69.580659310271002</v>
      </c>
      <c r="AB87">
        <f t="shared" ca="1" si="90"/>
        <v>73.372512751406674</v>
      </c>
      <c r="AC87">
        <f t="shared" ca="1" si="90"/>
        <v>74.995937519329956</v>
      </c>
      <c r="AD87">
        <f t="shared" ca="1" si="90"/>
        <v>76.564795329442688</v>
      </c>
      <c r="AE87">
        <f t="shared" ca="1" si="90"/>
        <v>76.974045012464941</v>
      </c>
      <c r="AF87">
        <f t="shared" ca="1" si="90"/>
        <v>74.364064002017216</v>
      </c>
      <c r="AG87">
        <f t="shared" ca="1" si="90"/>
        <v>76.13583053184125</v>
      </c>
      <c r="AH87">
        <f t="shared" ca="1" si="90"/>
        <v>73.721881922688681</v>
      </c>
      <c r="AI87">
        <f t="shared" ca="1" si="90"/>
        <v>74.644760852972624</v>
      </c>
      <c r="AJ87">
        <f t="shared" ca="1" si="90"/>
        <v>73.166677900344027</v>
      </c>
      <c r="AK87">
        <f t="shared" ca="1" si="90"/>
        <v>73.765187627852455</v>
      </c>
      <c r="AL87">
        <f t="shared" ca="1" si="90"/>
        <v>74.521962751749186</v>
      </c>
      <c r="AM87">
        <f t="shared" ca="1" si="90"/>
        <v>75.967051673751655</v>
      </c>
      <c r="AN87">
        <f t="shared" ca="1" si="90"/>
        <v>75.536345108245939</v>
      </c>
      <c r="AO87">
        <f t="shared" ca="1" si="90"/>
        <v>76.006957393961727</v>
      </c>
      <c r="AP87">
        <f t="shared" ca="1" si="90"/>
        <v>78.57133410431814</v>
      </c>
      <c r="AQ87">
        <f t="shared" ca="1" si="90"/>
        <v>79.278214342692578</v>
      </c>
      <c r="AR87">
        <f t="shared" ca="1" si="90"/>
        <v>81.591244926917014</v>
      </c>
      <c r="AS87">
        <f t="shared" ca="1" si="90"/>
        <v>82.125905952905995</v>
      </c>
      <c r="AT87">
        <f t="shared" ca="1" si="90"/>
        <v>82.999766734944913</v>
      </c>
      <c r="AU87">
        <f t="shared" ca="1" si="90"/>
        <v>81.009850535621666</v>
      </c>
      <c r="AV87">
        <f t="shared" ca="1" si="90"/>
        <v>80.648318126447634</v>
      </c>
      <c r="AW87">
        <f t="shared" ca="1" si="90"/>
        <v>85.060517032220417</v>
      </c>
      <c r="AX87">
        <f t="shared" ca="1" si="90"/>
        <v>85.514852788702115</v>
      </c>
      <c r="AY87">
        <f t="shared" ca="1" si="90"/>
        <v>85.949092630410973</v>
      </c>
      <c r="AZ87">
        <f t="shared" ca="1" si="90"/>
        <v>86.101995669681202</v>
      </c>
      <c r="BA87">
        <f t="shared" ca="1" si="90"/>
        <v>84.739460213238146</v>
      </c>
      <c r="BB87">
        <f t="shared" ca="1" si="90"/>
        <v>83.812669202555725</v>
      </c>
      <c r="BC87">
        <f t="shared" ca="1" si="90"/>
        <v>83.039034120672383</v>
      </c>
      <c r="BD87">
        <f t="shared" ca="1" si="90"/>
        <v>84.912987712516866</v>
      </c>
      <c r="BE87">
        <f t="shared" ca="1" si="90"/>
        <v>84.704672333847896</v>
      </c>
      <c r="BF87">
        <f t="shared" ca="1" si="90"/>
        <v>87.012361792505956</v>
      </c>
      <c r="BG87">
        <f t="shared" ca="1" si="90"/>
        <v>86.018586547045231</v>
      </c>
      <c r="BH87">
        <f t="shared" ca="1" si="90"/>
        <v>85.666402504500894</v>
      </c>
      <c r="BI87">
        <f t="shared" ca="1" si="90"/>
        <v>87.317630133111834</v>
      </c>
      <c r="BJ87">
        <f t="shared" ca="1" si="90"/>
        <v>87.781719000079235</v>
      </c>
      <c r="BK87">
        <f t="shared" ca="1" si="90"/>
        <v>90.209751566020955</v>
      </c>
      <c r="BL87">
        <f t="shared" ca="1" si="90"/>
        <v>90.870899868739116</v>
      </c>
      <c r="BM87">
        <f t="shared" ca="1" si="90"/>
        <v>89.282430710758618</v>
      </c>
      <c r="BN87">
        <f t="shared" ca="1" si="90"/>
        <v>90.58963625737654</v>
      </c>
      <c r="BO87">
        <f t="shared" ca="1" si="70"/>
        <v>32.58963625737654</v>
      </c>
    </row>
    <row r="88" spans="6:67">
      <c r="F88">
        <f t="shared" si="68"/>
        <v>60.99</v>
      </c>
      <c r="G88">
        <f t="shared" ref="G88:BN88" ca="1" si="91">F88*EXP(($B$2-0.5*$B$3^2)*$B$4+$B$3*_xlfn.NORM.INV(RAND(),0,SQRT($B$4)))</f>
        <v>61.92830845736956</v>
      </c>
      <c r="H88">
        <f t="shared" ca="1" si="91"/>
        <v>60.083387550993066</v>
      </c>
      <c r="I88">
        <f t="shared" ca="1" si="91"/>
        <v>59.156868721681604</v>
      </c>
      <c r="J88">
        <f t="shared" ca="1" si="91"/>
        <v>59.473090180070564</v>
      </c>
      <c r="K88">
        <f t="shared" ca="1" si="91"/>
        <v>58.431937212240015</v>
      </c>
      <c r="L88">
        <f t="shared" ca="1" si="91"/>
        <v>58.038360984451515</v>
      </c>
      <c r="M88">
        <f t="shared" ca="1" si="91"/>
        <v>56.678495912210522</v>
      </c>
      <c r="N88">
        <f t="shared" ca="1" si="91"/>
        <v>57.208008882077358</v>
      </c>
      <c r="O88">
        <f t="shared" ca="1" si="91"/>
        <v>57.879999604159906</v>
      </c>
      <c r="P88">
        <f t="shared" ca="1" si="91"/>
        <v>57.80321546450859</v>
      </c>
      <c r="Q88">
        <f t="shared" ca="1" si="91"/>
        <v>58.242587053068597</v>
      </c>
      <c r="R88">
        <f t="shared" ca="1" si="91"/>
        <v>61.109570650145763</v>
      </c>
      <c r="S88">
        <f t="shared" ca="1" si="91"/>
        <v>60.742810512160204</v>
      </c>
      <c r="T88">
        <f t="shared" ca="1" si="91"/>
        <v>60.4229895991989</v>
      </c>
      <c r="U88">
        <f t="shared" ca="1" si="91"/>
        <v>60.272672916397049</v>
      </c>
      <c r="V88">
        <f t="shared" ca="1" si="91"/>
        <v>61.224352452121451</v>
      </c>
      <c r="W88">
        <f t="shared" ca="1" si="91"/>
        <v>61.683058737684469</v>
      </c>
      <c r="X88">
        <f t="shared" ca="1" si="91"/>
        <v>62.904480793244659</v>
      </c>
      <c r="Y88">
        <f t="shared" ca="1" si="91"/>
        <v>63.982475244087489</v>
      </c>
      <c r="Z88">
        <f t="shared" ca="1" si="91"/>
        <v>63.653607706216938</v>
      </c>
      <c r="AA88">
        <f t="shared" ca="1" si="91"/>
        <v>61.946933177202901</v>
      </c>
      <c r="AB88">
        <f t="shared" ca="1" si="91"/>
        <v>62.083211759023932</v>
      </c>
      <c r="AC88">
        <f t="shared" ca="1" si="91"/>
        <v>61.985683493759744</v>
      </c>
      <c r="AD88">
        <f t="shared" ca="1" si="91"/>
        <v>61.144636822587238</v>
      </c>
      <c r="AE88">
        <f t="shared" ca="1" si="91"/>
        <v>60.439266556051898</v>
      </c>
      <c r="AF88">
        <f t="shared" ca="1" si="91"/>
        <v>61.045545743246187</v>
      </c>
      <c r="AG88">
        <f t="shared" ca="1" si="91"/>
        <v>59.767190384906655</v>
      </c>
      <c r="AH88">
        <f t="shared" ca="1" si="91"/>
        <v>60.946307243044131</v>
      </c>
      <c r="AI88">
        <f t="shared" ca="1" si="91"/>
        <v>61.272553521647893</v>
      </c>
      <c r="AJ88">
        <f t="shared" ca="1" si="91"/>
        <v>60.853954510491597</v>
      </c>
      <c r="AK88">
        <f t="shared" ca="1" si="91"/>
        <v>61.856764333041752</v>
      </c>
      <c r="AL88">
        <f t="shared" ca="1" si="91"/>
        <v>60.203710471660266</v>
      </c>
      <c r="AM88">
        <f t="shared" ca="1" si="91"/>
        <v>60.737896851173211</v>
      </c>
      <c r="AN88">
        <f t="shared" ca="1" si="91"/>
        <v>62.383855157986282</v>
      </c>
      <c r="AO88">
        <f t="shared" ca="1" si="91"/>
        <v>61.623643167315763</v>
      </c>
      <c r="AP88">
        <f t="shared" ca="1" si="91"/>
        <v>61.009527922295533</v>
      </c>
      <c r="AQ88">
        <f t="shared" ca="1" si="91"/>
        <v>61.188442583075634</v>
      </c>
      <c r="AR88">
        <f t="shared" ca="1" si="91"/>
        <v>62.044543028222904</v>
      </c>
      <c r="AS88">
        <f t="shared" ca="1" si="91"/>
        <v>62.68307164539285</v>
      </c>
      <c r="AT88">
        <f t="shared" ca="1" si="91"/>
        <v>59.715114337622161</v>
      </c>
      <c r="AU88">
        <f t="shared" ca="1" si="91"/>
        <v>63.132960627403165</v>
      </c>
      <c r="AV88">
        <f t="shared" ca="1" si="91"/>
        <v>63.144830035107866</v>
      </c>
      <c r="AW88">
        <f t="shared" ca="1" si="91"/>
        <v>63.21017936670988</v>
      </c>
      <c r="AX88">
        <f t="shared" ca="1" si="91"/>
        <v>64.257249501302738</v>
      </c>
      <c r="AY88">
        <f t="shared" ca="1" si="91"/>
        <v>63.281997125105832</v>
      </c>
      <c r="AZ88">
        <f t="shared" ca="1" si="91"/>
        <v>63.646004865101041</v>
      </c>
      <c r="BA88">
        <f t="shared" ca="1" si="91"/>
        <v>63.180357766362391</v>
      </c>
      <c r="BB88">
        <f t="shared" ca="1" si="91"/>
        <v>62.906997134937328</v>
      </c>
      <c r="BC88">
        <f t="shared" ca="1" si="91"/>
        <v>62.907199268708332</v>
      </c>
      <c r="BD88">
        <f t="shared" ca="1" si="91"/>
        <v>62.816994295494368</v>
      </c>
      <c r="BE88">
        <f t="shared" ca="1" si="91"/>
        <v>63.562686626693214</v>
      </c>
      <c r="BF88">
        <f t="shared" ca="1" si="91"/>
        <v>61.971225514826081</v>
      </c>
      <c r="BG88">
        <f t="shared" ca="1" si="91"/>
        <v>62.241934530834435</v>
      </c>
      <c r="BH88">
        <f t="shared" ca="1" si="91"/>
        <v>63.360470492031325</v>
      </c>
      <c r="BI88">
        <f t="shared" ca="1" si="91"/>
        <v>63.602796362859358</v>
      </c>
      <c r="BJ88">
        <f t="shared" ca="1" si="91"/>
        <v>64.801584965591928</v>
      </c>
      <c r="BK88">
        <f t="shared" ca="1" si="91"/>
        <v>66.660032224511184</v>
      </c>
      <c r="BL88">
        <f t="shared" ca="1" si="91"/>
        <v>67.215035619765032</v>
      </c>
      <c r="BM88">
        <f t="shared" ca="1" si="91"/>
        <v>69.62268030065259</v>
      </c>
      <c r="BN88">
        <f t="shared" ca="1" si="91"/>
        <v>68.077446345732156</v>
      </c>
      <c r="BO88">
        <f t="shared" ca="1" si="70"/>
        <v>10.077446345732156</v>
      </c>
    </row>
    <row r="89" spans="6:67">
      <c r="F89">
        <f t="shared" si="68"/>
        <v>60.99</v>
      </c>
      <c r="G89">
        <f t="shared" ref="G89:BN89" ca="1" si="92">F89*EXP(($B$2-0.5*$B$3^2)*$B$4+$B$3*_xlfn.NORM.INV(RAND(),0,SQRT($B$4)))</f>
        <v>62.579995908685206</v>
      </c>
      <c r="H89">
        <f t="shared" ca="1" si="92"/>
        <v>61.815203272358403</v>
      </c>
      <c r="I89">
        <f t="shared" ca="1" si="92"/>
        <v>61.90390440630145</v>
      </c>
      <c r="J89">
        <f t="shared" ca="1" si="92"/>
        <v>66.330867114032699</v>
      </c>
      <c r="K89">
        <f t="shared" ca="1" si="92"/>
        <v>65.463469217900354</v>
      </c>
      <c r="L89">
        <f t="shared" ca="1" si="92"/>
        <v>65.741038511331524</v>
      </c>
      <c r="M89">
        <f t="shared" ca="1" si="92"/>
        <v>65.768460384862294</v>
      </c>
      <c r="N89">
        <f t="shared" ca="1" si="92"/>
        <v>65.125812570533242</v>
      </c>
      <c r="O89">
        <f t="shared" ca="1" si="92"/>
        <v>65.335401272743042</v>
      </c>
      <c r="P89">
        <f t="shared" ca="1" si="92"/>
        <v>65.848498322661058</v>
      </c>
      <c r="Q89">
        <f t="shared" ca="1" si="92"/>
        <v>64.798749600343342</v>
      </c>
      <c r="R89">
        <f t="shared" ca="1" si="92"/>
        <v>64.228352533519868</v>
      </c>
      <c r="S89">
        <f t="shared" ca="1" si="92"/>
        <v>62.963119504049892</v>
      </c>
      <c r="T89">
        <f t="shared" ca="1" si="92"/>
        <v>64.476645316071668</v>
      </c>
      <c r="U89">
        <f t="shared" ca="1" si="92"/>
        <v>65.830681123159067</v>
      </c>
      <c r="V89">
        <f t="shared" ca="1" si="92"/>
        <v>64.747015700414295</v>
      </c>
      <c r="W89">
        <f t="shared" ca="1" si="92"/>
        <v>65.098947191661026</v>
      </c>
      <c r="X89">
        <f t="shared" ca="1" si="92"/>
        <v>63.479075231694345</v>
      </c>
      <c r="Y89">
        <f t="shared" ca="1" si="92"/>
        <v>62.779668566208649</v>
      </c>
      <c r="Z89">
        <f t="shared" ca="1" si="92"/>
        <v>63.314026736313842</v>
      </c>
      <c r="AA89">
        <f t="shared" ca="1" si="92"/>
        <v>62.035029523145774</v>
      </c>
      <c r="AB89">
        <f t="shared" ca="1" si="92"/>
        <v>62.255554042798579</v>
      </c>
      <c r="AC89">
        <f t="shared" ca="1" si="92"/>
        <v>64.103548951935423</v>
      </c>
      <c r="AD89">
        <f t="shared" ca="1" si="92"/>
        <v>65.077318281561574</v>
      </c>
      <c r="AE89">
        <f t="shared" ca="1" si="92"/>
        <v>65.727457505373962</v>
      </c>
      <c r="AF89">
        <f t="shared" ca="1" si="92"/>
        <v>63.721770363773061</v>
      </c>
      <c r="AG89">
        <f t="shared" ca="1" si="92"/>
        <v>64.892958210181263</v>
      </c>
      <c r="AH89">
        <f t="shared" ca="1" si="92"/>
        <v>66.696917774343959</v>
      </c>
      <c r="AI89">
        <f t="shared" ca="1" si="92"/>
        <v>66.162427464535824</v>
      </c>
      <c r="AJ89">
        <f t="shared" ca="1" si="92"/>
        <v>66.730992833756687</v>
      </c>
      <c r="AK89">
        <f t="shared" ca="1" si="92"/>
        <v>64.991941254460968</v>
      </c>
      <c r="AL89">
        <f t="shared" ca="1" si="92"/>
        <v>66.35688536444431</v>
      </c>
      <c r="AM89">
        <f t="shared" ca="1" si="92"/>
        <v>67.542124207735725</v>
      </c>
      <c r="AN89">
        <f t="shared" ca="1" si="92"/>
        <v>66.908847897445753</v>
      </c>
      <c r="AO89">
        <f t="shared" ca="1" si="92"/>
        <v>66.051906793078828</v>
      </c>
      <c r="AP89">
        <f t="shared" ca="1" si="92"/>
        <v>65.204521594152581</v>
      </c>
      <c r="AQ89">
        <f t="shared" ca="1" si="92"/>
        <v>63.703979658533335</v>
      </c>
      <c r="AR89">
        <f t="shared" ca="1" si="92"/>
        <v>64.001955980947628</v>
      </c>
      <c r="AS89">
        <f t="shared" ca="1" si="92"/>
        <v>63.36262831107927</v>
      </c>
      <c r="AT89">
        <f t="shared" ca="1" si="92"/>
        <v>61.374133583993114</v>
      </c>
      <c r="AU89">
        <f t="shared" ca="1" si="92"/>
        <v>61.443909253922726</v>
      </c>
      <c r="AV89">
        <f t="shared" ca="1" si="92"/>
        <v>62.598017195644864</v>
      </c>
      <c r="AW89">
        <f t="shared" ca="1" si="92"/>
        <v>61.616708221681677</v>
      </c>
      <c r="AX89">
        <f t="shared" ca="1" si="92"/>
        <v>62.060524992275965</v>
      </c>
      <c r="AY89">
        <f t="shared" ca="1" si="92"/>
        <v>60.76737986080424</v>
      </c>
      <c r="AZ89">
        <f t="shared" ca="1" si="92"/>
        <v>58.228835515488839</v>
      </c>
      <c r="BA89">
        <f t="shared" ca="1" si="92"/>
        <v>57.904182680414578</v>
      </c>
      <c r="BB89">
        <f t="shared" ca="1" si="92"/>
        <v>58.819092140094867</v>
      </c>
      <c r="BC89">
        <f t="shared" ca="1" si="92"/>
        <v>57.572965148455438</v>
      </c>
      <c r="BD89">
        <f t="shared" ca="1" si="92"/>
        <v>56.22274441545985</v>
      </c>
      <c r="BE89">
        <f t="shared" ca="1" si="92"/>
        <v>56.330777573123719</v>
      </c>
      <c r="BF89">
        <f t="shared" ca="1" si="92"/>
        <v>56.374610063071323</v>
      </c>
      <c r="BG89">
        <f t="shared" ca="1" si="92"/>
        <v>58.052394832328737</v>
      </c>
      <c r="BH89">
        <f t="shared" ca="1" si="92"/>
        <v>59.853312099173273</v>
      </c>
      <c r="BI89">
        <f t="shared" ca="1" si="92"/>
        <v>60.166813981451874</v>
      </c>
      <c r="BJ89">
        <f t="shared" ca="1" si="92"/>
        <v>60.458850479234236</v>
      </c>
      <c r="BK89">
        <f t="shared" ca="1" si="92"/>
        <v>62.388779228811174</v>
      </c>
      <c r="BL89">
        <f t="shared" ca="1" si="92"/>
        <v>62.317882446282745</v>
      </c>
      <c r="BM89">
        <f t="shared" ca="1" si="92"/>
        <v>62.500481896691909</v>
      </c>
      <c r="BN89">
        <f t="shared" ca="1" si="92"/>
        <v>63.112173670223456</v>
      </c>
      <c r="BO89">
        <f t="shared" ca="1" si="70"/>
        <v>5.1121736702234557</v>
      </c>
    </row>
    <row r="90" spans="6:67">
      <c r="F90">
        <f t="shared" si="68"/>
        <v>60.99</v>
      </c>
      <c r="G90">
        <f t="shared" ref="G90:BN90" ca="1" si="93">F90*EXP(($B$2-0.5*$B$3^2)*$B$4+$B$3*_xlfn.NORM.INV(RAND(),0,SQRT($B$4)))</f>
        <v>59.55327785284716</v>
      </c>
      <c r="H90">
        <f t="shared" ca="1" si="93"/>
        <v>58.899523457358441</v>
      </c>
      <c r="I90">
        <f t="shared" ca="1" si="93"/>
        <v>60.929187782698733</v>
      </c>
      <c r="J90">
        <f t="shared" ca="1" si="93"/>
        <v>60.613683473323</v>
      </c>
      <c r="K90">
        <f t="shared" ca="1" si="93"/>
        <v>59.572711203456393</v>
      </c>
      <c r="L90">
        <f t="shared" ca="1" si="93"/>
        <v>59.345591679777591</v>
      </c>
      <c r="M90">
        <f t="shared" ca="1" si="93"/>
        <v>57.740548385257704</v>
      </c>
      <c r="N90">
        <f t="shared" ca="1" si="93"/>
        <v>58.339653516648852</v>
      </c>
      <c r="O90">
        <f t="shared" ca="1" si="93"/>
        <v>57.76393247673748</v>
      </c>
      <c r="P90">
        <f t="shared" ca="1" si="93"/>
        <v>58.623514671963726</v>
      </c>
      <c r="Q90">
        <f t="shared" ca="1" si="93"/>
        <v>58.534033855334641</v>
      </c>
      <c r="R90">
        <f t="shared" ca="1" si="93"/>
        <v>57.32368020267608</v>
      </c>
      <c r="S90">
        <f t="shared" ca="1" si="93"/>
        <v>57.281976673536924</v>
      </c>
      <c r="T90">
        <f t="shared" ca="1" si="93"/>
        <v>56.922875819082364</v>
      </c>
      <c r="U90">
        <f t="shared" ca="1" si="93"/>
        <v>55.828146843103994</v>
      </c>
      <c r="V90">
        <f t="shared" ca="1" si="93"/>
        <v>55.149071283162343</v>
      </c>
      <c r="W90">
        <f t="shared" ca="1" si="93"/>
        <v>55.536290656043349</v>
      </c>
      <c r="X90">
        <f t="shared" ca="1" si="93"/>
        <v>55.995524219351061</v>
      </c>
      <c r="Y90">
        <f t="shared" ca="1" si="93"/>
        <v>54.761711603411747</v>
      </c>
      <c r="Z90">
        <f t="shared" ca="1" si="93"/>
        <v>52.652938187973007</v>
      </c>
      <c r="AA90">
        <f t="shared" ca="1" si="93"/>
        <v>52.669011780213104</v>
      </c>
      <c r="AB90">
        <f t="shared" ca="1" si="93"/>
        <v>50.157654977508855</v>
      </c>
      <c r="AC90">
        <f t="shared" ca="1" si="93"/>
        <v>50.893934981886247</v>
      </c>
      <c r="AD90">
        <f t="shared" ca="1" si="93"/>
        <v>51.022614797722099</v>
      </c>
      <c r="AE90">
        <f t="shared" ca="1" si="93"/>
        <v>52.127441768760747</v>
      </c>
      <c r="AF90">
        <f t="shared" ca="1" si="93"/>
        <v>52.086917521717645</v>
      </c>
      <c r="AG90">
        <f t="shared" ca="1" si="93"/>
        <v>52.660832974405523</v>
      </c>
      <c r="AH90">
        <f t="shared" ca="1" si="93"/>
        <v>52.749624598262265</v>
      </c>
      <c r="AI90">
        <f t="shared" ca="1" si="93"/>
        <v>52.368615453504056</v>
      </c>
      <c r="AJ90">
        <f t="shared" ca="1" si="93"/>
        <v>53.259602607478541</v>
      </c>
      <c r="AK90">
        <f t="shared" ca="1" si="93"/>
        <v>54.433035736008399</v>
      </c>
      <c r="AL90">
        <f t="shared" ca="1" si="93"/>
        <v>54.003509556380919</v>
      </c>
      <c r="AM90">
        <f t="shared" ca="1" si="93"/>
        <v>53.024376505957676</v>
      </c>
      <c r="AN90">
        <f t="shared" ca="1" si="93"/>
        <v>52.530266133289921</v>
      </c>
      <c r="AO90">
        <f t="shared" ca="1" si="93"/>
        <v>53.706122860666078</v>
      </c>
      <c r="AP90">
        <f t="shared" ca="1" si="93"/>
        <v>55.369084865205188</v>
      </c>
      <c r="AQ90">
        <f t="shared" ca="1" si="93"/>
        <v>55.681082575790477</v>
      </c>
      <c r="AR90">
        <f t="shared" ca="1" si="93"/>
        <v>57.26776938567874</v>
      </c>
      <c r="AS90">
        <f t="shared" ca="1" si="93"/>
        <v>57.637520452563997</v>
      </c>
      <c r="AT90">
        <f t="shared" ca="1" si="93"/>
        <v>56.858719052243877</v>
      </c>
      <c r="AU90">
        <f t="shared" ca="1" si="93"/>
        <v>56.152683519156142</v>
      </c>
      <c r="AV90">
        <f t="shared" ca="1" si="93"/>
        <v>55.277159673854676</v>
      </c>
      <c r="AW90">
        <f t="shared" ca="1" si="93"/>
        <v>56.672451624736794</v>
      </c>
      <c r="AX90">
        <f t="shared" ca="1" si="93"/>
        <v>56.892325873203767</v>
      </c>
      <c r="AY90">
        <f t="shared" ca="1" si="93"/>
        <v>55.651477892558532</v>
      </c>
      <c r="AZ90">
        <f t="shared" ca="1" si="93"/>
        <v>54.258163189540085</v>
      </c>
      <c r="BA90">
        <f t="shared" ca="1" si="93"/>
        <v>54.955266180302992</v>
      </c>
      <c r="BB90">
        <f t="shared" ca="1" si="93"/>
        <v>55.023912399450147</v>
      </c>
      <c r="BC90">
        <f t="shared" ca="1" si="93"/>
        <v>55.65238517550128</v>
      </c>
      <c r="BD90">
        <f t="shared" ca="1" si="93"/>
        <v>56.532458011239179</v>
      </c>
      <c r="BE90">
        <f t="shared" ca="1" si="93"/>
        <v>55.906185232663624</v>
      </c>
      <c r="BF90">
        <f t="shared" ca="1" si="93"/>
        <v>56.867822405286859</v>
      </c>
      <c r="BG90">
        <f t="shared" ca="1" si="93"/>
        <v>58.367933428757041</v>
      </c>
      <c r="BH90">
        <f t="shared" ca="1" si="93"/>
        <v>57.302733636848636</v>
      </c>
      <c r="BI90">
        <f t="shared" ca="1" si="93"/>
        <v>57.941246901700609</v>
      </c>
      <c r="BJ90">
        <f t="shared" ca="1" si="93"/>
        <v>57.249804818187009</v>
      </c>
      <c r="BK90">
        <f t="shared" ca="1" si="93"/>
        <v>56.558471616373396</v>
      </c>
      <c r="BL90">
        <f t="shared" ca="1" si="93"/>
        <v>55.245877107435838</v>
      </c>
      <c r="BM90">
        <f t="shared" ca="1" si="93"/>
        <v>56.680007938824431</v>
      </c>
      <c r="BN90">
        <f t="shared" ca="1" si="93"/>
        <v>57.015048112596538</v>
      </c>
      <c r="BO90">
        <f t="shared" ca="1" si="70"/>
        <v>0</v>
      </c>
    </row>
    <row r="91" spans="6:67">
      <c r="F91">
        <f t="shared" si="68"/>
        <v>60.99</v>
      </c>
      <c r="G91">
        <f t="shared" ref="G91:BN91" ca="1" si="94">F91*EXP(($B$2-0.5*$B$3^2)*$B$4+$B$3*_xlfn.NORM.INV(RAND(),0,SQRT($B$4)))</f>
        <v>61.576634591646382</v>
      </c>
      <c r="H91">
        <f t="shared" ca="1" si="94"/>
        <v>62.476261170182319</v>
      </c>
      <c r="I91">
        <f t="shared" ca="1" si="94"/>
        <v>61.064101364083598</v>
      </c>
      <c r="J91">
        <f t="shared" ca="1" si="94"/>
        <v>61.804046830208968</v>
      </c>
      <c r="K91">
        <f t="shared" ca="1" si="94"/>
        <v>60.972105517029853</v>
      </c>
      <c r="L91">
        <f t="shared" ca="1" si="94"/>
        <v>62.623496657317496</v>
      </c>
      <c r="M91">
        <f t="shared" ca="1" si="94"/>
        <v>62.799603719577149</v>
      </c>
      <c r="N91">
        <f t="shared" ca="1" si="94"/>
        <v>62.914132611266233</v>
      </c>
      <c r="O91">
        <f t="shared" ca="1" si="94"/>
        <v>62.581054111203215</v>
      </c>
      <c r="P91">
        <f t="shared" ca="1" si="94"/>
        <v>63.728220619560005</v>
      </c>
      <c r="Q91">
        <f t="shared" ca="1" si="94"/>
        <v>62.591747434998041</v>
      </c>
      <c r="R91">
        <f t="shared" ca="1" si="94"/>
        <v>62.341652726675498</v>
      </c>
      <c r="S91">
        <f t="shared" ca="1" si="94"/>
        <v>61.93970958909798</v>
      </c>
      <c r="T91">
        <f t="shared" ca="1" si="94"/>
        <v>62.919938109241293</v>
      </c>
      <c r="U91">
        <f t="shared" ca="1" si="94"/>
        <v>61.513686699921649</v>
      </c>
      <c r="V91">
        <f t="shared" ca="1" si="94"/>
        <v>62.721576250242649</v>
      </c>
      <c r="W91">
        <f t="shared" ca="1" si="94"/>
        <v>61.974532292693276</v>
      </c>
      <c r="X91">
        <f t="shared" ca="1" si="94"/>
        <v>61.305243393945517</v>
      </c>
      <c r="Y91">
        <f t="shared" ca="1" si="94"/>
        <v>59.311637448875096</v>
      </c>
      <c r="Z91">
        <f t="shared" ca="1" si="94"/>
        <v>58.088079957304082</v>
      </c>
      <c r="AA91">
        <f t="shared" ca="1" si="94"/>
        <v>59.133346329489513</v>
      </c>
      <c r="AB91">
        <f t="shared" ca="1" si="94"/>
        <v>61.278588318115681</v>
      </c>
      <c r="AC91">
        <f t="shared" ca="1" si="94"/>
        <v>60.757336155619868</v>
      </c>
      <c r="AD91">
        <f t="shared" ca="1" si="94"/>
        <v>59.616991274896698</v>
      </c>
      <c r="AE91">
        <f t="shared" ca="1" si="94"/>
        <v>59.223923920767916</v>
      </c>
      <c r="AF91">
        <f t="shared" ca="1" si="94"/>
        <v>58.472098064675791</v>
      </c>
      <c r="AG91">
        <f t="shared" ca="1" si="94"/>
        <v>59.768855037205078</v>
      </c>
      <c r="AH91">
        <f t="shared" ca="1" si="94"/>
        <v>61.022723992319591</v>
      </c>
      <c r="AI91">
        <f t="shared" ca="1" si="94"/>
        <v>59.8461889112289</v>
      </c>
      <c r="AJ91">
        <f t="shared" ca="1" si="94"/>
        <v>58.450789102569871</v>
      </c>
      <c r="AK91">
        <f t="shared" ca="1" si="94"/>
        <v>58.032330486486529</v>
      </c>
      <c r="AL91">
        <f t="shared" ca="1" si="94"/>
        <v>58.246292532371839</v>
      </c>
      <c r="AM91">
        <f t="shared" ca="1" si="94"/>
        <v>60.703054316633647</v>
      </c>
      <c r="AN91">
        <f t="shared" ca="1" si="94"/>
        <v>60.522596403660053</v>
      </c>
      <c r="AO91">
        <f t="shared" ca="1" si="94"/>
        <v>61.196952503610611</v>
      </c>
      <c r="AP91">
        <f t="shared" ca="1" si="94"/>
        <v>61.020762524215478</v>
      </c>
      <c r="AQ91">
        <f t="shared" ca="1" si="94"/>
        <v>60.8996581402128</v>
      </c>
      <c r="AR91">
        <f t="shared" ca="1" si="94"/>
        <v>60.417328650529157</v>
      </c>
      <c r="AS91">
        <f t="shared" ca="1" si="94"/>
        <v>61.203275967764561</v>
      </c>
      <c r="AT91">
        <f t="shared" ca="1" si="94"/>
        <v>61.091828955411337</v>
      </c>
      <c r="AU91">
        <f t="shared" ca="1" si="94"/>
        <v>61.948368620856179</v>
      </c>
      <c r="AV91">
        <f t="shared" ca="1" si="94"/>
        <v>65.404720779339613</v>
      </c>
      <c r="AW91">
        <f t="shared" ca="1" si="94"/>
        <v>65.56919267582164</v>
      </c>
      <c r="AX91">
        <f t="shared" ca="1" si="94"/>
        <v>64.90279885909429</v>
      </c>
      <c r="AY91">
        <f t="shared" ca="1" si="94"/>
        <v>66.695037035294263</v>
      </c>
      <c r="AZ91">
        <f t="shared" ca="1" si="94"/>
        <v>68.511353540091321</v>
      </c>
      <c r="BA91">
        <f t="shared" ca="1" si="94"/>
        <v>70.50618447243842</v>
      </c>
      <c r="BB91">
        <f t="shared" ca="1" si="94"/>
        <v>70.265104610421716</v>
      </c>
      <c r="BC91">
        <f t="shared" ca="1" si="94"/>
        <v>71.051186100348502</v>
      </c>
      <c r="BD91">
        <f t="shared" ca="1" si="94"/>
        <v>71.665074928354031</v>
      </c>
      <c r="BE91">
        <f t="shared" ca="1" si="94"/>
        <v>72.039870204714035</v>
      </c>
      <c r="BF91">
        <f t="shared" ca="1" si="94"/>
        <v>74.491110237659768</v>
      </c>
      <c r="BG91">
        <f t="shared" ca="1" si="94"/>
        <v>74.171619425884685</v>
      </c>
      <c r="BH91">
        <f t="shared" ca="1" si="94"/>
        <v>71.120482305822051</v>
      </c>
      <c r="BI91">
        <f t="shared" ca="1" si="94"/>
        <v>71.105527796500837</v>
      </c>
      <c r="BJ91">
        <f t="shared" ca="1" si="94"/>
        <v>70.882032226411425</v>
      </c>
      <c r="BK91">
        <f t="shared" ca="1" si="94"/>
        <v>72.782718284662977</v>
      </c>
      <c r="BL91">
        <f t="shared" ca="1" si="94"/>
        <v>71.546559928060248</v>
      </c>
      <c r="BM91">
        <f t="shared" ca="1" si="94"/>
        <v>70.793405707308963</v>
      </c>
      <c r="BN91">
        <f t="shared" ca="1" si="94"/>
        <v>69.658552077740111</v>
      </c>
      <c r="BO91">
        <f t="shared" ca="1" si="70"/>
        <v>11.658552077740111</v>
      </c>
    </row>
    <row r="92" spans="6:67">
      <c r="F92">
        <f t="shared" si="68"/>
        <v>60.99</v>
      </c>
      <c r="G92">
        <f t="shared" ref="G92:BN92" ca="1" si="95">F92*EXP(($B$2-0.5*$B$3^2)*$B$4+$B$3*_xlfn.NORM.INV(RAND(),0,SQRT($B$4)))</f>
        <v>60.796014926381091</v>
      </c>
      <c r="H92">
        <f t="shared" ca="1" si="95"/>
        <v>62.157724027304923</v>
      </c>
      <c r="I92">
        <f t="shared" ca="1" si="95"/>
        <v>62.520828492062066</v>
      </c>
      <c r="J92">
        <f t="shared" ca="1" si="95"/>
        <v>62.543579912425642</v>
      </c>
      <c r="K92">
        <f t="shared" ca="1" si="95"/>
        <v>61.141388655569436</v>
      </c>
      <c r="L92">
        <f t="shared" ca="1" si="95"/>
        <v>61.846274695651495</v>
      </c>
      <c r="M92">
        <f t="shared" ca="1" si="95"/>
        <v>63.529118890234621</v>
      </c>
      <c r="N92">
        <f t="shared" ca="1" si="95"/>
        <v>62.860726324790861</v>
      </c>
      <c r="O92">
        <f t="shared" ca="1" si="95"/>
        <v>63.643739291230425</v>
      </c>
      <c r="P92">
        <f t="shared" ca="1" si="95"/>
        <v>64.346202807001035</v>
      </c>
      <c r="Q92">
        <f t="shared" ca="1" si="95"/>
        <v>65.202440567767596</v>
      </c>
      <c r="R92">
        <f t="shared" ca="1" si="95"/>
        <v>65.133809555251219</v>
      </c>
      <c r="S92">
        <f t="shared" ca="1" si="95"/>
        <v>65.952938682810114</v>
      </c>
      <c r="T92">
        <f t="shared" ca="1" si="95"/>
        <v>66.983088484411965</v>
      </c>
      <c r="U92">
        <f t="shared" ca="1" si="95"/>
        <v>67.386181407402631</v>
      </c>
      <c r="V92">
        <f t="shared" ca="1" si="95"/>
        <v>66.948609244215106</v>
      </c>
      <c r="W92">
        <f t="shared" ca="1" si="95"/>
        <v>66.722760972922046</v>
      </c>
      <c r="X92">
        <f t="shared" ca="1" si="95"/>
        <v>65.943496441473883</v>
      </c>
      <c r="Y92">
        <f t="shared" ca="1" si="95"/>
        <v>68.224325112830783</v>
      </c>
      <c r="Z92">
        <f t="shared" ca="1" si="95"/>
        <v>67.722442883750062</v>
      </c>
      <c r="AA92">
        <f t="shared" ca="1" si="95"/>
        <v>68.294793585326289</v>
      </c>
      <c r="AB92">
        <f t="shared" ca="1" si="95"/>
        <v>67.594531768360923</v>
      </c>
      <c r="AC92">
        <f t="shared" ca="1" si="95"/>
        <v>66.84158313603055</v>
      </c>
      <c r="AD92">
        <f t="shared" ca="1" si="95"/>
        <v>66.448238802171772</v>
      </c>
      <c r="AE92">
        <f t="shared" ca="1" si="95"/>
        <v>67.124937762105773</v>
      </c>
      <c r="AF92">
        <f t="shared" ca="1" si="95"/>
        <v>68.216193065256974</v>
      </c>
      <c r="AG92">
        <f t="shared" ca="1" si="95"/>
        <v>69.574438661890866</v>
      </c>
      <c r="AH92">
        <f t="shared" ca="1" si="95"/>
        <v>69.638204562023105</v>
      </c>
      <c r="AI92">
        <f t="shared" ca="1" si="95"/>
        <v>70.152937807322871</v>
      </c>
      <c r="AJ92">
        <f t="shared" ca="1" si="95"/>
        <v>70.393969569355733</v>
      </c>
      <c r="AK92">
        <f t="shared" ca="1" si="95"/>
        <v>69.032072326840492</v>
      </c>
      <c r="AL92">
        <f t="shared" ca="1" si="95"/>
        <v>67.756839675140796</v>
      </c>
      <c r="AM92">
        <f t="shared" ca="1" si="95"/>
        <v>67.922768960358368</v>
      </c>
      <c r="AN92">
        <f t="shared" ca="1" si="95"/>
        <v>66.528229486568705</v>
      </c>
      <c r="AO92">
        <f t="shared" ca="1" si="95"/>
        <v>65.868679108199103</v>
      </c>
      <c r="AP92">
        <f t="shared" ca="1" si="95"/>
        <v>67.583334531799821</v>
      </c>
      <c r="AQ92">
        <f t="shared" ca="1" si="95"/>
        <v>66.455944381289143</v>
      </c>
      <c r="AR92">
        <f t="shared" ca="1" si="95"/>
        <v>66.566343626432982</v>
      </c>
      <c r="AS92">
        <f t="shared" ca="1" si="95"/>
        <v>66.77195984844613</v>
      </c>
      <c r="AT92">
        <f t="shared" ca="1" si="95"/>
        <v>67.593983583853671</v>
      </c>
      <c r="AU92">
        <f t="shared" ca="1" si="95"/>
        <v>68.274800330673173</v>
      </c>
      <c r="AV92">
        <f t="shared" ca="1" si="95"/>
        <v>69.273801812922372</v>
      </c>
      <c r="AW92">
        <f t="shared" ca="1" si="95"/>
        <v>68.939534495877965</v>
      </c>
      <c r="AX92">
        <f t="shared" ca="1" si="95"/>
        <v>68.909455986808766</v>
      </c>
      <c r="AY92">
        <f t="shared" ca="1" si="95"/>
        <v>69.602527008666215</v>
      </c>
      <c r="AZ92">
        <f t="shared" ca="1" si="95"/>
        <v>68.816847047881197</v>
      </c>
      <c r="BA92">
        <f t="shared" ca="1" si="95"/>
        <v>67.973016041853924</v>
      </c>
      <c r="BB92">
        <f t="shared" ca="1" si="95"/>
        <v>67.176139968823165</v>
      </c>
      <c r="BC92">
        <f t="shared" ca="1" si="95"/>
        <v>67.076559577770396</v>
      </c>
      <c r="BD92">
        <f t="shared" ca="1" si="95"/>
        <v>68.360365800275119</v>
      </c>
      <c r="BE92">
        <f t="shared" ca="1" si="95"/>
        <v>69.557086968878892</v>
      </c>
      <c r="BF92">
        <f t="shared" ca="1" si="95"/>
        <v>70.256846694598394</v>
      </c>
      <c r="BG92">
        <f t="shared" ca="1" si="95"/>
        <v>70.263204383822782</v>
      </c>
      <c r="BH92">
        <f t="shared" ca="1" si="95"/>
        <v>72.430499402316684</v>
      </c>
      <c r="BI92">
        <f t="shared" ca="1" si="95"/>
        <v>72.644385900258357</v>
      </c>
      <c r="BJ92">
        <f t="shared" ca="1" si="95"/>
        <v>71.808608585809139</v>
      </c>
      <c r="BK92">
        <f t="shared" ca="1" si="95"/>
        <v>74.285283702161067</v>
      </c>
      <c r="BL92">
        <f t="shared" ca="1" si="95"/>
        <v>75.651892500463347</v>
      </c>
      <c r="BM92">
        <f t="shared" ca="1" si="95"/>
        <v>74.451408706095151</v>
      </c>
      <c r="BN92">
        <f t="shared" ca="1" si="95"/>
        <v>75.240890638264659</v>
      </c>
      <c r="BO92">
        <f t="shared" ca="1" si="70"/>
        <v>17.240890638264659</v>
      </c>
    </row>
    <row r="93" spans="6:67">
      <c r="F93">
        <f t="shared" si="68"/>
        <v>60.99</v>
      </c>
      <c r="G93">
        <f t="shared" ref="G93:BN93" ca="1" si="96">F93*EXP(($B$2-0.5*$B$3^2)*$B$4+$B$3*_xlfn.NORM.INV(RAND(),0,SQRT($B$4)))</f>
        <v>59.386922158048975</v>
      </c>
      <c r="H93">
        <f t="shared" ca="1" si="96"/>
        <v>60.244809820419633</v>
      </c>
      <c r="I93">
        <f t="shared" ca="1" si="96"/>
        <v>60.11053598851224</v>
      </c>
      <c r="J93">
        <f t="shared" ca="1" si="96"/>
        <v>59.197765307745193</v>
      </c>
      <c r="K93">
        <f t="shared" ca="1" si="96"/>
        <v>58.796932193026095</v>
      </c>
      <c r="L93">
        <f t="shared" ca="1" si="96"/>
        <v>61.260965404033271</v>
      </c>
      <c r="M93">
        <f t="shared" ca="1" si="96"/>
        <v>60.997283016719372</v>
      </c>
      <c r="N93">
        <f t="shared" ca="1" si="96"/>
        <v>61.372544987787919</v>
      </c>
      <c r="O93">
        <f t="shared" ca="1" si="96"/>
        <v>60.566857602587682</v>
      </c>
      <c r="P93">
        <f t="shared" ca="1" si="96"/>
        <v>62.727494768000284</v>
      </c>
      <c r="Q93">
        <f t="shared" ca="1" si="96"/>
        <v>61.819495581338728</v>
      </c>
      <c r="R93">
        <f t="shared" ca="1" si="96"/>
        <v>63.891284321952476</v>
      </c>
      <c r="S93">
        <f t="shared" ca="1" si="96"/>
        <v>61.569419667897158</v>
      </c>
      <c r="T93">
        <f t="shared" ca="1" si="96"/>
        <v>61.629725524601461</v>
      </c>
      <c r="U93">
        <f t="shared" ca="1" si="96"/>
        <v>62.59069187048182</v>
      </c>
      <c r="V93">
        <f t="shared" ca="1" si="96"/>
        <v>62.67024036717995</v>
      </c>
      <c r="W93">
        <f t="shared" ca="1" si="96"/>
        <v>62.766242909796908</v>
      </c>
      <c r="X93">
        <f t="shared" ca="1" si="96"/>
        <v>61.811788098745239</v>
      </c>
      <c r="Y93">
        <f t="shared" ca="1" si="96"/>
        <v>61.913512378392156</v>
      </c>
      <c r="Z93">
        <f t="shared" ca="1" si="96"/>
        <v>61.970210969140354</v>
      </c>
      <c r="AA93">
        <f t="shared" ca="1" si="96"/>
        <v>62.928662492346419</v>
      </c>
      <c r="AB93">
        <f t="shared" ca="1" si="96"/>
        <v>64.177320134532366</v>
      </c>
      <c r="AC93">
        <f t="shared" ca="1" si="96"/>
        <v>63.645037337163863</v>
      </c>
      <c r="AD93">
        <f t="shared" ca="1" si="96"/>
        <v>63.446754591240015</v>
      </c>
      <c r="AE93">
        <f t="shared" ca="1" si="96"/>
        <v>64.580766636097962</v>
      </c>
      <c r="AF93">
        <f t="shared" ca="1" si="96"/>
        <v>67.689809076226837</v>
      </c>
      <c r="AG93">
        <f t="shared" ca="1" si="96"/>
        <v>68.237346684215353</v>
      </c>
      <c r="AH93">
        <f t="shared" ca="1" si="96"/>
        <v>68.465868009618859</v>
      </c>
      <c r="AI93">
        <f t="shared" ca="1" si="96"/>
        <v>68.590672383266565</v>
      </c>
      <c r="AJ93">
        <f t="shared" ca="1" si="96"/>
        <v>66.482606268099644</v>
      </c>
      <c r="AK93">
        <f t="shared" ca="1" si="96"/>
        <v>68.657738369203912</v>
      </c>
      <c r="AL93">
        <f t="shared" ca="1" si="96"/>
        <v>65.869125418804359</v>
      </c>
      <c r="AM93">
        <f t="shared" ca="1" si="96"/>
        <v>65.603440565882551</v>
      </c>
      <c r="AN93">
        <f t="shared" ca="1" si="96"/>
        <v>66.997166794700902</v>
      </c>
      <c r="AO93">
        <f t="shared" ca="1" si="96"/>
        <v>67.479935055733307</v>
      </c>
      <c r="AP93">
        <f t="shared" ca="1" si="96"/>
        <v>68.990565942132875</v>
      </c>
      <c r="AQ93">
        <f t="shared" ca="1" si="96"/>
        <v>69.722398929573529</v>
      </c>
      <c r="AR93">
        <f t="shared" ca="1" si="96"/>
        <v>70.175360801732936</v>
      </c>
      <c r="AS93">
        <f t="shared" ca="1" si="96"/>
        <v>71.682979336385955</v>
      </c>
      <c r="AT93">
        <f t="shared" ca="1" si="96"/>
        <v>70.833347404411668</v>
      </c>
      <c r="AU93">
        <f t="shared" ca="1" si="96"/>
        <v>72.200944712034598</v>
      </c>
      <c r="AV93">
        <f t="shared" ca="1" si="96"/>
        <v>74.624332218837921</v>
      </c>
      <c r="AW93">
        <f t="shared" ca="1" si="96"/>
        <v>74.747084472268895</v>
      </c>
      <c r="AX93">
        <f t="shared" ca="1" si="96"/>
        <v>74.888840061130921</v>
      </c>
      <c r="AY93">
        <f t="shared" ca="1" si="96"/>
        <v>75.325125232770574</v>
      </c>
      <c r="AZ93">
        <f t="shared" ca="1" si="96"/>
        <v>73.500259637468986</v>
      </c>
      <c r="BA93">
        <f t="shared" ca="1" si="96"/>
        <v>73.020895790647913</v>
      </c>
      <c r="BB93">
        <f t="shared" ca="1" si="96"/>
        <v>73.623471457921625</v>
      </c>
      <c r="BC93">
        <f t="shared" ca="1" si="96"/>
        <v>76.37689418431259</v>
      </c>
      <c r="BD93">
        <f t="shared" ca="1" si="96"/>
        <v>76.192464223484762</v>
      </c>
      <c r="BE93">
        <f t="shared" ca="1" si="96"/>
        <v>76.957735238725334</v>
      </c>
      <c r="BF93">
        <f t="shared" ca="1" si="96"/>
        <v>79.933909818377131</v>
      </c>
      <c r="BG93">
        <f t="shared" ca="1" si="96"/>
        <v>81.003355320885916</v>
      </c>
      <c r="BH93">
        <f t="shared" ca="1" si="96"/>
        <v>82.144306891251418</v>
      </c>
      <c r="BI93">
        <f t="shared" ca="1" si="96"/>
        <v>82.479132563080185</v>
      </c>
      <c r="BJ93">
        <f t="shared" ca="1" si="96"/>
        <v>82.424674534098372</v>
      </c>
      <c r="BK93">
        <f t="shared" ca="1" si="96"/>
        <v>84.134928491025832</v>
      </c>
      <c r="BL93">
        <f t="shared" ca="1" si="96"/>
        <v>83.734460080665585</v>
      </c>
      <c r="BM93">
        <f t="shared" ca="1" si="96"/>
        <v>84.453493297601995</v>
      </c>
      <c r="BN93">
        <f t="shared" ca="1" si="96"/>
        <v>84.36599966440869</v>
      </c>
      <c r="BO93">
        <f t="shared" ca="1" si="70"/>
        <v>26.36599966440869</v>
      </c>
    </row>
    <row r="94" spans="6:67">
      <c r="F94">
        <f t="shared" si="68"/>
        <v>60.99</v>
      </c>
      <c r="G94">
        <f t="shared" ref="G94:BN94" ca="1" si="97">F94*EXP(($B$2-0.5*$B$3^2)*$B$4+$B$3*_xlfn.NORM.INV(RAND(),0,SQRT($B$4)))</f>
        <v>60.372848018727566</v>
      </c>
      <c r="H94">
        <f t="shared" ca="1" si="97"/>
        <v>60.162100640461333</v>
      </c>
      <c r="I94">
        <f t="shared" ca="1" si="97"/>
        <v>59.648981363910416</v>
      </c>
      <c r="J94">
        <f t="shared" ca="1" si="97"/>
        <v>58.913727017622449</v>
      </c>
      <c r="K94">
        <f t="shared" ca="1" si="97"/>
        <v>60.379724659346593</v>
      </c>
      <c r="L94">
        <f t="shared" ca="1" si="97"/>
        <v>61.032397201944718</v>
      </c>
      <c r="M94">
        <f t="shared" ca="1" si="97"/>
        <v>61.864766033857471</v>
      </c>
      <c r="N94">
        <f t="shared" ca="1" si="97"/>
        <v>63.919605702123448</v>
      </c>
      <c r="O94">
        <f t="shared" ca="1" si="97"/>
        <v>64.098080094829086</v>
      </c>
      <c r="P94">
        <f t="shared" ca="1" si="97"/>
        <v>63.950774110442126</v>
      </c>
      <c r="Q94">
        <f t="shared" ca="1" si="97"/>
        <v>61.882471664686094</v>
      </c>
      <c r="R94">
        <f t="shared" ca="1" si="97"/>
        <v>62.270282079706078</v>
      </c>
      <c r="S94">
        <f t="shared" ca="1" si="97"/>
        <v>60.841814140481262</v>
      </c>
      <c r="T94">
        <f t="shared" ca="1" si="97"/>
        <v>61.205229418568102</v>
      </c>
      <c r="U94">
        <f t="shared" ca="1" si="97"/>
        <v>60.810444356684904</v>
      </c>
      <c r="V94">
        <f t="shared" ca="1" si="97"/>
        <v>62.833295810903032</v>
      </c>
      <c r="W94">
        <f t="shared" ca="1" si="97"/>
        <v>62.586554518869285</v>
      </c>
      <c r="X94">
        <f t="shared" ca="1" si="97"/>
        <v>63.309243098972054</v>
      </c>
      <c r="Y94">
        <f t="shared" ca="1" si="97"/>
        <v>64.263887729791136</v>
      </c>
      <c r="Z94">
        <f t="shared" ca="1" si="97"/>
        <v>63.3021041450464</v>
      </c>
      <c r="AA94">
        <f t="shared" ca="1" si="97"/>
        <v>63.598997888289723</v>
      </c>
      <c r="AB94">
        <f t="shared" ca="1" si="97"/>
        <v>65.834645794048015</v>
      </c>
      <c r="AC94">
        <f t="shared" ca="1" si="97"/>
        <v>66.48716876907838</v>
      </c>
      <c r="AD94">
        <f t="shared" ca="1" si="97"/>
        <v>67.089930822038994</v>
      </c>
      <c r="AE94">
        <f t="shared" ca="1" si="97"/>
        <v>68.565460816785617</v>
      </c>
      <c r="AF94">
        <f t="shared" ca="1" si="97"/>
        <v>70.107300882095203</v>
      </c>
      <c r="AG94">
        <f t="shared" ca="1" si="97"/>
        <v>70.682465228735765</v>
      </c>
      <c r="AH94">
        <f t="shared" ca="1" si="97"/>
        <v>69.855945731297695</v>
      </c>
      <c r="AI94">
        <f t="shared" ca="1" si="97"/>
        <v>68.78003107249738</v>
      </c>
      <c r="AJ94">
        <f t="shared" ca="1" si="97"/>
        <v>68.475202537902277</v>
      </c>
      <c r="AK94">
        <f t="shared" ca="1" si="97"/>
        <v>67.851688487245497</v>
      </c>
      <c r="AL94">
        <f t="shared" ca="1" si="97"/>
        <v>67.964345609765786</v>
      </c>
      <c r="AM94">
        <f t="shared" ca="1" si="97"/>
        <v>69.005642191992166</v>
      </c>
      <c r="AN94">
        <f t="shared" ca="1" si="97"/>
        <v>70.603990665088062</v>
      </c>
      <c r="AO94">
        <f t="shared" ca="1" si="97"/>
        <v>70.05628103610951</v>
      </c>
      <c r="AP94">
        <f t="shared" ca="1" si="97"/>
        <v>70.052398372058235</v>
      </c>
      <c r="AQ94">
        <f t="shared" ca="1" si="97"/>
        <v>69.603556442679036</v>
      </c>
      <c r="AR94">
        <f t="shared" ca="1" si="97"/>
        <v>69.122120845372933</v>
      </c>
      <c r="AS94">
        <f t="shared" ca="1" si="97"/>
        <v>71.498642710601786</v>
      </c>
      <c r="AT94">
        <f t="shared" ca="1" si="97"/>
        <v>72.421560627474932</v>
      </c>
      <c r="AU94">
        <f t="shared" ca="1" si="97"/>
        <v>72.937220747808396</v>
      </c>
      <c r="AV94">
        <f t="shared" ca="1" si="97"/>
        <v>73.063483260925949</v>
      </c>
      <c r="AW94">
        <f t="shared" ca="1" si="97"/>
        <v>72.739312910967456</v>
      </c>
      <c r="AX94">
        <f t="shared" ca="1" si="97"/>
        <v>73.762519119628308</v>
      </c>
      <c r="AY94">
        <f t="shared" ca="1" si="97"/>
        <v>75.078947417938394</v>
      </c>
      <c r="AZ94">
        <f t="shared" ca="1" si="97"/>
        <v>75.665056128289876</v>
      </c>
      <c r="BA94">
        <f t="shared" ca="1" si="97"/>
        <v>76.814953772820047</v>
      </c>
      <c r="BB94">
        <f t="shared" ca="1" si="97"/>
        <v>75.393617309432926</v>
      </c>
      <c r="BC94">
        <f t="shared" ca="1" si="97"/>
        <v>74.697290136874614</v>
      </c>
      <c r="BD94">
        <f t="shared" ca="1" si="97"/>
        <v>74.017026340580415</v>
      </c>
      <c r="BE94">
        <f t="shared" ca="1" si="97"/>
        <v>73.756282206002169</v>
      </c>
      <c r="BF94">
        <f t="shared" ca="1" si="97"/>
        <v>71.694727637598007</v>
      </c>
      <c r="BG94">
        <f t="shared" ca="1" si="97"/>
        <v>72.556964663043289</v>
      </c>
      <c r="BH94">
        <f t="shared" ca="1" si="97"/>
        <v>74.768896145583611</v>
      </c>
      <c r="BI94">
        <f t="shared" ca="1" si="97"/>
        <v>73.535258617275773</v>
      </c>
      <c r="BJ94">
        <f t="shared" ca="1" si="97"/>
        <v>74.851435463784583</v>
      </c>
      <c r="BK94">
        <f t="shared" ca="1" si="97"/>
        <v>73.574580000584618</v>
      </c>
      <c r="BL94">
        <f t="shared" ca="1" si="97"/>
        <v>74.418628045027035</v>
      </c>
      <c r="BM94">
        <f t="shared" ca="1" si="97"/>
        <v>76.738394174801613</v>
      </c>
      <c r="BN94">
        <f t="shared" ca="1" si="97"/>
        <v>76.897859550044899</v>
      </c>
      <c r="BO94">
        <f t="shared" ca="1" si="70"/>
        <v>18.897859550044899</v>
      </c>
    </row>
    <row r="95" spans="6:67">
      <c r="F95">
        <f t="shared" si="68"/>
        <v>60.99</v>
      </c>
      <c r="G95">
        <f t="shared" ref="G95:BN95" ca="1" si="98">F95*EXP(($B$2-0.5*$B$3^2)*$B$4+$B$3*_xlfn.NORM.INV(RAND(),0,SQRT($B$4)))</f>
        <v>60.362471431250349</v>
      </c>
      <c r="H95">
        <f t="shared" ca="1" si="98"/>
        <v>58.406634048710956</v>
      </c>
      <c r="I95">
        <f t="shared" ca="1" si="98"/>
        <v>59.228899164572354</v>
      </c>
      <c r="J95">
        <f t="shared" ca="1" si="98"/>
        <v>58.858283026436631</v>
      </c>
      <c r="K95">
        <f t="shared" ca="1" si="98"/>
        <v>58.44226041063574</v>
      </c>
      <c r="L95">
        <f t="shared" ca="1" si="98"/>
        <v>59.828876472375669</v>
      </c>
      <c r="M95">
        <f t="shared" ca="1" si="98"/>
        <v>59.868612994888224</v>
      </c>
      <c r="N95">
        <f t="shared" ca="1" si="98"/>
        <v>60.180375889284655</v>
      </c>
      <c r="O95">
        <f t="shared" ca="1" si="98"/>
        <v>60.523362099478199</v>
      </c>
      <c r="P95">
        <f t="shared" ca="1" si="98"/>
        <v>59.841876554628989</v>
      </c>
      <c r="Q95">
        <f t="shared" ca="1" si="98"/>
        <v>58.770622207612718</v>
      </c>
      <c r="R95">
        <f t="shared" ca="1" si="98"/>
        <v>57.992565440736662</v>
      </c>
      <c r="S95">
        <f t="shared" ca="1" si="98"/>
        <v>57.844181721198289</v>
      </c>
      <c r="T95">
        <f t="shared" ca="1" si="98"/>
        <v>58.869560472099394</v>
      </c>
      <c r="U95">
        <f t="shared" ca="1" si="98"/>
        <v>60.1943063964994</v>
      </c>
      <c r="V95">
        <f t="shared" ca="1" si="98"/>
        <v>60.945234701263665</v>
      </c>
      <c r="W95">
        <f t="shared" ca="1" si="98"/>
        <v>59.040173254912936</v>
      </c>
      <c r="X95">
        <f t="shared" ca="1" si="98"/>
        <v>60.167156123548921</v>
      </c>
      <c r="Y95">
        <f t="shared" ca="1" si="98"/>
        <v>61.076823294665424</v>
      </c>
      <c r="Z95">
        <f t="shared" ca="1" si="98"/>
        <v>60.099425148851218</v>
      </c>
      <c r="AA95">
        <f t="shared" ca="1" si="98"/>
        <v>61.761305657148711</v>
      </c>
      <c r="AB95">
        <f t="shared" ca="1" si="98"/>
        <v>59.678332066294494</v>
      </c>
      <c r="AC95">
        <f t="shared" ca="1" si="98"/>
        <v>59.258338750687152</v>
      </c>
      <c r="AD95">
        <f t="shared" ca="1" si="98"/>
        <v>59.287142972739026</v>
      </c>
      <c r="AE95">
        <f t="shared" ca="1" si="98"/>
        <v>60.732240700477405</v>
      </c>
      <c r="AF95">
        <f t="shared" ca="1" si="98"/>
        <v>61.656322194446084</v>
      </c>
      <c r="AG95">
        <f t="shared" ca="1" si="98"/>
        <v>63.122109767075813</v>
      </c>
      <c r="AH95">
        <f t="shared" ca="1" si="98"/>
        <v>64.753222054357437</v>
      </c>
      <c r="AI95">
        <f t="shared" ca="1" si="98"/>
        <v>63.208562033698328</v>
      </c>
      <c r="AJ95">
        <f t="shared" ca="1" si="98"/>
        <v>63.252361452650838</v>
      </c>
      <c r="AK95">
        <f t="shared" ca="1" si="98"/>
        <v>64.740655000907921</v>
      </c>
      <c r="AL95">
        <f t="shared" ca="1" si="98"/>
        <v>63.502559920701778</v>
      </c>
      <c r="AM95">
        <f t="shared" ca="1" si="98"/>
        <v>64.696276111476564</v>
      </c>
      <c r="AN95">
        <f t="shared" ca="1" si="98"/>
        <v>62.803499489026649</v>
      </c>
      <c r="AO95">
        <f t="shared" ca="1" si="98"/>
        <v>63.54312403305029</v>
      </c>
      <c r="AP95">
        <f t="shared" ca="1" si="98"/>
        <v>62.979159732295486</v>
      </c>
      <c r="AQ95">
        <f t="shared" ca="1" si="98"/>
        <v>62.63118415664956</v>
      </c>
      <c r="AR95">
        <f t="shared" ca="1" si="98"/>
        <v>62.18620636399708</v>
      </c>
      <c r="AS95">
        <f t="shared" ca="1" si="98"/>
        <v>62.731904243492927</v>
      </c>
      <c r="AT95">
        <f t="shared" ca="1" si="98"/>
        <v>63.03761773864656</v>
      </c>
      <c r="AU95">
        <f t="shared" ca="1" si="98"/>
        <v>61.912885495139008</v>
      </c>
      <c r="AV95">
        <f t="shared" ca="1" si="98"/>
        <v>60.748175066933648</v>
      </c>
      <c r="AW95">
        <f t="shared" ca="1" si="98"/>
        <v>60.723292395521369</v>
      </c>
      <c r="AX95">
        <f t="shared" ca="1" si="98"/>
        <v>62.934194784382441</v>
      </c>
      <c r="AY95">
        <f t="shared" ca="1" si="98"/>
        <v>61.332944979927042</v>
      </c>
      <c r="AZ95">
        <f t="shared" ca="1" si="98"/>
        <v>58.812809421706767</v>
      </c>
      <c r="BA95">
        <f t="shared" ca="1" si="98"/>
        <v>58.610642823792411</v>
      </c>
      <c r="BB95">
        <f t="shared" ca="1" si="98"/>
        <v>59.00393800343528</v>
      </c>
      <c r="BC95">
        <f t="shared" ca="1" si="98"/>
        <v>57.67619955323152</v>
      </c>
      <c r="BD95">
        <f t="shared" ca="1" si="98"/>
        <v>57.240344558353264</v>
      </c>
      <c r="BE95">
        <f t="shared" ca="1" si="98"/>
        <v>57.11003063910438</v>
      </c>
      <c r="BF95">
        <f t="shared" ca="1" si="98"/>
        <v>56.221708434669047</v>
      </c>
      <c r="BG95">
        <f t="shared" ca="1" si="98"/>
        <v>56.262210483339359</v>
      </c>
      <c r="BH95">
        <f t="shared" ca="1" si="98"/>
        <v>55.31206957528682</v>
      </c>
      <c r="BI95">
        <f t="shared" ca="1" si="98"/>
        <v>54.625641663673072</v>
      </c>
      <c r="BJ95">
        <f t="shared" ca="1" si="98"/>
        <v>55.216828631551188</v>
      </c>
      <c r="BK95">
        <f t="shared" ca="1" si="98"/>
        <v>55.019591954634876</v>
      </c>
      <c r="BL95">
        <f t="shared" ca="1" si="98"/>
        <v>54.234470251711862</v>
      </c>
      <c r="BM95">
        <f t="shared" ca="1" si="98"/>
        <v>54.000890767187286</v>
      </c>
      <c r="BN95">
        <f t="shared" ca="1" si="98"/>
        <v>54.882295176416612</v>
      </c>
      <c r="BO95">
        <f t="shared" ca="1" si="70"/>
        <v>0</v>
      </c>
    </row>
    <row r="96" spans="6:67">
      <c r="F96">
        <f t="shared" si="68"/>
        <v>60.99</v>
      </c>
      <c r="G96">
        <f t="shared" ref="G96:BN96" ca="1" si="99">F96*EXP(($B$2-0.5*$B$3^2)*$B$4+$B$3*_xlfn.NORM.INV(RAND(),0,SQRT($B$4)))</f>
        <v>61.310891598147819</v>
      </c>
      <c r="H96">
        <f t="shared" ca="1" si="99"/>
        <v>59.632907263204359</v>
      </c>
      <c r="I96">
        <f t="shared" ca="1" si="99"/>
        <v>59.457491971290345</v>
      </c>
      <c r="J96">
        <f t="shared" ca="1" si="99"/>
        <v>59.53111850541422</v>
      </c>
      <c r="K96">
        <f t="shared" ca="1" si="99"/>
        <v>60.508345328217459</v>
      </c>
      <c r="L96">
        <f t="shared" ca="1" si="99"/>
        <v>59.491506660667483</v>
      </c>
      <c r="M96">
        <f t="shared" ca="1" si="99"/>
        <v>59.292762660146607</v>
      </c>
      <c r="N96">
        <f t="shared" ca="1" si="99"/>
        <v>56.974662503294468</v>
      </c>
      <c r="O96">
        <f t="shared" ca="1" si="99"/>
        <v>57.331438521036993</v>
      </c>
      <c r="P96">
        <f t="shared" ca="1" si="99"/>
        <v>56.027622933686395</v>
      </c>
      <c r="Q96">
        <f t="shared" ca="1" si="99"/>
        <v>54.275381813086184</v>
      </c>
      <c r="R96">
        <f t="shared" ca="1" si="99"/>
        <v>55.247826598409723</v>
      </c>
      <c r="S96">
        <f t="shared" ca="1" si="99"/>
        <v>54.064119611430527</v>
      </c>
      <c r="T96">
        <f t="shared" ca="1" si="99"/>
        <v>53.038236774818046</v>
      </c>
      <c r="U96">
        <f t="shared" ca="1" si="99"/>
        <v>52.114300761176665</v>
      </c>
      <c r="V96">
        <f t="shared" ca="1" si="99"/>
        <v>53.432177531661388</v>
      </c>
      <c r="W96">
        <f t="shared" ca="1" si="99"/>
        <v>53.886799303511538</v>
      </c>
      <c r="X96">
        <f t="shared" ca="1" si="99"/>
        <v>54.408204478256458</v>
      </c>
      <c r="Y96">
        <f t="shared" ca="1" si="99"/>
        <v>54.758151878542378</v>
      </c>
      <c r="Z96">
        <f t="shared" ca="1" si="99"/>
        <v>55.691891466881067</v>
      </c>
      <c r="AA96">
        <f t="shared" ca="1" si="99"/>
        <v>57.156593604019605</v>
      </c>
      <c r="AB96">
        <f t="shared" ca="1" si="99"/>
        <v>57.505178012659307</v>
      </c>
      <c r="AC96">
        <f t="shared" ca="1" si="99"/>
        <v>58.535262696230198</v>
      </c>
      <c r="AD96">
        <f t="shared" ca="1" si="99"/>
        <v>57.53742023083872</v>
      </c>
      <c r="AE96">
        <f t="shared" ca="1" si="99"/>
        <v>57.398039068948691</v>
      </c>
      <c r="AF96">
        <f t="shared" ca="1" si="99"/>
        <v>56.779541819329125</v>
      </c>
      <c r="AG96">
        <f t="shared" ca="1" si="99"/>
        <v>58.008675795716641</v>
      </c>
      <c r="AH96">
        <f t="shared" ca="1" si="99"/>
        <v>57.64060050786243</v>
      </c>
      <c r="AI96">
        <f t="shared" ca="1" si="99"/>
        <v>56.33682871177966</v>
      </c>
      <c r="AJ96">
        <f t="shared" ca="1" si="99"/>
        <v>56.298437243621883</v>
      </c>
      <c r="AK96">
        <f t="shared" ca="1" si="99"/>
        <v>56.423829865422903</v>
      </c>
      <c r="AL96">
        <f t="shared" ca="1" si="99"/>
        <v>58.57162990196494</v>
      </c>
      <c r="AM96">
        <f t="shared" ca="1" si="99"/>
        <v>59.515140201664828</v>
      </c>
      <c r="AN96">
        <f t="shared" ca="1" si="99"/>
        <v>58.703820835898966</v>
      </c>
      <c r="AO96">
        <f t="shared" ca="1" si="99"/>
        <v>57.133884395623326</v>
      </c>
      <c r="AP96">
        <f t="shared" ca="1" si="99"/>
        <v>59.523439476956838</v>
      </c>
      <c r="AQ96">
        <f t="shared" ca="1" si="99"/>
        <v>61.178872285197123</v>
      </c>
      <c r="AR96">
        <f t="shared" ca="1" si="99"/>
        <v>62.060580979006168</v>
      </c>
      <c r="AS96">
        <f t="shared" ca="1" si="99"/>
        <v>60.618229268569451</v>
      </c>
      <c r="AT96">
        <f t="shared" ca="1" si="99"/>
        <v>62.924110142792657</v>
      </c>
      <c r="AU96">
        <f t="shared" ca="1" si="99"/>
        <v>62.407930263706639</v>
      </c>
      <c r="AV96">
        <f t="shared" ca="1" si="99"/>
        <v>63.267068489835033</v>
      </c>
      <c r="AW96">
        <f t="shared" ca="1" si="99"/>
        <v>62.992238837092394</v>
      </c>
      <c r="AX96">
        <f t="shared" ca="1" si="99"/>
        <v>62.265483244869195</v>
      </c>
      <c r="AY96">
        <f t="shared" ca="1" si="99"/>
        <v>60.912721156875342</v>
      </c>
      <c r="AZ96">
        <f t="shared" ca="1" si="99"/>
        <v>60.317017364694387</v>
      </c>
      <c r="BA96">
        <f t="shared" ca="1" si="99"/>
        <v>59.348098148214525</v>
      </c>
      <c r="BB96">
        <f t="shared" ca="1" si="99"/>
        <v>59.000242211496641</v>
      </c>
      <c r="BC96">
        <f t="shared" ca="1" si="99"/>
        <v>59.113893165361304</v>
      </c>
      <c r="BD96">
        <f t="shared" ca="1" si="99"/>
        <v>58.373707351502858</v>
      </c>
      <c r="BE96">
        <f t="shared" ca="1" si="99"/>
        <v>58.297825362138269</v>
      </c>
      <c r="BF96">
        <f t="shared" ca="1" si="99"/>
        <v>56.910528040921371</v>
      </c>
      <c r="BG96">
        <f t="shared" ca="1" si="99"/>
        <v>57.416379727245825</v>
      </c>
      <c r="BH96">
        <f t="shared" ca="1" si="99"/>
        <v>57.335718955380983</v>
      </c>
      <c r="BI96">
        <f t="shared" ca="1" si="99"/>
        <v>57.409335587348316</v>
      </c>
      <c r="BJ96">
        <f t="shared" ca="1" si="99"/>
        <v>57.250960026175932</v>
      </c>
      <c r="BK96">
        <f t="shared" ca="1" si="99"/>
        <v>57.167135601041025</v>
      </c>
      <c r="BL96">
        <f t="shared" ca="1" si="99"/>
        <v>55.523611952330157</v>
      </c>
      <c r="BM96">
        <f t="shared" ca="1" si="99"/>
        <v>55.465253212865733</v>
      </c>
      <c r="BN96">
        <f t="shared" ca="1" si="99"/>
        <v>56.322582778568695</v>
      </c>
      <c r="BO96">
        <f t="shared" ca="1" si="70"/>
        <v>0</v>
      </c>
    </row>
    <row r="97" spans="6:67">
      <c r="F97">
        <f t="shared" si="68"/>
        <v>60.99</v>
      </c>
      <c r="G97">
        <f t="shared" ref="G97:BN97" ca="1" si="100">F97*EXP(($B$2-0.5*$B$3^2)*$B$4+$B$3*_xlfn.NORM.INV(RAND(),0,SQRT($B$4)))</f>
        <v>59.696539161326015</v>
      </c>
      <c r="H97">
        <f t="shared" ca="1" si="100"/>
        <v>60.893217092540972</v>
      </c>
      <c r="I97">
        <f t="shared" ca="1" si="100"/>
        <v>60.348977855328137</v>
      </c>
      <c r="J97">
        <f t="shared" ca="1" si="100"/>
        <v>58.396528638388638</v>
      </c>
      <c r="K97">
        <f t="shared" ca="1" si="100"/>
        <v>57.967519774174676</v>
      </c>
      <c r="L97">
        <f t="shared" ca="1" si="100"/>
        <v>59.834712501460793</v>
      </c>
      <c r="M97">
        <f t="shared" ca="1" si="100"/>
        <v>59.081270209022591</v>
      </c>
      <c r="N97">
        <f t="shared" ca="1" si="100"/>
        <v>57.733392589091423</v>
      </c>
      <c r="O97">
        <f t="shared" ca="1" si="100"/>
        <v>58.163738233110685</v>
      </c>
      <c r="P97">
        <f t="shared" ca="1" si="100"/>
        <v>59.906253638212128</v>
      </c>
      <c r="Q97">
        <f t="shared" ca="1" si="100"/>
        <v>61.670507569860469</v>
      </c>
      <c r="R97">
        <f t="shared" ca="1" si="100"/>
        <v>62.875027937256974</v>
      </c>
      <c r="S97">
        <f t="shared" ca="1" si="100"/>
        <v>60.51651797235553</v>
      </c>
      <c r="T97">
        <f t="shared" ca="1" si="100"/>
        <v>61.352977412994967</v>
      </c>
      <c r="U97">
        <f t="shared" ca="1" si="100"/>
        <v>61.778158233360209</v>
      </c>
      <c r="V97">
        <f t="shared" ca="1" si="100"/>
        <v>61.304966103079813</v>
      </c>
      <c r="W97">
        <f t="shared" ca="1" si="100"/>
        <v>60.056593163868591</v>
      </c>
      <c r="X97">
        <f t="shared" ca="1" si="100"/>
        <v>60.109779066980693</v>
      </c>
      <c r="Y97">
        <f t="shared" ca="1" si="100"/>
        <v>62.239323683989305</v>
      </c>
      <c r="Z97">
        <f t="shared" ca="1" si="100"/>
        <v>61.939670228064458</v>
      </c>
      <c r="AA97">
        <f t="shared" ca="1" si="100"/>
        <v>60.227731645397704</v>
      </c>
      <c r="AB97">
        <f t="shared" ca="1" si="100"/>
        <v>61.768898624558823</v>
      </c>
      <c r="AC97">
        <f t="shared" ca="1" si="100"/>
        <v>61.349738037998165</v>
      </c>
      <c r="AD97">
        <f t="shared" ca="1" si="100"/>
        <v>61.507848176763382</v>
      </c>
      <c r="AE97">
        <f t="shared" ca="1" si="100"/>
        <v>62.189793763203809</v>
      </c>
      <c r="AF97">
        <f t="shared" ca="1" si="100"/>
        <v>61.928981168339398</v>
      </c>
      <c r="AG97">
        <f t="shared" ca="1" si="100"/>
        <v>60.658913221196265</v>
      </c>
      <c r="AH97">
        <f t="shared" ca="1" si="100"/>
        <v>60.776425524316807</v>
      </c>
      <c r="AI97">
        <f t="shared" ca="1" si="100"/>
        <v>62.897821500976839</v>
      </c>
      <c r="AJ97">
        <f t="shared" ca="1" si="100"/>
        <v>63.644817008917421</v>
      </c>
      <c r="AK97">
        <f t="shared" ca="1" si="100"/>
        <v>63.81332311031278</v>
      </c>
      <c r="AL97">
        <f t="shared" ca="1" si="100"/>
        <v>63.881147415318679</v>
      </c>
      <c r="AM97">
        <f t="shared" ca="1" si="100"/>
        <v>62.826935425989241</v>
      </c>
      <c r="AN97">
        <f t="shared" ca="1" si="100"/>
        <v>64.397576481499101</v>
      </c>
      <c r="AO97">
        <f t="shared" ca="1" si="100"/>
        <v>63.127500265517853</v>
      </c>
      <c r="AP97">
        <f t="shared" ca="1" si="100"/>
        <v>63.494996662693985</v>
      </c>
      <c r="AQ97">
        <f t="shared" ca="1" si="100"/>
        <v>62.370480067142523</v>
      </c>
      <c r="AR97">
        <f t="shared" ca="1" si="100"/>
        <v>63.200954833446481</v>
      </c>
      <c r="AS97">
        <f t="shared" ca="1" si="100"/>
        <v>64.211719370133437</v>
      </c>
      <c r="AT97">
        <f t="shared" ca="1" si="100"/>
        <v>63.018045010518172</v>
      </c>
      <c r="AU97">
        <f t="shared" ca="1" si="100"/>
        <v>61.798377558248134</v>
      </c>
      <c r="AV97">
        <f t="shared" ca="1" si="100"/>
        <v>59.847522575999776</v>
      </c>
      <c r="AW97">
        <f t="shared" ca="1" si="100"/>
        <v>58.511650656859473</v>
      </c>
      <c r="AX97">
        <f t="shared" ca="1" si="100"/>
        <v>59.766929356266004</v>
      </c>
      <c r="AY97">
        <f t="shared" ca="1" si="100"/>
        <v>58.773361425300422</v>
      </c>
      <c r="AZ97">
        <f t="shared" ca="1" si="100"/>
        <v>60.006502237800326</v>
      </c>
      <c r="BA97">
        <f t="shared" ca="1" si="100"/>
        <v>59.210853808484103</v>
      </c>
      <c r="BB97">
        <f t="shared" ca="1" si="100"/>
        <v>56.244479330684676</v>
      </c>
      <c r="BC97">
        <f t="shared" ca="1" si="100"/>
        <v>56.311545569416175</v>
      </c>
      <c r="BD97">
        <f t="shared" ca="1" si="100"/>
        <v>57.76989434578303</v>
      </c>
      <c r="BE97">
        <f t="shared" ca="1" si="100"/>
        <v>57.957032323442611</v>
      </c>
      <c r="BF97">
        <f t="shared" ca="1" si="100"/>
        <v>59.547636623702068</v>
      </c>
      <c r="BG97">
        <f t="shared" ca="1" si="100"/>
        <v>61.915421535361986</v>
      </c>
      <c r="BH97">
        <f t="shared" ca="1" si="100"/>
        <v>60.665228151486659</v>
      </c>
      <c r="BI97">
        <f t="shared" ca="1" si="100"/>
        <v>61.402282520996913</v>
      </c>
      <c r="BJ97">
        <f t="shared" ca="1" si="100"/>
        <v>62.747882057034325</v>
      </c>
      <c r="BK97">
        <f t="shared" ca="1" si="100"/>
        <v>64.647094503379321</v>
      </c>
      <c r="BL97">
        <f t="shared" ca="1" si="100"/>
        <v>62.652955145243958</v>
      </c>
      <c r="BM97">
        <f t="shared" ca="1" si="100"/>
        <v>63.454974582927711</v>
      </c>
      <c r="BN97">
        <f t="shared" ca="1" si="100"/>
        <v>64.293676324130431</v>
      </c>
      <c r="BO97">
        <f t="shared" ca="1" si="70"/>
        <v>6.2936763241304305</v>
      </c>
    </row>
    <row r="98" spans="6:67">
      <c r="F98">
        <f t="shared" si="68"/>
        <v>60.99</v>
      </c>
      <c r="G98">
        <f t="shared" ref="G98:BN98" ca="1" si="101">F98*EXP(($B$2-0.5*$B$3^2)*$B$4+$B$3*_xlfn.NORM.INV(RAND(),0,SQRT($B$4)))</f>
        <v>62.17397514859185</v>
      </c>
      <c r="H98">
        <f t="shared" ca="1" si="101"/>
        <v>60.777062906924385</v>
      </c>
      <c r="I98">
        <f t="shared" ca="1" si="101"/>
        <v>61.582424527625804</v>
      </c>
      <c r="J98">
        <f t="shared" ca="1" si="101"/>
        <v>62.438389834471465</v>
      </c>
      <c r="K98">
        <f t="shared" ca="1" si="101"/>
        <v>60.691825156194405</v>
      </c>
      <c r="L98">
        <f t="shared" ca="1" si="101"/>
        <v>60.516580333945491</v>
      </c>
      <c r="M98">
        <f t="shared" ca="1" si="101"/>
        <v>60.406152898769285</v>
      </c>
      <c r="N98">
        <f t="shared" ca="1" si="101"/>
        <v>61.613171775084261</v>
      </c>
      <c r="O98">
        <f t="shared" ca="1" si="101"/>
        <v>62.497973675879912</v>
      </c>
      <c r="P98">
        <f t="shared" ca="1" si="101"/>
        <v>63.17987656409494</v>
      </c>
      <c r="Q98">
        <f t="shared" ca="1" si="101"/>
        <v>64.912533079379457</v>
      </c>
      <c r="R98">
        <f t="shared" ca="1" si="101"/>
        <v>65.66883018084269</v>
      </c>
      <c r="S98">
        <f t="shared" ca="1" si="101"/>
        <v>63.894821577500927</v>
      </c>
      <c r="T98">
        <f t="shared" ca="1" si="101"/>
        <v>62.740888945405771</v>
      </c>
      <c r="U98">
        <f t="shared" ca="1" si="101"/>
        <v>63.916231493761003</v>
      </c>
      <c r="V98">
        <f t="shared" ca="1" si="101"/>
        <v>64.072509543349099</v>
      </c>
      <c r="W98">
        <f t="shared" ca="1" si="101"/>
        <v>62.031786061970372</v>
      </c>
      <c r="X98">
        <f t="shared" ca="1" si="101"/>
        <v>62.664901514741977</v>
      </c>
      <c r="Y98">
        <f t="shared" ca="1" si="101"/>
        <v>63.176582399544792</v>
      </c>
      <c r="Z98">
        <f t="shared" ca="1" si="101"/>
        <v>64.135692828070745</v>
      </c>
      <c r="AA98">
        <f t="shared" ca="1" si="101"/>
        <v>65.336319558687592</v>
      </c>
      <c r="AB98">
        <f t="shared" ca="1" si="101"/>
        <v>66.007764228949242</v>
      </c>
      <c r="AC98">
        <f t="shared" ca="1" si="101"/>
        <v>65.104989050030412</v>
      </c>
      <c r="AD98">
        <f t="shared" ca="1" si="101"/>
        <v>62.735374709410642</v>
      </c>
      <c r="AE98">
        <f t="shared" ca="1" si="101"/>
        <v>63.107036550048782</v>
      </c>
      <c r="AF98">
        <f t="shared" ca="1" si="101"/>
        <v>63.014573232293074</v>
      </c>
      <c r="AG98">
        <f t="shared" ca="1" si="101"/>
        <v>63.891344913913336</v>
      </c>
      <c r="AH98">
        <f t="shared" ca="1" si="101"/>
        <v>64.688419859625043</v>
      </c>
      <c r="AI98">
        <f t="shared" ca="1" si="101"/>
        <v>63.989942832543818</v>
      </c>
      <c r="AJ98">
        <f t="shared" ca="1" si="101"/>
        <v>65.516634267694002</v>
      </c>
      <c r="AK98">
        <f t="shared" ca="1" si="101"/>
        <v>64.796327733030495</v>
      </c>
      <c r="AL98">
        <f t="shared" ca="1" si="101"/>
        <v>65.0081810271287</v>
      </c>
      <c r="AM98">
        <f t="shared" ca="1" si="101"/>
        <v>65.707803847587599</v>
      </c>
      <c r="AN98">
        <f t="shared" ca="1" si="101"/>
        <v>65.942392182158244</v>
      </c>
      <c r="AO98">
        <f t="shared" ca="1" si="101"/>
        <v>68.386486175743784</v>
      </c>
      <c r="AP98">
        <f t="shared" ca="1" si="101"/>
        <v>67.728076392398705</v>
      </c>
      <c r="AQ98">
        <f t="shared" ca="1" si="101"/>
        <v>66.415302307660525</v>
      </c>
      <c r="AR98">
        <f t="shared" ca="1" si="101"/>
        <v>65.883287277330069</v>
      </c>
      <c r="AS98">
        <f t="shared" ca="1" si="101"/>
        <v>66.45911081673205</v>
      </c>
      <c r="AT98">
        <f t="shared" ca="1" si="101"/>
        <v>67.909229984397015</v>
      </c>
      <c r="AU98">
        <f t="shared" ca="1" si="101"/>
        <v>69.415489422549001</v>
      </c>
      <c r="AV98">
        <f t="shared" ca="1" si="101"/>
        <v>69.981446921278007</v>
      </c>
      <c r="AW98">
        <f t="shared" ca="1" si="101"/>
        <v>71.031876744909113</v>
      </c>
      <c r="AX98">
        <f t="shared" ca="1" si="101"/>
        <v>71.600546370750791</v>
      </c>
      <c r="AY98">
        <f t="shared" ca="1" si="101"/>
        <v>72.09585362016864</v>
      </c>
      <c r="AZ98">
        <f t="shared" ca="1" si="101"/>
        <v>72.147401320382556</v>
      </c>
      <c r="BA98">
        <f t="shared" ca="1" si="101"/>
        <v>72.585111325509715</v>
      </c>
      <c r="BB98">
        <f t="shared" ca="1" si="101"/>
        <v>73.86679332850845</v>
      </c>
      <c r="BC98">
        <f t="shared" ca="1" si="101"/>
        <v>74.375519373423003</v>
      </c>
      <c r="BD98">
        <f t="shared" ca="1" si="101"/>
        <v>72.903243127262002</v>
      </c>
      <c r="BE98">
        <f t="shared" ca="1" si="101"/>
        <v>73.420919540386564</v>
      </c>
      <c r="BF98">
        <f t="shared" ca="1" si="101"/>
        <v>77.460911557851702</v>
      </c>
      <c r="BG98">
        <f t="shared" ca="1" si="101"/>
        <v>77.141546227589657</v>
      </c>
      <c r="BH98">
        <f t="shared" ca="1" si="101"/>
        <v>79.10932695348464</v>
      </c>
      <c r="BI98">
        <f t="shared" ca="1" si="101"/>
        <v>80.484220580381177</v>
      </c>
      <c r="BJ98">
        <f t="shared" ca="1" si="101"/>
        <v>83.271866158240968</v>
      </c>
      <c r="BK98">
        <f t="shared" ca="1" si="101"/>
        <v>83.914242445482515</v>
      </c>
      <c r="BL98">
        <f t="shared" ca="1" si="101"/>
        <v>85.252694078760186</v>
      </c>
      <c r="BM98">
        <f t="shared" ca="1" si="101"/>
        <v>84.002435533742698</v>
      </c>
      <c r="BN98">
        <f t="shared" ca="1" si="101"/>
        <v>87.066623044081567</v>
      </c>
      <c r="BO98">
        <f t="shared" ca="1" si="70"/>
        <v>29.066623044081567</v>
      </c>
    </row>
    <row r="99" spans="6:67">
      <c r="F99">
        <f t="shared" si="68"/>
        <v>60.99</v>
      </c>
      <c r="G99">
        <f t="shared" ref="G99:BN99" ca="1" si="102">F99*EXP(($B$2-0.5*$B$3^2)*$B$4+$B$3*_xlfn.NORM.INV(RAND(),0,SQRT($B$4)))</f>
        <v>59.491683851886982</v>
      </c>
      <c r="H99">
        <f t="shared" ca="1" si="102"/>
        <v>60.508165015168821</v>
      </c>
      <c r="I99">
        <f t="shared" ca="1" si="102"/>
        <v>62.750711980976476</v>
      </c>
      <c r="J99">
        <f t="shared" ca="1" si="102"/>
        <v>63.036264639174341</v>
      </c>
      <c r="K99">
        <f t="shared" ca="1" si="102"/>
        <v>62.88104142764076</v>
      </c>
      <c r="L99">
        <f t="shared" ca="1" si="102"/>
        <v>62.587250629444078</v>
      </c>
      <c r="M99">
        <f t="shared" ca="1" si="102"/>
        <v>63.245830998946531</v>
      </c>
      <c r="N99">
        <f t="shared" ca="1" si="102"/>
        <v>64.187952574058542</v>
      </c>
      <c r="O99">
        <f t="shared" ca="1" si="102"/>
        <v>64.257129827776367</v>
      </c>
      <c r="P99">
        <f t="shared" ca="1" si="102"/>
        <v>63.899180140046063</v>
      </c>
      <c r="Q99">
        <f t="shared" ca="1" si="102"/>
        <v>63.455004075438978</v>
      </c>
      <c r="R99">
        <f t="shared" ca="1" si="102"/>
        <v>64.587532107026206</v>
      </c>
      <c r="S99">
        <f t="shared" ca="1" si="102"/>
        <v>65.243901544154198</v>
      </c>
      <c r="T99">
        <f t="shared" ca="1" si="102"/>
        <v>64.364125233092622</v>
      </c>
      <c r="U99">
        <f t="shared" ca="1" si="102"/>
        <v>64.142443062100085</v>
      </c>
      <c r="V99">
        <f t="shared" ca="1" si="102"/>
        <v>65.08541834567346</v>
      </c>
      <c r="W99">
        <f t="shared" ca="1" si="102"/>
        <v>64.110205793037863</v>
      </c>
      <c r="X99">
        <f t="shared" ca="1" si="102"/>
        <v>63.351841761791029</v>
      </c>
      <c r="Y99">
        <f t="shared" ca="1" si="102"/>
        <v>63.0017891163928</v>
      </c>
      <c r="Z99">
        <f t="shared" ca="1" si="102"/>
        <v>65.038012177482472</v>
      </c>
      <c r="AA99">
        <f t="shared" ca="1" si="102"/>
        <v>62.696920777193647</v>
      </c>
      <c r="AB99">
        <f t="shared" ca="1" si="102"/>
        <v>62.718578834906069</v>
      </c>
      <c r="AC99">
        <f t="shared" ca="1" si="102"/>
        <v>62.449698017357214</v>
      </c>
      <c r="AD99">
        <f t="shared" ca="1" si="102"/>
        <v>63.467635263712701</v>
      </c>
      <c r="AE99">
        <f t="shared" ca="1" si="102"/>
        <v>63.771627829671054</v>
      </c>
      <c r="AF99">
        <f t="shared" ca="1" si="102"/>
        <v>64.848433329783603</v>
      </c>
      <c r="AG99">
        <f t="shared" ca="1" si="102"/>
        <v>66.575533157973254</v>
      </c>
      <c r="AH99">
        <f t="shared" ca="1" si="102"/>
        <v>67.268827708584524</v>
      </c>
      <c r="AI99">
        <f t="shared" ca="1" si="102"/>
        <v>66.136523701055609</v>
      </c>
      <c r="AJ99">
        <f t="shared" ca="1" si="102"/>
        <v>65.785225924965303</v>
      </c>
      <c r="AK99">
        <f t="shared" ca="1" si="102"/>
        <v>69.008840681257013</v>
      </c>
      <c r="AL99">
        <f t="shared" ca="1" si="102"/>
        <v>70.2854571507185</v>
      </c>
      <c r="AM99">
        <f t="shared" ca="1" si="102"/>
        <v>69.326391019852949</v>
      </c>
      <c r="AN99">
        <f t="shared" ca="1" si="102"/>
        <v>68.162569890885479</v>
      </c>
      <c r="AO99">
        <f t="shared" ca="1" si="102"/>
        <v>70.051687901606087</v>
      </c>
      <c r="AP99">
        <f t="shared" ca="1" si="102"/>
        <v>70.394951057977835</v>
      </c>
      <c r="AQ99">
        <f t="shared" ca="1" si="102"/>
        <v>69.118295230079127</v>
      </c>
      <c r="AR99">
        <f t="shared" ca="1" si="102"/>
        <v>68.467307585951744</v>
      </c>
      <c r="AS99">
        <f t="shared" ca="1" si="102"/>
        <v>67.555701632826654</v>
      </c>
      <c r="AT99">
        <f t="shared" ca="1" si="102"/>
        <v>69.053534048099436</v>
      </c>
      <c r="AU99">
        <f t="shared" ca="1" si="102"/>
        <v>68.068987784219104</v>
      </c>
      <c r="AV99">
        <f t="shared" ca="1" si="102"/>
        <v>65.222938633042006</v>
      </c>
      <c r="AW99">
        <f t="shared" ca="1" si="102"/>
        <v>65.578663262181792</v>
      </c>
      <c r="AX99">
        <f t="shared" ca="1" si="102"/>
        <v>65.832894783830369</v>
      </c>
      <c r="AY99">
        <f t="shared" ca="1" si="102"/>
        <v>65.651716628118407</v>
      </c>
      <c r="AZ99">
        <f t="shared" ca="1" si="102"/>
        <v>64.745609922855124</v>
      </c>
      <c r="BA99">
        <f t="shared" ca="1" si="102"/>
        <v>64.944358912912634</v>
      </c>
      <c r="BB99">
        <f t="shared" ca="1" si="102"/>
        <v>64.377681668217406</v>
      </c>
      <c r="BC99">
        <f t="shared" ca="1" si="102"/>
        <v>64.713557336612496</v>
      </c>
      <c r="BD99">
        <f t="shared" ca="1" si="102"/>
        <v>66.408355358855843</v>
      </c>
      <c r="BE99">
        <f t="shared" ca="1" si="102"/>
        <v>67.189958302194427</v>
      </c>
      <c r="BF99">
        <f t="shared" ca="1" si="102"/>
        <v>67.625286162660572</v>
      </c>
      <c r="BG99">
        <f t="shared" ca="1" si="102"/>
        <v>67.104722733309984</v>
      </c>
      <c r="BH99">
        <f t="shared" ca="1" si="102"/>
        <v>68.545572568707115</v>
      </c>
      <c r="BI99">
        <f t="shared" ca="1" si="102"/>
        <v>67.525575488936994</v>
      </c>
      <c r="BJ99">
        <f t="shared" ca="1" si="102"/>
        <v>68.096542929764809</v>
      </c>
      <c r="BK99">
        <f t="shared" ca="1" si="102"/>
        <v>68.001022124211019</v>
      </c>
      <c r="BL99">
        <f t="shared" ca="1" si="102"/>
        <v>69.051912337271787</v>
      </c>
      <c r="BM99">
        <f t="shared" ca="1" si="102"/>
        <v>67.890427097350681</v>
      </c>
      <c r="BN99">
        <f t="shared" ca="1" si="102"/>
        <v>65.779295797678671</v>
      </c>
      <c r="BO99">
        <f t="shared" ca="1" si="70"/>
        <v>7.779295797678671</v>
      </c>
    </row>
    <row r="100" spans="6:67">
      <c r="F100">
        <f t="shared" si="68"/>
        <v>60.99</v>
      </c>
      <c r="G100">
        <f t="shared" ref="G100:BN100" ca="1" si="103">F100*EXP(($B$2-0.5*$B$3^2)*$B$4+$B$3*_xlfn.NORM.INV(RAND(),0,SQRT($B$4)))</f>
        <v>59.662827681455376</v>
      </c>
      <c r="H100">
        <f t="shared" ca="1" si="103"/>
        <v>58.587606553145172</v>
      </c>
      <c r="I100">
        <f t="shared" ca="1" si="103"/>
        <v>59.047148193506189</v>
      </c>
      <c r="J100">
        <f t="shared" ca="1" si="103"/>
        <v>58.73355374248883</v>
      </c>
      <c r="K100">
        <f t="shared" ca="1" si="103"/>
        <v>59.250219286699526</v>
      </c>
      <c r="L100">
        <f t="shared" ca="1" si="103"/>
        <v>56.832848560971058</v>
      </c>
      <c r="M100">
        <f t="shared" ca="1" si="103"/>
        <v>57.650754708072064</v>
      </c>
      <c r="N100">
        <f t="shared" ca="1" si="103"/>
        <v>57.793707558107208</v>
      </c>
      <c r="O100">
        <f t="shared" ca="1" si="103"/>
        <v>57.888921481037904</v>
      </c>
      <c r="P100">
        <f t="shared" ca="1" si="103"/>
        <v>59.361264030869926</v>
      </c>
      <c r="Q100">
        <f t="shared" ca="1" si="103"/>
        <v>58.741775445778458</v>
      </c>
      <c r="R100">
        <f t="shared" ca="1" si="103"/>
        <v>56.722329873714131</v>
      </c>
      <c r="S100">
        <f t="shared" ca="1" si="103"/>
        <v>56.818406844646702</v>
      </c>
      <c r="T100">
        <f t="shared" ca="1" si="103"/>
        <v>55.184622515857839</v>
      </c>
      <c r="U100">
        <f t="shared" ca="1" si="103"/>
        <v>56.177482691187819</v>
      </c>
      <c r="V100">
        <f t="shared" ca="1" si="103"/>
        <v>56.096768835151835</v>
      </c>
      <c r="W100">
        <f t="shared" ca="1" si="103"/>
        <v>55.149101125468057</v>
      </c>
      <c r="X100">
        <f t="shared" ca="1" si="103"/>
        <v>56.034183271103828</v>
      </c>
      <c r="Y100">
        <f t="shared" ca="1" si="103"/>
        <v>55.9163918845694</v>
      </c>
      <c r="Z100">
        <f t="shared" ca="1" si="103"/>
        <v>56.106916174536217</v>
      </c>
      <c r="AA100">
        <f t="shared" ca="1" si="103"/>
        <v>56.994884777610004</v>
      </c>
      <c r="AB100">
        <f t="shared" ca="1" si="103"/>
        <v>58.901657239086703</v>
      </c>
      <c r="AC100">
        <f t="shared" ca="1" si="103"/>
        <v>58.174135472948684</v>
      </c>
      <c r="AD100">
        <f t="shared" ca="1" si="103"/>
        <v>56.940158535202421</v>
      </c>
      <c r="AE100">
        <f t="shared" ca="1" si="103"/>
        <v>57.20567736270776</v>
      </c>
      <c r="AF100">
        <f t="shared" ca="1" si="103"/>
        <v>57.590023780625835</v>
      </c>
      <c r="AG100">
        <f t="shared" ca="1" si="103"/>
        <v>56.774964760383369</v>
      </c>
      <c r="AH100">
        <f t="shared" ca="1" si="103"/>
        <v>59.518462728911146</v>
      </c>
      <c r="AI100">
        <f t="shared" ca="1" si="103"/>
        <v>61.685275521866977</v>
      </c>
      <c r="AJ100">
        <f t="shared" ca="1" si="103"/>
        <v>62.241468197942702</v>
      </c>
      <c r="AK100">
        <f t="shared" ca="1" si="103"/>
        <v>62.319111430046995</v>
      </c>
      <c r="AL100">
        <f t="shared" ca="1" si="103"/>
        <v>62.862479341484466</v>
      </c>
      <c r="AM100">
        <f t="shared" ca="1" si="103"/>
        <v>62.659449945589166</v>
      </c>
      <c r="AN100">
        <f t="shared" ca="1" si="103"/>
        <v>60.881113471947586</v>
      </c>
      <c r="AO100">
        <f t="shared" ca="1" si="103"/>
        <v>60.155912556169874</v>
      </c>
      <c r="AP100">
        <f t="shared" ca="1" si="103"/>
        <v>59.064428418679228</v>
      </c>
      <c r="AQ100">
        <f t="shared" ca="1" si="103"/>
        <v>60.356932309308021</v>
      </c>
      <c r="AR100">
        <f t="shared" ca="1" si="103"/>
        <v>60.745777942353577</v>
      </c>
      <c r="AS100">
        <f t="shared" ca="1" si="103"/>
        <v>59.625146114581014</v>
      </c>
      <c r="AT100">
        <f t="shared" ca="1" si="103"/>
        <v>59.137295156786017</v>
      </c>
      <c r="AU100">
        <f t="shared" ca="1" si="103"/>
        <v>59.223046221726172</v>
      </c>
      <c r="AV100">
        <f t="shared" ca="1" si="103"/>
        <v>60.80122364978952</v>
      </c>
      <c r="AW100">
        <f t="shared" ca="1" si="103"/>
        <v>61.113240552799766</v>
      </c>
      <c r="AX100">
        <f t="shared" ca="1" si="103"/>
        <v>62.309335533703411</v>
      </c>
      <c r="AY100">
        <f t="shared" ca="1" si="103"/>
        <v>62.810626606662446</v>
      </c>
      <c r="AZ100">
        <f t="shared" ca="1" si="103"/>
        <v>62.490917884415005</v>
      </c>
      <c r="BA100">
        <f t="shared" ca="1" si="103"/>
        <v>63.581016377903829</v>
      </c>
      <c r="BB100">
        <f t="shared" ca="1" si="103"/>
        <v>61.754691762228646</v>
      </c>
      <c r="BC100">
        <f t="shared" ca="1" si="103"/>
        <v>61.724647087281767</v>
      </c>
      <c r="BD100">
        <f t="shared" ca="1" si="103"/>
        <v>63.212693591830188</v>
      </c>
      <c r="BE100">
        <f t="shared" ca="1" si="103"/>
        <v>62.218342177746187</v>
      </c>
      <c r="BF100">
        <f t="shared" ca="1" si="103"/>
        <v>61.88877604012216</v>
      </c>
      <c r="BG100">
        <f t="shared" ca="1" si="103"/>
        <v>61.342664471771783</v>
      </c>
      <c r="BH100">
        <f t="shared" ca="1" si="103"/>
        <v>62.916801596195143</v>
      </c>
      <c r="BI100">
        <f t="shared" ca="1" si="103"/>
        <v>63.516101039344697</v>
      </c>
      <c r="BJ100">
        <f t="shared" ca="1" si="103"/>
        <v>64.362178605691824</v>
      </c>
      <c r="BK100">
        <f t="shared" ca="1" si="103"/>
        <v>63.654511798910463</v>
      </c>
      <c r="BL100">
        <f t="shared" ca="1" si="103"/>
        <v>64.630553957272724</v>
      </c>
      <c r="BM100">
        <f t="shared" ca="1" si="103"/>
        <v>65.23457726613637</v>
      </c>
      <c r="BN100">
        <f t="shared" ca="1" si="103"/>
        <v>63.008346901168423</v>
      </c>
      <c r="BO100">
        <f t="shared" ca="1" si="70"/>
        <v>5.008346901168423</v>
      </c>
    </row>
    <row r="101" spans="6:67">
      <c r="F101">
        <f t="shared" si="68"/>
        <v>60.99</v>
      </c>
      <c r="G101">
        <f t="shared" ref="G101:BN101" ca="1" si="104">F101*EXP(($B$2-0.5*$B$3^2)*$B$4+$B$3*_xlfn.NORM.INV(RAND(),0,SQRT($B$4)))</f>
        <v>61.230505349952814</v>
      </c>
      <c r="H101">
        <f t="shared" ca="1" si="104"/>
        <v>60.981384190006253</v>
      </c>
      <c r="I101">
        <f t="shared" ca="1" si="104"/>
        <v>61.422418869723572</v>
      </c>
      <c r="J101">
        <f t="shared" ca="1" si="104"/>
        <v>61.000354817737339</v>
      </c>
      <c r="K101">
        <f t="shared" ca="1" si="104"/>
        <v>59.610812368977875</v>
      </c>
      <c r="L101">
        <f t="shared" ca="1" si="104"/>
        <v>59.488375035579018</v>
      </c>
      <c r="M101">
        <f t="shared" ca="1" si="104"/>
        <v>61.191053278772664</v>
      </c>
      <c r="N101">
        <f t="shared" ca="1" si="104"/>
        <v>61.140969595064888</v>
      </c>
      <c r="O101">
        <f t="shared" ca="1" si="104"/>
        <v>62.849849106167312</v>
      </c>
      <c r="P101">
        <f t="shared" ca="1" si="104"/>
        <v>64.248784847731415</v>
      </c>
      <c r="Q101">
        <f t="shared" ca="1" si="104"/>
        <v>64.332079009850858</v>
      </c>
      <c r="R101">
        <f t="shared" ca="1" si="104"/>
        <v>64.589150507056118</v>
      </c>
      <c r="S101">
        <f t="shared" ca="1" si="104"/>
        <v>65.173165421711602</v>
      </c>
      <c r="T101">
        <f t="shared" ca="1" si="104"/>
        <v>65.474830436257477</v>
      </c>
      <c r="U101">
        <f t="shared" ca="1" si="104"/>
        <v>65.176301669496695</v>
      </c>
      <c r="V101">
        <f t="shared" ca="1" si="104"/>
        <v>65.836276143339205</v>
      </c>
      <c r="W101">
        <f t="shared" ca="1" si="104"/>
        <v>65.320394042743459</v>
      </c>
      <c r="X101">
        <f t="shared" ca="1" si="104"/>
        <v>63.288875046110356</v>
      </c>
      <c r="Y101">
        <f t="shared" ca="1" si="104"/>
        <v>63.848716244342413</v>
      </c>
      <c r="Z101">
        <f t="shared" ca="1" si="104"/>
        <v>63.709409806254008</v>
      </c>
      <c r="AA101">
        <f t="shared" ca="1" si="104"/>
        <v>61.400176971623935</v>
      </c>
      <c r="AB101">
        <f t="shared" ca="1" si="104"/>
        <v>64.567058231080821</v>
      </c>
      <c r="AC101">
        <f t="shared" ca="1" si="104"/>
        <v>65.070188740402713</v>
      </c>
      <c r="AD101">
        <f t="shared" ca="1" si="104"/>
        <v>65.771472335650358</v>
      </c>
      <c r="AE101">
        <f t="shared" ca="1" si="104"/>
        <v>66.620504525679252</v>
      </c>
      <c r="AF101">
        <f t="shared" ca="1" si="104"/>
        <v>65.913943841686802</v>
      </c>
      <c r="AG101">
        <f t="shared" ca="1" si="104"/>
        <v>68.113881993773219</v>
      </c>
      <c r="AH101">
        <f t="shared" ca="1" si="104"/>
        <v>68.368169400638976</v>
      </c>
      <c r="AI101">
        <f t="shared" ca="1" si="104"/>
        <v>68.04382014269828</v>
      </c>
      <c r="AJ101">
        <f t="shared" ca="1" si="104"/>
        <v>67.368283315946371</v>
      </c>
      <c r="AK101">
        <f t="shared" ca="1" si="104"/>
        <v>68.616694850364297</v>
      </c>
      <c r="AL101">
        <f t="shared" ca="1" si="104"/>
        <v>69.301630827619817</v>
      </c>
      <c r="AM101">
        <f t="shared" ca="1" si="104"/>
        <v>71.770941756087197</v>
      </c>
      <c r="AN101">
        <f t="shared" ca="1" si="104"/>
        <v>69.790045480333731</v>
      </c>
      <c r="AO101">
        <f t="shared" ca="1" si="104"/>
        <v>69.371064029117292</v>
      </c>
      <c r="AP101">
        <f t="shared" ca="1" si="104"/>
        <v>69.054304228640703</v>
      </c>
      <c r="AQ101">
        <f t="shared" ca="1" si="104"/>
        <v>70.502780891038071</v>
      </c>
      <c r="AR101">
        <f t="shared" ca="1" si="104"/>
        <v>70.375359842846237</v>
      </c>
      <c r="AS101">
        <f t="shared" ca="1" si="104"/>
        <v>71.768273651384234</v>
      </c>
      <c r="AT101">
        <f t="shared" ca="1" si="104"/>
        <v>73.444030955561175</v>
      </c>
      <c r="AU101">
        <f t="shared" ca="1" si="104"/>
        <v>73.631038260265598</v>
      </c>
      <c r="AV101">
        <f t="shared" ca="1" si="104"/>
        <v>76.368782253109316</v>
      </c>
      <c r="AW101">
        <f t="shared" ca="1" si="104"/>
        <v>78.743662912758708</v>
      </c>
      <c r="AX101">
        <f t="shared" ca="1" si="104"/>
        <v>79.971606858513681</v>
      </c>
      <c r="AY101">
        <f t="shared" ca="1" si="104"/>
        <v>79.383310678923408</v>
      </c>
      <c r="AZ101">
        <f t="shared" ca="1" si="104"/>
        <v>78.831446908939867</v>
      </c>
      <c r="BA101">
        <f t="shared" ca="1" si="104"/>
        <v>76.903118191982742</v>
      </c>
      <c r="BB101">
        <f t="shared" ca="1" si="104"/>
        <v>76.438991591467527</v>
      </c>
      <c r="BC101">
        <f t="shared" ca="1" si="104"/>
        <v>76.77983528561677</v>
      </c>
      <c r="BD101">
        <f t="shared" ca="1" si="104"/>
        <v>79.06571215354667</v>
      </c>
      <c r="BE101">
        <f t="shared" ca="1" si="104"/>
        <v>81.318511029276038</v>
      </c>
      <c r="BF101">
        <f t="shared" ca="1" si="104"/>
        <v>81.391836423867076</v>
      </c>
      <c r="BG101">
        <f t="shared" ca="1" si="104"/>
        <v>84.466230958369763</v>
      </c>
      <c r="BH101">
        <f t="shared" ca="1" si="104"/>
        <v>84.707378538493401</v>
      </c>
      <c r="BI101">
        <f t="shared" ca="1" si="104"/>
        <v>84.796059731141369</v>
      </c>
      <c r="BJ101">
        <f t="shared" ca="1" si="104"/>
        <v>84.213830670608402</v>
      </c>
      <c r="BK101">
        <f t="shared" ca="1" si="104"/>
        <v>84.302827908555642</v>
      </c>
      <c r="BL101">
        <f t="shared" ca="1" si="104"/>
        <v>83.677433282885801</v>
      </c>
      <c r="BM101">
        <f t="shared" ca="1" si="104"/>
        <v>81.146437160294909</v>
      </c>
      <c r="BN101">
        <f t="shared" ca="1" si="104"/>
        <v>82.41285400680971</v>
      </c>
      <c r="BO101">
        <f t="shared" ca="1" si="70"/>
        <v>24.41285400680971</v>
      </c>
    </row>
    <row r="102" spans="6:67">
      <c r="F102">
        <f t="shared" si="68"/>
        <v>60.99</v>
      </c>
      <c r="G102">
        <f t="shared" ref="G102:BN102" ca="1" si="105">F102*EXP(($B$2-0.5*$B$3^2)*$B$4+$B$3*_xlfn.NORM.INV(RAND(),0,SQRT($B$4)))</f>
        <v>63.966057943610522</v>
      </c>
      <c r="H102">
        <f t="shared" ca="1" si="105"/>
        <v>64.102276948398767</v>
      </c>
      <c r="I102">
        <f t="shared" ca="1" si="105"/>
        <v>64.077281533888282</v>
      </c>
      <c r="J102">
        <f t="shared" ca="1" si="105"/>
        <v>65.140495947495765</v>
      </c>
      <c r="K102">
        <f t="shared" ca="1" si="105"/>
        <v>64.476110323736776</v>
      </c>
      <c r="L102">
        <f t="shared" ca="1" si="105"/>
        <v>62.642219975993484</v>
      </c>
      <c r="M102">
        <f t="shared" ca="1" si="105"/>
        <v>62.105536421456321</v>
      </c>
      <c r="N102">
        <f t="shared" ca="1" si="105"/>
        <v>63.427816538792861</v>
      </c>
      <c r="O102">
        <f t="shared" ca="1" si="105"/>
        <v>62.253138165692711</v>
      </c>
      <c r="P102">
        <f t="shared" ca="1" si="105"/>
        <v>64.959892744134081</v>
      </c>
      <c r="Q102">
        <f t="shared" ca="1" si="105"/>
        <v>67.24688287168523</v>
      </c>
      <c r="R102">
        <f t="shared" ca="1" si="105"/>
        <v>64.525393954217492</v>
      </c>
      <c r="S102">
        <f t="shared" ca="1" si="105"/>
        <v>64.337970569946563</v>
      </c>
      <c r="T102">
        <f t="shared" ca="1" si="105"/>
        <v>64.707810687708943</v>
      </c>
      <c r="U102">
        <f t="shared" ca="1" si="105"/>
        <v>64.72140302395367</v>
      </c>
      <c r="V102">
        <f t="shared" ca="1" si="105"/>
        <v>63.390077745657038</v>
      </c>
      <c r="W102">
        <f t="shared" ca="1" si="105"/>
        <v>65.774203543923122</v>
      </c>
      <c r="X102">
        <f t="shared" ca="1" si="105"/>
        <v>64.749992622890346</v>
      </c>
      <c r="Y102">
        <f t="shared" ca="1" si="105"/>
        <v>64.941069679255548</v>
      </c>
      <c r="Z102">
        <f t="shared" ca="1" si="105"/>
        <v>64.039103455552834</v>
      </c>
      <c r="AA102">
        <f t="shared" ca="1" si="105"/>
        <v>63.651446870097992</v>
      </c>
      <c r="AB102">
        <f t="shared" ca="1" si="105"/>
        <v>65.852514748361315</v>
      </c>
      <c r="AC102">
        <f t="shared" ca="1" si="105"/>
        <v>67.538814683275604</v>
      </c>
      <c r="AD102">
        <f t="shared" ca="1" si="105"/>
        <v>66.582044487769593</v>
      </c>
      <c r="AE102">
        <f t="shared" ca="1" si="105"/>
        <v>66.487856749526955</v>
      </c>
      <c r="AF102">
        <f t="shared" ca="1" si="105"/>
        <v>67.022726612945362</v>
      </c>
      <c r="AG102">
        <f t="shared" ca="1" si="105"/>
        <v>68.183914579377245</v>
      </c>
      <c r="AH102">
        <f t="shared" ca="1" si="105"/>
        <v>67.09843176528085</v>
      </c>
      <c r="AI102">
        <f t="shared" ca="1" si="105"/>
        <v>69.222485079122393</v>
      </c>
      <c r="AJ102">
        <f t="shared" ca="1" si="105"/>
        <v>70.377047520578998</v>
      </c>
      <c r="AK102">
        <f t="shared" ca="1" si="105"/>
        <v>70.139935220396197</v>
      </c>
      <c r="AL102">
        <f t="shared" ca="1" si="105"/>
        <v>69.089588734899522</v>
      </c>
      <c r="AM102">
        <f t="shared" ca="1" si="105"/>
        <v>68.527346624037364</v>
      </c>
      <c r="AN102">
        <f t="shared" ca="1" si="105"/>
        <v>69.653281415091641</v>
      </c>
      <c r="AO102">
        <f t="shared" ca="1" si="105"/>
        <v>70.751801396543513</v>
      </c>
      <c r="AP102">
        <f t="shared" ca="1" si="105"/>
        <v>70.346088735103478</v>
      </c>
      <c r="AQ102">
        <f t="shared" ca="1" si="105"/>
        <v>70.972546795728249</v>
      </c>
      <c r="AR102">
        <f t="shared" ca="1" si="105"/>
        <v>74.407480736928605</v>
      </c>
      <c r="AS102">
        <f t="shared" ca="1" si="105"/>
        <v>71.625681776505445</v>
      </c>
      <c r="AT102">
        <f t="shared" ca="1" si="105"/>
        <v>71.794607543584561</v>
      </c>
      <c r="AU102">
        <f t="shared" ca="1" si="105"/>
        <v>72.903966064139254</v>
      </c>
      <c r="AV102">
        <f t="shared" ca="1" si="105"/>
        <v>77.384221683546428</v>
      </c>
      <c r="AW102">
        <f t="shared" ca="1" si="105"/>
        <v>78.06384444074088</v>
      </c>
      <c r="AX102">
        <f t="shared" ca="1" si="105"/>
        <v>81.13676361842208</v>
      </c>
      <c r="AY102">
        <f t="shared" ca="1" si="105"/>
        <v>81.227460751689463</v>
      </c>
      <c r="AZ102">
        <f t="shared" ca="1" si="105"/>
        <v>79.937620189701761</v>
      </c>
      <c r="BA102">
        <f t="shared" ca="1" si="105"/>
        <v>79.033076711530953</v>
      </c>
      <c r="BB102">
        <f t="shared" ca="1" si="105"/>
        <v>80.153986782393233</v>
      </c>
      <c r="BC102">
        <f t="shared" ca="1" si="105"/>
        <v>80.338740930288836</v>
      </c>
      <c r="BD102">
        <f t="shared" ca="1" si="105"/>
        <v>80.323980507606976</v>
      </c>
      <c r="BE102">
        <f t="shared" ca="1" si="105"/>
        <v>78.854988273004281</v>
      </c>
      <c r="BF102">
        <f t="shared" ca="1" si="105"/>
        <v>78.899281174409822</v>
      </c>
      <c r="BG102">
        <f t="shared" ca="1" si="105"/>
        <v>80.062759709043505</v>
      </c>
      <c r="BH102">
        <f t="shared" ca="1" si="105"/>
        <v>76.915232401150035</v>
      </c>
      <c r="BI102">
        <f t="shared" ca="1" si="105"/>
        <v>79.707888818191137</v>
      </c>
      <c r="BJ102">
        <f t="shared" ca="1" si="105"/>
        <v>81.931904889939986</v>
      </c>
      <c r="BK102">
        <f t="shared" ca="1" si="105"/>
        <v>79.238948615474925</v>
      </c>
      <c r="BL102">
        <f t="shared" ca="1" si="105"/>
        <v>81.47135852766128</v>
      </c>
      <c r="BM102">
        <f t="shared" ca="1" si="105"/>
        <v>81.79866907696622</v>
      </c>
      <c r="BN102">
        <f t="shared" ca="1" si="105"/>
        <v>82.523880850908697</v>
      </c>
      <c r="BO102">
        <f t="shared" ca="1" si="70"/>
        <v>24.523880850908697</v>
      </c>
    </row>
    <row r="103" spans="6:67">
      <c r="BO103" t="s">
        <v>72</v>
      </c>
    </row>
    <row r="104" spans="6:67" ht="15">
      <c r="BM104" t="s">
        <v>73</v>
      </c>
      <c r="BN104">
        <f>'Option pricing '!B5</f>
        <v>58</v>
      </c>
      <c r="BO104" s="11">
        <f ca="1">AVERAGE(BO2:BO102)*EXP(-B5*B6)</f>
        <v>10.657223687701885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6cbfa14-cb15-4308-a62a-3223806420d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931005F4DE8FB488956C1EE2371C1AE" ma:contentTypeVersion="9" ma:contentTypeDescription="Create a new document." ma:contentTypeScope="" ma:versionID="3c25f511f0ef71aa75158f93b2d707cc">
  <xsd:schema xmlns:xsd="http://www.w3.org/2001/XMLSchema" xmlns:xs="http://www.w3.org/2001/XMLSchema" xmlns:p="http://schemas.microsoft.com/office/2006/metadata/properties" xmlns:ns3="76cbfa14-cb15-4308-a62a-3223806420d7" xmlns:ns4="aff649b9-22ed-45e2-8c07-8d4e52db5a50" targetNamespace="http://schemas.microsoft.com/office/2006/metadata/properties" ma:root="true" ma:fieldsID="ab77dac62e738fff829248bd50786f80" ns3:_="" ns4:_="">
    <xsd:import namespace="76cbfa14-cb15-4308-a62a-3223806420d7"/>
    <xsd:import namespace="aff649b9-22ed-45e2-8c07-8d4e52db5a5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cbfa14-cb15-4308-a62a-3223806420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f649b9-22ed-45e2-8c07-8d4e52db5a5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947C5A-3EBF-4B31-9A49-3A7A147E4E4F}"/>
</file>

<file path=customXml/itemProps2.xml><?xml version="1.0" encoding="utf-8"?>
<ds:datastoreItem xmlns:ds="http://schemas.openxmlformats.org/officeDocument/2006/customXml" ds:itemID="{D3B877B1-3F0C-444D-8C7C-11E521DD643A}"/>
</file>

<file path=customXml/itemProps3.xml><?xml version="1.0" encoding="utf-8"?>
<ds:datastoreItem xmlns:ds="http://schemas.openxmlformats.org/officeDocument/2006/customXml" ds:itemID="{DAD7C01E-7DBE-4FEF-8DB9-30F72B96CC2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Heidi Luong</dc:creator>
  <cp:keywords/>
  <dc:description/>
  <cp:lastModifiedBy/>
  <cp:revision/>
  <dcterms:created xsi:type="dcterms:W3CDTF">2025-03-21T15:20:24Z</dcterms:created>
  <dcterms:modified xsi:type="dcterms:W3CDTF">2025-04-14T11:00:59Z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0x0101001931005F4DE8FB488956C1EE2371C1AE</vt:lpwstr>
  </property>
</Properties>
</file>