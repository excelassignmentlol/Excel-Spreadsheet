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6.xml" ContentType="application/vnd.openxmlformats-officedocument.drawing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universityofwestminster-my.sharepoint.com/personal/w1982156_westminster_ac_uk/Documents/"/>
    </mc:Choice>
  </mc:AlternateContent>
  <xr:revisionPtr revIDLastSave="0" documentId="8_{B9B336B1-D149-473D-8CE6-051F7C82C27B}" xr6:coauthVersionLast="47" xr6:coauthVersionMax="47" xr10:uidLastSave="{00000000-0000-0000-0000-000000000000}"/>
  <bookViews>
    <workbookView xWindow="28680" yWindow="-315" windowWidth="29040" windowHeight="15840" firstSheet="1" xr2:uid="{FB7AADA4-7EBC-4F89-915F-90478FCA4C9B}"/>
  </bookViews>
  <sheets>
    <sheet name="Q 1&amp;2" sheetId="1" r:id="rId1"/>
    <sheet name="CAPM" sheetId="9" r:id="rId2"/>
    <sheet name="MACD" sheetId="2" r:id="rId3"/>
    <sheet name="RSI" sheetId="3" r:id="rId4"/>
    <sheet name="BB" sheetId="4" r:id="rId5"/>
    <sheet name="KD" sheetId="5" r:id="rId6"/>
    <sheet name="Option pricing " sheetId="6" r:id="rId7"/>
    <sheet name="Monte Carlo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B12" i="6"/>
  <c r="B6" i="6"/>
  <c r="F203" i="1"/>
  <c r="G200" i="1"/>
  <c r="F200" i="1"/>
  <c r="F6" i="1"/>
  <c r="B5" i="8"/>
  <c r="B4" i="8"/>
  <c r="B6" i="8"/>
  <c r="B8" i="6"/>
  <c r="BN104" i="8"/>
  <c r="F2" i="9"/>
  <c r="H19" i="9" s="1"/>
  <c r="E189" i="9"/>
  <c r="D189" i="9"/>
  <c r="E188" i="9"/>
  <c r="D188" i="9"/>
  <c r="E187" i="9"/>
  <c r="D187" i="9"/>
  <c r="E186" i="9"/>
  <c r="D186" i="9"/>
  <c r="E185" i="9"/>
  <c r="D185" i="9"/>
  <c r="E184" i="9"/>
  <c r="D184" i="9"/>
  <c r="E183" i="9"/>
  <c r="D183" i="9"/>
  <c r="E182" i="9"/>
  <c r="D182" i="9"/>
  <c r="E181" i="9"/>
  <c r="D181" i="9"/>
  <c r="E180" i="9"/>
  <c r="D180" i="9"/>
  <c r="E179" i="9"/>
  <c r="D179" i="9"/>
  <c r="E178" i="9"/>
  <c r="D178" i="9"/>
  <c r="E177" i="9"/>
  <c r="D177" i="9"/>
  <c r="E176" i="9"/>
  <c r="D176" i="9"/>
  <c r="E175" i="9"/>
  <c r="D175" i="9"/>
  <c r="E174" i="9"/>
  <c r="D174" i="9"/>
  <c r="E173" i="9"/>
  <c r="D173" i="9"/>
  <c r="E172" i="9"/>
  <c r="D172" i="9"/>
  <c r="E171" i="9"/>
  <c r="D171" i="9"/>
  <c r="E170" i="9"/>
  <c r="D170" i="9"/>
  <c r="E169" i="9"/>
  <c r="D169" i="9"/>
  <c r="E168" i="9"/>
  <c r="D168" i="9"/>
  <c r="E167" i="9"/>
  <c r="D167" i="9"/>
  <c r="E166" i="9"/>
  <c r="D166" i="9"/>
  <c r="E165" i="9"/>
  <c r="D165" i="9"/>
  <c r="E164" i="9"/>
  <c r="D164" i="9"/>
  <c r="E163" i="9"/>
  <c r="D163" i="9"/>
  <c r="E162" i="9"/>
  <c r="D162" i="9"/>
  <c r="E161" i="9"/>
  <c r="D161" i="9"/>
  <c r="E160" i="9"/>
  <c r="D160" i="9"/>
  <c r="E159" i="9"/>
  <c r="D159" i="9"/>
  <c r="E158" i="9"/>
  <c r="D158" i="9"/>
  <c r="E157" i="9"/>
  <c r="D157" i="9"/>
  <c r="E156" i="9"/>
  <c r="D156" i="9"/>
  <c r="E155" i="9"/>
  <c r="D155" i="9"/>
  <c r="E154" i="9"/>
  <c r="D154" i="9"/>
  <c r="E153" i="9"/>
  <c r="D153" i="9"/>
  <c r="E152" i="9"/>
  <c r="D152" i="9"/>
  <c r="E151" i="9"/>
  <c r="D151" i="9"/>
  <c r="E150" i="9"/>
  <c r="D150" i="9"/>
  <c r="E149" i="9"/>
  <c r="D149" i="9"/>
  <c r="E148" i="9"/>
  <c r="D148" i="9"/>
  <c r="E147" i="9"/>
  <c r="D147" i="9"/>
  <c r="E146" i="9"/>
  <c r="D146" i="9"/>
  <c r="E145" i="9"/>
  <c r="D145" i="9"/>
  <c r="E144" i="9"/>
  <c r="D144" i="9"/>
  <c r="E143" i="9"/>
  <c r="D143" i="9"/>
  <c r="E142" i="9"/>
  <c r="D142" i="9"/>
  <c r="E141" i="9"/>
  <c r="D141" i="9"/>
  <c r="E140" i="9"/>
  <c r="D140" i="9"/>
  <c r="E139" i="9"/>
  <c r="D139" i="9"/>
  <c r="E138" i="9"/>
  <c r="D138" i="9"/>
  <c r="E137" i="9"/>
  <c r="D137" i="9"/>
  <c r="E136" i="9"/>
  <c r="D136" i="9"/>
  <c r="E135" i="9"/>
  <c r="D135" i="9"/>
  <c r="E134" i="9"/>
  <c r="D134" i="9"/>
  <c r="E133" i="9"/>
  <c r="D133" i="9"/>
  <c r="E132" i="9"/>
  <c r="D132" i="9"/>
  <c r="E131" i="9"/>
  <c r="D131" i="9"/>
  <c r="E130" i="9"/>
  <c r="D130" i="9"/>
  <c r="E129" i="9"/>
  <c r="D129" i="9"/>
  <c r="E128" i="9"/>
  <c r="D128" i="9"/>
  <c r="E127" i="9"/>
  <c r="D127" i="9"/>
  <c r="E126" i="9"/>
  <c r="D126" i="9"/>
  <c r="E125" i="9"/>
  <c r="D125" i="9"/>
  <c r="E124" i="9"/>
  <c r="D124" i="9"/>
  <c r="E123" i="9"/>
  <c r="D123" i="9"/>
  <c r="E122" i="9"/>
  <c r="D122" i="9"/>
  <c r="E121" i="9"/>
  <c r="D121" i="9"/>
  <c r="E120" i="9"/>
  <c r="D120" i="9"/>
  <c r="E119" i="9"/>
  <c r="D119" i="9"/>
  <c r="E118" i="9"/>
  <c r="D118" i="9"/>
  <c r="E117" i="9"/>
  <c r="D117" i="9"/>
  <c r="E116" i="9"/>
  <c r="D116" i="9"/>
  <c r="E115" i="9"/>
  <c r="D115" i="9"/>
  <c r="E114" i="9"/>
  <c r="D114" i="9"/>
  <c r="E113" i="9"/>
  <c r="D113" i="9"/>
  <c r="E112" i="9"/>
  <c r="D112" i="9"/>
  <c r="E111" i="9"/>
  <c r="D111" i="9"/>
  <c r="E110" i="9"/>
  <c r="D110" i="9"/>
  <c r="E109" i="9"/>
  <c r="D109" i="9"/>
  <c r="E108" i="9"/>
  <c r="D108" i="9"/>
  <c r="E107" i="9"/>
  <c r="D107" i="9"/>
  <c r="E106" i="9"/>
  <c r="D106" i="9"/>
  <c r="E105" i="9"/>
  <c r="D105" i="9"/>
  <c r="E104" i="9"/>
  <c r="D104" i="9"/>
  <c r="E103" i="9"/>
  <c r="D103" i="9"/>
  <c r="E102" i="9"/>
  <c r="D102" i="9"/>
  <c r="E101" i="9"/>
  <c r="D101" i="9"/>
  <c r="E100" i="9"/>
  <c r="D100" i="9"/>
  <c r="E99" i="9"/>
  <c r="D99" i="9"/>
  <c r="E98" i="9"/>
  <c r="D98" i="9"/>
  <c r="E97" i="9"/>
  <c r="D97" i="9"/>
  <c r="E96" i="9"/>
  <c r="D96" i="9"/>
  <c r="E95" i="9"/>
  <c r="D95" i="9"/>
  <c r="E94" i="9"/>
  <c r="D94" i="9"/>
  <c r="E93" i="9"/>
  <c r="D93" i="9"/>
  <c r="E92" i="9"/>
  <c r="D92" i="9"/>
  <c r="E91" i="9"/>
  <c r="D91" i="9"/>
  <c r="E90" i="9"/>
  <c r="D90" i="9"/>
  <c r="E89" i="9"/>
  <c r="D89" i="9"/>
  <c r="E88" i="9"/>
  <c r="D88" i="9"/>
  <c r="E87" i="9"/>
  <c r="D87" i="9"/>
  <c r="E86" i="9"/>
  <c r="D86" i="9"/>
  <c r="E85" i="9"/>
  <c r="D85" i="9"/>
  <c r="E84" i="9"/>
  <c r="D84" i="9"/>
  <c r="E83" i="9"/>
  <c r="D83" i="9"/>
  <c r="E82" i="9"/>
  <c r="D82" i="9"/>
  <c r="E81" i="9"/>
  <c r="D81" i="9"/>
  <c r="E80" i="9"/>
  <c r="D80" i="9"/>
  <c r="E79" i="9"/>
  <c r="D79" i="9"/>
  <c r="E78" i="9"/>
  <c r="D78" i="9"/>
  <c r="E77" i="9"/>
  <c r="D77" i="9"/>
  <c r="E76" i="9"/>
  <c r="D76" i="9"/>
  <c r="E75" i="9"/>
  <c r="D75" i="9"/>
  <c r="E74" i="9"/>
  <c r="D74" i="9"/>
  <c r="E73" i="9"/>
  <c r="D73" i="9"/>
  <c r="E72" i="9"/>
  <c r="D72" i="9"/>
  <c r="E71" i="9"/>
  <c r="D71" i="9"/>
  <c r="E70" i="9"/>
  <c r="D70" i="9"/>
  <c r="E69" i="9"/>
  <c r="D69" i="9"/>
  <c r="E68" i="9"/>
  <c r="D68" i="9"/>
  <c r="E67" i="9"/>
  <c r="D67" i="9"/>
  <c r="E66" i="9"/>
  <c r="D66" i="9"/>
  <c r="E65" i="9"/>
  <c r="D65" i="9"/>
  <c r="E64" i="9"/>
  <c r="D64" i="9"/>
  <c r="E63" i="9"/>
  <c r="D63" i="9"/>
  <c r="E62" i="9"/>
  <c r="D62" i="9"/>
  <c r="E61" i="9"/>
  <c r="D61" i="9"/>
  <c r="E60" i="9"/>
  <c r="D60" i="9"/>
  <c r="E59" i="9"/>
  <c r="D59" i="9"/>
  <c r="E58" i="9"/>
  <c r="D58" i="9"/>
  <c r="E57" i="9"/>
  <c r="D57" i="9"/>
  <c r="E56" i="9"/>
  <c r="D56" i="9"/>
  <c r="E55" i="9"/>
  <c r="D55" i="9"/>
  <c r="E54" i="9"/>
  <c r="D54" i="9"/>
  <c r="E53" i="9"/>
  <c r="D53" i="9"/>
  <c r="E52" i="9"/>
  <c r="D52" i="9"/>
  <c r="E51" i="9"/>
  <c r="D51" i="9"/>
  <c r="E50" i="9"/>
  <c r="D50" i="9"/>
  <c r="E49" i="9"/>
  <c r="D49" i="9"/>
  <c r="E48" i="9"/>
  <c r="D48" i="9"/>
  <c r="E47" i="9"/>
  <c r="D47" i="9"/>
  <c r="E46" i="9"/>
  <c r="D46" i="9"/>
  <c r="E45" i="9"/>
  <c r="D45" i="9"/>
  <c r="E44" i="9"/>
  <c r="D44" i="9"/>
  <c r="E43" i="9"/>
  <c r="D43" i="9"/>
  <c r="E42" i="9"/>
  <c r="D42" i="9"/>
  <c r="E41" i="9"/>
  <c r="D41" i="9"/>
  <c r="E40" i="9"/>
  <c r="D40" i="9"/>
  <c r="E39" i="9"/>
  <c r="D39" i="9"/>
  <c r="E38" i="9"/>
  <c r="D38" i="9"/>
  <c r="E37" i="9"/>
  <c r="D37" i="9"/>
  <c r="E36" i="9"/>
  <c r="D36" i="9"/>
  <c r="E35" i="9"/>
  <c r="D35" i="9"/>
  <c r="E34" i="9"/>
  <c r="D34" i="9"/>
  <c r="E33" i="9"/>
  <c r="D33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3" i="9"/>
  <c r="D3" i="9"/>
  <c r="H38" i="9" l="1"/>
  <c r="G153" i="9"/>
  <c r="G117" i="9"/>
  <c r="G78" i="9"/>
  <c r="G41" i="9"/>
  <c r="G3" i="9"/>
  <c r="H150" i="9"/>
  <c r="H114" i="9"/>
  <c r="H75" i="9"/>
  <c r="H74" i="9"/>
  <c r="H30" i="9"/>
  <c r="G188" i="9"/>
  <c r="H71" i="9"/>
  <c r="H103" i="9"/>
  <c r="H102" i="9"/>
  <c r="H143" i="9"/>
  <c r="H63" i="9"/>
  <c r="G172" i="9"/>
  <c r="G130" i="9"/>
  <c r="G97" i="9"/>
  <c r="G55" i="9"/>
  <c r="G18" i="9"/>
  <c r="H169" i="9"/>
  <c r="H127" i="9"/>
  <c r="H94" i="9"/>
  <c r="H52" i="9"/>
  <c r="H15" i="9"/>
  <c r="G171" i="9"/>
  <c r="G129" i="9"/>
  <c r="G93" i="9"/>
  <c r="G54" i="9"/>
  <c r="G17" i="9"/>
  <c r="H168" i="9"/>
  <c r="H126" i="9"/>
  <c r="H90" i="9"/>
  <c r="H51" i="9"/>
  <c r="H14" i="9"/>
  <c r="G114" i="9"/>
  <c r="G150" i="9"/>
  <c r="G74" i="9"/>
  <c r="G148" i="9"/>
  <c r="G147" i="9"/>
  <c r="H142" i="9"/>
  <c r="G77" i="9"/>
  <c r="H31" i="9"/>
  <c r="G33" i="9"/>
  <c r="H29" i="9"/>
  <c r="H145" i="9"/>
  <c r="H66" i="9"/>
  <c r="H181" i="9"/>
  <c r="G66" i="9"/>
  <c r="H125" i="9"/>
  <c r="H87" i="9"/>
  <c r="G164" i="9"/>
  <c r="G125" i="9"/>
  <c r="G88" i="9"/>
  <c r="G50" i="9"/>
  <c r="G8" i="9"/>
  <c r="H161" i="9"/>
  <c r="H122" i="9"/>
  <c r="H85" i="9"/>
  <c r="H47" i="9"/>
  <c r="H4" i="9"/>
  <c r="G40" i="9"/>
  <c r="H148" i="9"/>
  <c r="H147" i="9"/>
  <c r="G32" i="9"/>
  <c r="G73" i="9"/>
  <c r="H182" i="9"/>
  <c r="H65" i="9"/>
  <c r="G28" i="9"/>
  <c r="H89" i="9"/>
  <c r="H124" i="9"/>
  <c r="H123" i="9"/>
  <c r="G162" i="9"/>
  <c r="G124" i="9"/>
  <c r="G82" i="9"/>
  <c r="G49" i="9"/>
  <c r="G7" i="9"/>
  <c r="H159" i="9"/>
  <c r="H121" i="9"/>
  <c r="H79" i="9"/>
  <c r="H46" i="9"/>
  <c r="H149" i="9"/>
  <c r="H190" i="9"/>
  <c r="H72" i="9"/>
  <c r="H146" i="9"/>
  <c r="G69" i="9"/>
  <c r="H175" i="9"/>
  <c r="G128" i="9"/>
  <c r="G53" i="9"/>
  <c r="G16" i="9"/>
  <c r="H167" i="9"/>
  <c r="H13" i="9"/>
  <c r="H49" i="9"/>
  <c r="G165" i="9"/>
  <c r="G126" i="9"/>
  <c r="G89" i="9"/>
  <c r="G51" i="9"/>
  <c r="H162" i="9"/>
  <c r="H48" i="9"/>
  <c r="G161" i="9"/>
  <c r="G123" i="9"/>
  <c r="G81" i="9"/>
  <c r="G45" i="9"/>
  <c r="G6" i="9"/>
  <c r="H158" i="9"/>
  <c r="H120" i="9"/>
  <c r="H78" i="9"/>
  <c r="H42" i="9"/>
  <c r="H37" i="9"/>
  <c r="G151" i="9"/>
  <c r="H109" i="9"/>
  <c r="H70" i="9"/>
  <c r="G185" i="9"/>
  <c r="H144" i="9"/>
  <c r="G68" i="9"/>
  <c r="G103" i="9"/>
  <c r="G92" i="9"/>
  <c r="H50" i="9"/>
  <c r="G169" i="9"/>
  <c r="G127" i="9"/>
  <c r="G90" i="9"/>
  <c r="G52" i="9"/>
  <c r="G10" i="9"/>
  <c r="H166" i="9"/>
  <c r="H7" i="9"/>
  <c r="G9" i="9"/>
  <c r="H6" i="9"/>
  <c r="G160" i="9"/>
  <c r="G122" i="9"/>
  <c r="G80" i="9"/>
  <c r="G44" i="9"/>
  <c r="G5" i="9"/>
  <c r="H157" i="9"/>
  <c r="H119" i="9"/>
  <c r="H77" i="9"/>
  <c r="H41" i="9"/>
  <c r="H5" i="9"/>
  <c r="G75" i="9"/>
  <c r="G31" i="9"/>
  <c r="G146" i="9"/>
  <c r="G170" i="9"/>
  <c r="H86" i="9"/>
  <c r="G154" i="9"/>
  <c r="G121" i="9"/>
  <c r="G79" i="9"/>
  <c r="G42" i="9"/>
  <c r="G4" i="9"/>
  <c r="H151" i="9"/>
  <c r="H118" i="9"/>
  <c r="H76" i="9"/>
  <c r="H39" i="9"/>
  <c r="G152" i="9"/>
  <c r="G76" i="9"/>
  <c r="G113" i="9"/>
  <c r="G112" i="9"/>
  <c r="G106" i="9"/>
  <c r="G105" i="9"/>
  <c r="G104" i="9"/>
  <c r="G145" i="9"/>
  <c r="H138" i="9"/>
  <c r="G116" i="9"/>
  <c r="H73" i="9"/>
  <c r="H186" i="9"/>
  <c r="H183" i="9"/>
  <c r="H27" i="9"/>
  <c r="G29" i="9"/>
  <c r="G177" i="9"/>
  <c r="G102" i="9"/>
  <c r="G27" i="9"/>
  <c r="H24" i="9"/>
  <c r="G140" i="9"/>
  <c r="G64" i="9"/>
  <c r="G26" i="9"/>
  <c r="H137" i="9"/>
  <c r="H98" i="9"/>
  <c r="H23" i="9"/>
  <c r="G175" i="9"/>
  <c r="G138" i="9"/>
  <c r="G100" i="9"/>
  <c r="G58" i="9"/>
  <c r="G25" i="9"/>
  <c r="H172" i="9"/>
  <c r="H135" i="9"/>
  <c r="H97" i="9"/>
  <c r="H55" i="9"/>
  <c r="H22" i="9"/>
  <c r="H3" i="9"/>
  <c r="H111" i="9"/>
  <c r="G189" i="9"/>
  <c r="G149" i="9"/>
  <c r="G186" i="9"/>
  <c r="H101" i="9"/>
  <c r="H25" i="9"/>
  <c r="G141" i="9"/>
  <c r="G65" i="9"/>
  <c r="H174" i="9"/>
  <c r="H62" i="9"/>
  <c r="G176" i="9"/>
  <c r="G101" i="9"/>
  <c r="H173" i="9"/>
  <c r="H61" i="9"/>
  <c r="G174" i="9"/>
  <c r="G137" i="9"/>
  <c r="G99" i="9"/>
  <c r="G57" i="9"/>
  <c r="G21" i="9"/>
  <c r="H171" i="9"/>
  <c r="H134" i="9"/>
  <c r="H96" i="9"/>
  <c r="H54" i="9"/>
  <c r="H18" i="9"/>
  <c r="H113" i="9"/>
  <c r="G34" i="9"/>
  <c r="H110" i="9"/>
  <c r="H185" i="9"/>
  <c r="H28" i="9"/>
  <c r="G30" i="9"/>
  <c r="G184" i="9"/>
  <c r="H26" i="9"/>
  <c r="G178" i="9"/>
  <c r="H100" i="9"/>
  <c r="H99" i="9"/>
  <c r="G173" i="9"/>
  <c r="G136" i="9"/>
  <c r="G98" i="9"/>
  <c r="G56" i="9"/>
  <c r="G20" i="9"/>
  <c r="H170" i="9"/>
  <c r="H133" i="9"/>
  <c r="H95" i="9"/>
  <c r="H53" i="9"/>
  <c r="H17" i="9"/>
  <c r="G187" i="9"/>
  <c r="G163" i="9"/>
  <c r="G139" i="9"/>
  <c r="G115" i="9"/>
  <c r="G91" i="9"/>
  <c r="G67" i="9"/>
  <c r="G43" i="9"/>
  <c r="G19" i="9"/>
  <c r="H184" i="9"/>
  <c r="H160" i="9"/>
  <c r="H136" i="9"/>
  <c r="H112" i="9"/>
  <c r="H88" i="9"/>
  <c r="H64" i="9"/>
  <c r="H40" i="9"/>
  <c r="H16" i="9"/>
  <c r="G183" i="9"/>
  <c r="G159" i="9"/>
  <c r="G135" i="9"/>
  <c r="G111" i="9"/>
  <c r="G87" i="9"/>
  <c r="G63" i="9"/>
  <c r="G39" i="9"/>
  <c r="G15" i="9"/>
  <c r="H180" i="9"/>
  <c r="H156" i="9"/>
  <c r="H132" i="9"/>
  <c r="H108" i="9"/>
  <c r="H84" i="9"/>
  <c r="H60" i="9"/>
  <c r="H36" i="9"/>
  <c r="H12" i="9"/>
  <c r="G182" i="9"/>
  <c r="G158" i="9"/>
  <c r="G134" i="9"/>
  <c r="G110" i="9"/>
  <c r="G86" i="9"/>
  <c r="G62" i="9"/>
  <c r="G38" i="9"/>
  <c r="G14" i="9"/>
  <c r="H179" i="9"/>
  <c r="H155" i="9"/>
  <c r="H131" i="9"/>
  <c r="H107" i="9"/>
  <c r="H83" i="9"/>
  <c r="H59" i="9"/>
  <c r="H35" i="9"/>
  <c r="H11" i="9"/>
  <c r="G181" i="9"/>
  <c r="G157" i="9"/>
  <c r="G133" i="9"/>
  <c r="G109" i="9"/>
  <c r="G85" i="9"/>
  <c r="G61" i="9"/>
  <c r="G37" i="9"/>
  <c r="G13" i="9"/>
  <c r="H178" i="9"/>
  <c r="H154" i="9"/>
  <c r="H130" i="9"/>
  <c r="H106" i="9"/>
  <c r="H82" i="9"/>
  <c r="H58" i="9"/>
  <c r="H34" i="9"/>
  <c r="H10" i="9"/>
  <c r="G180" i="9"/>
  <c r="G156" i="9"/>
  <c r="G132" i="9"/>
  <c r="G108" i="9"/>
  <c r="G84" i="9"/>
  <c r="G60" i="9"/>
  <c r="G36" i="9"/>
  <c r="G12" i="9"/>
  <c r="H177" i="9"/>
  <c r="H153" i="9"/>
  <c r="H129" i="9"/>
  <c r="H105" i="9"/>
  <c r="H81" i="9"/>
  <c r="H57" i="9"/>
  <c r="H33" i="9"/>
  <c r="H9" i="9"/>
  <c r="G179" i="9"/>
  <c r="G155" i="9"/>
  <c r="G131" i="9"/>
  <c r="G107" i="9"/>
  <c r="G83" i="9"/>
  <c r="G59" i="9"/>
  <c r="G35" i="9"/>
  <c r="G11" i="9"/>
  <c r="H176" i="9"/>
  <c r="H152" i="9"/>
  <c r="H128" i="9"/>
  <c r="H104" i="9"/>
  <c r="H80" i="9"/>
  <c r="H56" i="9"/>
  <c r="H32" i="9"/>
  <c r="H8" i="9"/>
  <c r="G168" i="9"/>
  <c r="G144" i="9"/>
  <c r="G120" i="9"/>
  <c r="G96" i="9"/>
  <c r="G72" i="9"/>
  <c r="G48" i="9"/>
  <c r="G24" i="9"/>
  <c r="H189" i="9"/>
  <c r="H165" i="9"/>
  <c r="H141" i="9"/>
  <c r="H117" i="9"/>
  <c r="H93" i="9"/>
  <c r="H69" i="9"/>
  <c r="H45" i="9"/>
  <c r="H21" i="9"/>
  <c r="G167" i="9"/>
  <c r="G143" i="9"/>
  <c r="G119" i="9"/>
  <c r="G95" i="9"/>
  <c r="G71" i="9"/>
  <c r="G47" i="9"/>
  <c r="G23" i="9"/>
  <c r="H188" i="9"/>
  <c r="H164" i="9"/>
  <c r="H140" i="9"/>
  <c r="H116" i="9"/>
  <c r="H92" i="9"/>
  <c r="H68" i="9"/>
  <c r="H44" i="9"/>
  <c r="H20" i="9"/>
  <c r="G190" i="9"/>
  <c r="G166" i="9"/>
  <c r="G142" i="9"/>
  <c r="G118" i="9"/>
  <c r="G94" i="9"/>
  <c r="G70" i="9"/>
  <c r="G46" i="9"/>
  <c r="G22" i="9"/>
  <c r="H187" i="9"/>
  <c r="H163" i="9"/>
  <c r="H139" i="9"/>
  <c r="H115" i="9"/>
  <c r="H91" i="9"/>
  <c r="H67" i="9"/>
  <c r="H43" i="9"/>
  <c r="K12" i="9" l="1" a="1"/>
  <c r="K12" i="9" s="1"/>
  <c r="K11" i="9"/>
  <c r="K4" i="9" a="1"/>
  <c r="K4" i="9" s="1"/>
  <c r="K2" i="9"/>
  <c r="G1" i="8" l="1"/>
  <c r="H1" i="8" s="1"/>
  <c r="I1" i="8" s="1"/>
  <c r="J1" i="8" s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J1" i="8" s="1"/>
  <c r="AK1" i="8" s="1"/>
  <c r="AL1" i="8" s="1"/>
  <c r="AM1" i="8" s="1"/>
  <c r="AN1" i="8" s="1"/>
  <c r="AO1" i="8" s="1"/>
  <c r="AP1" i="8" s="1"/>
  <c r="AQ1" i="8" s="1"/>
  <c r="AR1" i="8" s="1"/>
  <c r="AS1" i="8" s="1"/>
  <c r="AT1" i="8" s="1"/>
  <c r="AU1" i="8" s="1"/>
  <c r="AV1" i="8" s="1"/>
  <c r="AW1" i="8" s="1"/>
  <c r="AX1" i="8" s="1"/>
  <c r="AY1" i="8" s="1"/>
  <c r="AZ1" i="8" s="1"/>
  <c r="BA1" i="8" s="1"/>
  <c r="BB1" i="8" s="1"/>
  <c r="BC1" i="8" s="1"/>
  <c r="BD1" i="8" s="1"/>
  <c r="BE1" i="8" s="1"/>
  <c r="BF1" i="8" s="1"/>
  <c r="BG1" i="8" s="1"/>
  <c r="BH1" i="8" s="1"/>
  <c r="BI1" i="8" s="1"/>
  <c r="BJ1" i="8" s="1"/>
  <c r="BK1" i="8" s="1"/>
  <c r="BL1" i="8" s="1"/>
  <c r="BM1" i="8" s="1"/>
  <c r="BN1" i="8" s="1"/>
  <c r="B1" i="8"/>
  <c r="F3" i="8" l="1"/>
  <c r="F13" i="8"/>
  <c r="F14" i="8"/>
  <c r="F15" i="8"/>
  <c r="F19" i="8"/>
  <c r="F20" i="8"/>
  <c r="F21" i="8"/>
  <c r="F22" i="8"/>
  <c r="F33" i="8"/>
  <c r="F34" i="8"/>
  <c r="F35" i="8"/>
  <c r="F39" i="8"/>
  <c r="F40" i="8"/>
  <c r="F41" i="8"/>
  <c r="F42" i="8"/>
  <c r="F53" i="8"/>
  <c r="F54" i="8"/>
  <c r="F55" i="8"/>
  <c r="F59" i="8"/>
  <c r="F60" i="8"/>
  <c r="F61" i="8"/>
  <c r="F62" i="8"/>
  <c r="F73" i="8"/>
  <c r="F74" i="8"/>
  <c r="F75" i="8"/>
  <c r="F79" i="8"/>
  <c r="F80" i="8"/>
  <c r="F81" i="8"/>
  <c r="F82" i="8"/>
  <c r="F93" i="8"/>
  <c r="F94" i="8"/>
  <c r="F95" i="8"/>
  <c r="F99" i="8"/>
  <c r="F100" i="8"/>
  <c r="F101" i="8"/>
  <c r="F102" i="8"/>
  <c r="F98" i="8"/>
  <c r="F78" i="8"/>
  <c r="F58" i="8"/>
  <c r="F38" i="8"/>
  <c r="F18" i="8"/>
  <c r="F97" i="8"/>
  <c r="F77" i="8"/>
  <c r="F57" i="8"/>
  <c r="F37" i="8"/>
  <c r="F17" i="8"/>
  <c r="F96" i="8"/>
  <c r="F76" i="8"/>
  <c r="F56" i="8"/>
  <c r="F36" i="8"/>
  <c r="F16" i="8"/>
  <c r="F12" i="8"/>
  <c r="F51" i="8"/>
  <c r="F90" i="8"/>
  <c r="F50" i="8"/>
  <c r="F9" i="8"/>
  <c r="F88" i="8"/>
  <c r="F68" i="8"/>
  <c r="F48" i="8"/>
  <c r="F28" i="8"/>
  <c r="F8" i="8"/>
  <c r="F31" i="8"/>
  <c r="F70" i="8"/>
  <c r="F69" i="8"/>
  <c r="F87" i="8"/>
  <c r="F67" i="8"/>
  <c r="F47" i="8"/>
  <c r="F27" i="8"/>
  <c r="F7" i="8"/>
  <c r="F72" i="8"/>
  <c r="F30" i="8"/>
  <c r="F29" i="8"/>
  <c r="F86" i="8"/>
  <c r="F66" i="8"/>
  <c r="F46" i="8"/>
  <c r="F26" i="8"/>
  <c r="F6" i="8"/>
  <c r="F32" i="8"/>
  <c r="F71" i="8"/>
  <c r="F10" i="8"/>
  <c r="F89" i="8"/>
  <c r="F49" i="8"/>
  <c r="F85" i="8"/>
  <c r="F65" i="8"/>
  <c r="F45" i="8"/>
  <c r="F25" i="8"/>
  <c r="F5" i="8"/>
  <c r="F92" i="8"/>
  <c r="F52" i="8"/>
  <c r="F91" i="8"/>
  <c r="F11" i="8"/>
  <c r="F84" i="8"/>
  <c r="F64" i="8"/>
  <c r="F44" i="8"/>
  <c r="F24" i="8"/>
  <c r="F4" i="8"/>
  <c r="F2" i="8"/>
  <c r="F83" i="8"/>
  <c r="F63" i="8"/>
  <c r="F43" i="8"/>
  <c r="F23" i="8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7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5" i="5"/>
  <c r="F22" i="4" l="1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21" i="4"/>
  <c r="B191" i="4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6" i="3"/>
  <c r="G18" i="3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7" i="3"/>
  <c r="G16" i="3"/>
  <c r="F18" i="3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7" i="3"/>
  <c r="F16" i="3"/>
  <c r="G17" i="2"/>
  <c r="E4" i="3"/>
  <c r="E5" i="3"/>
  <c r="E6" i="3"/>
  <c r="E7" i="3"/>
  <c r="E8" i="3"/>
  <c r="E9" i="3"/>
  <c r="E10" i="3"/>
  <c r="E11" i="3"/>
  <c r="E22" i="3"/>
  <c r="E23" i="3"/>
  <c r="E25" i="3"/>
  <c r="E26" i="3"/>
  <c r="E27" i="3"/>
  <c r="E28" i="3"/>
  <c r="E29" i="3"/>
  <c r="E30" i="3"/>
  <c r="E31" i="3"/>
  <c r="E32" i="3"/>
  <c r="E33" i="3"/>
  <c r="E34" i="3"/>
  <c r="E35" i="3"/>
  <c r="E46" i="3"/>
  <c r="E47" i="3"/>
  <c r="E49" i="3"/>
  <c r="E50" i="3"/>
  <c r="E51" i="3"/>
  <c r="E52" i="3"/>
  <c r="E53" i="3"/>
  <c r="E54" i="3"/>
  <c r="E55" i="3"/>
  <c r="E56" i="3"/>
  <c r="E57" i="3"/>
  <c r="E58" i="3"/>
  <c r="E59" i="3"/>
  <c r="E70" i="3"/>
  <c r="E71" i="3"/>
  <c r="E73" i="3"/>
  <c r="E74" i="3"/>
  <c r="E75" i="3"/>
  <c r="E76" i="3"/>
  <c r="E77" i="3"/>
  <c r="E78" i="3"/>
  <c r="E79" i="3"/>
  <c r="E80" i="3"/>
  <c r="E81" i="3"/>
  <c r="E82" i="3"/>
  <c r="E83" i="3"/>
  <c r="E94" i="3"/>
  <c r="E95" i="3"/>
  <c r="E97" i="3"/>
  <c r="E98" i="3"/>
  <c r="E99" i="3"/>
  <c r="E100" i="3"/>
  <c r="E101" i="3"/>
  <c r="E102" i="3"/>
  <c r="E103" i="3"/>
  <c r="E104" i="3"/>
  <c r="E105" i="3"/>
  <c r="E106" i="3"/>
  <c r="E107" i="3"/>
  <c r="E118" i="3"/>
  <c r="E119" i="3"/>
  <c r="E121" i="3"/>
  <c r="E122" i="3"/>
  <c r="E123" i="3"/>
  <c r="E124" i="3"/>
  <c r="E125" i="3"/>
  <c r="E126" i="3"/>
  <c r="E127" i="3"/>
  <c r="E128" i="3"/>
  <c r="E129" i="3"/>
  <c r="E130" i="3"/>
  <c r="E131" i="3"/>
  <c r="E142" i="3"/>
  <c r="E143" i="3"/>
  <c r="E145" i="3"/>
  <c r="E146" i="3"/>
  <c r="E147" i="3"/>
  <c r="E148" i="3"/>
  <c r="E149" i="3"/>
  <c r="E150" i="3"/>
  <c r="E151" i="3"/>
  <c r="E152" i="3"/>
  <c r="E153" i="3"/>
  <c r="E154" i="3"/>
  <c r="E155" i="3"/>
  <c r="E166" i="3"/>
  <c r="E167" i="3"/>
  <c r="E169" i="3"/>
  <c r="E170" i="3"/>
  <c r="E171" i="3"/>
  <c r="E172" i="3"/>
  <c r="E173" i="3"/>
  <c r="E174" i="3"/>
  <c r="E175" i="3"/>
  <c r="E176" i="3"/>
  <c r="E177" i="3"/>
  <c r="E178" i="3"/>
  <c r="E179" i="3"/>
  <c r="E3" i="3"/>
  <c r="D4" i="3"/>
  <c r="D6" i="3"/>
  <c r="D8" i="3"/>
  <c r="D9" i="3"/>
  <c r="D10" i="3"/>
  <c r="D11" i="3"/>
  <c r="D12" i="3"/>
  <c r="D13" i="3"/>
  <c r="D14" i="3"/>
  <c r="D15" i="3"/>
  <c r="D16" i="3"/>
  <c r="D22" i="3"/>
  <c r="D23" i="3"/>
  <c r="D24" i="3"/>
  <c r="D26" i="3"/>
  <c r="D27" i="3"/>
  <c r="D28" i="3"/>
  <c r="D30" i="3"/>
  <c r="D31" i="3"/>
  <c r="D32" i="3"/>
  <c r="D33" i="3"/>
  <c r="D34" i="3"/>
  <c r="D35" i="3"/>
  <c r="D36" i="3"/>
  <c r="D37" i="3"/>
  <c r="D38" i="3"/>
  <c r="D39" i="3"/>
  <c r="D40" i="3"/>
  <c r="D46" i="3"/>
  <c r="D47" i="3"/>
  <c r="D48" i="3"/>
  <c r="D50" i="3"/>
  <c r="D51" i="3"/>
  <c r="D52" i="3"/>
  <c r="D54" i="3"/>
  <c r="D55" i="3"/>
  <c r="D56" i="3"/>
  <c r="D57" i="3"/>
  <c r="D58" i="3"/>
  <c r="D59" i="3"/>
  <c r="D60" i="3"/>
  <c r="D61" i="3"/>
  <c r="D62" i="3"/>
  <c r="D63" i="3"/>
  <c r="D64" i="3"/>
  <c r="D70" i="3"/>
  <c r="D71" i="3"/>
  <c r="D72" i="3"/>
  <c r="D74" i="3"/>
  <c r="D75" i="3"/>
  <c r="D76" i="3"/>
  <c r="D78" i="3"/>
  <c r="D79" i="3"/>
  <c r="D80" i="3"/>
  <c r="D81" i="3"/>
  <c r="D82" i="3"/>
  <c r="D83" i="3"/>
  <c r="D84" i="3"/>
  <c r="D85" i="3"/>
  <c r="D86" i="3"/>
  <c r="D87" i="3"/>
  <c r="D88" i="3"/>
  <c r="D94" i="3"/>
  <c r="D95" i="3"/>
  <c r="D96" i="3"/>
  <c r="D98" i="3"/>
  <c r="D99" i="3"/>
  <c r="D100" i="3"/>
  <c r="D102" i="3"/>
  <c r="D103" i="3"/>
  <c r="D104" i="3"/>
  <c r="D105" i="3"/>
  <c r="D106" i="3"/>
  <c r="D107" i="3"/>
  <c r="D108" i="3"/>
  <c r="D109" i="3"/>
  <c r="D110" i="3"/>
  <c r="D111" i="3"/>
  <c r="D112" i="3"/>
  <c r="D118" i="3"/>
  <c r="D119" i="3"/>
  <c r="D120" i="3"/>
  <c r="D122" i="3"/>
  <c r="D123" i="3"/>
  <c r="D124" i="3"/>
  <c r="D126" i="3"/>
  <c r="D127" i="3"/>
  <c r="D128" i="3"/>
  <c r="D129" i="3"/>
  <c r="D130" i="3"/>
  <c r="D131" i="3"/>
  <c r="D132" i="3"/>
  <c r="D133" i="3"/>
  <c r="D134" i="3"/>
  <c r="D135" i="3"/>
  <c r="D136" i="3"/>
  <c r="D142" i="3"/>
  <c r="D143" i="3"/>
  <c r="D144" i="3"/>
  <c r="D146" i="3"/>
  <c r="D147" i="3"/>
  <c r="D148" i="3"/>
  <c r="D150" i="3"/>
  <c r="D151" i="3"/>
  <c r="D152" i="3"/>
  <c r="D153" i="3"/>
  <c r="D154" i="3"/>
  <c r="D155" i="3"/>
  <c r="D156" i="3"/>
  <c r="D157" i="3"/>
  <c r="D158" i="3"/>
  <c r="D159" i="3"/>
  <c r="D160" i="3"/>
  <c r="D166" i="3"/>
  <c r="D167" i="3"/>
  <c r="D168" i="3"/>
  <c r="D170" i="3"/>
  <c r="D171" i="3"/>
  <c r="D172" i="3"/>
  <c r="D174" i="3"/>
  <c r="D175" i="3"/>
  <c r="D176" i="3"/>
  <c r="D177" i="3"/>
  <c r="D178" i="3"/>
  <c r="D179" i="3"/>
  <c r="D180" i="3"/>
  <c r="D181" i="3"/>
  <c r="D182" i="3"/>
  <c r="D183" i="3"/>
  <c r="D184" i="3"/>
  <c r="D3" i="3"/>
  <c r="C4" i="3"/>
  <c r="C5" i="3"/>
  <c r="D5" i="3" s="1"/>
  <c r="C6" i="3"/>
  <c r="C7" i="3"/>
  <c r="D7" i="3" s="1"/>
  <c r="C8" i="3"/>
  <c r="C9" i="3"/>
  <c r="C10" i="3"/>
  <c r="C11" i="3"/>
  <c r="C12" i="3"/>
  <c r="E12" i="3" s="1"/>
  <c r="C13" i="3"/>
  <c r="E13" i="3" s="1"/>
  <c r="C14" i="3"/>
  <c r="E14" i="3" s="1"/>
  <c r="C15" i="3"/>
  <c r="E15" i="3" s="1"/>
  <c r="C16" i="3"/>
  <c r="E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C23" i="3"/>
  <c r="C24" i="3"/>
  <c r="E24" i="3" s="1"/>
  <c r="C25" i="3"/>
  <c r="D25" i="3" s="1"/>
  <c r="C26" i="3"/>
  <c r="C27" i="3"/>
  <c r="C28" i="3"/>
  <c r="C29" i="3"/>
  <c r="D29" i="3" s="1"/>
  <c r="C30" i="3"/>
  <c r="C31" i="3"/>
  <c r="C32" i="3"/>
  <c r="C33" i="3"/>
  <c r="C34" i="3"/>
  <c r="C35" i="3"/>
  <c r="C36" i="3"/>
  <c r="E36" i="3" s="1"/>
  <c r="C37" i="3"/>
  <c r="E37" i="3" s="1"/>
  <c r="C38" i="3"/>
  <c r="E38" i="3" s="1"/>
  <c r="C39" i="3"/>
  <c r="E39" i="3" s="1"/>
  <c r="C40" i="3"/>
  <c r="E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C47" i="3"/>
  <c r="C48" i="3"/>
  <c r="E48" i="3" s="1"/>
  <c r="C49" i="3"/>
  <c r="D49" i="3" s="1"/>
  <c r="C50" i="3"/>
  <c r="C51" i="3"/>
  <c r="C52" i="3"/>
  <c r="C53" i="3"/>
  <c r="D53" i="3" s="1"/>
  <c r="C54" i="3"/>
  <c r="C55" i="3"/>
  <c r="C56" i="3"/>
  <c r="C57" i="3"/>
  <c r="C58" i="3"/>
  <c r="C59" i="3"/>
  <c r="C60" i="3"/>
  <c r="E60" i="3" s="1"/>
  <c r="C61" i="3"/>
  <c r="E61" i="3" s="1"/>
  <c r="C62" i="3"/>
  <c r="E62" i="3" s="1"/>
  <c r="C63" i="3"/>
  <c r="E63" i="3" s="1"/>
  <c r="C64" i="3"/>
  <c r="E64" i="3" s="1"/>
  <c r="C65" i="3"/>
  <c r="D65" i="3" s="1"/>
  <c r="C66" i="3"/>
  <c r="E66" i="3" s="1"/>
  <c r="C67" i="3"/>
  <c r="D67" i="3" s="1"/>
  <c r="C68" i="3"/>
  <c r="D68" i="3" s="1"/>
  <c r="C69" i="3"/>
  <c r="D69" i="3" s="1"/>
  <c r="C70" i="3"/>
  <c r="C71" i="3"/>
  <c r="C72" i="3"/>
  <c r="E72" i="3" s="1"/>
  <c r="C73" i="3"/>
  <c r="D73" i="3" s="1"/>
  <c r="C74" i="3"/>
  <c r="C75" i="3"/>
  <c r="C76" i="3"/>
  <c r="C77" i="3"/>
  <c r="D77" i="3" s="1"/>
  <c r="C78" i="3"/>
  <c r="C79" i="3"/>
  <c r="C80" i="3"/>
  <c r="C81" i="3"/>
  <c r="C82" i="3"/>
  <c r="C83" i="3"/>
  <c r="C84" i="3"/>
  <c r="E84" i="3" s="1"/>
  <c r="C85" i="3"/>
  <c r="E85" i="3" s="1"/>
  <c r="C86" i="3"/>
  <c r="E86" i="3" s="1"/>
  <c r="C87" i="3"/>
  <c r="E87" i="3" s="1"/>
  <c r="C88" i="3"/>
  <c r="E88" i="3" s="1"/>
  <c r="C89" i="3"/>
  <c r="D89" i="3" s="1"/>
  <c r="C90" i="3"/>
  <c r="D90" i="3" s="1"/>
  <c r="C91" i="3"/>
  <c r="D91" i="3" s="1"/>
  <c r="C92" i="3"/>
  <c r="D92" i="3" s="1"/>
  <c r="C93" i="3"/>
  <c r="D93" i="3" s="1"/>
  <c r="C94" i="3"/>
  <c r="C95" i="3"/>
  <c r="C96" i="3"/>
  <c r="E96" i="3" s="1"/>
  <c r="C97" i="3"/>
  <c r="D97" i="3" s="1"/>
  <c r="C98" i="3"/>
  <c r="C99" i="3"/>
  <c r="C100" i="3"/>
  <c r="C101" i="3"/>
  <c r="D101" i="3" s="1"/>
  <c r="C102" i="3"/>
  <c r="C103" i="3"/>
  <c r="C104" i="3"/>
  <c r="C105" i="3"/>
  <c r="C106" i="3"/>
  <c r="C107" i="3"/>
  <c r="C108" i="3"/>
  <c r="E108" i="3" s="1"/>
  <c r="C109" i="3"/>
  <c r="E109" i="3" s="1"/>
  <c r="C110" i="3"/>
  <c r="E110" i="3" s="1"/>
  <c r="C111" i="3"/>
  <c r="E111" i="3" s="1"/>
  <c r="C112" i="3"/>
  <c r="E112" i="3" s="1"/>
  <c r="C113" i="3"/>
  <c r="D113" i="3" s="1"/>
  <c r="C114" i="3"/>
  <c r="D114" i="3" s="1"/>
  <c r="C115" i="3"/>
  <c r="D115" i="3" s="1"/>
  <c r="C116" i="3"/>
  <c r="D116" i="3" s="1"/>
  <c r="C117" i="3"/>
  <c r="D117" i="3" s="1"/>
  <c r="C118" i="3"/>
  <c r="C119" i="3"/>
  <c r="C120" i="3"/>
  <c r="E120" i="3" s="1"/>
  <c r="C121" i="3"/>
  <c r="D121" i="3" s="1"/>
  <c r="C122" i="3"/>
  <c r="C123" i="3"/>
  <c r="C124" i="3"/>
  <c r="C125" i="3"/>
  <c r="D125" i="3" s="1"/>
  <c r="C126" i="3"/>
  <c r="C127" i="3"/>
  <c r="C128" i="3"/>
  <c r="C129" i="3"/>
  <c r="C130" i="3"/>
  <c r="C131" i="3"/>
  <c r="C132" i="3"/>
  <c r="E132" i="3" s="1"/>
  <c r="C133" i="3"/>
  <c r="E133" i="3" s="1"/>
  <c r="C134" i="3"/>
  <c r="E134" i="3" s="1"/>
  <c r="C135" i="3"/>
  <c r="E135" i="3" s="1"/>
  <c r="C136" i="3"/>
  <c r="E136" i="3" s="1"/>
  <c r="C137" i="3"/>
  <c r="D137" i="3" s="1"/>
  <c r="C138" i="3"/>
  <c r="D138" i="3" s="1"/>
  <c r="C139" i="3"/>
  <c r="D139" i="3" s="1"/>
  <c r="C140" i="3"/>
  <c r="D140" i="3" s="1"/>
  <c r="C141" i="3"/>
  <c r="D141" i="3" s="1"/>
  <c r="C142" i="3"/>
  <c r="C143" i="3"/>
  <c r="C144" i="3"/>
  <c r="E144" i="3" s="1"/>
  <c r="C145" i="3"/>
  <c r="D145" i="3" s="1"/>
  <c r="C146" i="3"/>
  <c r="C147" i="3"/>
  <c r="C148" i="3"/>
  <c r="C149" i="3"/>
  <c r="D149" i="3" s="1"/>
  <c r="C150" i="3"/>
  <c r="C151" i="3"/>
  <c r="C152" i="3"/>
  <c r="C153" i="3"/>
  <c r="C154" i="3"/>
  <c r="C155" i="3"/>
  <c r="C156" i="3"/>
  <c r="E156" i="3" s="1"/>
  <c r="C157" i="3"/>
  <c r="E157" i="3" s="1"/>
  <c r="C158" i="3"/>
  <c r="E158" i="3" s="1"/>
  <c r="C159" i="3"/>
  <c r="E159" i="3" s="1"/>
  <c r="C160" i="3"/>
  <c r="E160" i="3" s="1"/>
  <c r="C161" i="3"/>
  <c r="D161" i="3" s="1"/>
  <c r="C162" i="3"/>
  <c r="D162" i="3" s="1"/>
  <c r="C163" i="3"/>
  <c r="D163" i="3" s="1"/>
  <c r="C164" i="3"/>
  <c r="D164" i="3" s="1"/>
  <c r="C165" i="3"/>
  <c r="D165" i="3" s="1"/>
  <c r="C166" i="3"/>
  <c r="C167" i="3"/>
  <c r="C168" i="3"/>
  <c r="E168" i="3" s="1"/>
  <c r="C169" i="3"/>
  <c r="D169" i="3" s="1"/>
  <c r="C170" i="3"/>
  <c r="C171" i="3"/>
  <c r="C172" i="3"/>
  <c r="C173" i="3"/>
  <c r="D173" i="3" s="1"/>
  <c r="C174" i="3"/>
  <c r="C175" i="3"/>
  <c r="C176" i="3"/>
  <c r="C177" i="3"/>
  <c r="C178" i="3"/>
  <c r="C179" i="3"/>
  <c r="C180" i="3"/>
  <c r="E180" i="3" s="1"/>
  <c r="C181" i="3"/>
  <c r="E181" i="3" s="1"/>
  <c r="C182" i="3"/>
  <c r="E182" i="3" s="1"/>
  <c r="C183" i="3"/>
  <c r="E183" i="3" s="1"/>
  <c r="C184" i="3"/>
  <c r="E184" i="3" s="1"/>
  <c r="C185" i="3"/>
  <c r="D185" i="3" s="1"/>
  <c r="C186" i="3"/>
  <c r="D186" i="3" s="1"/>
  <c r="C187" i="3"/>
  <c r="D187" i="3" s="1"/>
  <c r="C188" i="3"/>
  <c r="D188" i="3" s="1"/>
  <c r="C189" i="3"/>
  <c r="D189" i="3" s="1"/>
  <c r="C3" i="3"/>
  <c r="B194" i="2"/>
  <c r="B191" i="3"/>
  <c r="E189" i="3" l="1"/>
  <c r="E165" i="3"/>
  <c r="E141" i="3"/>
  <c r="E117" i="3"/>
  <c r="E93" i="3"/>
  <c r="E69" i="3"/>
  <c r="E45" i="3"/>
  <c r="E21" i="3"/>
  <c r="E188" i="3"/>
  <c r="E164" i="3"/>
  <c r="E140" i="3"/>
  <c r="E116" i="3"/>
  <c r="E92" i="3"/>
  <c r="E68" i="3"/>
  <c r="E44" i="3"/>
  <c r="E20" i="3"/>
  <c r="E187" i="3"/>
  <c r="E163" i="3"/>
  <c r="E139" i="3"/>
  <c r="E115" i="3"/>
  <c r="E91" i="3"/>
  <c r="E67" i="3"/>
  <c r="E43" i="3"/>
  <c r="E19" i="3"/>
  <c r="E17" i="3"/>
  <c r="E162" i="3"/>
  <c r="E18" i="3"/>
  <c r="E65" i="3"/>
  <c r="E138" i="3"/>
  <c r="E90" i="3"/>
  <c r="E185" i="3"/>
  <c r="E137" i="3"/>
  <c r="E186" i="3"/>
  <c r="E114" i="3"/>
  <c r="E113" i="3"/>
  <c r="E42" i="3"/>
  <c r="E89" i="3"/>
  <c r="D66" i="3"/>
  <c r="E161" i="3"/>
  <c r="E41" i="3"/>
  <c r="C14" i="2" l="1"/>
  <c r="H17" i="2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7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5" i="2"/>
  <c r="D6" i="2"/>
  <c r="D7" i="2"/>
  <c r="D8" i="2"/>
  <c r="D9" i="2"/>
  <c r="D10" i="2"/>
  <c r="D11" i="2"/>
  <c r="D12" i="2"/>
  <c r="D13" i="2"/>
  <c r="D14" i="2"/>
  <c r="D15" i="2"/>
  <c r="D16" i="2"/>
  <c r="D5" i="2"/>
  <c r="C6" i="2"/>
  <c r="C7" i="2"/>
  <c r="C8" i="2"/>
  <c r="C9" i="2"/>
  <c r="C10" i="2"/>
  <c r="C11" i="2"/>
  <c r="C12" i="2"/>
  <c r="C13" i="2"/>
  <c r="C5" i="2"/>
  <c r="E2" i="2"/>
  <c r="D2" i="2"/>
  <c r="C2" i="2"/>
  <c r="G26" i="2" l="1"/>
  <c r="D17" i="2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E31" i="2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C15" i="2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H26" i="2" l="1"/>
  <c r="G27" i="2"/>
  <c r="C192" i="1"/>
  <c r="H186" i="1"/>
  <c r="H187" i="1"/>
  <c r="H188" i="1"/>
  <c r="H189" i="1"/>
  <c r="G184" i="1"/>
  <c r="G185" i="1"/>
  <c r="G186" i="1"/>
  <c r="G187" i="1"/>
  <c r="G188" i="1"/>
  <c r="G189" i="1"/>
  <c r="F184" i="1"/>
  <c r="F185" i="1"/>
  <c r="F186" i="1"/>
  <c r="F187" i="1"/>
  <c r="F188" i="1"/>
  <c r="F189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3" i="1"/>
  <c r="F3" i="1"/>
  <c r="F4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F194" i="1" l="1"/>
  <c r="F195" i="1" s="1"/>
  <c r="H194" i="1"/>
  <c r="H195" i="1" s="1"/>
  <c r="G194" i="1"/>
  <c r="G195" i="1" s="1"/>
  <c r="H27" i="2"/>
  <c r="G28" i="2"/>
  <c r="K117" i="1"/>
  <c r="N117" i="1" s="1"/>
  <c r="B2" i="8" l="1"/>
  <c r="H28" i="2"/>
  <c r="G29" i="2"/>
  <c r="I186" i="1"/>
  <c r="L186" i="1" s="1"/>
  <c r="I188" i="1"/>
  <c r="L188" i="1" s="1"/>
  <c r="I187" i="1"/>
  <c r="L187" i="1" s="1"/>
  <c r="I184" i="1"/>
  <c r="L184" i="1" s="1"/>
  <c r="I185" i="1"/>
  <c r="L185" i="1" s="1"/>
  <c r="I189" i="1"/>
  <c r="L189" i="1" s="1"/>
  <c r="K186" i="1"/>
  <c r="N186" i="1" s="1"/>
  <c r="K187" i="1"/>
  <c r="N187" i="1" s="1"/>
  <c r="J186" i="1"/>
  <c r="M186" i="1" s="1"/>
  <c r="J185" i="1"/>
  <c r="M185" i="1" s="1"/>
  <c r="J187" i="1"/>
  <c r="M187" i="1" s="1"/>
  <c r="K189" i="1"/>
  <c r="N189" i="1" s="1"/>
  <c r="J188" i="1"/>
  <c r="M188" i="1" s="1"/>
  <c r="J189" i="1"/>
  <c r="M189" i="1" s="1"/>
  <c r="K188" i="1"/>
  <c r="N188" i="1" s="1"/>
  <c r="J184" i="1"/>
  <c r="M184" i="1" s="1"/>
  <c r="I11" i="1"/>
  <c r="L11" i="1" s="1"/>
  <c r="K6" i="1"/>
  <c r="N6" i="1" s="1"/>
  <c r="K30" i="1"/>
  <c r="N30" i="1" s="1"/>
  <c r="K54" i="1"/>
  <c r="N54" i="1" s="1"/>
  <c r="K78" i="1"/>
  <c r="N78" i="1" s="1"/>
  <c r="K17" i="1"/>
  <c r="N17" i="1" s="1"/>
  <c r="K89" i="1"/>
  <c r="N89" i="1" s="1"/>
  <c r="K81" i="1"/>
  <c r="N81" i="1" s="1"/>
  <c r="K34" i="1"/>
  <c r="N34" i="1" s="1"/>
  <c r="K4" i="1"/>
  <c r="N4" i="1" s="1"/>
  <c r="K18" i="1"/>
  <c r="N18" i="1" s="1"/>
  <c r="K66" i="1"/>
  <c r="N66" i="1" s="1"/>
  <c r="K68" i="1"/>
  <c r="N68" i="1" s="1"/>
  <c r="K140" i="1"/>
  <c r="N140" i="1" s="1"/>
  <c r="K152" i="1"/>
  <c r="N152" i="1" s="1"/>
  <c r="K45" i="1"/>
  <c r="N45" i="1" s="1"/>
  <c r="K65" i="1"/>
  <c r="N65" i="1" s="1"/>
  <c r="K161" i="1"/>
  <c r="N161" i="1" s="1"/>
  <c r="K28" i="1"/>
  <c r="N28" i="1" s="1"/>
  <c r="K76" i="1"/>
  <c r="N76" i="1" s="1"/>
  <c r="K124" i="1"/>
  <c r="N124" i="1" s="1"/>
  <c r="K148" i="1"/>
  <c r="N148" i="1" s="1"/>
  <c r="K172" i="1"/>
  <c r="N172" i="1" s="1"/>
  <c r="K31" i="1"/>
  <c r="N31" i="1" s="1"/>
  <c r="K116" i="1"/>
  <c r="N116" i="1" s="1"/>
  <c r="K164" i="1"/>
  <c r="N164" i="1" s="1"/>
  <c r="K177" i="1"/>
  <c r="N177" i="1" s="1"/>
  <c r="K69" i="1"/>
  <c r="N69" i="1" s="1"/>
  <c r="K41" i="1"/>
  <c r="N41" i="1" s="1"/>
  <c r="K55" i="1"/>
  <c r="N55" i="1" s="1"/>
  <c r="K8" i="1"/>
  <c r="N8" i="1" s="1"/>
  <c r="K113" i="1"/>
  <c r="N113" i="1" s="1"/>
  <c r="K143" i="1"/>
  <c r="N143" i="1" s="1"/>
  <c r="K42" i="1"/>
  <c r="N42" i="1" s="1"/>
  <c r="K44" i="1"/>
  <c r="N44" i="1" s="1"/>
  <c r="K92" i="1"/>
  <c r="N92" i="1" s="1"/>
  <c r="K7" i="1"/>
  <c r="N7" i="1" s="1"/>
  <c r="K127" i="1"/>
  <c r="N127" i="1" s="1"/>
  <c r="K104" i="1"/>
  <c r="N104" i="1" s="1"/>
  <c r="K21" i="1"/>
  <c r="N21" i="1" s="1"/>
  <c r="K33" i="1"/>
  <c r="N33" i="1" s="1"/>
  <c r="K106" i="1"/>
  <c r="N106" i="1" s="1"/>
  <c r="K93" i="1"/>
  <c r="N93" i="1" s="1"/>
  <c r="K179" i="1"/>
  <c r="N179" i="1" s="1"/>
  <c r="K84" i="1"/>
  <c r="N84" i="1" s="1"/>
  <c r="K61" i="1"/>
  <c r="N61" i="1" s="1"/>
  <c r="K110" i="1"/>
  <c r="N110" i="1" s="1"/>
  <c r="K159" i="1"/>
  <c r="N159" i="1" s="1"/>
  <c r="K160" i="1"/>
  <c r="N160" i="1" s="1"/>
  <c r="K132" i="1"/>
  <c r="N132" i="1" s="1"/>
  <c r="K157" i="1"/>
  <c r="N157" i="1" s="1"/>
  <c r="K38" i="1"/>
  <c r="N38" i="1" s="1"/>
  <c r="K183" i="1"/>
  <c r="N183" i="1" s="1"/>
  <c r="K40" i="1"/>
  <c r="N40" i="1" s="1"/>
  <c r="K82" i="1"/>
  <c r="N82" i="1" s="1"/>
  <c r="K111" i="1"/>
  <c r="N111" i="1" s="1"/>
  <c r="K36" i="1"/>
  <c r="N36" i="1" s="1"/>
  <c r="K181" i="1"/>
  <c r="N181" i="1" s="1"/>
  <c r="K86" i="1"/>
  <c r="N86" i="1" s="1"/>
  <c r="K135" i="1"/>
  <c r="N135" i="1" s="1"/>
  <c r="K176" i="1"/>
  <c r="N176" i="1" s="1"/>
  <c r="K107" i="1"/>
  <c r="N107" i="1" s="1"/>
  <c r="K64" i="1"/>
  <c r="N64" i="1" s="1"/>
  <c r="K147" i="1"/>
  <c r="N147" i="1" s="1"/>
  <c r="K59" i="1"/>
  <c r="N59" i="1" s="1"/>
  <c r="K180" i="1"/>
  <c r="N180" i="1" s="1"/>
  <c r="K37" i="1"/>
  <c r="N37" i="1" s="1"/>
  <c r="K158" i="1"/>
  <c r="N158" i="1" s="1"/>
  <c r="K184" i="1"/>
  <c r="N184" i="1" s="1"/>
  <c r="K123" i="1"/>
  <c r="N123" i="1" s="1"/>
  <c r="K155" i="1"/>
  <c r="N155" i="1" s="1"/>
  <c r="K112" i="1"/>
  <c r="N112" i="1" s="1"/>
  <c r="K51" i="1"/>
  <c r="N51" i="1" s="1"/>
  <c r="K35" i="1"/>
  <c r="N35" i="1" s="1"/>
  <c r="K156" i="1"/>
  <c r="N156" i="1" s="1"/>
  <c r="K182" i="1"/>
  <c r="N182" i="1" s="1"/>
  <c r="K39" i="1"/>
  <c r="N39" i="1" s="1"/>
  <c r="K99" i="1"/>
  <c r="N99" i="1" s="1"/>
  <c r="K131" i="1"/>
  <c r="N131" i="1" s="1"/>
  <c r="K60" i="1"/>
  <c r="N60" i="1" s="1"/>
  <c r="K85" i="1"/>
  <c r="N85" i="1" s="1"/>
  <c r="K63" i="1"/>
  <c r="N63" i="1" s="1"/>
  <c r="K136" i="1"/>
  <c r="N136" i="1" s="1"/>
  <c r="K171" i="1"/>
  <c r="N171" i="1" s="1"/>
  <c r="K83" i="1"/>
  <c r="N83" i="1" s="1"/>
  <c r="K108" i="1"/>
  <c r="N108" i="1" s="1"/>
  <c r="K133" i="1"/>
  <c r="N133" i="1" s="1"/>
  <c r="K62" i="1"/>
  <c r="N62" i="1" s="1"/>
  <c r="K16" i="1"/>
  <c r="N16" i="1" s="1"/>
  <c r="K48" i="1"/>
  <c r="N48" i="1" s="1"/>
  <c r="K72" i="1"/>
  <c r="N72" i="1" s="1"/>
  <c r="K96" i="1"/>
  <c r="N96" i="1" s="1"/>
  <c r="K120" i="1"/>
  <c r="N120" i="1" s="1"/>
  <c r="K144" i="1"/>
  <c r="N144" i="1" s="1"/>
  <c r="K168" i="1"/>
  <c r="N168" i="1" s="1"/>
  <c r="K75" i="1"/>
  <c r="N75" i="1" s="1"/>
  <c r="K12" i="1"/>
  <c r="N12" i="1" s="1"/>
  <c r="K109" i="1"/>
  <c r="N109" i="1" s="1"/>
  <c r="K14" i="1"/>
  <c r="N14" i="1" s="1"/>
  <c r="K87" i="1"/>
  <c r="N87" i="1" s="1"/>
  <c r="K88" i="1"/>
  <c r="N88" i="1" s="1"/>
  <c r="K24" i="1"/>
  <c r="N24" i="1" s="1"/>
  <c r="K25" i="1"/>
  <c r="N25" i="1" s="1"/>
  <c r="K49" i="1"/>
  <c r="N49" i="1" s="1"/>
  <c r="K73" i="1"/>
  <c r="N73" i="1" s="1"/>
  <c r="K97" i="1"/>
  <c r="N97" i="1" s="1"/>
  <c r="K121" i="1"/>
  <c r="N121" i="1" s="1"/>
  <c r="K145" i="1"/>
  <c r="N145" i="1" s="1"/>
  <c r="K169" i="1"/>
  <c r="N169" i="1" s="1"/>
  <c r="K26" i="1"/>
  <c r="N26" i="1" s="1"/>
  <c r="K50" i="1"/>
  <c r="N50" i="1" s="1"/>
  <c r="K74" i="1"/>
  <c r="N74" i="1" s="1"/>
  <c r="K98" i="1"/>
  <c r="N98" i="1" s="1"/>
  <c r="K122" i="1"/>
  <c r="N122" i="1" s="1"/>
  <c r="K146" i="1"/>
  <c r="N146" i="1" s="1"/>
  <c r="K170" i="1"/>
  <c r="N170" i="1" s="1"/>
  <c r="K27" i="1"/>
  <c r="N27" i="1" s="1"/>
  <c r="K11" i="1"/>
  <c r="N11" i="1" s="1"/>
  <c r="K13" i="1"/>
  <c r="N13" i="1" s="1"/>
  <c r="K134" i="1"/>
  <c r="N134" i="1" s="1"/>
  <c r="K15" i="1"/>
  <c r="N15" i="1" s="1"/>
  <c r="K43" i="1"/>
  <c r="N43" i="1" s="1"/>
  <c r="K80" i="1"/>
  <c r="N80" i="1" s="1"/>
  <c r="K56" i="1"/>
  <c r="N56" i="1" s="1"/>
  <c r="K57" i="1"/>
  <c r="N57" i="1" s="1"/>
  <c r="K129" i="1"/>
  <c r="N129" i="1" s="1"/>
  <c r="K115" i="1"/>
  <c r="N115" i="1" s="1"/>
  <c r="K166" i="1"/>
  <c r="N166" i="1" s="1"/>
  <c r="K162" i="1"/>
  <c r="N162" i="1" s="1"/>
  <c r="K167" i="1"/>
  <c r="N167" i="1" s="1"/>
  <c r="K19" i="1"/>
  <c r="N19" i="1" s="1"/>
  <c r="K5" i="1"/>
  <c r="N5" i="1" s="1"/>
  <c r="K67" i="1"/>
  <c r="N67" i="1" s="1"/>
  <c r="K53" i="1"/>
  <c r="N53" i="1" s="1"/>
  <c r="K10" i="1"/>
  <c r="N10" i="1" s="1"/>
  <c r="K139" i="1"/>
  <c r="N139" i="1" s="1"/>
  <c r="K23" i="1"/>
  <c r="N23" i="1" s="1"/>
  <c r="K90" i="1"/>
  <c r="N90" i="1" s="1"/>
  <c r="K102" i="1"/>
  <c r="N102" i="1" s="1"/>
  <c r="K141" i="1"/>
  <c r="N141" i="1" s="1"/>
  <c r="K32" i="1"/>
  <c r="N32" i="1" s="1"/>
  <c r="K126" i="1"/>
  <c r="N126" i="1" s="1"/>
  <c r="K22" i="1"/>
  <c r="N22" i="1" s="1"/>
  <c r="K105" i="1"/>
  <c r="N105" i="1" s="1"/>
  <c r="K130" i="1"/>
  <c r="N130" i="1" s="1"/>
  <c r="K94" i="1"/>
  <c r="N94" i="1" s="1"/>
  <c r="K29" i="1"/>
  <c r="N29" i="1" s="1"/>
  <c r="K91" i="1"/>
  <c r="N91" i="1" s="1"/>
  <c r="K125" i="1"/>
  <c r="N125" i="1" s="1"/>
  <c r="K154" i="1"/>
  <c r="N154" i="1" s="1"/>
  <c r="K163" i="1"/>
  <c r="N163" i="1" s="1"/>
  <c r="K47" i="1"/>
  <c r="N47" i="1" s="1"/>
  <c r="K138" i="1"/>
  <c r="N138" i="1" s="1"/>
  <c r="K128" i="1"/>
  <c r="N128" i="1" s="1"/>
  <c r="K3" i="1"/>
  <c r="N3" i="1" s="1"/>
  <c r="K174" i="1"/>
  <c r="N174" i="1" s="1"/>
  <c r="K70" i="1"/>
  <c r="N70" i="1" s="1"/>
  <c r="K175" i="1"/>
  <c r="N175" i="1" s="1"/>
  <c r="K79" i="1"/>
  <c r="N79" i="1" s="1"/>
  <c r="K142" i="1"/>
  <c r="N142" i="1" s="1"/>
  <c r="K153" i="1"/>
  <c r="N153" i="1" s="1"/>
  <c r="K58" i="1"/>
  <c r="N58" i="1" s="1"/>
  <c r="K178" i="1"/>
  <c r="N178" i="1" s="1"/>
  <c r="K149" i="1"/>
  <c r="N149" i="1" s="1"/>
  <c r="K137" i="1"/>
  <c r="N137" i="1" s="1"/>
  <c r="K119" i="1"/>
  <c r="N119" i="1" s="1"/>
  <c r="K71" i="1"/>
  <c r="N71" i="1" s="1"/>
  <c r="K151" i="1"/>
  <c r="N151" i="1" s="1"/>
  <c r="K114" i="1"/>
  <c r="N114" i="1" s="1"/>
  <c r="K165" i="1"/>
  <c r="N165" i="1" s="1"/>
  <c r="K150" i="1"/>
  <c r="N150" i="1" s="1"/>
  <c r="K46" i="1"/>
  <c r="N46" i="1" s="1"/>
  <c r="K103" i="1"/>
  <c r="N103" i="1" s="1"/>
  <c r="K52" i="1"/>
  <c r="N52" i="1" s="1"/>
  <c r="K118" i="1"/>
  <c r="N118" i="1" s="1"/>
  <c r="K9" i="1"/>
  <c r="N9" i="1" s="1"/>
  <c r="K77" i="1"/>
  <c r="N77" i="1" s="1"/>
  <c r="K101" i="1"/>
  <c r="N101" i="1" s="1"/>
  <c r="K100" i="1"/>
  <c r="N100" i="1" s="1"/>
  <c r="K173" i="1"/>
  <c r="N173" i="1" s="1"/>
  <c r="K185" i="1"/>
  <c r="N185" i="1" s="1"/>
  <c r="K20" i="1"/>
  <c r="N20" i="1" s="1"/>
  <c r="K95" i="1"/>
  <c r="N95" i="1" s="1"/>
  <c r="J10" i="1"/>
  <c r="M10" i="1" s="1"/>
  <c r="J46" i="1"/>
  <c r="M46" i="1" s="1"/>
  <c r="I97" i="1"/>
  <c r="L97" i="1" s="1"/>
  <c r="I27" i="1"/>
  <c r="L27" i="1" s="1"/>
  <c r="I108" i="1"/>
  <c r="L108" i="1" s="1"/>
  <c r="I51" i="1"/>
  <c r="L51" i="1" s="1"/>
  <c r="I117" i="1"/>
  <c r="L117" i="1" s="1"/>
  <c r="J143" i="1"/>
  <c r="M143" i="1" s="1"/>
  <c r="I17" i="1"/>
  <c r="L17" i="1" s="1"/>
  <c r="I89" i="1"/>
  <c r="L89" i="1" s="1"/>
  <c r="J4" i="1"/>
  <c r="M4" i="1" s="1"/>
  <c r="I4" i="1"/>
  <c r="L4" i="1" s="1"/>
  <c r="J163" i="1"/>
  <c r="M163" i="1" s="1"/>
  <c r="I7" i="1"/>
  <c r="L7" i="1" s="1"/>
  <c r="I28" i="1"/>
  <c r="L28" i="1" s="1"/>
  <c r="J69" i="1"/>
  <c r="M69" i="1" s="1"/>
  <c r="I162" i="1"/>
  <c r="L162" i="1" s="1"/>
  <c r="I107" i="1"/>
  <c r="L107" i="1" s="1"/>
  <c r="I87" i="1"/>
  <c r="L87" i="1" s="1"/>
  <c r="I91" i="1"/>
  <c r="L91" i="1" s="1"/>
  <c r="I105" i="1"/>
  <c r="L105" i="1" s="1"/>
  <c r="J89" i="1"/>
  <c r="M89" i="1" s="1"/>
  <c r="J170" i="1"/>
  <c r="M170" i="1" s="1"/>
  <c r="I58" i="1"/>
  <c r="L58" i="1" s="1"/>
  <c r="J82" i="1"/>
  <c r="M82" i="1" s="1"/>
  <c r="I79" i="1"/>
  <c r="L79" i="1" s="1"/>
  <c r="I78" i="1"/>
  <c r="L78" i="1" s="1"/>
  <c r="J63" i="1"/>
  <c r="M63" i="1" s="1"/>
  <c r="J25" i="1"/>
  <c r="M25" i="1" s="1"/>
  <c r="J23" i="1"/>
  <c r="M23" i="1" s="1"/>
  <c r="I125" i="1"/>
  <c r="L125" i="1" s="1"/>
  <c r="I60" i="1"/>
  <c r="L60" i="1" s="1"/>
  <c r="I127" i="1"/>
  <c r="L127" i="1" s="1"/>
  <c r="J183" i="1"/>
  <c r="M183" i="1" s="1"/>
  <c r="I48" i="1"/>
  <c r="L48" i="1" s="1"/>
  <c r="I8" i="1"/>
  <c r="L8" i="1" s="1"/>
  <c r="I61" i="1"/>
  <c r="L61" i="1" s="1"/>
  <c r="J109" i="1"/>
  <c r="M109" i="1" s="1"/>
  <c r="I85" i="1"/>
  <c r="L85" i="1" s="1"/>
  <c r="J36" i="1"/>
  <c r="M36" i="1" s="1"/>
  <c r="I25" i="1"/>
  <c r="L25" i="1" s="1"/>
  <c r="I5" i="1"/>
  <c r="L5" i="1" s="1"/>
  <c r="J60" i="1"/>
  <c r="M60" i="1" s="1"/>
  <c r="J16" i="1"/>
  <c r="M16" i="1" s="1"/>
  <c r="I80" i="1"/>
  <c r="L80" i="1" s="1"/>
  <c r="I165" i="1"/>
  <c r="L165" i="1" s="1"/>
  <c r="I26" i="1"/>
  <c r="L26" i="1" s="1"/>
  <c r="J108" i="1"/>
  <c r="M108" i="1" s="1"/>
  <c r="I68" i="1"/>
  <c r="L68" i="1" s="1"/>
  <c r="I43" i="1"/>
  <c r="L43" i="1" s="1"/>
  <c r="J147" i="1"/>
  <c r="M147" i="1" s="1"/>
  <c r="I3" i="1"/>
  <c r="L3" i="1" s="1"/>
  <c r="J31" i="1"/>
  <c r="M31" i="1" s="1"/>
  <c r="J62" i="1"/>
  <c r="M62" i="1" s="1"/>
  <c r="I18" i="1"/>
  <c r="L18" i="1" s="1"/>
  <c r="I182" i="1"/>
  <c r="L182" i="1" s="1"/>
  <c r="J137" i="1"/>
  <c r="M137" i="1" s="1"/>
  <c r="I160" i="1"/>
  <c r="L160" i="1" s="1"/>
  <c r="I124" i="1"/>
  <c r="L124" i="1" s="1"/>
  <c r="I141" i="1"/>
  <c r="L141" i="1" s="1"/>
  <c r="J90" i="1"/>
  <c r="M90" i="1" s="1"/>
  <c r="J45" i="1"/>
  <c r="M45" i="1" s="1"/>
  <c r="J43" i="1"/>
  <c r="M43" i="1" s="1"/>
  <c r="J5" i="1"/>
  <c r="M5" i="1" s="1"/>
  <c r="I163" i="1"/>
  <c r="L163" i="1" s="1"/>
  <c r="I21" i="1"/>
  <c r="L21" i="1" s="1"/>
  <c r="I81" i="1"/>
  <c r="L81" i="1" s="1"/>
  <c r="J26" i="1"/>
  <c r="M26" i="1" s="1"/>
  <c r="J49" i="1"/>
  <c r="M49" i="1" s="1"/>
  <c r="J182" i="1"/>
  <c r="M182" i="1" s="1"/>
  <c r="J29" i="1"/>
  <c r="M29" i="1" s="1"/>
  <c r="I46" i="1"/>
  <c r="L46" i="1" s="1"/>
  <c r="J128" i="1"/>
  <c r="M128" i="1" s="1"/>
  <c r="J159" i="1"/>
  <c r="M159" i="1" s="1"/>
  <c r="I145" i="1"/>
  <c r="L145" i="1" s="1"/>
  <c r="I6" i="1"/>
  <c r="L6" i="1" s="1"/>
  <c r="J88" i="1"/>
  <c r="M88" i="1" s="1"/>
  <c r="I40" i="1"/>
  <c r="L40" i="1" s="1"/>
  <c r="I88" i="1"/>
  <c r="L88" i="1" s="1"/>
  <c r="I41" i="1"/>
  <c r="L41" i="1" s="1"/>
  <c r="J41" i="1"/>
  <c r="M41" i="1" s="1"/>
  <c r="J160" i="1"/>
  <c r="M160" i="1" s="1"/>
  <c r="I131" i="1"/>
  <c r="L131" i="1" s="1"/>
  <c r="I164" i="1"/>
  <c r="L164" i="1" s="1"/>
  <c r="J130" i="1"/>
  <c r="M130" i="1" s="1"/>
  <c r="J37" i="1"/>
  <c r="M37" i="1" s="1"/>
  <c r="I144" i="1"/>
  <c r="L144" i="1" s="1"/>
  <c r="J70" i="1"/>
  <c r="M70" i="1" s="1"/>
  <c r="I181" i="1"/>
  <c r="L181" i="1" s="1"/>
  <c r="I50" i="1"/>
  <c r="L50" i="1" s="1"/>
  <c r="I104" i="1"/>
  <c r="L104" i="1" s="1"/>
  <c r="I20" i="1"/>
  <c r="L20" i="1" s="1"/>
  <c r="I101" i="1"/>
  <c r="L101" i="1" s="1"/>
  <c r="I38" i="1"/>
  <c r="L38" i="1" s="1"/>
  <c r="J6" i="1"/>
  <c r="M6" i="1" s="1"/>
  <c r="J123" i="1"/>
  <c r="M123" i="1" s="1"/>
  <c r="J9" i="1"/>
  <c r="M9" i="1" s="1"/>
  <c r="I150" i="1"/>
  <c r="L150" i="1" s="1"/>
  <c r="J107" i="1"/>
  <c r="M107" i="1" s="1"/>
  <c r="J59" i="1"/>
  <c r="M59" i="1" s="1"/>
  <c r="I171" i="1"/>
  <c r="L171" i="1" s="1"/>
  <c r="I77" i="1"/>
  <c r="L77" i="1" s="1"/>
  <c r="I106" i="1"/>
  <c r="L106" i="1" s="1"/>
  <c r="I138" i="1"/>
  <c r="L138" i="1" s="1"/>
  <c r="I65" i="1"/>
  <c r="L65" i="1" s="1"/>
  <c r="I102" i="1"/>
  <c r="L102" i="1" s="1"/>
  <c r="J103" i="1"/>
  <c r="M103" i="1" s="1"/>
  <c r="J168" i="1"/>
  <c r="M168" i="1" s="1"/>
  <c r="I120" i="1"/>
  <c r="L120" i="1" s="1"/>
  <c r="J151" i="1"/>
  <c r="M151" i="1" s="1"/>
  <c r="I169" i="1"/>
  <c r="L169" i="1" s="1"/>
  <c r="I161" i="1"/>
  <c r="L161" i="1" s="1"/>
  <c r="I67" i="1"/>
  <c r="L67" i="1" s="1"/>
  <c r="I86" i="1"/>
  <c r="L86" i="1" s="1"/>
  <c r="J81" i="1"/>
  <c r="M81" i="1" s="1"/>
  <c r="I45" i="1"/>
  <c r="L45" i="1" s="1"/>
  <c r="I22" i="1"/>
  <c r="L22" i="1" s="1"/>
  <c r="J83" i="1"/>
  <c r="M83" i="1" s="1"/>
  <c r="J148" i="1"/>
  <c r="M148" i="1" s="1"/>
  <c r="I70" i="1"/>
  <c r="L70" i="1" s="1"/>
  <c r="J71" i="1"/>
  <c r="M71" i="1" s="1"/>
  <c r="I168" i="1"/>
  <c r="L168" i="1" s="1"/>
  <c r="I151" i="1"/>
  <c r="L151" i="1" s="1"/>
  <c r="I47" i="1"/>
  <c r="L47" i="1" s="1"/>
  <c r="I66" i="1"/>
  <c r="L66" i="1" s="1"/>
  <c r="J24" i="1"/>
  <c r="M24" i="1" s="1"/>
  <c r="J84" i="1"/>
  <c r="M84" i="1" s="1"/>
  <c r="J124" i="1"/>
  <c r="M124" i="1" s="1"/>
  <c r="J144" i="1"/>
  <c r="M144" i="1" s="1"/>
  <c r="J3" i="1"/>
  <c r="M3" i="1" s="1"/>
  <c r="J44" i="1"/>
  <c r="M44" i="1" s="1"/>
  <c r="J64" i="1"/>
  <c r="M64" i="1" s="1"/>
  <c r="J104" i="1"/>
  <c r="M104" i="1" s="1"/>
  <c r="J164" i="1"/>
  <c r="M164" i="1" s="1"/>
  <c r="J94" i="1"/>
  <c r="M94" i="1" s="1"/>
  <c r="J172" i="1"/>
  <c r="M172" i="1" s="1"/>
  <c r="J173" i="1"/>
  <c r="M173" i="1" s="1"/>
  <c r="J95" i="1"/>
  <c r="M95" i="1" s="1"/>
  <c r="J32" i="1"/>
  <c r="M32" i="1" s="1"/>
  <c r="J132" i="1"/>
  <c r="M132" i="1" s="1"/>
  <c r="J33" i="1"/>
  <c r="M33" i="1" s="1"/>
  <c r="J133" i="1"/>
  <c r="M133" i="1" s="1"/>
  <c r="J35" i="1"/>
  <c r="M35" i="1" s="1"/>
  <c r="J99" i="1"/>
  <c r="M99" i="1" s="1"/>
  <c r="J72" i="1"/>
  <c r="M72" i="1" s="1"/>
  <c r="J73" i="1"/>
  <c r="M73" i="1" s="1"/>
  <c r="J34" i="1"/>
  <c r="M34" i="1" s="1"/>
  <c r="J134" i="1"/>
  <c r="M134" i="1" s="1"/>
  <c r="J135" i="1"/>
  <c r="M135" i="1" s="1"/>
  <c r="J14" i="1"/>
  <c r="M14" i="1" s="1"/>
  <c r="J114" i="1"/>
  <c r="M114" i="1" s="1"/>
  <c r="J15" i="1"/>
  <c r="M15" i="1" s="1"/>
  <c r="J79" i="1"/>
  <c r="M79" i="1" s="1"/>
  <c r="J115" i="1"/>
  <c r="M115" i="1" s="1"/>
  <c r="J179" i="1"/>
  <c r="M179" i="1" s="1"/>
  <c r="J52" i="1"/>
  <c r="M52" i="1" s="1"/>
  <c r="J152" i="1"/>
  <c r="M152" i="1" s="1"/>
  <c r="J153" i="1"/>
  <c r="M153" i="1" s="1"/>
  <c r="J18" i="1"/>
  <c r="M18" i="1" s="1"/>
  <c r="J110" i="1"/>
  <c r="M110" i="1" s="1"/>
  <c r="J111" i="1"/>
  <c r="M111" i="1" s="1"/>
  <c r="J112" i="1"/>
  <c r="M112" i="1" s="1"/>
  <c r="J181" i="1"/>
  <c r="M181" i="1" s="1"/>
  <c r="J113" i="1"/>
  <c r="M113" i="1" s="1"/>
  <c r="J154" i="1"/>
  <c r="M154" i="1" s="1"/>
  <c r="J92" i="1"/>
  <c r="M92" i="1" s="1"/>
  <c r="J93" i="1"/>
  <c r="M93" i="1" s="1"/>
  <c r="J38" i="1"/>
  <c r="M38" i="1" s="1"/>
  <c r="J12" i="1"/>
  <c r="M12" i="1" s="1"/>
  <c r="J155" i="1"/>
  <c r="M155" i="1" s="1"/>
  <c r="J174" i="1"/>
  <c r="M174" i="1" s="1"/>
  <c r="J20" i="1"/>
  <c r="M20" i="1" s="1"/>
  <c r="J21" i="1"/>
  <c r="M21" i="1" s="1"/>
  <c r="J13" i="1"/>
  <c r="M13" i="1" s="1"/>
  <c r="J19" i="1"/>
  <c r="M19" i="1" s="1"/>
  <c r="J175" i="1"/>
  <c r="M175" i="1" s="1"/>
  <c r="J176" i="1"/>
  <c r="M176" i="1" s="1"/>
  <c r="J39" i="1"/>
  <c r="M39" i="1" s="1"/>
  <c r="J40" i="1"/>
  <c r="M40" i="1" s="1"/>
  <c r="J118" i="1"/>
  <c r="M118" i="1" s="1"/>
  <c r="J53" i="1"/>
  <c r="M53" i="1" s="1"/>
  <c r="J119" i="1"/>
  <c r="M119" i="1" s="1"/>
  <c r="J54" i="1"/>
  <c r="M54" i="1" s="1"/>
  <c r="J120" i="1"/>
  <c r="M120" i="1" s="1"/>
  <c r="J55" i="1"/>
  <c r="M55" i="1" s="1"/>
  <c r="J121" i="1"/>
  <c r="M121" i="1" s="1"/>
  <c r="J56" i="1"/>
  <c r="M56" i="1" s="1"/>
  <c r="J138" i="1"/>
  <c r="M138" i="1" s="1"/>
  <c r="J139" i="1"/>
  <c r="M139" i="1" s="1"/>
  <c r="J74" i="1"/>
  <c r="M74" i="1" s="1"/>
  <c r="J140" i="1"/>
  <c r="M140" i="1" s="1"/>
  <c r="J75" i="1"/>
  <c r="M75" i="1" s="1"/>
  <c r="J141" i="1"/>
  <c r="M141" i="1" s="1"/>
  <c r="I49" i="1"/>
  <c r="L49" i="1" s="1"/>
  <c r="J146" i="1"/>
  <c r="M146" i="1" s="1"/>
  <c r="I83" i="1"/>
  <c r="L83" i="1" s="1"/>
  <c r="J136" i="1"/>
  <c r="M136" i="1" s="1"/>
  <c r="I44" i="1"/>
  <c r="L44" i="1" s="1"/>
  <c r="I69" i="1"/>
  <c r="L69" i="1" s="1"/>
  <c r="I149" i="1"/>
  <c r="L149" i="1" s="1"/>
  <c r="I24" i="1"/>
  <c r="L24" i="1" s="1"/>
  <c r="J122" i="1"/>
  <c r="M122" i="1" s="1"/>
  <c r="I92" i="1"/>
  <c r="L92" i="1" s="1"/>
  <c r="J98" i="1"/>
  <c r="M98" i="1" s="1"/>
  <c r="I148" i="1"/>
  <c r="L148" i="1" s="1"/>
  <c r="J150" i="1"/>
  <c r="M150" i="1" s="1"/>
  <c r="J158" i="1"/>
  <c r="M158" i="1" s="1"/>
  <c r="J116" i="1"/>
  <c r="M116" i="1" s="1"/>
  <c r="J27" i="1"/>
  <c r="M27" i="1" s="1"/>
  <c r="J57" i="1"/>
  <c r="M57" i="1" s="1"/>
  <c r="J100" i="1"/>
  <c r="M100" i="1" s="1"/>
  <c r="J166" i="1"/>
  <c r="M166" i="1" s="1"/>
  <c r="J142" i="1"/>
  <c r="M142" i="1" s="1"/>
  <c r="I123" i="1"/>
  <c r="L123" i="1" s="1"/>
  <c r="J131" i="1"/>
  <c r="M131" i="1" s="1"/>
  <c r="J30" i="1"/>
  <c r="M30" i="1" s="1"/>
  <c r="J102" i="1"/>
  <c r="M102" i="1" s="1"/>
  <c r="I170" i="1"/>
  <c r="L170" i="1" s="1"/>
  <c r="J42" i="1"/>
  <c r="M42" i="1" s="1"/>
  <c r="J178" i="1"/>
  <c r="M178" i="1" s="1"/>
  <c r="I71" i="1"/>
  <c r="L71" i="1" s="1"/>
  <c r="I122" i="1"/>
  <c r="L122" i="1" s="1"/>
  <c r="J22" i="1"/>
  <c r="M22" i="1" s="1"/>
  <c r="I52" i="1"/>
  <c r="L52" i="1" s="1"/>
  <c r="J78" i="1"/>
  <c r="M78" i="1" s="1"/>
  <c r="J127" i="1"/>
  <c r="M127" i="1" s="1"/>
  <c r="J80" i="1"/>
  <c r="M80" i="1" s="1"/>
  <c r="I98" i="1"/>
  <c r="L98" i="1" s="1"/>
  <c r="J106" i="1"/>
  <c r="M106" i="1" s="1"/>
  <c r="J91" i="1"/>
  <c r="M91" i="1" s="1"/>
  <c r="J17" i="1"/>
  <c r="M17" i="1" s="1"/>
  <c r="J180" i="1"/>
  <c r="M180" i="1" s="1"/>
  <c r="J177" i="1"/>
  <c r="M177" i="1" s="1"/>
  <c r="J48" i="1"/>
  <c r="M48" i="1" s="1"/>
  <c r="J157" i="1"/>
  <c r="M157" i="1" s="1"/>
  <c r="I179" i="1"/>
  <c r="L179" i="1" s="1"/>
  <c r="J117" i="1"/>
  <c r="M117" i="1" s="1"/>
  <c r="J8" i="1"/>
  <c r="M8" i="1" s="1"/>
  <c r="J126" i="1"/>
  <c r="M126" i="1" s="1"/>
  <c r="J145" i="1"/>
  <c r="M145" i="1" s="1"/>
  <c r="J169" i="1"/>
  <c r="M169" i="1" s="1"/>
  <c r="I178" i="1"/>
  <c r="L178" i="1" s="1"/>
  <c r="I180" i="1"/>
  <c r="L180" i="1" s="1"/>
  <c r="I177" i="1"/>
  <c r="L177" i="1" s="1"/>
  <c r="J96" i="1"/>
  <c r="M96" i="1" s="1"/>
  <c r="J11" i="1"/>
  <c r="M11" i="1" s="1"/>
  <c r="I57" i="1"/>
  <c r="L57" i="1" s="1"/>
  <c r="J47" i="1"/>
  <c r="M47" i="1" s="1"/>
  <c r="J171" i="1"/>
  <c r="M171" i="1" s="1"/>
  <c r="J167" i="1"/>
  <c r="M167" i="1" s="1"/>
  <c r="I84" i="1"/>
  <c r="L84" i="1" s="1"/>
  <c r="J50" i="1"/>
  <c r="M50" i="1" s="1"/>
  <c r="J97" i="1"/>
  <c r="M97" i="1" s="1"/>
  <c r="J28" i="1"/>
  <c r="M28" i="1" s="1"/>
  <c r="J87" i="1"/>
  <c r="M87" i="1" s="1"/>
  <c r="I23" i="1"/>
  <c r="L23" i="1" s="1"/>
  <c r="J77" i="1"/>
  <c r="M77" i="1" s="1"/>
  <c r="J125" i="1"/>
  <c r="M125" i="1" s="1"/>
  <c r="J85" i="1"/>
  <c r="M85" i="1" s="1"/>
  <c r="I90" i="1"/>
  <c r="L90" i="1" s="1"/>
  <c r="J86" i="1"/>
  <c r="M86" i="1" s="1"/>
  <c r="J156" i="1"/>
  <c r="M156" i="1" s="1"/>
  <c r="J162" i="1"/>
  <c r="M162" i="1" s="1"/>
  <c r="J68" i="1"/>
  <c r="M68" i="1" s="1"/>
  <c r="I126" i="1"/>
  <c r="L126" i="1" s="1"/>
  <c r="I146" i="1"/>
  <c r="L146" i="1" s="1"/>
  <c r="I166" i="1"/>
  <c r="L166" i="1" s="1"/>
  <c r="I13" i="1"/>
  <c r="L13" i="1" s="1"/>
  <c r="I113" i="1"/>
  <c r="L113" i="1" s="1"/>
  <c r="I114" i="1"/>
  <c r="L114" i="1" s="1"/>
  <c r="I55" i="1"/>
  <c r="L55" i="1" s="1"/>
  <c r="I56" i="1"/>
  <c r="L56" i="1" s="1"/>
  <c r="I156" i="1"/>
  <c r="L156" i="1" s="1"/>
  <c r="I14" i="1"/>
  <c r="L14" i="1" s="1"/>
  <c r="I15" i="1"/>
  <c r="L15" i="1" s="1"/>
  <c r="I115" i="1"/>
  <c r="L115" i="1" s="1"/>
  <c r="I155" i="1"/>
  <c r="L155" i="1" s="1"/>
  <c r="I16" i="1"/>
  <c r="L16" i="1" s="1"/>
  <c r="I116" i="1"/>
  <c r="L116" i="1" s="1"/>
  <c r="I54" i="1"/>
  <c r="L54" i="1" s="1"/>
  <c r="I119" i="1"/>
  <c r="L119" i="1" s="1"/>
  <c r="I53" i="1"/>
  <c r="L53" i="1" s="1"/>
  <c r="I153" i="1"/>
  <c r="L153" i="1" s="1"/>
  <c r="I154" i="1"/>
  <c r="L154" i="1" s="1"/>
  <c r="I33" i="1"/>
  <c r="L33" i="1" s="1"/>
  <c r="I133" i="1"/>
  <c r="L133" i="1" s="1"/>
  <c r="I34" i="1"/>
  <c r="L34" i="1" s="1"/>
  <c r="I134" i="1"/>
  <c r="L134" i="1" s="1"/>
  <c r="I35" i="1"/>
  <c r="L35" i="1" s="1"/>
  <c r="I99" i="1"/>
  <c r="L99" i="1" s="1"/>
  <c r="I135" i="1"/>
  <c r="L135" i="1" s="1"/>
  <c r="I112" i="1"/>
  <c r="L112" i="1" s="1"/>
  <c r="I73" i="1"/>
  <c r="L73" i="1" s="1"/>
  <c r="I139" i="1"/>
  <c r="L139" i="1" s="1"/>
  <c r="I74" i="1"/>
  <c r="L74" i="1" s="1"/>
  <c r="I9" i="1"/>
  <c r="L9" i="1" s="1"/>
  <c r="I75" i="1"/>
  <c r="L75" i="1" s="1"/>
  <c r="I157" i="1"/>
  <c r="L157" i="1" s="1"/>
  <c r="I39" i="1"/>
  <c r="L39" i="1" s="1"/>
  <c r="I129" i="1"/>
  <c r="L129" i="1" s="1"/>
  <c r="I136" i="1"/>
  <c r="L136" i="1" s="1"/>
  <c r="I137" i="1"/>
  <c r="L137" i="1" s="1"/>
  <c r="I140" i="1"/>
  <c r="L140" i="1" s="1"/>
  <c r="I72" i="1"/>
  <c r="L72" i="1" s="1"/>
  <c r="I59" i="1"/>
  <c r="L59" i="1" s="1"/>
  <c r="I132" i="1"/>
  <c r="L132" i="1" s="1"/>
  <c r="I93" i="1"/>
  <c r="L93" i="1" s="1"/>
  <c r="I159" i="1"/>
  <c r="L159" i="1" s="1"/>
  <c r="I12" i="1"/>
  <c r="L12" i="1" s="1"/>
  <c r="I94" i="1"/>
  <c r="L94" i="1" s="1"/>
  <c r="I29" i="1"/>
  <c r="L29" i="1" s="1"/>
  <c r="I95" i="1"/>
  <c r="L95" i="1" s="1"/>
  <c r="I172" i="1"/>
  <c r="L172" i="1" s="1"/>
  <c r="I30" i="1"/>
  <c r="L30" i="1" s="1"/>
  <c r="I96" i="1"/>
  <c r="L96" i="1" s="1"/>
  <c r="I173" i="1"/>
  <c r="L173" i="1" s="1"/>
  <c r="I31" i="1"/>
  <c r="L31" i="1" s="1"/>
  <c r="I100" i="1"/>
  <c r="L100" i="1" s="1"/>
  <c r="I174" i="1"/>
  <c r="L174" i="1" s="1"/>
  <c r="I32" i="1"/>
  <c r="L32" i="1" s="1"/>
  <c r="I109" i="1"/>
  <c r="L109" i="1" s="1"/>
  <c r="I175" i="1"/>
  <c r="L175" i="1" s="1"/>
  <c r="I36" i="1"/>
  <c r="L36" i="1" s="1"/>
  <c r="I110" i="1"/>
  <c r="L110" i="1" s="1"/>
  <c r="I176" i="1"/>
  <c r="L176" i="1" s="1"/>
  <c r="I37" i="1"/>
  <c r="L37" i="1" s="1"/>
  <c r="I111" i="1"/>
  <c r="L111" i="1" s="1"/>
  <c r="I10" i="1"/>
  <c r="L10" i="1" s="1"/>
  <c r="I76" i="1"/>
  <c r="L76" i="1" s="1"/>
  <c r="I158" i="1"/>
  <c r="L158" i="1" s="1"/>
  <c r="I64" i="1"/>
  <c r="L64" i="1" s="1"/>
  <c r="I19" i="1"/>
  <c r="L19" i="1" s="1"/>
  <c r="I121" i="1"/>
  <c r="L121" i="1" s="1"/>
  <c r="J165" i="1"/>
  <c r="M165" i="1" s="1"/>
  <c r="J67" i="1"/>
  <c r="M67" i="1" s="1"/>
  <c r="I142" i="1"/>
  <c r="L142" i="1" s="1"/>
  <c r="I183" i="1"/>
  <c r="L183" i="1" s="1"/>
  <c r="J105" i="1"/>
  <c r="M105" i="1" s="1"/>
  <c r="I82" i="1"/>
  <c r="L82" i="1" s="1"/>
  <c r="I143" i="1"/>
  <c r="L143" i="1" s="1"/>
  <c r="J161" i="1"/>
  <c r="M161" i="1" s="1"/>
  <c r="J7" i="1"/>
  <c r="M7" i="1" s="1"/>
  <c r="I62" i="1"/>
  <c r="L62" i="1" s="1"/>
  <c r="I103" i="1"/>
  <c r="L103" i="1" s="1"/>
  <c r="J149" i="1"/>
  <c r="M149" i="1" s="1"/>
  <c r="J101" i="1"/>
  <c r="M101" i="1" s="1"/>
  <c r="I128" i="1"/>
  <c r="L128" i="1" s="1"/>
  <c r="I152" i="1"/>
  <c r="L152" i="1" s="1"/>
  <c r="I167" i="1"/>
  <c r="L167" i="1" s="1"/>
  <c r="J65" i="1"/>
  <c r="M65" i="1" s="1"/>
  <c r="I42" i="1"/>
  <c r="L42" i="1" s="1"/>
  <c r="I63" i="1"/>
  <c r="L63" i="1" s="1"/>
  <c r="J129" i="1"/>
  <c r="M129" i="1" s="1"/>
  <c r="J51" i="1"/>
  <c r="M51" i="1" s="1"/>
  <c r="I118" i="1"/>
  <c r="L118" i="1" s="1"/>
  <c r="J61" i="1"/>
  <c r="M61" i="1" s="1"/>
  <c r="J58" i="1"/>
  <c r="M58" i="1" s="1"/>
  <c r="I147" i="1"/>
  <c r="L147" i="1" s="1"/>
  <c r="J66" i="1"/>
  <c r="M66" i="1" s="1"/>
  <c r="I130" i="1"/>
  <c r="L130" i="1" s="1"/>
  <c r="J76" i="1"/>
  <c r="M76" i="1" s="1"/>
  <c r="H29" i="2" l="1"/>
  <c r="G30" i="2"/>
  <c r="M192" i="1"/>
  <c r="M193" i="1" s="1"/>
  <c r="M194" i="1" s="1"/>
  <c r="M195" i="1" s="1"/>
  <c r="K192" i="1"/>
  <c r="K193" i="1" s="1"/>
  <c r="K194" i="1" s="1"/>
  <c r="F199" i="1" s="1"/>
  <c r="L192" i="1"/>
  <c r="L193" i="1" s="1"/>
  <c r="L194" i="1" s="1"/>
  <c r="G199" i="1" s="1"/>
  <c r="G203" i="1" s="1"/>
  <c r="G31" i="2" l="1"/>
  <c r="H30" i="2"/>
  <c r="L195" i="1"/>
  <c r="K195" i="1"/>
  <c r="B3" i="8" l="1"/>
  <c r="B7" i="6"/>
  <c r="G32" i="2"/>
  <c r="H31" i="2"/>
  <c r="E5" i="6" l="1"/>
  <c r="E4" i="6"/>
  <c r="G24" i="8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AH24" i="8" s="1"/>
  <c r="AI24" i="8" s="1"/>
  <c r="AJ24" i="8" s="1"/>
  <c r="AK24" i="8" s="1"/>
  <c r="AL24" i="8" s="1"/>
  <c r="AM24" i="8" s="1"/>
  <c r="AN24" i="8" s="1"/>
  <c r="AO24" i="8" s="1"/>
  <c r="AP24" i="8" s="1"/>
  <c r="AQ24" i="8" s="1"/>
  <c r="AR24" i="8" s="1"/>
  <c r="AS24" i="8" s="1"/>
  <c r="AT24" i="8" s="1"/>
  <c r="AU24" i="8" s="1"/>
  <c r="AV24" i="8" s="1"/>
  <c r="AW24" i="8" s="1"/>
  <c r="AX24" i="8" s="1"/>
  <c r="AY24" i="8" s="1"/>
  <c r="AZ24" i="8" s="1"/>
  <c r="BA24" i="8" s="1"/>
  <c r="BB24" i="8" s="1"/>
  <c r="BC24" i="8" s="1"/>
  <c r="BD24" i="8" s="1"/>
  <c r="BE24" i="8" s="1"/>
  <c r="BF24" i="8" s="1"/>
  <c r="BG24" i="8" s="1"/>
  <c r="BH24" i="8" s="1"/>
  <c r="BI24" i="8" s="1"/>
  <c r="BJ24" i="8" s="1"/>
  <c r="BK24" i="8" s="1"/>
  <c r="BL24" i="8" s="1"/>
  <c r="BM24" i="8" s="1"/>
  <c r="BN24" i="8" s="1"/>
  <c r="BO24" i="8" s="1"/>
  <c r="G81" i="8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AH81" i="8" s="1"/>
  <c r="AI81" i="8" s="1"/>
  <c r="AJ81" i="8" s="1"/>
  <c r="AK81" i="8" s="1"/>
  <c r="AL81" i="8" s="1"/>
  <c r="AM81" i="8" s="1"/>
  <c r="AN81" i="8" s="1"/>
  <c r="AO81" i="8" s="1"/>
  <c r="AP81" i="8" s="1"/>
  <c r="AQ81" i="8" s="1"/>
  <c r="AR81" i="8" s="1"/>
  <c r="AS81" i="8" s="1"/>
  <c r="AT81" i="8" s="1"/>
  <c r="AU81" i="8" s="1"/>
  <c r="AV81" i="8" s="1"/>
  <c r="AW81" i="8" s="1"/>
  <c r="AX81" i="8" s="1"/>
  <c r="AY81" i="8" s="1"/>
  <c r="AZ81" i="8" s="1"/>
  <c r="BA81" i="8" s="1"/>
  <c r="BB81" i="8" s="1"/>
  <c r="BC81" i="8" s="1"/>
  <c r="BD81" i="8" s="1"/>
  <c r="BE81" i="8" s="1"/>
  <c r="BF81" i="8" s="1"/>
  <c r="BG81" i="8" s="1"/>
  <c r="BH81" i="8" s="1"/>
  <c r="BI81" i="8" s="1"/>
  <c r="BJ81" i="8" s="1"/>
  <c r="BK81" i="8" s="1"/>
  <c r="BL81" i="8" s="1"/>
  <c r="BM81" i="8" s="1"/>
  <c r="BN81" i="8" s="1"/>
  <c r="BO81" i="8" s="1"/>
  <c r="G97" i="8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AH97" i="8" s="1"/>
  <c r="AI97" i="8" s="1"/>
  <c r="AJ97" i="8" s="1"/>
  <c r="AK97" i="8" s="1"/>
  <c r="AL97" i="8" s="1"/>
  <c r="AM97" i="8" s="1"/>
  <c r="AN97" i="8" s="1"/>
  <c r="AO97" i="8" s="1"/>
  <c r="AP97" i="8" s="1"/>
  <c r="AQ97" i="8" s="1"/>
  <c r="AR97" i="8" s="1"/>
  <c r="AS97" i="8" s="1"/>
  <c r="AT97" i="8" s="1"/>
  <c r="AU97" i="8" s="1"/>
  <c r="AV97" i="8" s="1"/>
  <c r="AW97" i="8" s="1"/>
  <c r="AX97" i="8" s="1"/>
  <c r="AY97" i="8" s="1"/>
  <c r="AZ97" i="8" s="1"/>
  <c r="BA97" i="8" s="1"/>
  <c r="BB97" i="8" s="1"/>
  <c r="BC97" i="8" s="1"/>
  <c r="BD97" i="8" s="1"/>
  <c r="BE97" i="8" s="1"/>
  <c r="BF97" i="8" s="1"/>
  <c r="BG97" i="8" s="1"/>
  <c r="BH97" i="8" s="1"/>
  <c r="BI97" i="8" s="1"/>
  <c r="BJ97" i="8" s="1"/>
  <c r="BK97" i="8" s="1"/>
  <c r="BL97" i="8" s="1"/>
  <c r="BM97" i="8" s="1"/>
  <c r="BN97" i="8" s="1"/>
  <c r="BO97" i="8" s="1"/>
  <c r="G90" i="8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AH90" i="8" s="1"/>
  <c r="AI90" i="8" s="1"/>
  <c r="AJ90" i="8" s="1"/>
  <c r="AK90" i="8" s="1"/>
  <c r="AL90" i="8" s="1"/>
  <c r="AM90" i="8" s="1"/>
  <c r="AN90" i="8" s="1"/>
  <c r="AO90" i="8" s="1"/>
  <c r="AP90" i="8" s="1"/>
  <c r="AQ90" i="8" s="1"/>
  <c r="AR90" i="8" s="1"/>
  <c r="AS90" i="8" s="1"/>
  <c r="AT90" i="8" s="1"/>
  <c r="AU90" i="8" s="1"/>
  <c r="AV90" i="8" s="1"/>
  <c r="AW90" i="8" s="1"/>
  <c r="AX90" i="8" s="1"/>
  <c r="AY90" i="8" s="1"/>
  <c r="AZ90" i="8" s="1"/>
  <c r="BA90" i="8" s="1"/>
  <c r="BB90" i="8" s="1"/>
  <c r="BC90" i="8" s="1"/>
  <c r="BD90" i="8" s="1"/>
  <c r="BE90" i="8" s="1"/>
  <c r="BF90" i="8" s="1"/>
  <c r="BG90" i="8" s="1"/>
  <c r="BH90" i="8" s="1"/>
  <c r="BI90" i="8" s="1"/>
  <c r="BJ90" i="8" s="1"/>
  <c r="BK90" i="8" s="1"/>
  <c r="BL90" i="8" s="1"/>
  <c r="BM90" i="8" s="1"/>
  <c r="BN90" i="8" s="1"/>
  <c r="BO90" i="8" s="1"/>
  <c r="G96" i="8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AH96" i="8" s="1"/>
  <c r="AI96" i="8" s="1"/>
  <c r="AJ96" i="8" s="1"/>
  <c r="AK96" i="8" s="1"/>
  <c r="AL96" i="8" s="1"/>
  <c r="AM96" i="8" s="1"/>
  <c r="AN96" i="8" s="1"/>
  <c r="AO96" i="8" s="1"/>
  <c r="AP96" i="8" s="1"/>
  <c r="AQ96" i="8" s="1"/>
  <c r="AR96" i="8" s="1"/>
  <c r="AS96" i="8" s="1"/>
  <c r="AT96" i="8" s="1"/>
  <c r="AU96" i="8" s="1"/>
  <c r="AV96" i="8" s="1"/>
  <c r="AW96" i="8" s="1"/>
  <c r="AX96" i="8" s="1"/>
  <c r="AY96" i="8" s="1"/>
  <c r="AZ96" i="8" s="1"/>
  <c r="BA96" i="8" s="1"/>
  <c r="BB96" i="8" s="1"/>
  <c r="BC96" i="8" s="1"/>
  <c r="BD96" i="8" s="1"/>
  <c r="BE96" i="8" s="1"/>
  <c r="BF96" i="8" s="1"/>
  <c r="BG96" i="8" s="1"/>
  <c r="BH96" i="8" s="1"/>
  <c r="BI96" i="8" s="1"/>
  <c r="BJ96" i="8" s="1"/>
  <c r="BK96" i="8" s="1"/>
  <c r="BL96" i="8" s="1"/>
  <c r="BM96" i="8" s="1"/>
  <c r="BN96" i="8" s="1"/>
  <c r="BO96" i="8" s="1"/>
  <c r="G39" i="8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AH39" i="8" s="1"/>
  <c r="AI39" i="8" s="1"/>
  <c r="AJ39" i="8" s="1"/>
  <c r="AK39" i="8" s="1"/>
  <c r="AL39" i="8" s="1"/>
  <c r="AM39" i="8" s="1"/>
  <c r="AN39" i="8" s="1"/>
  <c r="AO39" i="8" s="1"/>
  <c r="AP39" i="8" s="1"/>
  <c r="AQ39" i="8" s="1"/>
  <c r="AR39" i="8" s="1"/>
  <c r="AS39" i="8" s="1"/>
  <c r="AT39" i="8" s="1"/>
  <c r="AU39" i="8" s="1"/>
  <c r="AV39" i="8" s="1"/>
  <c r="AW39" i="8" s="1"/>
  <c r="AX39" i="8" s="1"/>
  <c r="AY39" i="8" s="1"/>
  <c r="AZ39" i="8" s="1"/>
  <c r="BA39" i="8" s="1"/>
  <c r="BB39" i="8" s="1"/>
  <c r="BC39" i="8" s="1"/>
  <c r="BD39" i="8" s="1"/>
  <c r="BE39" i="8" s="1"/>
  <c r="BF39" i="8" s="1"/>
  <c r="BG39" i="8" s="1"/>
  <c r="BH39" i="8" s="1"/>
  <c r="BI39" i="8" s="1"/>
  <c r="BJ39" i="8" s="1"/>
  <c r="BK39" i="8" s="1"/>
  <c r="BL39" i="8" s="1"/>
  <c r="BM39" i="8" s="1"/>
  <c r="BN39" i="8" s="1"/>
  <c r="BO39" i="8" s="1"/>
  <c r="G26" i="8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AH26" i="8" s="1"/>
  <c r="AI26" i="8" s="1"/>
  <c r="AJ26" i="8" s="1"/>
  <c r="AK26" i="8" s="1"/>
  <c r="AL26" i="8" s="1"/>
  <c r="AM26" i="8" s="1"/>
  <c r="AN26" i="8" s="1"/>
  <c r="AO26" i="8" s="1"/>
  <c r="AP26" i="8" s="1"/>
  <c r="AQ26" i="8" s="1"/>
  <c r="AR26" i="8" s="1"/>
  <c r="AS26" i="8" s="1"/>
  <c r="AT26" i="8" s="1"/>
  <c r="AU26" i="8" s="1"/>
  <c r="AV26" i="8" s="1"/>
  <c r="AW26" i="8" s="1"/>
  <c r="AX26" i="8" s="1"/>
  <c r="AY26" i="8" s="1"/>
  <c r="AZ26" i="8" s="1"/>
  <c r="BA26" i="8" s="1"/>
  <c r="BB26" i="8" s="1"/>
  <c r="BC26" i="8" s="1"/>
  <c r="BD26" i="8" s="1"/>
  <c r="BE26" i="8" s="1"/>
  <c r="BF26" i="8" s="1"/>
  <c r="BG26" i="8" s="1"/>
  <c r="BH26" i="8" s="1"/>
  <c r="BI26" i="8" s="1"/>
  <c r="BJ26" i="8" s="1"/>
  <c r="BK26" i="8" s="1"/>
  <c r="BL26" i="8" s="1"/>
  <c r="BM26" i="8" s="1"/>
  <c r="BN26" i="8" s="1"/>
  <c r="BO26" i="8" s="1"/>
  <c r="G19" i="8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AH19" i="8" s="1"/>
  <c r="AI19" i="8" s="1"/>
  <c r="AJ19" i="8" s="1"/>
  <c r="AK19" i="8" s="1"/>
  <c r="AL19" i="8" s="1"/>
  <c r="AM19" i="8" s="1"/>
  <c r="AN19" i="8" s="1"/>
  <c r="AO19" i="8" s="1"/>
  <c r="AP19" i="8" s="1"/>
  <c r="AQ19" i="8" s="1"/>
  <c r="AR19" i="8" s="1"/>
  <c r="AS19" i="8" s="1"/>
  <c r="AT19" i="8" s="1"/>
  <c r="AU19" i="8" s="1"/>
  <c r="AV19" i="8" s="1"/>
  <c r="AW19" i="8" s="1"/>
  <c r="AX19" i="8" s="1"/>
  <c r="AY19" i="8" s="1"/>
  <c r="AZ19" i="8" s="1"/>
  <c r="BA19" i="8" s="1"/>
  <c r="BB19" i="8" s="1"/>
  <c r="BC19" i="8" s="1"/>
  <c r="BD19" i="8" s="1"/>
  <c r="BE19" i="8" s="1"/>
  <c r="BF19" i="8" s="1"/>
  <c r="BG19" i="8" s="1"/>
  <c r="BH19" i="8" s="1"/>
  <c r="BI19" i="8" s="1"/>
  <c r="BJ19" i="8" s="1"/>
  <c r="BK19" i="8" s="1"/>
  <c r="BL19" i="8" s="1"/>
  <c r="BM19" i="8" s="1"/>
  <c r="BN19" i="8" s="1"/>
  <c r="BO19" i="8" s="1"/>
  <c r="G20" i="8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AH20" i="8" s="1"/>
  <c r="AI20" i="8" s="1"/>
  <c r="AJ20" i="8" s="1"/>
  <c r="AK20" i="8" s="1"/>
  <c r="AL20" i="8" s="1"/>
  <c r="AM20" i="8" s="1"/>
  <c r="AN20" i="8" s="1"/>
  <c r="AO20" i="8" s="1"/>
  <c r="AP20" i="8" s="1"/>
  <c r="AQ20" i="8" s="1"/>
  <c r="AR20" i="8" s="1"/>
  <c r="AS20" i="8" s="1"/>
  <c r="AT20" i="8" s="1"/>
  <c r="AU20" i="8" s="1"/>
  <c r="AV20" i="8" s="1"/>
  <c r="AW20" i="8" s="1"/>
  <c r="AX20" i="8" s="1"/>
  <c r="AY20" i="8" s="1"/>
  <c r="AZ20" i="8" s="1"/>
  <c r="BA20" i="8" s="1"/>
  <c r="BB20" i="8" s="1"/>
  <c r="BC20" i="8" s="1"/>
  <c r="BD20" i="8" s="1"/>
  <c r="BE20" i="8" s="1"/>
  <c r="BF20" i="8" s="1"/>
  <c r="BG20" i="8" s="1"/>
  <c r="BH20" i="8" s="1"/>
  <c r="BI20" i="8" s="1"/>
  <c r="BJ20" i="8" s="1"/>
  <c r="BK20" i="8" s="1"/>
  <c r="BL20" i="8" s="1"/>
  <c r="BM20" i="8" s="1"/>
  <c r="BN20" i="8" s="1"/>
  <c r="BO20" i="8" s="1"/>
  <c r="G77" i="8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AH77" i="8" s="1"/>
  <c r="AI77" i="8" s="1"/>
  <c r="AJ77" i="8" s="1"/>
  <c r="AK77" i="8" s="1"/>
  <c r="AL77" i="8" s="1"/>
  <c r="AM77" i="8" s="1"/>
  <c r="AN77" i="8" s="1"/>
  <c r="AO77" i="8" s="1"/>
  <c r="AP77" i="8" s="1"/>
  <c r="AQ77" i="8" s="1"/>
  <c r="AR77" i="8" s="1"/>
  <c r="AS77" i="8" s="1"/>
  <c r="AT77" i="8" s="1"/>
  <c r="AU77" i="8" s="1"/>
  <c r="AV77" i="8" s="1"/>
  <c r="AW77" i="8" s="1"/>
  <c r="AX77" i="8" s="1"/>
  <c r="AY77" i="8" s="1"/>
  <c r="AZ77" i="8" s="1"/>
  <c r="BA77" i="8" s="1"/>
  <c r="BB77" i="8" s="1"/>
  <c r="BC77" i="8" s="1"/>
  <c r="BD77" i="8" s="1"/>
  <c r="BE77" i="8" s="1"/>
  <c r="BF77" i="8" s="1"/>
  <c r="BG77" i="8" s="1"/>
  <c r="BH77" i="8" s="1"/>
  <c r="BI77" i="8" s="1"/>
  <c r="BJ77" i="8" s="1"/>
  <c r="BK77" i="8" s="1"/>
  <c r="BL77" i="8" s="1"/>
  <c r="BM77" i="8" s="1"/>
  <c r="BN77" i="8" s="1"/>
  <c r="BO77" i="8" s="1"/>
  <c r="G64" i="8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AH64" i="8" s="1"/>
  <c r="AI64" i="8" s="1"/>
  <c r="AJ64" i="8" s="1"/>
  <c r="AK64" i="8" s="1"/>
  <c r="AL64" i="8" s="1"/>
  <c r="AM64" i="8" s="1"/>
  <c r="AN64" i="8" s="1"/>
  <c r="AO64" i="8" s="1"/>
  <c r="AP64" i="8" s="1"/>
  <c r="AQ64" i="8" s="1"/>
  <c r="AR64" i="8" s="1"/>
  <c r="AS64" i="8" s="1"/>
  <c r="AT64" i="8" s="1"/>
  <c r="AU64" i="8" s="1"/>
  <c r="AV64" i="8" s="1"/>
  <c r="AW64" i="8" s="1"/>
  <c r="AX64" i="8" s="1"/>
  <c r="AY64" i="8" s="1"/>
  <c r="AZ64" i="8" s="1"/>
  <c r="BA64" i="8" s="1"/>
  <c r="BB64" i="8" s="1"/>
  <c r="BC64" i="8" s="1"/>
  <c r="BD64" i="8" s="1"/>
  <c r="BE64" i="8" s="1"/>
  <c r="BF64" i="8" s="1"/>
  <c r="BG64" i="8" s="1"/>
  <c r="BH64" i="8" s="1"/>
  <c r="BI64" i="8" s="1"/>
  <c r="BJ64" i="8" s="1"/>
  <c r="BK64" i="8" s="1"/>
  <c r="BL64" i="8" s="1"/>
  <c r="BM64" i="8" s="1"/>
  <c r="BN64" i="8" s="1"/>
  <c r="BO64" i="8" s="1"/>
  <c r="G75" i="8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AH75" i="8" s="1"/>
  <c r="AI75" i="8" s="1"/>
  <c r="AJ75" i="8" s="1"/>
  <c r="AK75" i="8" s="1"/>
  <c r="AL75" i="8" s="1"/>
  <c r="AM75" i="8" s="1"/>
  <c r="AN75" i="8" s="1"/>
  <c r="AO75" i="8" s="1"/>
  <c r="AP75" i="8" s="1"/>
  <c r="AQ75" i="8" s="1"/>
  <c r="AR75" i="8" s="1"/>
  <c r="AS75" i="8" s="1"/>
  <c r="AT75" i="8" s="1"/>
  <c r="AU75" i="8" s="1"/>
  <c r="AV75" i="8" s="1"/>
  <c r="AW75" i="8" s="1"/>
  <c r="AX75" i="8" s="1"/>
  <c r="AY75" i="8" s="1"/>
  <c r="AZ75" i="8" s="1"/>
  <c r="BA75" i="8" s="1"/>
  <c r="BB75" i="8" s="1"/>
  <c r="BC75" i="8" s="1"/>
  <c r="BD75" i="8" s="1"/>
  <c r="BE75" i="8" s="1"/>
  <c r="BF75" i="8" s="1"/>
  <c r="BG75" i="8" s="1"/>
  <c r="BH75" i="8" s="1"/>
  <c r="BI75" i="8" s="1"/>
  <c r="BJ75" i="8" s="1"/>
  <c r="BK75" i="8" s="1"/>
  <c r="BL75" i="8" s="1"/>
  <c r="BM75" i="8" s="1"/>
  <c r="BN75" i="8" s="1"/>
  <c r="BO75" i="8" s="1"/>
  <c r="G43" i="8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AH43" i="8" s="1"/>
  <c r="AI43" i="8" s="1"/>
  <c r="AJ43" i="8" s="1"/>
  <c r="AK43" i="8" s="1"/>
  <c r="AL43" i="8" s="1"/>
  <c r="AM43" i="8" s="1"/>
  <c r="AN43" i="8" s="1"/>
  <c r="AO43" i="8" s="1"/>
  <c r="AP43" i="8" s="1"/>
  <c r="AQ43" i="8" s="1"/>
  <c r="AR43" i="8" s="1"/>
  <c r="AS43" i="8" s="1"/>
  <c r="AT43" i="8" s="1"/>
  <c r="AU43" i="8" s="1"/>
  <c r="AV43" i="8" s="1"/>
  <c r="AW43" i="8" s="1"/>
  <c r="AX43" i="8" s="1"/>
  <c r="AY43" i="8" s="1"/>
  <c r="AZ43" i="8" s="1"/>
  <c r="BA43" i="8" s="1"/>
  <c r="BB43" i="8" s="1"/>
  <c r="BC43" i="8" s="1"/>
  <c r="BD43" i="8" s="1"/>
  <c r="BE43" i="8" s="1"/>
  <c r="BF43" i="8" s="1"/>
  <c r="BG43" i="8" s="1"/>
  <c r="BH43" i="8" s="1"/>
  <c r="BI43" i="8" s="1"/>
  <c r="BJ43" i="8" s="1"/>
  <c r="BK43" i="8" s="1"/>
  <c r="BL43" i="8" s="1"/>
  <c r="BM43" i="8" s="1"/>
  <c r="BN43" i="8" s="1"/>
  <c r="BO43" i="8" s="1"/>
  <c r="G84" i="8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AH84" i="8" s="1"/>
  <c r="AI84" i="8" s="1"/>
  <c r="AJ84" i="8" s="1"/>
  <c r="AK84" i="8" s="1"/>
  <c r="AL84" i="8" s="1"/>
  <c r="AM84" i="8" s="1"/>
  <c r="AN84" i="8" s="1"/>
  <c r="AO84" i="8" s="1"/>
  <c r="AP84" i="8" s="1"/>
  <c r="AQ84" i="8" s="1"/>
  <c r="AR84" i="8" s="1"/>
  <c r="AS84" i="8" s="1"/>
  <c r="AT84" i="8" s="1"/>
  <c r="AU84" i="8" s="1"/>
  <c r="AV84" i="8" s="1"/>
  <c r="AW84" i="8" s="1"/>
  <c r="AX84" i="8" s="1"/>
  <c r="AY84" i="8" s="1"/>
  <c r="AZ84" i="8" s="1"/>
  <c r="BA84" i="8" s="1"/>
  <c r="BB84" i="8" s="1"/>
  <c r="BC84" i="8" s="1"/>
  <c r="BD84" i="8" s="1"/>
  <c r="BE84" i="8" s="1"/>
  <c r="BF84" i="8" s="1"/>
  <c r="BG84" i="8" s="1"/>
  <c r="BH84" i="8" s="1"/>
  <c r="BI84" i="8" s="1"/>
  <c r="BJ84" i="8" s="1"/>
  <c r="BK84" i="8" s="1"/>
  <c r="BL84" i="8" s="1"/>
  <c r="BM84" i="8" s="1"/>
  <c r="BN84" i="8" s="1"/>
  <c r="BO84" i="8" s="1"/>
  <c r="G44" i="8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AH44" i="8" s="1"/>
  <c r="AI44" i="8" s="1"/>
  <c r="AJ44" i="8" s="1"/>
  <c r="AK44" i="8" s="1"/>
  <c r="AL44" i="8" s="1"/>
  <c r="AM44" i="8" s="1"/>
  <c r="AN44" i="8" s="1"/>
  <c r="AO44" i="8" s="1"/>
  <c r="AP44" i="8" s="1"/>
  <c r="AQ44" i="8" s="1"/>
  <c r="AR44" i="8" s="1"/>
  <c r="AS44" i="8" s="1"/>
  <c r="AT44" i="8" s="1"/>
  <c r="AU44" i="8" s="1"/>
  <c r="AV44" i="8" s="1"/>
  <c r="AW44" i="8" s="1"/>
  <c r="AX44" i="8" s="1"/>
  <c r="AY44" i="8" s="1"/>
  <c r="AZ44" i="8" s="1"/>
  <c r="BA44" i="8" s="1"/>
  <c r="BB44" i="8" s="1"/>
  <c r="BC44" i="8" s="1"/>
  <c r="BD44" i="8" s="1"/>
  <c r="BE44" i="8" s="1"/>
  <c r="BF44" i="8" s="1"/>
  <c r="BG44" i="8" s="1"/>
  <c r="BH44" i="8" s="1"/>
  <c r="BI44" i="8" s="1"/>
  <c r="BJ44" i="8" s="1"/>
  <c r="BK44" i="8" s="1"/>
  <c r="BL44" i="8" s="1"/>
  <c r="BM44" i="8" s="1"/>
  <c r="BN44" i="8" s="1"/>
  <c r="BO44" i="8" s="1"/>
  <c r="G99" i="8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AH99" i="8" s="1"/>
  <c r="AI99" i="8" s="1"/>
  <c r="AJ99" i="8" s="1"/>
  <c r="AK99" i="8" s="1"/>
  <c r="AL99" i="8" s="1"/>
  <c r="AM99" i="8" s="1"/>
  <c r="AN99" i="8" s="1"/>
  <c r="AO99" i="8" s="1"/>
  <c r="AP99" i="8" s="1"/>
  <c r="AQ99" i="8" s="1"/>
  <c r="AR99" i="8" s="1"/>
  <c r="AS99" i="8" s="1"/>
  <c r="AT99" i="8" s="1"/>
  <c r="AU99" i="8" s="1"/>
  <c r="AV99" i="8" s="1"/>
  <c r="AW99" i="8" s="1"/>
  <c r="AX99" i="8" s="1"/>
  <c r="AY99" i="8" s="1"/>
  <c r="AZ99" i="8" s="1"/>
  <c r="BA99" i="8" s="1"/>
  <c r="BB99" i="8" s="1"/>
  <c r="BC99" i="8" s="1"/>
  <c r="BD99" i="8" s="1"/>
  <c r="BE99" i="8" s="1"/>
  <c r="BF99" i="8" s="1"/>
  <c r="BG99" i="8" s="1"/>
  <c r="BH99" i="8" s="1"/>
  <c r="BI99" i="8" s="1"/>
  <c r="BJ99" i="8" s="1"/>
  <c r="BK99" i="8" s="1"/>
  <c r="BL99" i="8" s="1"/>
  <c r="BM99" i="8" s="1"/>
  <c r="BN99" i="8" s="1"/>
  <c r="BO99" i="8" s="1"/>
  <c r="G53" i="8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AH53" i="8" s="1"/>
  <c r="AI53" i="8" s="1"/>
  <c r="AJ53" i="8" s="1"/>
  <c r="AK53" i="8" s="1"/>
  <c r="AL53" i="8" s="1"/>
  <c r="AM53" i="8" s="1"/>
  <c r="AN53" i="8" s="1"/>
  <c r="AO53" i="8" s="1"/>
  <c r="AP53" i="8" s="1"/>
  <c r="AQ53" i="8" s="1"/>
  <c r="AR53" i="8" s="1"/>
  <c r="AS53" i="8" s="1"/>
  <c r="AT53" i="8" s="1"/>
  <c r="AU53" i="8" s="1"/>
  <c r="AV53" i="8" s="1"/>
  <c r="AW53" i="8" s="1"/>
  <c r="AX53" i="8" s="1"/>
  <c r="AY53" i="8" s="1"/>
  <c r="AZ53" i="8" s="1"/>
  <c r="BA53" i="8" s="1"/>
  <c r="BB53" i="8" s="1"/>
  <c r="BC53" i="8" s="1"/>
  <c r="BD53" i="8" s="1"/>
  <c r="BE53" i="8" s="1"/>
  <c r="BF53" i="8" s="1"/>
  <c r="BG53" i="8" s="1"/>
  <c r="BH53" i="8" s="1"/>
  <c r="BI53" i="8" s="1"/>
  <c r="BJ53" i="8" s="1"/>
  <c r="BK53" i="8" s="1"/>
  <c r="BL53" i="8" s="1"/>
  <c r="BM53" i="8" s="1"/>
  <c r="BN53" i="8" s="1"/>
  <c r="BO53" i="8" s="1"/>
  <c r="G13" i="8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AH13" i="8" s="1"/>
  <c r="AI13" i="8" s="1"/>
  <c r="AJ13" i="8" s="1"/>
  <c r="AK13" i="8" s="1"/>
  <c r="AL13" i="8" s="1"/>
  <c r="AM13" i="8" s="1"/>
  <c r="AN13" i="8" s="1"/>
  <c r="AO13" i="8" s="1"/>
  <c r="AP13" i="8" s="1"/>
  <c r="AQ13" i="8" s="1"/>
  <c r="AR13" i="8" s="1"/>
  <c r="AS13" i="8" s="1"/>
  <c r="AT13" i="8" s="1"/>
  <c r="AU13" i="8" s="1"/>
  <c r="AV13" i="8" s="1"/>
  <c r="AW13" i="8" s="1"/>
  <c r="AX13" i="8" s="1"/>
  <c r="AY13" i="8" s="1"/>
  <c r="AZ13" i="8" s="1"/>
  <c r="BA13" i="8" s="1"/>
  <c r="BB13" i="8" s="1"/>
  <c r="BC13" i="8" s="1"/>
  <c r="BD13" i="8" s="1"/>
  <c r="BE13" i="8" s="1"/>
  <c r="BF13" i="8" s="1"/>
  <c r="BG13" i="8" s="1"/>
  <c r="BH13" i="8" s="1"/>
  <c r="BI13" i="8" s="1"/>
  <c r="BJ13" i="8" s="1"/>
  <c r="BK13" i="8" s="1"/>
  <c r="BL13" i="8" s="1"/>
  <c r="BM13" i="8" s="1"/>
  <c r="BN13" i="8" s="1"/>
  <c r="BO13" i="8" s="1"/>
  <c r="G67" i="8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AH67" i="8" s="1"/>
  <c r="AI67" i="8" s="1"/>
  <c r="AJ67" i="8" s="1"/>
  <c r="AK67" i="8" s="1"/>
  <c r="AL67" i="8" s="1"/>
  <c r="AM67" i="8" s="1"/>
  <c r="AN67" i="8" s="1"/>
  <c r="AO67" i="8" s="1"/>
  <c r="AP67" i="8" s="1"/>
  <c r="AQ67" i="8" s="1"/>
  <c r="AR67" i="8" s="1"/>
  <c r="AS67" i="8" s="1"/>
  <c r="AT67" i="8" s="1"/>
  <c r="AU67" i="8" s="1"/>
  <c r="AV67" i="8" s="1"/>
  <c r="AW67" i="8" s="1"/>
  <c r="AX67" i="8" s="1"/>
  <c r="AY67" i="8" s="1"/>
  <c r="AZ67" i="8" s="1"/>
  <c r="BA67" i="8" s="1"/>
  <c r="BB67" i="8" s="1"/>
  <c r="BC67" i="8" s="1"/>
  <c r="BD67" i="8" s="1"/>
  <c r="BE67" i="8" s="1"/>
  <c r="BF67" i="8" s="1"/>
  <c r="BG67" i="8" s="1"/>
  <c r="BH67" i="8" s="1"/>
  <c r="BI67" i="8" s="1"/>
  <c r="BJ67" i="8" s="1"/>
  <c r="BK67" i="8" s="1"/>
  <c r="BL67" i="8" s="1"/>
  <c r="BM67" i="8" s="1"/>
  <c r="BN67" i="8" s="1"/>
  <c r="BO67" i="8" s="1"/>
  <c r="G68" i="8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AH68" i="8" s="1"/>
  <c r="AI68" i="8" s="1"/>
  <c r="AJ68" i="8" s="1"/>
  <c r="AK68" i="8" s="1"/>
  <c r="AL68" i="8" s="1"/>
  <c r="AM68" i="8" s="1"/>
  <c r="AN68" i="8" s="1"/>
  <c r="AO68" i="8" s="1"/>
  <c r="AP68" i="8" s="1"/>
  <c r="AQ68" i="8" s="1"/>
  <c r="AR68" i="8" s="1"/>
  <c r="AS68" i="8" s="1"/>
  <c r="AT68" i="8" s="1"/>
  <c r="AU68" i="8" s="1"/>
  <c r="AV68" i="8" s="1"/>
  <c r="AW68" i="8" s="1"/>
  <c r="AX68" i="8" s="1"/>
  <c r="AY68" i="8" s="1"/>
  <c r="AZ68" i="8" s="1"/>
  <c r="BA68" i="8" s="1"/>
  <c r="BB68" i="8" s="1"/>
  <c r="BC68" i="8" s="1"/>
  <c r="BD68" i="8" s="1"/>
  <c r="BE68" i="8" s="1"/>
  <c r="BF68" i="8" s="1"/>
  <c r="BG68" i="8" s="1"/>
  <c r="BH68" i="8" s="1"/>
  <c r="BI68" i="8" s="1"/>
  <c r="BJ68" i="8" s="1"/>
  <c r="BK68" i="8" s="1"/>
  <c r="BL68" i="8" s="1"/>
  <c r="BM68" i="8" s="1"/>
  <c r="BN68" i="8" s="1"/>
  <c r="BO68" i="8" s="1"/>
  <c r="G78" i="8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AH78" i="8" s="1"/>
  <c r="AI78" i="8" s="1"/>
  <c r="AJ78" i="8" s="1"/>
  <c r="AK78" i="8" s="1"/>
  <c r="AL78" i="8" s="1"/>
  <c r="AM78" i="8" s="1"/>
  <c r="AN78" i="8" s="1"/>
  <c r="AO78" i="8" s="1"/>
  <c r="AP78" i="8" s="1"/>
  <c r="AQ78" i="8" s="1"/>
  <c r="AR78" i="8" s="1"/>
  <c r="AS78" i="8" s="1"/>
  <c r="AT78" i="8" s="1"/>
  <c r="AU78" i="8" s="1"/>
  <c r="AV78" i="8" s="1"/>
  <c r="AW78" i="8" s="1"/>
  <c r="AX78" i="8" s="1"/>
  <c r="AY78" i="8" s="1"/>
  <c r="AZ78" i="8" s="1"/>
  <c r="BA78" i="8" s="1"/>
  <c r="BB78" i="8" s="1"/>
  <c r="BC78" i="8" s="1"/>
  <c r="BD78" i="8" s="1"/>
  <c r="BE78" i="8" s="1"/>
  <c r="BF78" i="8" s="1"/>
  <c r="BG78" i="8" s="1"/>
  <c r="BH78" i="8" s="1"/>
  <c r="BI78" i="8" s="1"/>
  <c r="BJ78" i="8" s="1"/>
  <c r="BK78" i="8" s="1"/>
  <c r="BL78" i="8" s="1"/>
  <c r="BM78" i="8" s="1"/>
  <c r="BN78" i="8" s="1"/>
  <c r="BO78" i="8" s="1"/>
  <c r="G10" i="8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AH10" i="8" s="1"/>
  <c r="AI10" i="8" s="1"/>
  <c r="AJ10" i="8" s="1"/>
  <c r="AK10" i="8" s="1"/>
  <c r="AL10" i="8" s="1"/>
  <c r="AM10" i="8" s="1"/>
  <c r="AN10" i="8" s="1"/>
  <c r="AO10" i="8" s="1"/>
  <c r="AP10" i="8" s="1"/>
  <c r="AQ10" i="8" s="1"/>
  <c r="AR10" i="8" s="1"/>
  <c r="AS10" i="8" s="1"/>
  <c r="AT10" i="8" s="1"/>
  <c r="AU10" i="8" s="1"/>
  <c r="AV10" i="8" s="1"/>
  <c r="AW10" i="8" s="1"/>
  <c r="AX10" i="8" s="1"/>
  <c r="AY10" i="8" s="1"/>
  <c r="AZ10" i="8" s="1"/>
  <c r="BA10" i="8" s="1"/>
  <c r="BB10" i="8" s="1"/>
  <c r="BC10" i="8" s="1"/>
  <c r="BD10" i="8" s="1"/>
  <c r="BE10" i="8" s="1"/>
  <c r="BF10" i="8" s="1"/>
  <c r="BG10" i="8" s="1"/>
  <c r="BH10" i="8" s="1"/>
  <c r="BI10" i="8" s="1"/>
  <c r="BJ10" i="8" s="1"/>
  <c r="BK10" i="8" s="1"/>
  <c r="BL10" i="8" s="1"/>
  <c r="BM10" i="8" s="1"/>
  <c r="BN10" i="8" s="1"/>
  <c r="BO10" i="8" s="1"/>
  <c r="G37" i="8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AH37" i="8" s="1"/>
  <c r="AI37" i="8" s="1"/>
  <c r="AJ37" i="8" s="1"/>
  <c r="AK37" i="8" s="1"/>
  <c r="AL37" i="8" s="1"/>
  <c r="AM37" i="8" s="1"/>
  <c r="AN37" i="8" s="1"/>
  <c r="AO37" i="8" s="1"/>
  <c r="AP37" i="8" s="1"/>
  <c r="AQ37" i="8" s="1"/>
  <c r="AR37" i="8" s="1"/>
  <c r="AS37" i="8" s="1"/>
  <c r="AT37" i="8" s="1"/>
  <c r="AU37" i="8" s="1"/>
  <c r="AV37" i="8" s="1"/>
  <c r="AW37" i="8" s="1"/>
  <c r="AX37" i="8" s="1"/>
  <c r="AY37" i="8" s="1"/>
  <c r="AZ37" i="8" s="1"/>
  <c r="BA37" i="8" s="1"/>
  <c r="BB37" i="8" s="1"/>
  <c r="BC37" i="8" s="1"/>
  <c r="BD37" i="8" s="1"/>
  <c r="BE37" i="8" s="1"/>
  <c r="BF37" i="8" s="1"/>
  <c r="BG37" i="8" s="1"/>
  <c r="BH37" i="8" s="1"/>
  <c r="BI37" i="8" s="1"/>
  <c r="BJ37" i="8" s="1"/>
  <c r="BK37" i="8" s="1"/>
  <c r="BL37" i="8" s="1"/>
  <c r="BM37" i="8" s="1"/>
  <c r="BN37" i="8" s="1"/>
  <c r="BO37" i="8" s="1"/>
  <c r="G91" i="8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AH91" i="8" s="1"/>
  <c r="AI91" i="8" s="1"/>
  <c r="AJ91" i="8" s="1"/>
  <c r="AK91" i="8" s="1"/>
  <c r="AL91" i="8" s="1"/>
  <c r="AM91" i="8" s="1"/>
  <c r="AN91" i="8" s="1"/>
  <c r="AO91" i="8" s="1"/>
  <c r="AP91" i="8" s="1"/>
  <c r="AQ91" i="8" s="1"/>
  <c r="AR91" i="8" s="1"/>
  <c r="AS91" i="8" s="1"/>
  <c r="AT91" i="8" s="1"/>
  <c r="AU91" i="8" s="1"/>
  <c r="AV91" i="8" s="1"/>
  <c r="AW91" i="8" s="1"/>
  <c r="AX91" i="8" s="1"/>
  <c r="AY91" i="8" s="1"/>
  <c r="AZ91" i="8" s="1"/>
  <c r="BA91" i="8" s="1"/>
  <c r="BB91" i="8" s="1"/>
  <c r="BC91" i="8" s="1"/>
  <c r="BD91" i="8" s="1"/>
  <c r="BE91" i="8" s="1"/>
  <c r="BF91" i="8" s="1"/>
  <c r="BG91" i="8" s="1"/>
  <c r="BH91" i="8" s="1"/>
  <c r="BI91" i="8" s="1"/>
  <c r="BJ91" i="8" s="1"/>
  <c r="BK91" i="8" s="1"/>
  <c r="BL91" i="8" s="1"/>
  <c r="BM91" i="8" s="1"/>
  <c r="BN91" i="8" s="1"/>
  <c r="BO91" i="8" s="1"/>
  <c r="G92" i="8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AH92" i="8" s="1"/>
  <c r="AI92" i="8" s="1"/>
  <c r="AJ92" i="8" s="1"/>
  <c r="AK92" i="8" s="1"/>
  <c r="AL92" i="8" s="1"/>
  <c r="AM92" i="8" s="1"/>
  <c r="AN92" i="8" s="1"/>
  <c r="AO92" i="8" s="1"/>
  <c r="AP92" i="8" s="1"/>
  <c r="AQ92" i="8" s="1"/>
  <c r="AR92" i="8" s="1"/>
  <c r="AS92" i="8" s="1"/>
  <c r="AT92" i="8" s="1"/>
  <c r="AU92" i="8" s="1"/>
  <c r="AV92" i="8" s="1"/>
  <c r="AW92" i="8" s="1"/>
  <c r="AX92" i="8" s="1"/>
  <c r="AY92" i="8" s="1"/>
  <c r="AZ92" i="8" s="1"/>
  <c r="BA92" i="8" s="1"/>
  <c r="BB92" i="8" s="1"/>
  <c r="BC92" i="8" s="1"/>
  <c r="BD92" i="8" s="1"/>
  <c r="BE92" i="8" s="1"/>
  <c r="BF92" i="8" s="1"/>
  <c r="BG92" i="8" s="1"/>
  <c r="BH92" i="8" s="1"/>
  <c r="BI92" i="8" s="1"/>
  <c r="BJ92" i="8" s="1"/>
  <c r="BK92" i="8" s="1"/>
  <c r="BL92" i="8" s="1"/>
  <c r="BM92" i="8" s="1"/>
  <c r="BN92" i="8" s="1"/>
  <c r="BO92" i="8" s="1"/>
  <c r="G4" i="8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AH4" i="8" s="1"/>
  <c r="AI4" i="8" s="1"/>
  <c r="AJ4" i="8" s="1"/>
  <c r="AK4" i="8" s="1"/>
  <c r="AL4" i="8" s="1"/>
  <c r="AM4" i="8" s="1"/>
  <c r="AN4" i="8" s="1"/>
  <c r="AO4" i="8" s="1"/>
  <c r="AP4" i="8" s="1"/>
  <c r="AQ4" i="8" s="1"/>
  <c r="AR4" i="8" s="1"/>
  <c r="AS4" i="8" s="1"/>
  <c r="AT4" i="8" s="1"/>
  <c r="AU4" i="8" s="1"/>
  <c r="AV4" i="8" s="1"/>
  <c r="AW4" i="8" s="1"/>
  <c r="AX4" i="8" s="1"/>
  <c r="AY4" i="8" s="1"/>
  <c r="AZ4" i="8" s="1"/>
  <c r="BA4" i="8" s="1"/>
  <c r="BB4" i="8" s="1"/>
  <c r="BC4" i="8" s="1"/>
  <c r="BD4" i="8" s="1"/>
  <c r="BE4" i="8" s="1"/>
  <c r="BF4" i="8" s="1"/>
  <c r="BG4" i="8" s="1"/>
  <c r="BH4" i="8" s="1"/>
  <c r="BI4" i="8" s="1"/>
  <c r="BJ4" i="8" s="1"/>
  <c r="BK4" i="8" s="1"/>
  <c r="BL4" i="8" s="1"/>
  <c r="BM4" i="8" s="1"/>
  <c r="BN4" i="8" s="1"/>
  <c r="BO4" i="8" s="1"/>
  <c r="G34" i="8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AH34" i="8" s="1"/>
  <c r="AI34" i="8" s="1"/>
  <c r="AJ34" i="8" s="1"/>
  <c r="AK34" i="8" s="1"/>
  <c r="AL34" i="8" s="1"/>
  <c r="AM34" i="8" s="1"/>
  <c r="AN34" i="8" s="1"/>
  <c r="AO34" i="8" s="1"/>
  <c r="AP34" i="8" s="1"/>
  <c r="AQ34" i="8" s="1"/>
  <c r="AR34" i="8" s="1"/>
  <c r="AS34" i="8" s="1"/>
  <c r="AT34" i="8" s="1"/>
  <c r="AU34" i="8" s="1"/>
  <c r="AV34" i="8" s="1"/>
  <c r="AW34" i="8" s="1"/>
  <c r="AX34" i="8" s="1"/>
  <c r="AY34" i="8" s="1"/>
  <c r="AZ34" i="8" s="1"/>
  <c r="BA34" i="8" s="1"/>
  <c r="BB34" i="8" s="1"/>
  <c r="BC34" i="8" s="1"/>
  <c r="BD34" i="8" s="1"/>
  <c r="BE34" i="8" s="1"/>
  <c r="BF34" i="8" s="1"/>
  <c r="BG34" i="8" s="1"/>
  <c r="BH34" i="8" s="1"/>
  <c r="BI34" i="8" s="1"/>
  <c r="BJ34" i="8" s="1"/>
  <c r="BK34" i="8" s="1"/>
  <c r="BL34" i="8" s="1"/>
  <c r="BM34" i="8" s="1"/>
  <c r="BN34" i="8" s="1"/>
  <c r="BO34" i="8" s="1"/>
  <c r="G61" i="8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AH61" i="8" s="1"/>
  <c r="AI61" i="8" s="1"/>
  <c r="AJ61" i="8" s="1"/>
  <c r="AK61" i="8" s="1"/>
  <c r="AL61" i="8" s="1"/>
  <c r="AM61" i="8" s="1"/>
  <c r="AN61" i="8" s="1"/>
  <c r="AO61" i="8" s="1"/>
  <c r="AP61" i="8" s="1"/>
  <c r="AQ61" i="8" s="1"/>
  <c r="AR61" i="8" s="1"/>
  <c r="AS61" i="8" s="1"/>
  <c r="AT61" i="8" s="1"/>
  <c r="AU61" i="8" s="1"/>
  <c r="AV61" i="8" s="1"/>
  <c r="AW61" i="8" s="1"/>
  <c r="AX61" i="8" s="1"/>
  <c r="AY61" i="8" s="1"/>
  <c r="AZ61" i="8" s="1"/>
  <c r="BA61" i="8" s="1"/>
  <c r="BB61" i="8" s="1"/>
  <c r="BC61" i="8" s="1"/>
  <c r="BD61" i="8" s="1"/>
  <c r="BE61" i="8" s="1"/>
  <c r="BF61" i="8" s="1"/>
  <c r="BG61" i="8" s="1"/>
  <c r="BH61" i="8" s="1"/>
  <c r="BI61" i="8" s="1"/>
  <c r="BJ61" i="8" s="1"/>
  <c r="BK61" i="8" s="1"/>
  <c r="BL61" i="8" s="1"/>
  <c r="BM61" i="8" s="1"/>
  <c r="BN61" i="8" s="1"/>
  <c r="BO61" i="8" s="1"/>
  <c r="G49" i="8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AH49" i="8" s="1"/>
  <c r="AI49" i="8" s="1"/>
  <c r="AJ49" i="8" s="1"/>
  <c r="AK49" i="8" s="1"/>
  <c r="AL49" i="8" s="1"/>
  <c r="AM49" i="8" s="1"/>
  <c r="AN49" i="8" s="1"/>
  <c r="AO49" i="8" s="1"/>
  <c r="AP49" i="8" s="1"/>
  <c r="AQ49" i="8" s="1"/>
  <c r="AR49" i="8" s="1"/>
  <c r="AS49" i="8" s="1"/>
  <c r="AT49" i="8" s="1"/>
  <c r="AU49" i="8" s="1"/>
  <c r="AV49" i="8" s="1"/>
  <c r="AW49" i="8" s="1"/>
  <c r="AX49" i="8" s="1"/>
  <c r="AY49" i="8" s="1"/>
  <c r="AZ49" i="8" s="1"/>
  <c r="BA49" i="8" s="1"/>
  <c r="BB49" i="8" s="1"/>
  <c r="BC49" i="8" s="1"/>
  <c r="BD49" i="8" s="1"/>
  <c r="BE49" i="8" s="1"/>
  <c r="BF49" i="8" s="1"/>
  <c r="BG49" i="8" s="1"/>
  <c r="BH49" i="8" s="1"/>
  <c r="BI49" i="8" s="1"/>
  <c r="BJ49" i="8" s="1"/>
  <c r="BK49" i="8" s="1"/>
  <c r="BL49" i="8" s="1"/>
  <c r="BM49" i="8" s="1"/>
  <c r="BN49" i="8" s="1"/>
  <c r="BO49" i="8" s="1"/>
  <c r="G33" i="8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AH33" i="8" s="1"/>
  <c r="AI33" i="8" s="1"/>
  <c r="AJ33" i="8" s="1"/>
  <c r="AK33" i="8" s="1"/>
  <c r="AL33" i="8" s="1"/>
  <c r="AM33" i="8" s="1"/>
  <c r="AN33" i="8" s="1"/>
  <c r="AO33" i="8" s="1"/>
  <c r="AP33" i="8" s="1"/>
  <c r="AQ33" i="8" s="1"/>
  <c r="AR33" i="8" s="1"/>
  <c r="AS33" i="8" s="1"/>
  <c r="AT33" i="8" s="1"/>
  <c r="AU33" i="8" s="1"/>
  <c r="AV33" i="8" s="1"/>
  <c r="AW33" i="8" s="1"/>
  <c r="AX33" i="8" s="1"/>
  <c r="AY33" i="8" s="1"/>
  <c r="AZ33" i="8" s="1"/>
  <c r="BA33" i="8" s="1"/>
  <c r="BB33" i="8" s="1"/>
  <c r="BC33" i="8" s="1"/>
  <c r="BD33" i="8" s="1"/>
  <c r="BE33" i="8" s="1"/>
  <c r="BF33" i="8" s="1"/>
  <c r="BG33" i="8" s="1"/>
  <c r="BH33" i="8" s="1"/>
  <c r="BI33" i="8" s="1"/>
  <c r="BJ33" i="8" s="1"/>
  <c r="BK33" i="8" s="1"/>
  <c r="BL33" i="8" s="1"/>
  <c r="BM33" i="8" s="1"/>
  <c r="BN33" i="8" s="1"/>
  <c r="BO33" i="8" s="1"/>
  <c r="G47" i="8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AH47" i="8" s="1"/>
  <c r="AI47" i="8" s="1"/>
  <c r="AJ47" i="8" s="1"/>
  <c r="AK47" i="8" s="1"/>
  <c r="AL47" i="8" s="1"/>
  <c r="AM47" i="8" s="1"/>
  <c r="AN47" i="8" s="1"/>
  <c r="AO47" i="8" s="1"/>
  <c r="AP47" i="8" s="1"/>
  <c r="AQ47" i="8" s="1"/>
  <c r="AR47" i="8" s="1"/>
  <c r="AS47" i="8" s="1"/>
  <c r="AT47" i="8" s="1"/>
  <c r="AU47" i="8" s="1"/>
  <c r="AV47" i="8" s="1"/>
  <c r="AW47" i="8" s="1"/>
  <c r="AX47" i="8" s="1"/>
  <c r="AY47" i="8" s="1"/>
  <c r="AZ47" i="8" s="1"/>
  <c r="BA47" i="8" s="1"/>
  <c r="BB47" i="8" s="1"/>
  <c r="BC47" i="8" s="1"/>
  <c r="BD47" i="8" s="1"/>
  <c r="BE47" i="8" s="1"/>
  <c r="BF47" i="8" s="1"/>
  <c r="BG47" i="8" s="1"/>
  <c r="BH47" i="8" s="1"/>
  <c r="BI47" i="8" s="1"/>
  <c r="BJ47" i="8" s="1"/>
  <c r="BK47" i="8" s="1"/>
  <c r="BL47" i="8" s="1"/>
  <c r="BM47" i="8" s="1"/>
  <c r="BN47" i="8" s="1"/>
  <c r="BO47" i="8" s="1"/>
  <c r="G28" i="8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AH28" i="8" s="1"/>
  <c r="AI28" i="8" s="1"/>
  <c r="AJ28" i="8" s="1"/>
  <c r="AK28" i="8" s="1"/>
  <c r="AL28" i="8" s="1"/>
  <c r="AM28" i="8" s="1"/>
  <c r="AN28" i="8" s="1"/>
  <c r="AO28" i="8" s="1"/>
  <c r="AP28" i="8" s="1"/>
  <c r="AQ28" i="8" s="1"/>
  <c r="AR28" i="8" s="1"/>
  <c r="AS28" i="8" s="1"/>
  <c r="AT28" i="8" s="1"/>
  <c r="AU28" i="8" s="1"/>
  <c r="AV28" i="8" s="1"/>
  <c r="AW28" i="8" s="1"/>
  <c r="AX28" i="8" s="1"/>
  <c r="AY28" i="8" s="1"/>
  <c r="AZ28" i="8" s="1"/>
  <c r="BA28" i="8" s="1"/>
  <c r="BB28" i="8" s="1"/>
  <c r="BC28" i="8" s="1"/>
  <c r="BD28" i="8" s="1"/>
  <c r="BE28" i="8" s="1"/>
  <c r="BF28" i="8" s="1"/>
  <c r="BG28" i="8" s="1"/>
  <c r="BH28" i="8" s="1"/>
  <c r="BI28" i="8" s="1"/>
  <c r="BJ28" i="8" s="1"/>
  <c r="BK28" i="8" s="1"/>
  <c r="BL28" i="8" s="1"/>
  <c r="BM28" i="8" s="1"/>
  <c r="BN28" i="8" s="1"/>
  <c r="BO28" i="8" s="1"/>
  <c r="G58" i="8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AH58" i="8" s="1"/>
  <c r="AI58" i="8" s="1"/>
  <c r="AJ58" i="8" s="1"/>
  <c r="AK58" i="8" s="1"/>
  <c r="AL58" i="8" s="1"/>
  <c r="AM58" i="8" s="1"/>
  <c r="AN58" i="8" s="1"/>
  <c r="AO58" i="8" s="1"/>
  <c r="AP58" i="8" s="1"/>
  <c r="AQ58" i="8" s="1"/>
  <c r="AR58" i="8" s="1"/>
  <c r="AS58" i="8" s="1"/>
  <c r="AT58" i="8" s="1"/>
  <c r="AU58" i="8" s="1"/>
  <c r="AV58" i="8" s="1"/>
  <c r="AW58" i="8" s="1"/>
  <c r="AX58" i="8" s="1"/>
  <c r="AY58" i="8" s="1"/>
  <c r="AZ58" i="8" s="1"/>
  <c r="BA58" i="8" s="1"/>
  <c r="BB58" i="8" s="1"/>
  <c r="BC58" i="8" s="1"/>
  <c r="BD58" i="8" s="1"/>
  <c r="BE58" i="8" s="1"/>
  <c r="BF58" i="8" s="1"/>
  <c r="BG58" i="8" s="1"/>
  <c r="BH58" i="8" s="1"/>
  <c r="BI58" i="8" s="1"/>
  <c r="BJ58" i="8" s="1"/>
  <c r="BK58" i="8" s="1"/>
  <c r="BL58" i="8" s="1"/>
  <c r="BM58" i="8" s="1"/>
  <c r="BN58" i="8" s="1"/>
  <c r="BO58" i="8" s="1"/>
  <c r="G85" i="8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AH85" i="8" s="1"/>
  <c r="AI85" i="8" s="1"/>
  <c r="AJ85" i="8" s="1"/>
  <c r="AK85" i="8" s="1"/>
  <c r="AL85" i="8" s="1"/>
  <c r="AM85" i="8" s="1"/>
  <c r="AN85" i="8" s="1"/>
  <c r="AO85" i="8" s="1"/>
  <c r="AP85" i="8" s="1"/>
  <c r="AQ85" i="8" s="1"/>
  <c r="AR85" i="8" s="1"/>
  <c r="AS85" i="8" s="1"/>
  <c r="AT85" i="8" s="1"/>
  <c r="AU85" i="8" s="1"/>
  <c r="AV85" i="8" s="1"/>
  <c r="AW85" i="8" s="1"/>
  <c r="AX85" i="8" s="1"/>
  <c r="AY85" i="8" s="1"/>
  <c r="AZ85" i="8" s="1"/>
  <c r="BA85" i="8" s="1"/>
  <c r="BB85" i="8" s="1"/>
  <c r="BC85" i="8" s="1"/>
  <c r="BD85" i="8" s="1"/>
  <c r="BE85" i="8" s="1"/>
  <c r="BF85" i="8" s="1"/>
  <c r="BG85" i="8" s="1"/>
  <c r="BH85" i="8" s="1"/>
  <c r="BI85" i="8" s="1"/>
  <c r="BJ85" i="8" s="1"/>
  <c r="BK85" i="8" s="1"/>
  <c r="BL85" i="8" s="1"/>
  <c r="BM85" i="8" s="1"/>
  <c r="BN85" i="8" s="1"/>
  <c r="BO85" i="8" s="1"/>
  <c r="G51" i="8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AH51" i="8" s="1"/>
  <c r="AI51" i="8" s="1"/>
  <c r="AJ51" i="8" s="1"/>
  <c r="AK51" i="8" s="1"/>
  <c r="AL51" i="8" s="1"/>
  <c r="AM51" i="8" s="1"/>
  <c r="AN51" i="8" s="1"/>
  <c r="AO51" i="8" s="1"/>
  <c r="AP51" i="8" s="1"/>
  <c r="AQ51" i="8" s="1"/>
  <c r="AR51" i="8" s="1"/>
  <c r="AS51" i="8" s="1"/>
  <c r="AT51" i="8" s="1"/>
  <c r="AU51" i="8" s="1"/>
  <c r="AV51" i="8" s="1"/>
  <c r="AW51" i="8" s="1"/>
  <c r="AX51" i="8" s="1"/>
  <c r="AY51" i="8" s="1"/>
  <c r="AZ51" i="8" s="1"/>
  <c r="BA51" i="8" s="1"/>
  <c r="BB51" i="8" s="1"/>
  <c r="BC51" i="8" s="1"/>
  <c r="BD51" i="8" s="1"/>
  <c r="BE51" i="8" s="1"/>
  <c r="BF51" i="8" s="1"/>
  <c r="BG51" i="8" s="1"/>
  <c r="BH51" i="8" s="1"/>
  <c r="BI51" i="8" s="1"/>
  <c r="BJ51" i="8" s="1"/>
  <c r="BK51" i="8" s="1"/>
  <c r="BL51" i="8" s="1"/>
  <c r="BM51" i="8" s="1"/>
  <c r="BN51" i="8" s="1"/>
  <c r="BO51" i="8" s="1"/>
  <c r="G42" i="8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AH42" i="8" s="1"/>
  <c r="AI42" i="8" s="1"/>
  <c r="AJ42" i="8" s="1"/>
  <c r="AK42" i="8" s="1"/>
  <c r="AL42" i="8" s="1"/>
  <c r="AM42" i="8" s="1"/>
  <c r="AN42" i="8" s="1"/>
  <c r="AO42" i="8" s="1"/>
  <c r="AP42" i="8" s="1"/>
  <c r="AQ42" i="8" s="1"/>
  <c r="AR42" i="8" s="1"/>
  <c r="AS42" i="8" s="1"/>
  <c r="AT42" i="8" s="1"/>
  <c r="AU42" i="8" s="1"/>
  <c r="AV42" i="8" s="1"/>
  <c r="AW42" i="8" s="1"/>
  <c r="AX42" i="8" s="1"/>
  <c r="AY42" i="8" s="1"/>
  <c r="AZ42" i="8" s="1"/>
  <c r="BA42" i="8" s="1"/>
  <c r="BB42" i="8" s="1"/>
  <c r="BC42" i="8" s="1"/>
  <c r="BD42" i="8" s="1"/>
  <c r="BE42" i="8" s="1"/>
  <c r="BF42" i="8" s="1"/>
  <c r="BG42" i="8" s="1"/>
  <c r="BH42" i="8" s="1"/>
  <c r="BI42" i="8" s="1"/>
  <c r="BJ42" i="8" s="1"/>
  <c r="BK42" i="8" s="1"/>
  <c r="BL42" i="8" s="1"/>
  <c r="BM42" i="8" s="1"/>
  <c r="BN42" i="8" s="1"/>
  <c r="BO42" i="8" s="1"/>
  <c r="G95" i="8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AH95" i="8" s="1"/>
  <c r="AI95" i="8" s="1"/>
  <c r="AJ95" i="8" s="1"/>
  <c r="AK95" i="8" s="1"/>
  <c r="AL95" i="8" s="1"/>
  <c r="AM95" i="8" s="1"/>
  <c r="AN95" i="8" s="1"/>
  <c r="AO95" i="8" s="1"/>
  <c r="AP95" i="8" s="1"/>
  <c r="AQ95" i="8" s="1"/>
  <c r="AR95" i="8" s="1"/>
  <c r="AS95" i="8" s="1"/>
  <c r="AT95" i="8" s="1"/>
  <c r="AU95" i="8" s="1"/>
  <c r="AV95" i="8" s="1"/>
  <c r="AW95" i="8" s="1"/>
  <c r="AX95" i="8" s="1"/>
  <c r="AY95" i="8" s="1"/>
  <c r="AZ95" i="8" s="1"/>
  <c r="BA95" i="8" s="1"/>
  <c r="BB95" i="8" s="1"/>
  <c r="BC95" i="8" s="1"/>
  <c r="BD95" i="8" s="1"/>
  <c r="BE95" i="8" s="1"/>
  <c r="BF95" i="8" s="1"/>
  <c r="BG95" i="8" s="1"/>
  <c r="BH95" i="8" s="1"/>
  <c r="BI95" i="8" s="1"/>
  <c r="BJ95" i="8" s="1"/>
  <c r="BK95" i="8" s="1"/>
  <c r="BL95" i="8" s="1"/>
  <c r="BM95" i="8" s="1"/>
  <c r="BN95" i="8" s="1"/>
  <c r="BO95" i="8" s="1"/>
  <c r="G52" i="8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AH52" i="8" s="1"/>
  <c r="AI52" i="8" s="1"/>
  <c r="AJ52" i="8" s="1"/>
  <c r="AK52" i="8" s="1"/>
  <c r="AL52" i="8" s="1"/>
  <c r="AM52" i="8" s="1"/>
  <c r="AN52" i="8" s="1"/>
  <c r="AO52" i="8" s="1"/>
  <c r="AP52" i="8" s="1"/>
  <c r="AQ52" i="8" s="1"/>
  <c r="AR52" i="8" s="1"/>
  <c r="AS52" i="8" s="1"/>
  <c r="AT52" i="8" s="1"/>
  <c r="AU52" i="8" s="1"/>
  <c r="AV52" i="8" s="1"/>
  <c r="AW52" i="8" s="1"/>
  <c r="AX52" i="8" s="1"/>
  <c r="AY52" i="8" s="1"/>
  <c r="AZ52" i="8" s="1"/>
  <c r="BA52" i="8" s="1"/>
  <c r="BB52" i="8" s="1"/>
  <c r="BC52" i="8" s="1"/>
  <c r="BD52" i="8" s="1"/>
  <c r="BE52" i="8" s="1"/>
  <c r="BF52" i="8" s="1"/>
  <c r="BG52" i="8" s="1"/>
  <c r="BH52" i="8" s="1"/>
  <c r="BI52" i="8" s="1"/>
  <c r="BJ52" i="8" s="1"/>
  <c r="BK52" i="8" s="1"/>
  <c r="BL52" i="8" s="1"/>
  <c r="BM52" i="8" s="1"/>
  <c r="BN52" i="8" s="1"/>
  <c r="BO52" i="8" s="1"/>
  <c r="G82" i="8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AH82" i="8" s="1"/>
  <c r="AI82" i="8" s="1"/>
  <c r="AJ82" i="8" s="1"/>
  <c r="AK82" i="8" s="1"/>
  <c r="AL82" i="8" s="1"/>
  <c r="AM82" i="8" s="1"/>
  <c r="AN82" i="8" s="1"/>
  <c r="AO82" i="8" s="1"/>
  <c r="AP82" i="8" s="1"/>
  <c r="AQ82" i="8" s="1"/>
  <c r="AR82" i="8" s="1"/>
  <c r="AS82" i="8" s="1"/>
  <c r="AT82" i="8" s="1"/>
  <c r="AU82" i="8" s="1"/>
  <c r="AV82" i="8" s="1"/>
  <c r="AW82" i="8" s="1"/>
  <c r="AX82" i="8" s="1"/>
  <c r="AY82" i="8" s="1"/>
  <c r="AZ82" i="8" s="1"/>
  <c r="BA82" i="8" s="1"/>
  <c r="BB82" i="8" s="1"/>
  <c r="BC82" i="8" s="1"/>
  <c r="BD82" i="8" s="1"/>
  <c r="BE82" i="8" s="1"/>
  <c r="BF82" i="8" s="1"/>
  <c r="BG82" i="8" s="1"/>
  <c r="BH82" i="8" s="1"/>
  <c r="BI82" i="8" s="1"/>
  <c r="BJ82" i="8" s="1"/>
  <c r="BK82" i="8" s="1"/>
  <c r="BL82" i="8" s="1"/>
  <c r="BM82" i="8" s="1"/>
  <c r="BN82" i="8" s="1"/>
  <c r="BO82" i="8" s="1"/>
  <c r="G14" i="8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AH14" i="8" s="1"/>
  <c r="AI14" i="8" s="1"/>
  <c r="AJ14" i="8" s="1"/>
  <c r="AK14" i="8" s="1"/>
  <c r="AL14" i="8" s="1"/>
  <c r="AM14" i="8" s="1"/>
  <c r="AN14" i="8" s="1"/>
  <c r="AO14" i="8" s="1"/>
  <c r="AP14" i="8" s="1"/>
  <c r="AQ14" i="8" s="1"/>
  <c r="AR14" i="8" s="1"/>
  <c r="AS14" i="8" s="1"/>
  <c r="AT14" i="8" s="1"/>
  <c r="AU14" i="8" s="1"/>
  <c r="AV14" i="8" s="1"/>
  <c r="AW14" i="8" s="1"/>
  <c r="AX14" i="8" s="1"/>
  <c r="AY14" i="8" s="1"/>
  <c r="AZ14" i="8" s="1"/>
  <c r="BA14" i="8" s="1"/>
  <c r="BB14" i="8" s="1"/>
  <c r="BC14" i="8" s="1"/>
  <c r="BD14" i="8" s="1"/>
  <c r="BE14" i="8" s="1"/>
  <c r="BF14" i="8" s="1"/>
  <c r="BG14" i="8" s="1"/>
  <c r="BH14" i="8" s="1"/>
  <c r="BI14" i="8" s="1"/>
  <c r="BJ14" i="8" s="1"/>
  <c r="BK14" i="8" s="1"/>
  <c r="BL14" i="8" s="1"/>
  <c r="BM14" i="8" s="1"/>
  <c r="BN14" i="8" s="1"/>
  <c r="BO14" i="8" s="1"/>
  <c r="G72" i="8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AH72" i="8" s="1"/>
  <c r="AI72" i="8" s="1"/>
  <c r="AJ72" i="8" s="1"/>
  <c r="AK72" i="8" s="1"/>
  <c r="AL72" i="8" s="1"/>
  <c r="AM72" i="8" s="1"/>
  <c r="AN72" i="8" s="1"/>
  <c r="AO72" i="8" s="1"/>
  <c r="AP72" i="8" s="1"/>
  <c r="AQ72" i="8" s="1"/>
  <c r="AR72" i="8" s="1"/>
  <c r="AS72" i="8" s="1"/>
  <c r="AT72" i="8" s="1"/>
  <c r="AU72" i="8" s="1"/>
  <c r="AV72" i="8" s="1"/>
  <c r="AW72" i="8" s="1"/>
  <c r="AX72" i="8" s="1"/>
  <c r="AY72" i="8" s="1"/>
  <c r="AZ72" i="8" s="1"/>
  <c r="BA72" i="8" s="1"/>
  <c r="BB72" i="8" s="1"/>
  <c r="BC72" i="8" s="1"/>
  <c r="BD72" i="8" s="1"/>
  <c r="BE72" i="8" s="1"/>
  <c r="BF72" i="8" s="1"/>
  <c r="BG72" i="8" s="1"/>
  <c r="BH72" i="8" s="1"/>
  <c r="BI72" i="8" s="1"/>
  <c r="BJ72" i="8" s="1"/>
  <c r="BK72" i="8" s="1"/>
  <c r="BL72" i="8" s="1"/>
  <c r="BM72" i="8" s="1"/>
  <c r="BN72" i="8" s="1"/>
  <c r="BO72" i="8" s="1"/>
  <c r="G76" i="8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AH76" i="8" s="1"/>
  <c r="AI76" i="8" s="1"/>
  <c r="AJ76" i="8" s="1"/>
  <c r="AK76" i="8" s="1"/>
  <c r="AL76" i="8" s="1"/>
  <c r="AM76" i="8" s="1"/>
  <c r="AN76" i="8" s="1"/>
  <c r="AO76" i="8" s="1"/>
  <c r="AP76" i="8" s="1"/>
  <c r="AQ76" i="8" s="1"/>
  <c r="AR76" i="8" s="1"/>
  <c r="AS76" i="8" s="1"/>
  <c r="AT76" i="8" s="1"/>
  <c r="AU76" i="8" s="1"/>
  <c r="AV76" i="8" s="1"/>
  <c r="AW76" i="8" s="1"/>
  <c r="AX76" i="8" s="1"/>
  <c r="AY76" i="8" s="1"/>
  <c r="AZ76" i="8" s="1"/>
  <c r="BA76" i="8" s="1"/>
  <c r="BB76" i="8" s="1"/>
  <c r="BC76" i="8" s="1"/>
  <c r="BD76" i="8" s="1"/>
  <c r="BE76" i="8" s="1"/>
  <c r="BF76" i="8" s="1"/>
  <c r="BG76" i="8" s="1"/>
  <c r="BH76" i="8" s="1"/>
  <c r="BI76" i="8" s="1"/>
  <c r="BJ76" i="8" s="1"/>
  <c r="BK76" i="8" s="1"/>
  <c r="BL76" i="8" s="1"/>
  <c r="BM76" i="8" s="1"/>
  <c r="BN76" i="8" s="1"/>
  <c r="BO76" i="8" s="1"/>
  <c r="G15" i="8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AH15" i="8" s="1"/>
  <c r="AI15" i="8" s="1"/>
  <c r="AJ15" i="8" s="1"/>
  <c r="AK15" i="8" s="1"/>
  <c r="AL15" i="8" s="1"/>
  <c r="AM15" i="8" s="1"/>
  <c r="AN15" i="8" s="1"/>
  <c r="AO15" i="8" s="1"/>
  <c r="AP15" i="8" s="1"/>
  <c r="AQ15" i="8" s="1"/>
  <c r="AR15" i="8" s="1"/>
  <c r="AS15" i="8" s="1"/>
  <c r="AT15" i="8" s="1"/>
  <c r="AU15" i="8" s="1"/>
  <c r="AV15" i="8" s="1"/>
  <c r="AW15" i="8" s="1"/>
  <c r="AX15" i="8" s="1"/>
  <c r="AY15" i="8" s="1"/>
  <c r="AZ15" i="8" s="1"/>
  <c r="BA15" i="8" s="1"/>
  <c r="BB15" i="8" s="1"/>
  <c r="BC15" i="8" s="1"/>
  <c r="BD15" i="8" s="1"/>
  <c r="BE15" i="8" s="1"/>
  <c r="BF15" i="8" s="1"/>
  <c r="BG15" i="8" s="1"/>
  <c r="BH15" i="8" s="1"/>
  <c r="BI15" i="8" s="1"/>
  <c r="BJ15" i="8" s="1"/>
  <c r="BK15" i="8" s="1"/>
  <c r="BL15" i="8" s="1"/>
  <c r="BM15" i="8" s="1"/>
  <c r="BN15" i="8" s="1"/>
  <c r="BO15" i="8" s="1"/>
  <c r="G87" i="8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AH87" i="8" s="1"/>
  <c r="AI87" i="8" s="1"/>
  <c r="AJ87" i="8" s="1"/>
  <c r="AK87" i="8" s="1"/>
  <c r="AL87" i="8" s="1"/>
  <c r="AM87" i="8" s="1"/>
  <c r="AN87" i="8" s="1"/>
  <c r="AO87" i="8" s="1"/>
  <c r="AP87" i="8" s="1"/>
  <c r="AQ87" i="8" s="1"/>
  <c r="AR87" i="8" s="1"/>
  <c r="AS87" i="8" s="1"/>
  <c r="AT87" i="8" s="1"/>
  <c r="AU87" i="8" s="1"/>
  <c r="AV87" i="8" s="1"/>
  <c r="AW87" i="8" s="1"/>
  <c r="AX87" i="8" s="1"/>
  <c r="AY87" i="8" s="1"/>
  <c r="AZ87" i="8" s="1"/>
  <c r="BA87" i="8" s="1"/>
  <c r="BB87" i="8" s="1"/>
  <c r="BC87" i="8" s="1"/>
  <c r="BD87" i="8" s="1"/>
  <c r="BE87" i="8" s="1"/>
  <c r="BF87" i="8" s="1"/>
  <c r="BG87" i="8" s="1"/>
  <c r="BH87" i="8" s="1"/>
  <c r="BI87" i="8" s="1"/>
  <c r="BJ87" i="8" s="1"/>
  <c r="BK87" i="8" s="1"/>
  <c r="BL87" i="8" s="1"/>
  <c r="BM87" i="8" s="1"/>
  <c r="BN87" i="8" s="1"/>
  <c r="BO87" i="8" s="1"/>
  <c r="G74" i="8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AH74" i="8" s="1"/>
  <c r="AI74" i="8" s="1"/>
  <c r="AJ74" i="8" s="1"/>
  <c r="AK74" i="8" s="1"/>
  <c r="AL74" i="8" s="1"/>
  <c r="AM74" i="8" s="1"/>
  <c r="AN74" i="8" s="1"/>
  <c r="AO74" i="8" s="1"/>
  <c r="AP74" i="8" s="1"/>
  <c r="AQ74" i="8" s="1"/>
  <c r="AR74" i="8" s="1"/>
  <c r="AS74" i="8" s="1"/>
  <c r="AT74" i="8" s="1"/>
  <c r="AU74" i="8" s="1"/>
  <c r="AV74" i="8" s="1"/>
  <c r="AW74" i="8" s="1"/>
  <c r="AX74" i="8" s="1"/>
  <c r="AY74" i="8" s="1"/>
  <c r="AZ74" i="8" s="1"/>
  <c r="BA74" i="8" s="1"/>
  <c r="BB74" i="8" s="1"/>
  <c r="BC74" i="8" s="1"/>
  <c r="BD74" i="8" s="1"/>
  <c r="BE74" i="8" s="1"/>
  <c r="BF74" i="8" s="1"/>
  <c r="BG74" i="8" s="1"/>
  <c r="BH74" i="8" s="1"/>
  <c r="BI74" i="8" s="1"/>
  <c r="BJ74" i="8" s="1"/>
  <c r="BK74" i="8" s="1"/>
  <c r="BL74" i="8" s="1"/>
  <c r="BM74" i="8" s="1"/>
  <c r="BN74" i="8" s="1"/>
  <c r="BO74" i="8" s="1"/>
  <c r="G100" i="8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AH100" i="8" s="1"/>
  <c r="AI100" i="8" s="1"/>
  <c r="AJ100" i="8" s="1"/>
  <c r="AK100" i="8" s="1"/>
  <c r="AL100" i="8" s="1"/>
  <c r="AM100" i="8" s="1"/>
  <c r="AN100" i="8" s="1"/>
  <c r="AO100" i="8" s="1"/>
  <c r="AP100" i="8" s="1"/>
  <c r="AQ100" i="8" s="1"/>
  <c r="AR100" i="8" s="1"/>
  <c r="AS100" i="8" s="1"/>
  <c r="AT100" i="8" s="1"/>
  <c r="AU100" i="8" s="1"/>
  <c r="AV100" i="8" s="1"/>
  <c r="AW100" i="8" s="1"/>
  <c r="AX100" i="8" s="1"/>
  <c r="AY100" i="8" s="1"/>
  <c r="AZ100" i="8" s="1"/>
  <c r="BA100" i="8" s="1"/>
  <c r="BB100" i="8" s="1"/>
  <c r="BC100" i="8" s="1"/>
  <c r="BD100" i="8" s="1"/>
  <c r="BE100" i="8" s="1"/>
  <c r="BF100" i="8" s="1"/>
  <c r="BG100" i="8" s="1"/>
  <c r="BH100" i="8" s="1"/>
  <c r="BI100" i="8" s="1"/>
  <c r="BJ100" i="8" s="1"/>
  <c r="BK100" i="8" s="1"/>
  <c r="BL100" i="8" s="1"/>
  <c r="BM100" i="8" s="1"/>
  <c r="BN100" i="8" s="1"/>
  <c r="BO100" i="8" s="1"/>
  <c r="G40" i="8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AH40" i="8" s="1"/>
  <c r="AI40" i="8" s="1"/>
  <c r="AJ40" i="8" s="1"/>
  <c r="AK40" i="8" s="1"/>
  <c r="AL40" i="8" s="1"/>
  <c r="AM40" i="8" s="1"/>
  <c r="AN40" i="8" s="1"/>
  <c r="AO40" i="8" s="1"/>
  <c r="AP40" i="8" s="1"/>
  <c r="AQ40" i="8" s="1"/>
  <c r="AR40" i="8" s="1"/>
  <c r="AS40" i="8" s="1"/>
  <c r="AT40" i="8" s="1"/>
  <c r="AU40" i="8" s="1"/>
  <c r="AV40" i="8" s="1"/>
  <c r="AW40" i="8" s="1"/>
  <c r="AX40" i="8" s="1"/>
  <c r="AY40" i="8" s="1"/>
  <c r="AZ40" i="8" s="1"/>
  <c r="BA40" i="8" s="1"/>
  <c r="BB40" i="8" s="1"/>
  <c r="BC40" i="8" s="1"/>
  <c r="BD40" i="8" s="1"/>
  <c r="BE40" i="8" s="1"/>
  <c r="BF40" i="8" s="1"/>
  <c r="BG40" i="8" s="1"/>
  <c r="BH40" i="8" s="1"/>
  <c r="BI40" i="8" s="1"/>
  <c r="BJ40" i="8" s="1"/>
  <c r="BK40" i="8" s="1"/>
  <c r="BL40" i="8" s="1"/>
  <c r="BM40" i="8" s="1"/>
  <c r="BN40" i="8" s="1"/>
  <c r="BO40" i="8" s="1"/>
  <c r="G16" i="8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AH16" i="8" s="1"/>
  <c r="AI16" i="8" s="1"/>
  <c r="AJ16" i="8" s="1"/>
  <c r="AK16" i="8" s="1"/>
  <c r="AL16" i="8" s="1"/>
  <c r="AM16" i="8" s="1"/>
  <c r="AN16" i="8" s="1"/>
  <c r="AO16" i="8" s="1"/>
  <c r="AP16" i="8" s="1"/>
  <c r="AQ16" i="8" s="1"/>
  <c r="AR16" i="8" s="1"/>
  <c r="AS16" i="8" s="1"/>
  <c r="AT16" i="8" s="1"/>
  <c r="AU16" i="8" s="1"/>
  <c r="AV16" i="8" s="1"/>
  <c r="AW16" i="8" s="1"/>
  <c r="AX16" i="8" s="1"/>
  <c r="AY16" i="8" s="1"/>
  <c r="AZ16" i="8" s="1"/>
  <c r="BA16" i="8" s="1"/>
  <c r="BB16" i="8" s="1"/>
  <c r="BC16" i="8" s="1"/>
  <c r="BD16" i="8" s="1"/>
  <c r="BE16" i="8" s="1"/>
  <c r="BF16" i="8" s="1"/>
  <c r="BG16" i="8" s="1"/>
  <c r="BH16" i="8" s="1"/>
  <c r="BI16" i="8" s="1"/>
  <c r="BJ16" i="8" s="1"/>
  <c r="BK16" i="8" s="1"/>
  <c r="BL16" i="8" s="1"/>
  <c r="BM16" i="8" s="1"/>
  <c r="BN16" i="8" s="1"/>
  <c r="BO16" i="8" s="1"/>
  <c r="G23" i="8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AH23" i="8" s="1"/>
  <c r="AI23" i="8" s="1"/>
  <c r="AJ23" i="8" s="1"/>
  <c r="AK23" i="8" s="1"/>
  <c r="AL23" i="8" s="1"/>
  <c r="AM23" i="8" s="1"/>
  <c r="AN23" i="8" s="1"/>
  <c r="AO23" i="8" s="1"/>
  <c r="AP23" i="8" s="1"/>
  <c r="AQ23" i="8" s="1"/>
  <c r="AR23" i="8" s="1"/>
  <c r="AS23" i="8" s="1"/>
  <c r="AT23" i="8" s="1"/>
  <c r="AU23" i="8" s="1"/>
  <c r="AV23" i="8" s="1"/>
  <c r="AW23" i="8" s="1"/>
  <c r="AX23" i="8" s="1"/>
  <c r="AY23" i="8" s="1"/>
  <c r="AZ23" i="8" s="1"/>
  <c r="BA23" i="8" s="1"/>
  <c r="BB23" i="8" s="1"/>
  <c r="BC23" i="8" s="1"/>
  <c r="BD23" i="8" s="1"/>
  <c r="BE23" i="8" s="1"/>
  <c r="BF23" i="8" s="1"/>
  <c r="BG23" i="8" s="1"/>
  <c r="BH23" i="8" s="1"/>
  <c r="BI23" i="8" s="1"/>
  <c r="BJ23" i="8" s="1"/>
  <c r="BK23" i="8" s="1"/>
  <c r="BL23" i="8" s="1"/>
  <c r="BM23" i="8" s="1"/>
  <c r="BN23" i="8" s="1"/>
  <c r="BO23" i="8" s="1"/>
  <c r="G6" i="8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AV6" i="8" s="1"/>
  <c r="AW6" i="8" s="1"/>
  <c r="AX6" i="8" s="1"/>
  <c r="AY6" i="8" s="1"/>
  <c r="AZ6" i="8" s="1"/>
  <c r="BA6" i="8" s="1"/>
  <c r="BB6" i="8" s="1"/>
  <c r="BC6" i="8" s="1"/>
  <c r="BD6" i="8" s="1"/>
  <c r="BE6" i="8" s="1"/>
  <c r="BF6" i="8" s="1"/>
  <c r="BG6" i="8" s="1"/>
  <c r="BH6" i="8" s="1"/>
  <c r="BI6" i="8" s="1"/>
  <c r="BJ6" i="8" s="1"/>
  <c r="BK6" i="8" s="1"/>
  <c r="BL6" i="8" s="1"/>
  <c r="BM6" i="8" s="1"/>
  <c r="BN6" i="8" s="1"/>
  <c r="BO6" i="8" s="1"/>
  <c r="G5" i="8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AQ5" i="8" s="1"/>
  <c r="AR5" i="8" s="1"/>
  <c r="AS5" i="8" s="1"/>
  <c r="AT5" i="8" s="1"/>
  <c r="AU5" i="8" s="1"/>
  <c r="AV5" i="8" s="1"/>
  <c r="AW5" i="8" s="1"/>
  <c r="AX5" i="8" s="1"/>
  <c r="AY5" i="8" s="1"/>
  <c r="AZ5" i="8" s="1"/>
  <c r="BA5" i="8" s="1"/>
  <c r="BB5" i="8" s="1"/>
  <c r="BC5" i="8" s="1"/>
  <c r="BD5" i="8" s="1"/>
  <c r="BE5" i="8" s="1"/>
  <c r="BF5" i="8" s="1"/>
  <c r="BG5" i="8" s="1"/>
  <c r="BH5" i="8" s="1"/>
  <c r="BI5" i="8" s="1"/>
  <c r="BJ5" i="8" s="1"/>
  <c r="BK5" i="8" s="1"/>
  <c r="BL5" i="8" s="1"/>
  <c r="BM5" i="8" s="1"/>
  <c r="BN5" i="8" s="1"/>
  <c r="BO5" i="8" s="1"/>
  <c r="G11" i="8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AH11" i="8" s="1"/>
  <c r="AI11" i="8" s="1"/>
  <c r="AJ11" i="8" s="1"/>
  <c r="AK11" i="8" s="1"/>
  <c r="AL11" i="8" s="1"/>
  <c r="AM11" i="8" s="1"/>
  <c r="AN11" i="8" s="1"/>
  <c r="AO11" i="8" s="1"/>
  <c r="AP11" i="8" s="1"/>
  <c r="AQ11" i="8" s="1"/>
  <c r="AR11" i="8" s="1"/>
  <c r="AS11" i="8" s="1"/>
  <c r="AT11" i="8" s="1"/>
  <c r="AU11" i="8" s="1"/>
  <c r="AV11" i="8" s="1"/>
  <c r="AW11" i="8" s="1"/>
  <c r="AX11" i="8" s="1"/>
  <c r="AY11" i="8" s="1"/>
  <c r="AZ11" i="8" s="1"/>
  <c r="BA11" i="8" s="1"/>
  <c r="BB11" i="8" s="1"/>
  <c r="BC11" i="8" s="1"/>
  <c r="BD11" i="8" s="1"/>
  <c r="BE11" i="8" s="1"/>
  <c r="BF11" i="8" s="1"/>
  <c r="BG11" i="8" s="1"/>
  <c r="BH11" i="8" s="1"/>
  <c r="BI11" i="8" s="1"/>
  <c r="BJ11" i="8" s="1"/>
  <c r="BK11" i="8" s="1"/>
  <c r="BL11" i="8" s="1"/>
  <c r="BM11" i="8" s="1"/>
  <c r="BN11" i="8" s="1"/>
  <c r="BO11" i="8" s="1"/>
  <c r="G98" i="8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AH98" i="8" s="1"/>
  <c r="AI98" i="8" s="1"/>
  <c r="AJ98" i="8" s="1"/>
  <c r="AK98" i="8" s="1"/>
  <c r="AL98" i="8" s="1"/>
  <c r="AM98" i="8" s="1"/>
  <c r="AN98" i="8" s="1"/>
  <c r="AO98" i="8" s="1"/>
  <c r="AP98" i="8" s="1"/>
  <c r="AQ98" i="8" s="1"/>
  <c r="AR98" i="8" s="1"/>
  <c r="AS98" i="8" s="1"/>
  <c r="AT98" i="8" s="1"/>
  <c r="AU98" i="8" s="1"/>
  <c r="AV98" i="8" s="1"/>
  <c r="AW98" i="8" s="1"/>
  <c r="AX98" i="8" s="1"/>
  <c r="AY98" i="8" s="1"/>
  <c r="AZ98" i="8" s="1"/>
  <c r="BA98" i="8" s="1"/>
  <c r="BB98" i="8" s="1"/>
  <c r="BC98" i="8" s="1"/>
  <c r="BD98" i="8" s="1"/>
  <c r="BE98" i="8" s="1"/>
  <c r="BF98" i="8" s="1"/>
  <c r="BG98" i="8" s="1"/>
  <c r="BH98" i="8" s="1"/>
  <c r="BI98" i="8" s="1"/>
  <c r="BJ98" i="8" s="1"/>
  <c r="BK98" i="8" s="1"/>
  <c r="BL98" i="8" s="1"/>
  <c r="BM98" i="8" s="1"/>
  <c r="BN98" i="8" s="1"/>
  <c r="BO98" i="8" s="1"/>
  <c r="G21" i="8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AH21" i="8" s="1"/>
  <c r="AI21" i="8" s="1"/>
  <c r="AJ21" i="8" s="1"/>
  <c r="AK21" i="8" s="1"/>
  <c r="AL21" i="8" s="1"/>
  <c r="AM21" i="8" s="1"/>
  <c r="AN21" i="8" s="1"/>
  <c r="AO21" i="8" s="1"/>
  <c r="AP21" i="8" s="1"/>
  <c r="AQ21" i="8" s="1"/>
  <c r="AR21" i="8" s="1"/>
  <c r="AS21" i="8" s="1"/>
  <c r="AT21" i="8" s="1"/>
  <c r="AU21" i="8" s="1"/>
  <c r="AV21" i="8" s="1"/>
  <c r="AW21" i="8" s="1"/>
  <c r="AX21" i="8" s="1"/>
  <c r="AY21" i="8" s="1"/>
  <c r="AZ21" i="8" s="1"/>
  <c r="BA21" i="8" s="1"/>
  <c r="BB21" i="8" s="1"/>
  <c r="BC21" i="8" s="1"/>
  <c r="BD21" i="8" s="1"/>
  <c r="BE21" i="8" s="1"/>
  <c r="BF21" i="8" s="1"/>
  <c r="BG21" i="8" s="1"/>
  <c r="BH21" i="8" s="1"/>
  <c r="BI21" i="8" s="1"/>
  <c r="BJ21" i="8" s="1"/>
  <c r="BK21" i="8" s="1"/>
  <c r="BL21" i="8" s="1"/>
  <c r="BM21" i="8" s="1"/>
  <c r="BN21" i="8" s="1"/>
  <c r="BO21" i="8" s="1"/>
  <c r="G7" i="8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AH7" i="8" s="1"/>
  <c r="AI7" i="8" s="1"/>
  <c r="AJ7" i="8" s="1"/>
  <c r="AK7" i="8" s="1"/>
  <c r="AL7" i="8" s="1"/>
  <c r="AM7" i="8" s="1"/>
  <c r="AN7" i="8" s="1"/>
  <c r="AO7" i="8" s="1"/>
  <c r="AP7" i="8" s="1"/>
  <c r="AQ7" i="8" s="1"/>
  <c r="AR7" i="8" s="1"/>
  <c r="AS7" i="8" s="1"/>
  <c r="AT7" i="8" s="1"/>
  <c r="AU7" i="8" s="1"/>
  <c r="AV7" i="8" s="1"/>
  <c r="AW7" i="8" s="1"/>
  <c r="AX7" i="8" s="1"/>
  <c r="AY7" i="8" s="1"/>
  <c r="AZ7" i="8" s="1"/>
  <c r="BA7" i="8" s="1"/>
  <c r="BB7" i="8" s="1"/>
  <c r="BC7" i="8" s="1"/>
  <c r="BD7" i="8" s="1"/>
  <c r="BE7" i="8" s="1"/>
  <c r="BF7" i="8" s="1"/>
  <c r="BG7" i="8" s="1"/>
  <c r="BH7" i="8" s="1"/>
  <c r="BI7" i="8" s="1"/>
  <c r="BJ7" i="8" s="1"/>
  <c r="BK7" i="8" s="1"/>
  <c r="BL7" i="8" s="1"/>
  <c r="BM7" i="8" s="1"/>
  <c r="BN7" i="8" s="1"/>
  <c r="BO7" i="8" s="1"/>
  <c r="G35" i="8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AH35" i="8" s="1"/>
  <c r="AI35" i="8" s="1"/>
  <c r="AJ35" i="8" s="1"/>
  <c r="AK35" i="8" s="1"/>
  <c r="AL35" i="8" s="1"/>
  <c r="AM35" i="8" s="1"/>
  <c r="AN35" i="8" s="1"/>
  <c r="AO35" i="8" s="1"/>
  <c r="AP35" i="8" s="1"/>
  <c r="AQ35" i="8" s="1"/>
  <c r="AR35" i="8" s="1"/>
  <c r="AS35" i="8" s="1"/>
  <c r="AT35" i="8" s="1"/>
  <c r="AU35" i="8" s="1"/>
  <c r="AV35" i="8" s="1"/>
  <c r="AW35" i="8" s="1"/>
  <c r="AX35" i="8" s="1"/>
  <c r="AY35" i="8" s="1"/>
  <c r="AZ35" i="8" s="1"/>
  <c r="BA35" i="8" s="1"/>
  <c r="BB35" i="8" s="1"/>
  <c r="BC35" i="8" s="1"/>
  <c r="BD35" i="8" s="1"/>
  <c r="BE35" i="8" s="1"/>
  <c r="BF35" i="8" s="1"/>
  <c r="BG35" i="8" s="1"/>
  <c r="BH35" i="8" s="1"/>
  <c r="BI35" i="8" s="1"/>
  <c r="BJ35" i="8" s="1"/>
  <c r="BK35" i="8" s="1"/>
  <c r="BL35" i="8" s="1"/>
  <c r="BM35" i="8" s="1"/>
  <c r="BN35" i="8" s="1"/>
  <c r="BO35" i="8" s="1"/>
  <c r="G101" i="8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AH101" i="8" s="1"/>
  <c r="AI101" i="8" s="1"/>
  <c r="AJ101" i="8" s="1"/>
  <c r="AK101" i="8" s="1"/>
  <c r="AL101" i="8" s="1"/>
  <c r="AM101" i="8" s="1"/>
  <c r="AN101" i="8" s="1"/>
  <c r="AO101" i="8" s="1"/>
  <c r="AP101" i="8" s="1"/>
  <c r="AQ101" i="8" s="1"/>
  <c r="AR101" i="8" s="1"/>
  <c r="AS101" i="8" s="1"/>
  <c r="AT101" i="8" s="1"/>
  <c r="AU101" i="8" s="1"/>
  <c r="AV101" i="8" s="1"/>
  <c r="AW101" i="8" s="1"/>
  <c r="AX101" i="8" s="1"/>
  <c r="AY101" i="8" s="1"/>
  <c r="AZ101" i="8" s="1"/>
  <c r="BA101" i="8" s="1"/>
  <c r="BB101" i="8" s="1"/>
  <c r="BC101" i="8" s="1"/>
  <c r="BD101" i="8" s="1"/>
  <c r="BE101" i="8" s="1"/>
  <c r="BF101" i="8" s="1"/>
  <c r="BG101" i="8" s="1"/>
  <c r="BH101" i="8" s="1"/>
  <c r="BI101" i="8" s="1"/>
  <c r="BJ101" i="8" s="1"/>
  <c r="BK101" i="8" s="1"/>
  <c r="BL101" i="8" s="1"/>
  <c r="BM101" i="8" s="1"/>
  <c r="BN101" i="8" s="1"/>
  <c r="BO101" i="8" s="1"/>
  <c r="G45" i="8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AH45" i="8" s="1"/>
  <c r="AI45" i="8" s="1"/>
  <c r="AJ45" i="8" s="1"/>
  <c r="AK45" i="8" s="1"/>
  <c r="AL45" i="8" s="1"/>
  <c r="AM45" i="8" s="1"/>
  <c r="AN45" i="8" s="1"/>
  <c r="AO45" i="8" s="1"/>
  <c r="AP45" i="8" s="1"/>
  <c r="AQ45" i="8" s="1"/>
  <c r="AR45" i="8" s="1"/>
  <c r="AS45" i="8" s="1"/>
  <c r="AT45" i="8" s="1"/>
  <c r="AU45" i="8" s="1"/>
  <c r="AV45" i="8" s="1"/>
  <c r="AW45" i="8" s="1"/>
  <c r="AX45" i="8" s="1"/>
  <c r="AY45" i="8" s="1"/>
  <c r="AZ45" i="8" s="1"/>
  <c r="BA45" i="8" s="1"/>
  <c r="BB45" i="8" s="1"/>
  <c r="BC45" i="8" s="1"/>
  <c r="BD45" i="8" s="1"/>
  <c r="BE45" i="8" s="1"/>
  <c r="BF45" i="8" s="1"/>
  <c r="BG45" i="8" s="1"/>
  <c r="BH45" i="8" s="1"/>
  <c r="BI45" i="8" s="1"/>
  <c r="BJ45" i="8" s="1"/>
  <c r="BK45" i="8" s="1"/>
  <c r="BL45" i="8" s="1"/>
  <c r="BM45" i="8" s="1"/>
  <c r="BN45" i="8" s="1"/>
  <c r="BO45" i="8" s="1"/>
  <c r="G31" i="8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AH31" i="8" s="1"/>
  <c r="AI31" i="8" s="1"/>
  <c r="AJ31" i="8" s="1"/>
  <c r="AK31" i="8" s="1"/>
  <c r="AL31" i="8" s="1"/>
  <c r="AM31" i="8" s="1"/>
  <c r="AN31" i="8" s="1"/>
  <c r="AO31" i="8" s="1"/>
  <c r="AP31" i="8" s="1"/>
  <c r="AQ31" i="8" s="1"/>
  <c r="AR31" i="8" s="1"/>
  <c r="AS31" i="8" s="1"/>
  <c r="AT31" i="8" s="1"/>
  <c r="AU31" i="8" s="1"/>
  <c r="AV31" i="8" s="1"/>
  <c r="AW31" i="8" s="1"/>
  <c r="AX31" i="8" s="1"/>
  <c r="AY31" i="8" s="1"/>
  <c r="AZ31" i="8" s="1"/>
  <c r="BA31" i="8" s="1"/>
  <c r="BB31" i="8" s="1"/>
  <c r="BC31" i="8" s="1"/>
  <c r="BD31" i="8" s="1"/>
  <c r="BE31" i="8" s="1"/>
  <c r="BF31" i="8" s="1"/>
  <c r="BG31" i="8" s="1"/>
  <c r="BH31" i="8" s="1"/>
  <c r="BI31" i="8" s="1"/>
  <c r="BJ31" i="8" s="1"/>
  <c r="BK31" i="8" s="1"/>
  <c r="BL31" i="8" s="1"/>
  <c r="BM31" i="8" s="1"/>
  <c r="BN31" i="8" s="1"/>
  <c r="BO31" i="8" s="1"/>
  <c r="G59" i="8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AH59" i="8" s="1"/>
  <c r="AI59" i="8" s="1"/>
  <c r="AJ59" i="8" s="1"/>
  <c r="AK59" i="8" s="1"/>
  <c r="AL59" i="8" s="1"/>
  <c r="AM59" i="8" s="1"/>
  <c r="AN59" i="8" s="1"/>
  <c r="AO59" i="8" s="1"/>
  <c r="AP59" i="8" s="1"/>
  <c r="AQ59" i="8" s="1"/>
  <c r="AR59" i="8" s="1"/>
  <c r="AS59" i="8" s="1"/>
  <c r="AT59" i="8" s="1"/>
  <c r="AU59" i="8" s="1"/>
  <c r="AV59" i="8" s="1"/>
  <c r="AW59" i="8" s="1"/>
  <c r="AX59" i="8" s="1"/>
  <c r="AY59" i="8" s="1"/>
  <c r="AZ59" i="8" s="1"/>
  <c r="BA59" i="8" s="1"/>
  <c r="BB59" i="8" s="1"/>
  <c r="BC59" i="8" s="1"/>
  <c r="BD59" i="8" s="1"/>
  <c r="BE59" i="8" s="1"/>
  <c r="BF59" i="8" s="1"/>
  <c r="BG59" i="8" s="1"/>
  <c r="BH59" i="8" s="1"/>
  <c r="BI59" i="8" s="1"/>
  <c r="BJ59" i="8" s="1"/>
  <c r="BK59" i="8" s="1"/>
  <c r="BL59" i="8" s="1"/>
  <c r="BM59" i="8" s="1"/>
  <c r="BN59" i="8" s="1"/>
  <c r="BO59" i="8" s="1"/>
  <c r="G30" i="8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AH30" i="8" s="1"/>
  <c r="AI30" i="8" s="1"/>
  <c r="AJ30" i="8" s="1"/>
  <c r="AK30" i="8" s="1"/>
  <c r="AL30" i="8" s="1"/>
  <c r="AM30" i="8" s="1"/>
  <c r="AN30" i="8" s="1"/>
  <c r="AO30" i="8" s="1"/>
  <c r="AP30" i="8" s="1"/>
  <c r="AQ30" i="8" s="1"/>
  <c r="AR30" i="8" s="1"/>
  <c r="AS30" i="8" s="1"/>
  <c r="AT30" i="8" s="1"/>
  <c r="AU30" i="8" s="1"/>
  <c r="AV30" i="8" s="1"/>
  <c r="AW30" i="8" s="1"/>
  <c r="AX30" i="8" s="1"/>
  <c r="AY30" i="8" s="1"/>
  <c r="AZ30" i="8" s="1"/>
  <c r="BA30" i="8" s="1"/>
  <c r="BB30" i="8" s="1"/>
  <c r="BC30" i="8" s="1"/>
  <c r="BD30" i="8" s="1"/>
  <c r="BE30" i="8" s="1"/>
  <c r="BF30" i="8" s="1"/>
  <c r="BG30" i="8" s="1"/>
  <c r="BH30" i="8" s="1"/>
  <c r="BI30" i="8" s="1"/>
  <c r="BJ30" i="8" s="1"/>
  <c r="BK30" i="8" s="1"/>
  <c r="BL30" i="8" s="1"/>
  <c r="BM30" i="8" s="1"/>
  <c r="BN30" i="8" s="1"/>
  <c r="BO30" i="8" s="1"/>
  <c r="G73" i="8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AH73" i="8" s="1"/>
  <c r="AI73" i="8" s="1"/>
  <c r="AJ73" i="8" s="1"/>
  <c r="AK73" i="8" s="1"/>
  <c r="AL73" i="8" s="1"/>
  <c r="AM73" i="8" s="1"/>
  <c r="AN73" i="8" s="1"/>
  <c r="AO73" i="8" s="1"/>
  <c r="AP73" i="8" s="1"/>
  <c r="AQ73" i="8" s="1"/>
  <c r="AR73" i="8" s="1"/>
  <c r="AS73" i="8" s="1"/>
  <c r="AT73" i="8" s="1"/>
  <c r="AU73" i="8" s="1"/>
  <c r="AV73" i="8" s="1"/>
  <c r="AW73" i="8" s="1"/>
  <c r="AX73" i="8" s="1"/>
  <c r="AY73" i="8" s="1"/>
  <c r="AZ73" i="8" s="1"/>
  <c r="BA73" i="8" s="1"/>
  <c r="BB73" i="8" s="1"/>
  <c r="BC73" i="8" s="1"/>
  <c r="BD73" i="8" s="1"/>
  <c r="BE73" i="8" s="1"/>
  <c r="BF73" i="8" s="1"/>
  <c r="BG73" i="8" s="1"/>
  <c r="BH73" i="8" s="1"/>
  <c r="BI73" i="8" s="1"/>
  <c r="BJ73" i="8" s="1"/>
  <c r="BK73" i="8" s="1"/>
  <c r="BL73" i="8" s="1"/>
  <c r="BM73" i="8" s="1"/>
  <c r="BN73" i="8" s="1"/>
  <c r="BO73" i="8" s="1"/>
  <c r="G69" i="8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AH69" i="8" s="1"/>
  <c r="AI69" i="8" s="1"/>
  <c r="AJ69" i="8" s="1"/>
  <c r="AK69" i="8" s="1"/>
  <c r="AL69" i="8" s="1"/>
  <c r="AM69" i="8" s="1"/>
  <c r="AN69" i="8" s="1"/>
  <c r="AO69" i="8" s="1"/>
  <c r="AP69" i="8" s="1"/>
  <c r="AQ69" i="8" s="1"/>
  <c r="AR69" i="8" s="1"/>
  <c r="AS69" i="8" s="1"/>
  <c r="AT69" i="8" s="1"/>
  <c r="AU69" i="8" s="1"/>
  <c r="AV69" i="8" s="1"/>
  <c r="AW69" i="8" s="1"/>
  <c r="AX69" i="8" s="1"/>
  <c r="AY69" i="8" s="1"/>
  <c r="AZ69" i="8" s="1"/>
  <c r="BA69" i="8" s="1"/>
  <c r="BB69" i="8" s="1"/>
  <c r="BC69" i="8" s="1"/>
  <c r="BD69" i="8" s="1"/>
  <c r="BE69" i="8" s="1"/>
  <c r="BF69" i="8" s="1"/>
  <c r="BG69" i="8" s="1"/>
  <c r="BH69" i="8" s="1"/>
  <c r="BI69" i="8" s="1"/>
  <c r="BJ69" i="8" s="1"/>
  <c r="BK69" i="8" s="1"/>
  <c r="BL69" i="8" s="1"/>
  <c r="BM69" i="8" s="1"/>
  <c r="BN69" i="8" s="1"/>
  <c r="BO69" i="8" s="1"/>
  <c r="G55" i="8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AH55" i="8" s="1"/>
  <c r="AI55" i="8" s="1"/>
  <c r="AJ55" i="8" s="1"/>
  <c r="AK55" i="8" s="1"/>
  <c r="AL55" i="8" s="1"/>
  <c r="AM55" i="8" s="1"/>
  <c r="AN55" i="8" s="1"/>
  <c r="AO55" i="8" s="1"/>
  <c r="AP55" i="8" s="1"/>
  <c r="AQ55" i="8" s="1"/>
  <c r="AR55" i="8" s="1"/>
  <c r="AS55" i="8" s="1"/>
  <c r="AT55" i="8" s="1"/>
  <c r="AU55" i="8" s="1"/>
  <c r="AV55" i="8" s="1"/>
  <c r="AW55" i="8" s="1"/>
  <c r="AX55" i="8" s="1"/>
  <c r="AY55" i="8" s="1"/>
  <c r="AZ55" i="8" s="1"/>
  <c r="BA55" i="8" s="1"/>
  <c r="BB55" i="8" s="1"/>
  <c r="BC55" i="8" s="1"/>
  <c r="BD55" i="8" s="1"/>
  <c r="BE55" i="8" s="1"/>
  <c r="BF55" i="8" s="1"/>
  <c r="BG55" i="8" s="1"/>
  <c r="BH55" i="8" s="1"/>
  <c r="BI55" i="8" s="1"/>
  <c r="BJ55" i="8" s="1"/>
  <c r="BK55" i="8" s="1"/>
  <c r="BL55" i="8" s="1"/>
  <c r="BM55" i="8" s="1"/>
  <c r="BN55" i="8" s="1"/>
  <c r="BO55" i="8" s="1"/>
  <c r="G83" i="8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AH83" i="8" s="1"/>
  <c r="AI83" i="8" s="1"/>
  <c r="AJ83" i="8" s="1"/>
  <c r="AK83" i="8" s="1"/>
  <c r="AL83" i="8" s="1"/>
  <c r="AM83" i="8" s="1"/>
  <c r="AN83" i="8" s="1"/>
  <c r="AO83" i="8" s="1"/>
  <c r="AP83" i="8" s="1"/>
  <c r="AQ83" i="8" s="1"/>
  <c r="AR83" i="8" s="1"/>
  <c r="AS83" i="8" s="1"/>
  <c r="AT83" i="8" s="1"/>
  <c r="AU83" i="8" s="1"/>
  <c r="AV83" i="8" s="1"/>
  <c r="AW83" i="8" s="1"/>
  <c r="AX83" i="8" s="1"/>
  <c r="AY83" i="8" s="1"/>
  <c r="AZ83" i="8" s="1"/>
  <c r="BA83" i="8" s="1"/>
  <c r="BB83" i="8" s="1"/>
  <c r="BC83" i="8" s="1"/>
  <c r="BD83" i="8" s="1"/>
  <c r="BE83" i="8" s="1"/>
  <c r="BF83" i="8" s="1"/>
  <c r="BG83" i="8" s="1"/>
  <c r="BH83" i="8" s="1"/>
  <c r="BI83" i="8" s="1"/>
  <c r="BJ83" i="8" s="1"/>
  <c r="BK83" i="8" s="1"/>
  <c r="BL83" i="8" s="1"/>
  <c r="BM83" i="8" s="1"/>
  <c r="BN83" i="8" s="1"/>
  <c r="BO83" i="8" s="1"/>
  <c r="G86" i="8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AH86" i="8" s="1"/>
  <c r="AI86" i="8" s="1"/>
  <c r="AJ86" i="8" s="1"/>
  <c r="AK86" i="8" s="1"/>
  <c r="AL86" i="8" s="1"/>
  <c r="AM86" i="8" s="1"/>
  <c r="AN86" i="8" s="1"/>
  <c r="AO86" i="8" s="1"/>
  <c r="AP86" i="8" s="1"/>
  <c r="AQ86" i="8" s="1"/>
  <c r="AR86" i="8" s="1"/>
  <c r="AS86" i="8" s="1"/>
  <c r="AT86" i="8" s="1"/>
  <c r="AU86" i="8" s="1"/>
  <c r="AV86" i="8" s="1"/>
  <c r="AW86" i="8" s="1"/>
  <c r="AX86" i="8" s="1"/>
  <c r="AY86" i="8" s="1"/>
  <c r="AZ86" i="8" s="1"/>
  <c r="BA86" i="8" s="1"/>
  <c r="BB86" i="8" s="1"/>
  <c r="BC86" i="8" s="1"/>
  <c r="BD86" i="8" s="1"/>
  <c r="BE86" i="8" s="1"/>
  <c r="BF86" i="8" s="1"/>
  <c r="BG86" i="8" s="1"/>
  <c r="BH86" i="8" s="1"/>
  <c r="BI86" i="8" s="1"/>
  <c r="BJ86" i="8" s="1"/>
  <c r="BK86" i="8" s="1"/>
  <c r="BL86" i="8" s="1"/>
  <c r="BM86" i="8" s="1"/>
  <c r="BN86" i="8" s="1"/>
  <c r="BO86" i="8" s="1"/>
  <c r="G88" i="8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AH88" i="8" s="1"/>
  <c r="AI88" i="8" s="1"/>
  <c r="AJ88" i="8" s="1"/>
  <c r="AK88" i="8" s="1"/>
  <c r="AL88" i="8" s="1"/>
  <c r="AM88" i="8" s="1"/>
  <c r="AN88" i="8" s="1"/>
  <c r="AO88" i="8" s="1"/>
  <c r="AP88" i="8" s="1"/>
  <c r="AQ88" i="8" s="1"/>
  <c r="AR88" i="8" s="1"/>
  <c r="AS88" i="8" s="1"/>
  <c r="AT88" i="8" s="1"/>
  <c r="AU88" i="8" s="1"/>
  <c r="AV88" i="8" s="1"/>
  <c r="AW88" i="8" s="1"/>
  <c r="AX88" i="8" s="1"/>
  <c r="AY88" i="8" s="1"/>
  <c r="AZ88" i="8" s="1"/>
  <c r="BA88" i="8" s="1"/>
  <c r="BB88" i="8" s="1"/>
  <c r="BC88" i="8" s="1"/>
  <c r="BD88" i="8" s="1"/>
  <c r="BE88" i="8" s="1"/>
  <c r="BF88" i="8" s="1"/>
  <c r="BG88" i="8" s="1"/>
  <c r="BH88" i="8" s="1"/>
  <c r="BI88" i="8" s="1"/>
  <c r="BJ88" i="8" s="1"/>
  <c r="BK88" i="8" s="1"/>
  <c r="BL88" i="8" s="1"/>
  <c r="BM88" i="8" s="1"/>
  <c r="BN88" i="8" s="1"/>
  <c r="BO88" i="8" s="1"/>
  <c r="G93" i="8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AH93" i="8" s="1"/>
  <c r="AI93" i="8" s="1"/>
  <c r="AJ93" i="8" s="1"/>
  <c r="AK93" i="8" s="1"/>
  <c r="AL93" i="8" s="1"/>
  <c r="AM93" i="8" s="1"/>
  <c r="AN93" i="8" s="1"/>
  <c r="AO93" i="8" s="1"/>
  <c r="AP93" i="8" s="1"/>
  <c r="AQ93" i="8" s="1"/>
  <c r="AR93" i="8" s="1"/>
  <c r="AS93" i="8" s="1"/>
  <c r="AT93" i="8" s="1"/>
  <c r="AU93" i="8" s="1"/>
  <c r="AV93" i="8" s="1"/>
  <c r="AW93" i="8" s="1"/>
  <c r="AX93" i="8" s="1"/>
  <c r="AY93" i="8" s="1"/>
  <c r="AZ93" i="8" s="1"/>
  <c r="BA93" i="8" s="1"/>
  <c r="BB93" i="8" s="1"/>
  <c r="BC93" i="8" s="1"/>
  <c r="BD93" i="8" s="1"/>
  <c r="BE93" i="8" s="1"/>
  <c r="BF93" i="8" s="1"/>
  <c r="BG93" i="8" s="1"/>
  <c r="BH93" i="8" s="1"/>
  <c r="BI93" i="8" s="1"/>
  <c r="BJ93" i="8" s="1"/>
  <c r="BK93" i="8" s="1"/>
  <c r="BL93" i="8" s="1"/>
  <c r="BM93" i="8" s="1"/>
  <c r="BN93" i="8" s="1"/>
  <c r="BO93" i="8" s="1"/>
  <c r="G79" i="8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AH79" i="8" s="1"/>
  <c r="AI79" i="8" s="1"/>
  <c r="AJ79" i="8" s="1"/>
  <c r="AK79" i="8" s="1"/>
  <c r="AL79" i="8" s="1"/>
  <c r="AM79" i="8" s="1"/>
  <c r="AN79" i="8" s="1"/>
  <c r="AO79" i="8" s="1"/>
  <c r="AP79" i="8" s="1"/>
  <c r="AQ79" i="8" s="1"/>
  <c r="AR79" i="8" s="1"/>
  <c r="AS79" i="8" s="1"/>
  <c r="AT79" i="8" s="1"/>
  <c r="AU79" i="8" s="1"/>
  <c r="AV79" i="8" s="1"/>
  <c r="AW79" i="8" s="1"/>
  <c r="AX79" i="8" s="1"/>
  <c r="AY79" i="8" s="1"/>
  <c r="AZ79" i="8" s="1"/>
  <c r="BA79" i="8" s="1"/>
  <c r="BB79" i="8" s="1"/>
  <c r="BC79" i="8" s="1"/>
  <c r="BD79" i="8" s="1"/>
  <c r="BE79" i="8" s="1"/>
  <c r="BF79" i="8" s="1"/>
  <c r="BG79" i="8" s="1"/>
  <c r="BH79" i="8" s="1"/>
  <c r="BI79" i="8" s="1"/>
  <c r="BJ79" i="8" s="1"/>
  <c r="BK79" i="8" s="1"/>
  <c r="BL79" i="8" s="1"/>
  <c r="BM79" i="8" s="1"/>
  <c r="BN79" i="8" s="1"/>
  <c r="BO79" i="8" s="1"/>
  <c r="G38" i="8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AH38" i="8" s="1"/>
  <c r="AI38" i="8" s="1"/>
  <c r="AJ38" i="8" s="1"/>
  <c r="AK38" i="8" s="1"/>
  <c r="AL38" i="8" s="1"/>
  <c r="AM38" i="8" s="1"/>
  <c r="AN38" i="8" s="1"/>
  <c r="AO38" i="8" s="1"/>
  <c r="AP38" i="8" s="1"/>
  <c r="AQ38" i="8" s="1"/>
  <c r="AR38" i="8" s="1"/>
  <c r="AS38" i="8" s="1"/>
  <c r="AT38" i="8" s="1"/>
  <c r="AU38" i="8" s="1"/>
  <c r="AV38" i="8" s="1"/>
  <c r="AW38" i="8" s="1"/>
  <c r="AX38" i="8" s="1"/>
  <c r="AY38" i="8" s="1"/>
  <c r="AZ38" i="8" s="1"/>
  <c r="BA38" i="8" s="1"/>
  <c r="BB38" i="8" s="1"/>
  <c r="BC38" i="8" s="1"/>
  <c r="BD38" i="8" s="1"/>
  <c r="BE38" i="8" s="1"/>
  <c r="BF38" i="8" s="1"/>
  <c r="BG38" i="8" s="1"/>
  <c r="BH38" i="8" s="1"/>
  <c r="BI38" i="8" s="1"/>
  <c r="BJ38" i="8" s="1"/>
  <c r="BK38" i="8" s="1"/>
  <c r="BL38" i="8" s="1"/>
  <c r="BM38" i="8" s="1"/>
  <c r="BN38" i="8" s="1"/>
  <c r="BO38" i="8" s="1"/>
  <c r="G27" i="8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AH27" i="8" s="1"/>
  <c r="AI27" i="8" s="1"/>
  <c r="AJ27" i="8" s="1"/>
  <c r="AK27" i="8" s="1"/>
  <c r="AL27" i="8" s="1"/>
  <c r="AM27" i="8" s="1"/>
  <c r="AN27" i="8" s="1"/>
  <c r="AO27" i="8" s="1"/>
  <c r="AP27" i="8" s="1"/>
  <c r="AQ27" i="8" s="1"/>
  <c r="AR27" i="8" s="1"/>
  <c r="AS27" i="8" s="1"/>
  <c r="AT27" i="8" s="1"/>
  <c r="AU27" i="8" s="1"/>
  <c r="AV27" i="8" s="1"/>
  <c r="AW27" i="8" s="1"/>
  <c r="AX27" i="8" s="1"/>
  <c r="AY27" i="8" s="1"/>
  <c r="AZ27" i="8" s="1"/>
  <c r="BA27" i="8" s="1"/>
  <c r="BB27" i="8" s="1"/>
  <c r="BC27" i="8" s="1"/>
  <c r="BD27" i="8" s="1"/>
  <c r="BE27" i="8" s="1"/>
  <c r="BF27" i="8" s="1"/>
  <c r="BG27" i="8" s="1"/>
  <c r="BH27" i="8" s="1"/>
  <c r="BI27" i="8" s="1"/>
  <c r="BJ27" i="8" s="1"/>
  <c r="BK27" i="8" s="1"/>
  <c r="BL27" i="8" s="1"/>
  <c r="BM27" i="8" s="1"/>
  <c r="BN27" i="8" s="1"/>
  <c r="BO27" i="8" s="1"/>
  <c r="G8" i="8"/>
  <c r="H8" i="8" s="1"/>
  <c r="I8" i="8" s="1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J8" i="8" s="1"/>
  <c r="AK8" i="8" s="1"/>
  <c r="AL8" i="8" s="1"/>
  <c r="AM8" i="8" s="1"/>
  <c r="AN8" i="8" s="1"/>
  <c r="AO8" i="8" s="1"/>
  <c r="AP8" i="8" s="1"/>
  <c r="AQ8" i="8" s="1"/>
  <c r="AR8" i="8" s="1"/>
  <c r="AS8" i="8" s="1"/>
  <c r="AT8" i="8" s="1"/>
  <c r="AU8" i="8" s="1"/>
  <c r="AV8" i="8" s="1"/>
  <c r="AW8" i="8" s="1"/>
  <c r="AX8" i="8" s="1"/>
  <c r="AY8" i="8" s="1"/>
  <c r="AZ8" i="8" s="1"/>
  <c r="BA8" i="8" s="1"/>
  <c r="BB8" i="8" s="1"/>
  <c r="BC8" i="8" s="1"/>
  <c r="BD8" i="8" s="1"/>
  <c r="BE8" i="8" s="1"/>
  <c r="BF8" i="8" s="1"/>
  <c r="BG8" i="8" s="1"/>
  <c r="BH8" i="8" s="1"/>
  <c r="BI8" i="8" s="1"/>
  <c r="BJ8" i="8" s="1"/>
  <c r="BK8" i="8" s="1"/>
  <c r="BL8" i="8" s="1"/>
  <c r="BM8" i="8" s="1"/>
  <c r="BN8" i="8" s="1"/>
  <c r="BO8" i="8" s="1"/>
  <c r="G71" i="8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AH71" i="8" s="1"/>
  <c r="AI71" i="8" s="1"/>
  <c r="AJ71" i="8" s="1"/>
  <c r="AK71" i="8" s="1"/>
  <c r="AL71" i="8" s="1"/>
  <c r="AM71" i="8" s="1"/>
  <c r="AN71" i="8" s="1"/>
  <c r="AO71" i="8" s="1"/>
  <c r="AP71" i="8" s="1"/>
  <c r="AQ71" i="8" s="1"/>
  <c r="AR71" i="8" s="1"/>
  <c r="AS71" i="8" s="1"/>
  <c r="AT71" i="8" s="1"/>
  <c r="AU71" i="8" s="1"/>
  <c r="AV71" i="8" s="1"/>
  <c r="AW71" i="8" s="1"/>
  <c r="AX71" i="8" s="1"/>
  <c r="AY71" i="8" s="1"/>
  <c r="AZ71" i="8" s="1"/>
  <c r="BA71" i="8" s="1"/>
  <c r="BB71" i="8" s="1"/>
  <c r="BC71" i="8" s="1"/>
  <c r="BD71" i="8" s="1"/>
  <c r="BE71" i="8" s="1"/>
  <c r="BF71" i="8" s="1"/>
  <c r="BG71" i="8" s="1"/>
  <c r="BH71" i="8" s="1"/>
  <c r="BI71" i="8" s="1"/>
  <c r="BJ71" i="8" s="1"/>
  <c r="BK71" i="8" s="1"/>
  <c r="BL71" i="8" s="1"/>
  <c r="BM71" i="8" s="1"/>
  <c r="BN71" i="8" s="1"/>
  <c r="BO71" i="8" s="1"/>
  <c r="G2" i="8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G2" i="8" s="1"/>
  <c r="AH2" i="8" s="1"/>
  <c r="AI2" i="8" s="1"/>
  <c r="AJ2" i="8" s="1"/>
  <c r="AK2" i="8" s="1"/>
  <c r="AL2" i="8" s="1"/>
  <c r="AM2" i="8" s="1"/>
  <c r="AN2" i="8" s="1"/>
  <c r="AO2" i="8" s="1"/>
  <c r="AP2" i="8" s="1"/>
  <c r="AQ2" i="8" s="1"/>
  <c r="AR2" i="8" s="1"/>
  <c r="AS2" i="8" s="1"/>
  <c r="AT2" i="8" s="1"/>
  <c r="AU2" i="8" s="1"/>
  <c r="AV2" i="8" s="1"/>
  <c r="AW2" i="8" s="1"/>
  <c r="AX2" i="8" s="1"/>
  <c r="AY2" i="8" s="1"/>
  <c r="AZ2" i="8" s="1"/>
  <c r="BA2" i="8" s="1"/>
  <c r="BB2" i="8" s="1"/>
  <c r="BC2" i="8" s="1"/>
  <c r="BD2" i="8" s="1"/>
  <c r="BE2" i="8" s="1"/>
  <c r="BF2" i="8" s="1"/>
  <c r="BG2" i="8" s="1"/>
  <c r="BH2" i="8" s="1"/>
  <c r="BI2" i="8" s="1"/>
  <c r="BJ2" i="8" s="1"/>
  <c r="BK2" i="8" s="1"/>
  <c r="BL2" i="8" s="1"/>
  <c r="BM2" i="8" s="1"/>
  <c r="BN2" i="8" s="1"/>
  <c r="BO2" i="8" s="1"/>
  <c r="G63" i="8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AH63" i="8" s="1"/>
  <c r="AI63" i="8" s="1"/>
  <c r="AJ63" i="8" s="1"/>
  <c r="AK63" i="8" s="1"/>
  <c r="AL63" i="8" s="1"/>
  <c r="AM63" i="8" s="1"/>
  <c r="AN63" i="8" s="1"/>
  <c r="AO63" i="8" s="1"/>
  <c r="AP63" i="8" s="1"/>
  <c r="AQ63" i="8" s="1"/>
  <c r="AR63" i="8" s="1"/>
  <c r="AS63" i="8" s="1"/>
  <c r="AT63" i="8" s="1"/>
  <c r="AU63" i="8" s="1"/>
  <c r="AV63" i="8" s="1"/>
  <c r="AW63" i="8" s="1"/>
  <c r="AX63" i="8" s="1"/>
  <c r="AY63" i="8" s="1"/>
  <c r="AZ63" i="8" s="1"/>
  <c r="BA63" i="8" s="1"/>
  <c r="BB63" i="8" s="1"/>
  <c r="BC63" i="8" s="1"/>
  <c r="BD63" i="8" s="1"/>
  <c r="BE63" i="8" s="1"/>
  <c r="BF63" i="8" s="1"/>
  <c r="BG63" i="8" s="1"/>
  <c r="BH63" i="8" s="1"/>
  <c r="BI63" i="8" s="1"/>
  <c r="BJ63" i="8" s="1"/>
  <c r="BK63" i="8" s="1"/>
  <c r="BL63" i="8" s="1"/>
  <c r="BM63" i="8" s="1"/>
  <c r="BN63" i="8" s="1"/>
  <c r="BO63" i="8" s="1"/>
  <c r="G54" i="8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AH54" i="8" s="1"/>
  <c r="AI54" i="8" s="1"/>
  <c r="AJ54" i="8" s="1"/>
  <c r="AK54" i="8" s="1"/>
  <c r="AL54" i="8" s="1"/>
  <c r="AM54" i="8" s="1"/>
  <c r="AN54" i="8" s="1"/>
  <c r="AO54" i="8" s="1"/>
  <c r="AP54" i="8" s="1"/>
  <c r="AQ54" i="8" s="1"/>
  <c r="AR54" i="8" s="1"/>
  <c r="AS54" i="8" s="1"/>
  <c r="AT54" i="8" s="1"/>
  <c r="AU54" i="8" s="1"/>
  <c r="AV54" i="8" s="1"/>
  <c r="AW54" i="8" s="1"/>
  <c r="AX54" i="8" s="1"/>
  <c r="AY54" i="8" s="1"/>
  <c r="AZ54" i="8" s="1"/>
  <c r="BA54" i="8" s="1"/>
  <c r="BB54" i="8" s="1"/>
  <c r="BC54" i="8" s="1"/>
  <c r="BD54" i="8" s="1"/>
  <c r="BE54" i="8" s="1"/>
  <c r="BF54" i="8" s="1"/>
  <c r="BG54" i="8" s="1"/>
  <c r="BH54" i="8" s="1"/>
  <c r="BI54" i="8" s="1"/>
  <c r="BJ54" i="8" s="1"/>
  <c r="BK54" i="8" s="1"/>
  <c r="BL54" i="8" s="1"/>
  <c r="BM54" i="8" s="1"/>
  <c r="BN54" i="8" s="1"/>
  <c r="BO54" i="8" s="1"/>
  <c r="G66" i="8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AH66" i="8" s="1"/>
  <c r="AI66" i="8" s="1"/>
  <c r="AJ66" i="8" s="1"/>
  <c r="AK66" i="8" s="1"/>
  <c r="AL66" i="8" s="1"/>
  <c r="AM66" i="8" s="1"/>
  <c r="AN66" i="8" s="1"/>
  <c r="AO66" i="8" s="1"/>
  <c r="AP66" i="8" s="1"/>
  <c r="AQ66" i="8" s="1"/>
  <c r="AR66" i="8" s="1"/>
  <c r="AS66" i="8" s="1"/>
  <c r="AT66" i="8" s="1"/>
  <c r="AU66" i="8" s="1"/>
  <c r="AV66" i="8" s="1"/>
  <c r="AW66" i="8" s="1"/>
  <c r="AX66" i="8" s="1"/>
  <c r="AY66" i="8" s="1"/>
  <c r="AZ66" i="8" s="1"/>
  <c r="BA66" i="8" s="1"/>
  <c r="BB66" i="8" s="1"/>
  <c r="BC66" i="8" s="1"/>
  <c r="BD66" i="8" s="1"/>
  <c r="BE66" i="8" s="1"/>
  <c r="BF66" i="8" s="1"/>
  <c r="BG66" i="8" s="1"/>
  <c r="BH66" i="8" s="1"/>
  <c r="BI66" i="8" s="1"/>
  <c r="BJ66" i="8" s="1"/>
  <c r="BK66" i="8" s="1"/>
  <c r="BL66" i="8" s="1"/>
  <c r="BM66" i="8" s="1"/>
  <c r="BN66" i="8" s="1"/>
  <c r="BO66" i="8" s="1"/>
  <c r="G48" i="8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AH48" i="8" s="1"/>
  <c r="AI48" i="8" s="1"/>
  <c r="AJ48" i="8" s="1"/>
  <c r="AK48" i="8" s="1"/>
  <c r="AL48" i="8" s="1"/>
  <c r="AM48" i="8" s="1"/>
  <c r="AN48" i="8" s="1"/>
  <c r="AO48" i="8" s="1"/>
  <c r="AP48" i="8" s="1"/>
  <c r="AQ48" i="8" s="1"/>
  <c r="AR48" i="8" s="1"/>
  <c r="AS48" i="8" s="1"/>
  <c r="AT48" i="8" s="1"/>
  <c r="AU48" i="8" s="1"/>
  <c r="AV48" i="8" s="1"/>
  <c r="AW48" i="8" s="1"/>
  <c r="AX48" i="8" s="1"/>
  <c r="AY48" i="8" s="1"/>
  <c r="AZ48" i="8" s="1"/>
  <c r="BA48" i="8" s="1"/>
  <c r="BB48" i="8" s="1"/>
  <c r="BC48" i="8" s="1"/>
  <c r="BD48" i="8" s="1"/>
  <c r="BE48" i="8" s="1"/>
  <c r="BF48" i="8" s="1"/>
  <c r="BG48" i="8" s="1"/>
  <c r="BH48" i="8" s="1"/>
  <c r="BI48" i="8" s="1"/>
  <c r="BJ48" i="8" s="1"/>
  <c r="BK48" i="8" s="1"/>
  <c r="BL48" i="8" s="1"/>
  <c r="BM48" i="8" s="1"/>
  <c r="BN48" i="8" s="1"/>
  <c r="BO48" i="8" s="1"/>
  <c r="G57" i="8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AH57" i="8" s="1"/>
  <c r="AI57" i="8" s="1"/>
  <c r="AJ57" i="8" s="1"/>
  <c r="AK57" i="8" s="1"/>
  <c r="AL57" i="8" s="1"/>
  <c r="AM57" i="8" s="1"/>
  <c r="AN57" i="8" s="1"/>
  <c r="AO57" i="8" s="1"/>
  <c r="AP57" i="8" s="1"/>
  <c r="AQ57" i="8" s="1"/>
  <c r="AR57" i="8" s="1"/>
  <c r="AS57" i="8" s="1"/>
  <c r="AT57" i="8" s="1"/>
  <c r="AU57" i="8" s="1"/>
  <c r="AV57" i="8" s="1"/>
  <c r="AW57" i="8" s="1"/>
  <c r="AX57" i="8" s="1"/>
  <c r="AY57" i="8" s="1"/>
  <c r="AZ57" i="8" s="1"/>
  <c r="BA57" i="8" s="1"/>
  <c r="BB57" i="8" s="1"/>
  <c r="BC57" i="8" s="1"/>
  <c r="BD57" i="8" s="1"/>
  <c r="BE57" i="8" s="1"/>
  <c r="BF57" i="8" s="1"/>
  <c r="BG57" i="8" s="1"/>
  <c r="BH57" i="8" s="1"/>
  <c r="BI57" i="8" s="1"/>
  <c r="BJ57" i="8" s="1"/>
  <c r="BK57" i="8" s="1"/>
  <c r="BL57" i="8" s="1"/>
  <c r="BM57" i="8" s="1"/>
  <c r="BN57" i="8" s="1"/>
  <c r="BO57" i="8" s="1"/>
  <c r="G25" i="8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AH25" i="8" s="1"/>
  <c r="AI25" i="8" s="1"/>
  <c r="AJ25" i="8" s="1"/>
  <c r="AK25" i="8" s="1"/>
  <c r="AL25" i="8" s="1"/>
  <c r="AM25" i="8" s="1"/>
  <c r="AN25" i="8" s="1"/>
  <c r="AO25" i="8" s="1"/>
  <c r="AP25" i="8" s="1"/>
  <c r="AQ25" i="8" s="1"/>
  <c r="AR25" i="8" s="1"/>
  <c r="AS25" i="8" s="1"/>
  <c r="AT25" i="8" s="1"/>
  <c r="AU25" i="8" s="1"/>
  <c r="AV25" i="8" s="1"/>
  <c r="AW25" i="8" s="1"/>
  <c r="AX25" i="8" s="1"/>
  <c r="AY25" i="8" s="1"/>
  <c r="AZ25" i="8" s="1"/>
  <c r="BA25" i="8" s="1"/>
  <c r="BB25" i="8" s="1"/>
  <c r="BC25" i="8" s="1"/>
  <c r="BD25" i="8" s="1"/>
  <c r="BE25" i="8" s="1"/>
  <c r="BF25" i="8" s="1"/>
  <c r="BG25" i="8" s="1"/>
  <c r="BH25" i="8" s="1"/>
  <c r="BI25" i="8" s="1"/>
  <c r="BJ25" i="8" s="1"/>
  <c r="BK25" i="8" s="1"/>
  <c r="BL25" i="8" s="1"/>
  <c r="BM25" i="8" s="1"/>
  <c r="BN25" i="8" s="1"/>
  <c r="BO25" i="8" s="1"/>
  <c r="G32" i="8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AH32" i="8" s="1"/>
  <c r="AI32" i="8" s="1"/>
  <c r="AJ32" i="8" s="1"/>
  <c r="AK32" i="8" s="1"/>
  <c r="AL32" i="8" s="1"/>
  <c r="AM32" i="8" s="1"/>
  <c r="AN32" i="8" s="1"/>
  <c r="AO32" i="8" s="1"/>
  <c r="AP32" i="8" s="1"/>
  <c r="AQ32" i="8" s="1"/>
  <c r="AR32" i="8" s="1"/>
  <c r="AS32" i="8" s="1"/>
  <c r="AT32" i="8" s="1"/>
  <c r="AU32" i="8" s="1"/>
  <c r="AV32" i="8" s="1"/>
  <c r="AW32" i="8" s="1"/>
  <c r="AX32" i="8" s="1"/>
  <c r="AY32" i="8" s="1"/>
  <c r="AZ32" i="8" s="1"/>
  <c r="BA32" i="8" s="1"/>
  <c r="BB32" i="8" s="1"/>
  <c r="BC32" i="8" s="1"/>
  <c r="BD32" i="8" s="1"/>
  <c r="BE32" i="8" s="1"/>
  <c r="BF32" i="8" s="1"/>
  <c r="BG32" i="8" s="1"/>
  <c r="BH32" i="8" s="1"/>
  <c r="BI32" i="8" s="1"/>
  <c r="BJ32" i="8" s="1"/>
  <c r="BK32" i="8" s="1"/>
  <c r="BL32" i="8" s="1"/>
  <c r="BM32" i="8" s="1"/>
  <c r="BN32" i="8" s="1"/>
  <c r="BO32" i="8" s="1"/>
  <c r="G50" i="8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AH50" i="8" s="1"/>
  <c r="AI50" i="8" s="1"/>
  <c r="AJ50" i="8" s="1"/>
  <c r="AK50" i="8" s="1"/>
  <c r="AL50" i="8" s="1"/>
  <c r="AM50" i="8" s="1"/>
  <c r="AN50" i="8" s="1"/>
  <c r="AO50" i="8" s="1"/>
  <c r="AP50" i="8" s="1"/>
  <c r="AQ50" i="8" s="1"/>
  <c r="AR50" i="8" s="1"/>
  <c r="AS50" i="8" s="1"/>
  <c r="AT50" i="8" s="1"/>
  <c r="AU50" i="8" s="1"/>
  <c r="AV50" i="8" s="1"/>
  <c r="AW50" i="8" s="1"/>
  <c r="AX50" i="8" s="1"/>
  <c r="AY50" i="8" s="1"/>
  <c r="AZ50" i="8" s="1"/>
  <c r="BA50" i="8" s="1"/>
  <c r="BB50" i="8" s="1"/>
  <c r="BC50" i="8" s="1"/>
  <c r="BD50" i="8" s="1"/>
  <c r="BE50" i="8" s="1"/>
  <c r="BF50" i="8" s="1"/>
  <c r="BG50" i="8" s="1"/>
  <c r="BH50" i="8" s="1"/>
  <c r="BI50" i="8" s="1"/>
  <c r="BJ50" i="8" s="1"/>
  <c r="BK50" i="8" s="1"/>
  <c r="BL50" i="8" s="1"/>
  <c r="BM50" i="8" s="1"/>
  <c r="BN50" i="8" s="1"/>
  <c r="BO50" i="8" s="1"/>
  <c r="G17" i="8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AH17" i="8" s="1"/>
  <c r="AI17" i="8" s="1"/>
  <c r="AJ17" i="8" s="1"/>
  <c r="AK17" i="8" s="1"/>
  <c r="AL17" i="8" s="1"/>
  <c r="AM17" i="8" s="1"/>
  <c r="AN17" i="8" s="1"/>
  <c r="AO17" i="8" s="1"/>
  <c r="AP17" i="8" s="1"/>
  <c r="AQ17" i="8" s="1"/>
  <c r="AR17" i="8" s="1"/>
  <c r="AS17" i="8" s="1"/>
  <c r="AT17" i="8" s="1"/>
  <c r="AU17" i="8" s="1"/>
  <c r="AV17" i="8" s="1"/>
  <c r="AW17" i="8" s="1"/>
  <c r="AX17" i="8" s="1"/>
  <c r="AY17" i="8" s="1"/>
  <c r="AZ17" i="8" s="1"/>
  <c r="BA17" i="8" s="1"/>
  <c r="BB17" i="8" s="1"/>
  <c r="BC17" i="8" s="1"/>
  <c r="BD17" i="8" s="1"/>
  <c r="BE17" i="8" s="1"/>
  <c r="BF17" i="8" s="1"/>
  <c r="BG17" i="8" s="1"/>
  <c r="BH17" i="8" s="1"/>
  <c r="BI17" i="8" s="1"/>
  <c r="BJ17" i="8" s="1"/>
  <c r="BK17" i="8" s="1"/>
  <c r="BL17" i="8" s="1"/>
  <c r="BM17" i="8" s="1"/>
  <c r="BN17" i="8" s="1"/>
  <c r="BO17" i="8" s="1"/>
  <c r="G62" i="8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AH62" i="8" s="1"/>
  <c r="AI62" i="8" s="1"/>
  <c r="AJ62" i="8" s="1"/>
  <c r="AK62" i="8" s="1"/>
  <c r="AL62" i="8" s="1"/>
  <c r="AM62" i="8" s="1"/>
  <c r="AN62" i="8" s="1"/>
  <c r="AO62" i="8" s="1"/>
  <c r="AP62" i="8" s="1"/>
  <c r="AQ62" i="8" s="1"/>
  <c r="AR62" i="8" s="1"/>
  <c r="AS62" i="8" s="1"/>
  <c r="AT62" i="8" s="1"/>
  <c r="AU62" i="8" s="1"/>
  <c r="AV62" i="8" s="1"/>
  <c r="AW62" i="8" s="1"/>
  <c r="AX62" i="8" s="1"/>
  <c r="AY62" i="8" s="1"/>
  <c r="AZ62" i="8" s="1"/>
  <c r="BA62" i="8" s="1"/>
  <c r="BB62" i="8" s="1"/>
  <c r="BC62" i="8" s="1"/>
  <c r="BD62" i="8" s="1"/>
  <c r="BE62" i="8" s="1"/>
  <c r="BF62" i="8" s="1"/>
  <c r="BG62" i="8" s="1"/>
  <c r="BH62" i="8" s="1"/>
  <c r="BI62" i="8" s="1"/>
  <c r="BJ62" i="8" s="1"/>
  <c r="BK62" i="8" s="1"/>
  <c r="BL62" i="8" s="1"/>
  <c r="BM62" i="8" s="1"/>
  <c r="BN62" i="8" s="1"/>
  <c r="BO62" i="8" s="1"/>
  <c r="H3" i="8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AH3" i="8" s="1"/>
  <c r="AI3" i="8" s="1"/>
  <c r="AJ3" i="8" s="1"/>
  <c r="AK3" i="8" s="1"/>
  <c r="AL3" i="8" s="1"/>
  <c r="AM3" i="8" s="1"/>
  <c r="AN3" i="8" s="1"/>
  <c r="AO3" i="8" s="1"/>
  <c r="AP3" i="8" s="1"/>
  <c r="AQ3" i="8" s="1"/>
  <c r="AR3" i="8" s="1"/>
  <c r="AS3" i="8" s="1"/>
  <c r="AT3" i="8" s="1"/>
  <c r="AU3" i="8" s="1"/>
  <c r="AV3" i="8" s="1"/>
  <c r="AW3" i="8" s="1"/>
  <c r="AX3" i="8" s="1"/>
  <c r="AY3" i="8" s="1"/>
  <c r="AZ3" i="8" s="1"/>
  <c r="BA3" i="8" s="1"/>
  <c r="BB3" i="8" s="1"/>
  <c r="BC3" i="8" s="1"/>
  <c r="BD3" i="8" s="1"/>
  <c r="BE3" i="8" s="1"/>
  <c r="BF3" i="8" s="1"/>
  <c r="BG3" i="8" s="1"/>
  <c r="BH3" i="8" s="1"/>
  <c r="BI3" i="8" s="1"/>
  <c r="BJ3" i="8" s="1"/>
  <c r="BK3" i="8" s="1"/>
  <c r="BL3" i="8" s="1"/>
  <c r="BM3" i="8" s="1"/>
  <c r="BN3" i="8" s="1"/>
  <c r="BO3" i="8" s="1"/>
  <c r="G56" i="8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AH56" i="8" s="1"/>
  <c r="AI56" i="8" s="1"/>
  <c r="AJ56" i="8" s="1"/>
  <c r="AK56" i="8" s="1"/>
  <c r="AL56" i="8" s="1"/>
  <c r="AM56" i="8" s="1"/>
  <c r="AN56" i="8" s="1"/>
  <c r="AO56" i="8" s="1"/>
  <c r="AP56" i="8" s="1"/>
  <c r="AQ56" i="8" s="1"/>
  <c r="AR56" i="8" s="1"/>
  <c r="AS56" i="8" s="1"/>
  <c r="AT56" i="8" s="1"/>
  <c r="AU56" i="8" s="1"/>
  <c r="AV56" i="8" s="1"/>
  <c r="AW56" i="8" s="1"/>
  <c r="AX56" i="8" s="1"/>
  <c r="AY56" i="8" s="1"/>
  <c r="AZ56" i="8" s="1"/>
  <c r="BA56" i="8" s="1"/>
  <c r="BB56" i="8" s="1"/>
  <c r="BC56" i="8" s="1"/>
  <c r="BD56" i="8" s="1"/>
  <c r="BE56" i="8" s="1"/>
  <c r="BF56" i="8" s="1"/>
  <c r="BG56" i="8" s="1"/>
  <c r="BH56" i="8" s="1"/>
  <c r="BI56" i="8" s="1"/>
  <c r="BJ56" i="8" s="1"/>
  <c r="BK56" i="8" s="1"/>
  <c r="BL56" i="8" s="1"/>
  <c r="BM56" i="8" s="1"/>
  <c r="BN56" i="8" s="1"/>
  <c r="BO56" i="8" s="1"/>
  <c r="G29" i="8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AH29" i="8" s="1"/>
  <c r="AI29" i="8" s="1"/>
  <c r="AJ29" i="8" s="1"/>
  <c r="AK29" i="8" s="1"/>
  <c r="AL29" i="8" s="1"/>
  <c r="AM29" i="8" s="1"/>
  <c r="AN29" i="8" s="1"/>
  <c r="AO29" i="8" s="1"/>
  <c r="AP29" i="8" s="1"/>
  <c r="AQ29" i="8" s="1"/>
  <c r="AR29" i="8" s="1"/>
  <c r="AS29" i="8" s="1"/>
  <c r="AT29" i="8" s="1"/>
  <c r="AU29" i="8" s="1"/>
  <c r="AV29" i="8" s="1"/>
  <c r="AW29" i="8" s="1"/>
  <c r="AX29" i="8" s="1"/>
  <c r="AY29" i="8" s="1"/>
  <c r="AZ29" i="8" s="1"/>
  <c r="BA29" i="8" s="1"/>
  <c r="BB29" i="8" s="1"/>
  <c r="BC29" i="8" s="1"/>
  <c r="BD29" i="8" s="1"/>
  <c r="BE29" i="8" s="1"/>
  <c r="BF29" i="8" s="1"/>
  <c r="BG29" i="8" s="1"/>
  <c r="BH29" i="8" s="1"/>
  <c r="BI29" i="8" s="1"/>
  <c r="BJ29" i="8" s="1"/>
  <c r="BK29" i="8" s="1"/>
  <c r="BL29" i="8" s="1"/>
  <c r="BM29" i="8" s="1"/>
  <c r="BN29" i="8" s="1"/>
  <c r="BO29" i="8" s="1"/>
  <c r="G41" i="8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AH41" i="8" s="1"/>
  <c r="AI41" i="8" s="1"/>
  <c r="AJ41" i="8" s="1"/>
  <c r="AK41" i="8" s="1"/>
  <c r="AL41" i="8" s="1"/>
  <c r="AM41" i="8" s="1"/>
  <c r="AN41" i="8" s="1"/>
  <c r="AO41" i="8" s="1"/>
  <c r="AP41" i="8" s="1"/>
  <c r="AQ41" i="8" s="1"/>
  <c r="AR41" i="8" s="1"/>
  <c r="AS41" i="8" s="1"/>
  <c r="AT41" i="8" s="1"/>
  <c r="AU41" i="8" s="1"/>
  <c r="AV41" i="8" s="1"/>
  <c r="AW41" i="8" s="1"/>
  <c r="AX41" i="8" s="1"/>
  <c r="AY41" i="8" s="1"/>
  <c r="AZ41" i="8" s="1"/>
  <c r="BA41" i="8" s="1"/>
  <c r="BB41" i="8" s="1"/>
  <c r="BC41" i="8" s="1"/>
  <c r="BD41" i="8" s="1"/>
  <c r="BE41" i="8" s="1"/>
  <c r="BF41" i="8" s="1"/>
  <c r="BG41" i="8" s="1"/>
  <c r="BH41" i="8" s="1"/>
  <c r="BI41" i="8" s="1"/>
  <c r="BJ41" i="8" s="1"/>
  <c r="BK41" i="8" s="1"/>
  <c r="BL41" i="8" s="1"/>
  <c r="BM41" i="8" s="1"/>
  <c r="BN41" i="8" s="1"/>
  <c r="BO41" i="8" s="1"/>
  <c r="G65" i="8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AH65" i="8" s="1"/>
  <c r="AI65" i="8" s="1"/>
  <c r="AJ65" i="8" s="1"/>
  <c r="AK65" i="8" s="1"/>
  <c r="AL65" i="8" s="1"/>
  <c r="AM65" i="8" s="1"/>
  <c r="AN65" i="8" s="1"/>
  <c r="AO65" i="8" s="1"/>
  <c r="AP65" i="8" s="1"/>
  <c r="AQ65" i="8" s="1"/>
  <c r="AR65" i="8" s="1"/>
  <c r="AS65" i="8" s="1"/>
  <c r="AT65" i="8" s="1"/>
  <c r="AU65" i="8" s="1"/>
  <c r="AV65" i="8" s="1"/>
  <c r="AW65" i="8" s="1"/>
  <c r="AX65" i="8" s="1"/>
  <c r="AY65" i="8" s="1"/>
  <c r="AZ65" i="8" s="1"/>
  <c r="BA65" i="8" s="1"/>
  <c r="BB65" i="8" s="1"/>
  <c r="BC65" i="8" s="1"/>
  <c r="BD65" i="8" s="1"/>
  <c r="BE65" i="8" s="1"/>
  <c r="BF65" i="8" s="1"/>
  <c r="BG65" i="8" s="1"/>
  <c r="BH65" i="8" s="1"/>
  <c r="BI65" i="8" s="1"/>
  <c r="BJ65" i="8" s="1"/>
  <c r="BK65" i="8" s="1"/>
  <c r="BL65" i="8" s="1"/>
  <c r="BM65" i="8" s="1"/>
  <c r="BN65" i="8" s="1"/>
  <c r="BO65" i="8" s="1"/>
  <c r="G22" i="8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AH22" i="8" s="1"/>
  <c r="AI22" i="8" s="1"/>
  <c r="AJ22" i="8" s="1"/>
  <c r="AK22" i="8" s="1"/>
  <c r="AL22" i="8" s="1"/>
  <c r="AM22" i="8" s="1"/>
  <c r="AN22" i="8" s="1"/>
  <c r="AO22" i="8" s="1"/>
  <c r="AP22" i="8" s="1"/>
  <c r="AQ22" i="8" s="1"/>
  <c r="AR22" i="8" s="1"/>
  <c r="AS22" i="8" s="1"/>
  <c r="AT22" i="8" s="1"/>
  <c r="AU22" i="8" s="1"/>
  <c r="AV22" i="8" s="1"/>
  <c r="AW22" i="8" s="1"/>
  <c r="AX22" i="8" s="1"/>
  <c r="AY22" i="8" s="1"/>
  <c r="AZ22" i="8" s="1"/>
  <c r="BA22" i="8" s="1"/>
  <c r="BB22" i="8" s="1"/>
  <c r="BC22" i="8" s="1"/>
  <c r="BD22" i="8" s="1"/>
  <c r="BE22" i="8" s="1"/>
  <c r="BF22" i="8" s="1"/>
  <c r="BG22" i="8" s="1"/>
  <c r="BH22" i="8" s="1"/>
  <c r="BI22" i="8" s="1"/>
  <c r="BJ22" i="8" s="1"/>
  <c r="BK22" i="8" s="1"/>
  <c r="BL22" i="8" s="1"/>
  <c r="BM22" i="8" s="1"/>
  <c r="BN22" i="8" s="1"/>
  <c r="BO22" i="8" s="1"/>
  <c r="G80" i="8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AH80" i="8" s="1"/>
  <c r="AI80" i="8" s="1"/>
  <c r="AJ80" i="8" s="1"/>
  <c r="AK80" i="8" s="1"/>
  <c r="AL80" i="8" s="1"/>
  <c r="AM80" i="8" s="1"/>
  <c r="AN80" i="8" s="1"/>
  <c r="AO80" i="8" s="1"/>
  <c r="AP80" i="8" s="1"/>
  <c r="AQ80" i="8" s="1"/>
  <c r="AR80" i="8" s="1"/>
  <c r="AS80" i="8" s="1"/>
  <c r="AT80" i="8" s="1"/>
  <c r="AU80" i="8" s="1"/>
  <c r="AV80" i="8" s="1"/>
  <c r="AW80" i="8" s="1"/>
  <c r="AX80" i="8" s="1"/>
  <c r="AY80" i="8" s="1"/>
  <c r="AZ80" i="8" s="1"/>
  <c r="BA80" i="8" s="1"/>
  <c r="BB80" i="8" s="1"/>
  <c r="BC80" i="8" s="1"/>
  <c r="BD80" i="8" s="1"/>
  <c r="BE80" i="8" s="1"/>
  <c r="BF80" i="8" s="1"/>
  <c r="BG80" i="8" s="1"/>
  <c r="BH80" i="8" s="1"/>
  <c r="BI80" i="8" s="1"/>
  <c r="BJ80" i="8" s="1"/>
  <c r="BK80" i="8" s="1"/>
  <c r="BL80" i="8" s="1"/>
  <c r="BM80" i="8" s="1"/>
  <c r="BN80" i="8" s="1"/>
  <c r="BO80" i="8" s="1"/>
  <c r="G12" i="8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AH12" i="8" s="1"/>
  <c r="AI12" i="8" s="1"/>
  <c r="AJ12" i="8" s="1"/>
  <c r="AK12" i="8" s="1"/>
  <c r="AL12" i="8" s="1"/>
  <c r="AM12" i="8" s="1"/>
  <c r="AN12" i="8" s="1"/>
  <c r="AO12" i="8" s="1"/>
  <c r="AP12" i="8" s="1"/>
  <c r="AQ12" i="8" s="1"/>
  <c r="AR12" i="8" s="1"/>
  <c r="AS12" i="8" s="1"/>
  <c r="AT12" i="8" s="1"/>
  <c r="AU12" i="8" s="1"/>
  <c r="AV12" i="8" s="1"/>
  <c r="AW12" i="8" s="1"/>
  <c r="AX12" i="8" s="1"/>
  <c r="AY12" i="8" s="1"/>
  <c r="AZ12" i="8" s="1"/>
  <c r="BA12" i="8" s="1"/>
  <c r="BB12" i="8" s="1"/>
  <c r="BC12" i="8" s="1"/>
  <c r="BD12" i="8" s="1"/>
  <c r="BE12" i="8" s="1"/>
  <c r="BF12" i="8" s="1"/>
  <c r="BG12" i="8" s="1"/>
  <c r="BH12" i="8" s="1"/>
  <c r="BI12" i="8" s="1"/>
  <c r="BJ12" i="8" s="1"/>
  <c r="BK12" i="8" s="1"/>
  <c r="BL12" i="8" s="1"/>
  <c r="BM12" i="8" s="1"/>
  <c r="BN12" i="8" s="1"/>
  <c r="BO12" i="8" s="1"/>
  <c r="G89" i="8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AH89" i="8" s="1"/>
  <c r="AI89" i="8" s="1"/>
  <c r="AJ89" i="8" s="1"/>
  <c r="AK89" i="8" s="1"/>
  <c r="AL89" i="8" s="1"/>
  <c r="AM89" i="8" s="1"/>
  <c r="AN89" i="8" s="1"/>
  <c r="AO89" i="8" s="1"/>
  <c r="AP89" i="8" s="1"/>
  <c r="AQ89" i="8" s="1"/>
  <c r="AR89" i="8" s="1"/>
  <c r="AS89" i="8" s="1"/>
  <c r="AT89" i="8" s="1"/>
  <c r="AU89" i="8" s="1"/>
  <c r="AV89" i="8" s="1"/>
  <c r="AW89" i="8" s="1"/>
  <c r="AX89" i="8" s="1"/>
  <c r="AY89" i="8" s="1"/>
  <c r="AZ89" i="8" s="1"/>
  <c r="BA89" i="8" s="1"/>
  <c r="BB89" i="8" s="1"/>
  <c r="BC89" i="8" s="1"/>
  <c r="BD89" i="8" s="1"/>
  <c r="BE89" i="8" s="1"/>
  <c r="BF89" i="8" s="1"/>
  <c r="BG89" i="8" s="1"/>
  <c r="BH89" i="8" s="1"/>
  <c r="BI89" i="8" s="1"/>
  <c r="BJ89" i="8" s="1"/>
  <c r="BK89" i="8" s="1"/>
  <c r="BL89" i="8" s="1"/>
  <c r="BM89" i="8" s="1"/>
  <c r="BN89" i="8" s="1"/>
  <c r="BO89" i="8" s="1"/>
  <c r="G46" i="8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AH46" i="8" s="1"/>
  <c r="AI46" i="8" s="1"/>
  <c r="AJ46" i="8" s="1"/>
  <c r="AK46" i="8" s="1"/>
  <c r="AL46" i="8" s="1"/>
  <c r="AM46" i="8" s="1"/>
  <c r="AN46" i="8" s="1"/>
  <c r="AO46" i="8" s="1"/>
  <c r="AP46" i="8" s="1"/>
  <c r="AQ46" i="8" s="1"/>
  <c r="AR46" i="8" s="1"/>
  <c r="AS46" i="8" s="1"/>
  <c r="AT46" i="8" s="1"/>
  <c r="AU46" i="8" s="1"/>
  <c r="AV46" i="8" s="1"/>
  <c r="AW46" i="8" s="1"/>
  <c r="AX46" i="8" s="1"/>
  <c r="AY46" i="8" s="1"/>
  <c r="AZ46" i="8" s="1"/>
  <c r="BA46" i="8" s="1"/>
  <c r="BB46" i="8" s="1"/>
  <c r="BC46" i="8" s="1"/>
  <c r="BD46" i="8" s="1"/>
  <c r="BE46" i="8" s="1"/>
  <c r="BF46" i="8" s="1"/>
  <c r="BG46" i="8" s="1"/>
  <c r="BH46" i="8" s="1"/>
  <c r="BI46" i="8" s="1"/>
  <c r="BJ46" i="8" s="1"/>
  <c r="BK46" i="8" s="1"/>
  <c r="BL46" i="8" s="1"/>
  <c r="BM46" i="8" s="1"/>
  <c r="BN46" i="8" s="1"/>
  <c r="BO46" i="8" s="1"/>
  <c r="G102" i="8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AH102" i="8" s="1"/>
  <c r="AI102" i="8" s="1"/>
  <c r="AJ102" i="8" s="1"/>
  <c r="AK102" i="8" s="1"/>
  <c r="AL102" i="8" s="1"/>
  <c r="AM102" i="8" s="1"/>
  <c r="AN102" i="8" s="1"/>
  <c r="AO102" i="8" s="1"/>
  <c r="AP102" i="8" s="1"/>
  <c r="AQ102" i="8" s="1"/>
  <c r="AR102" i="8" s="1"/>
  <c r="AS102" i="8" s="1"/>
  <c r="AT102" i="8" s="1"/>
  <c r="AU102" i="8" s="1"/>
  <c r="AV102" i="8" s="1"/>
  <c r="AW102" i="8" s="1"/>
  <c r="AX102" i="8" s="1"/>
  <c r="AY102" i="8" s="1"/>
  <c r="AZ102" i="8" s="1"/>
  <c r="BA102" i="8" s="1"/>
  <c r="BB102" i="8" s="1"/>
  <c r="BC102" i="8" s="1"/>
  <c r="BD102" i="8" s="1"/>
  <c r="BE102" i="8" s="1"/>
  <c r="BF102" i="8" s="1"/>
  <c r="BG102" i="8" s="1"/>
  <c r="BH102" i="8" s="1"/>
  <c r="BI102" i="8" s="1"/>
  <c r="BJ102" i="8" s="1"/>
  <c r="BK102" i="8" s="1"/>
  <c r="BL102" i="8" s="1"/>
  <c r="BM102" i="8" s="1"/>
  <c r="BN102" i="8" s="1"/>
  <c r="BO102" i="8" s="1"/>
  <c r="G36" i="8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AH36" i="8" s="1"/>
  <c r="AI36" i="8" s="1"/>
  <c r="AJ36" i="8" s="1"/>
  <c r="AK36" i="8" s="1"/>
  <c r="AL36" i="8" s="1"/>
  <c r="AM36" i="8" s="1"/>
  <c r="AN36" i="8" s="1"/>
  <c r="AO36" i="8" s="1"/>
  <c r="AP36" i="8" s="1"/>
  <c r="AQ36" i="8" s="1"/>
  <c r="AR36" i="8" s="1"/>
  <c r="AS36" i="8" s="1"/>
  <c r="AT36" i="8" s="1"/>
  <c r="AU36" i="8" s="1"/>
  <c r="AV36" i="8" s="1"/>
  <c r="AW36" i="8" s="1"/>
  <c r="AX36" i="8" s="1"/>
  <c r="AY36" i="8" s="1"/>
  <c r="AZ36" i="8" s="1"/>
  <c r="BA36" i="8" s="1"/>
  <c r="BB36" i="8" s="1"/>
  <c r="BC36" i="8" s="1"/>
  <c r="BD36" i="8" s="1"/>
  <c r="BE36" i="8" s="1"/>
  <c r="BF36" i="8" s="1"/>
  <c r="BG36" i="8" s="1"/>
  <c r="BH36" i="8" s="1"/>
  <c r="BI36" i="8" s="1"/>
  <c r="BJ36" i="8" s="1"/>
  <c r="BK36" i="8" s="1"/>
  <c r="BL36" i="8" s="1"/>
  <c r="BM36" i="8" s="1"/>
  <c r="BN36" i="8" s="1"/>
  <c r="BO36" i="8" s="1"/>
  <c r="G70" i="8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AH70" i="8" s="1"/>
  <c r="AI70" i="8" s="1"/>
  <c r="AJ70" i="8" s="1"/>
  <c r="AK70" i="8" s="1"/>
  <c r="AL70" i="8" s="1"/>
  <c r="AM70" i="8" s="1"/>
  <c r="AN70" i="8" s="1"/>
  <c r="AO70" i="8" s="1"/>
  <c r="AP70" i="8" s="1"/>
  <c r="AQ70" i="8" s="1"/>
  <c r="AR70" i="8" s="1"/>
  <c r="AS70" i="8" s="1"/>
  <c r="AT70" i="8" s="1"/>
  <c r="AU70" i="8" s="1"/>
  <c r="AV70" i="8" s="1"/>
  <c r="AW70" i="8" s="1"/>
  <c r="AX70" i="8" s="1"/>
  <c r="AY70" i="8" s="1"/>
  <c r="AZ70" i="8" s="1"/>
  <c r="BA70" i="8" s="1"/>
  <c r="BB70" i="8" s="1"/>
  <c r="BC70" i="8" s="1"/>
  <c r="BD70" i="8" s="1"/>
  <c r="BE70" i="8" s="1"/>
  <c r="BF70" i="8" s="1"/>
  <c r="BG70" i="8" s="1"/>
  <c r="BH70" i="8" s="1"/>
  <c r="BI70" i="8" s="1"/>
  <c r="BJ70" i="8" s="1"/>
  <c r="BK70" i="8" s="1"/>
  <c r="BL70" i="8" s="1"/>
  <c r="BM70" i="8" s="1"/>
  <c r="BN70" i="8" s="1"/>
  <c r="BO70" i="8" s="1"/>
  <c r="G9" i="8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AH9" i="8" s="1"/>
  <c r="AI9" i="8" s="1"/>
  <c r="AJ9" i="8" s="1"/>
  <c r="AK9" i="8" s="1"/>
  <c r="AL9" i="8" s="1"/>
  <c r="AM9" i="8" s="1"/>
  <c r="AN9" i="8" s="1"/>
  <c r="AO9" i="8" s="1"/>
  <c r="AP9" i="8" s="1"/>
  <c r="AQ9" i="8" s="1"/>
  <c r="AR9" i="8" s="1"/>
  <c r="AS9" i="8" s="1"/>
  <c r="AT9" i="8" s="1"/>
  <c r="AU9" i="8" s="1"/>
  <c r="AV9" i="8" s="1"/>
  <c r="AW9" i="8" s="1"/>
  <c r="AX9" i="8" s="1"/>
  <c r="AY9" i="8" s="1"/>
  <c r="AZ9" i="8" s="1"/>
  <c r="BA9" i="8" s="1"/>
  <c r="BB9" i="8" s="1"/>
  <c r="BC9" i="8" s="1"/>
  <c r="BD9" i="8" s="1"/>
  <c r="BE9" i="8" s="1"/>
  <c r="BF9" i="8" s="1"/>
  <c r="BG9" i="8" s="1"/>
  <c r="BH9" i="8" s="1"/>
  <c r="BI9" i="8" s="1"/>
  <c r="BJ9" i="8" s="1"/>
  <c r="BK9" i="8" s="1"/>
  <c r="BL9" i="8" s="1"/>
  <c r="BM9" i="8" s="1"/>
  <c r="BN9" i="8" s="1"/>
  <c r="BO9" i="8" s="1"/>
  <c r="G60" i="8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AH60" i="8" s="1"/>
  <c r="AI60" i="8" s="1"/>
  <c r="AJ60" i="8" s="1"/>
  <c r="AK60" i="8" s="1"/>
  <c r="AL60" i="8" s="1"/>
  <c r="AM60" i="8" s="1"/>
  <c r="AN60" i="8" s="1"/>
  <c r="AO60" i="8" s="1"/>
  <c r="AP60" i="8" s="1"/>
  <c r="AQ60" i="8" s="1"/>
  <c r="AR60" i="8" s="1"/>
  <c r="AS60" i="8" s="1"/>
  <c r="AT60" i="8" s="1"/>
  <c r="AU60" i="8" s="1"/>
  <c r="AV60" i="8" s="1"/>
  <c r="AW60" i="8" s="1"/>
  <c r="AX60" i="8" s="1"/>
  <c r="AY60" i="8" s="1"/>
  <c r="AZ60" i="8" s="1"/>
  <c r="BA60" i="8" s="1"/>
  <c r="BB60" i="8" s="1"/>
  <c r="BC60" i="8" s="1"/>
  <c r="BD60" i="8" s="1"/>
  <c r="BE60" i="8" s="1"/>
  <c r="BF60" i="8" s="1"/>
  <c r="BG60" i="8" s="1"/>
  <c r="BH60" i="8" s="1"/>
  <c r="BI60" i="8" s="1"/>
  <c r="BJ60" i="8" s="1"/>
  <c r="BK60" i="8" s="1"/>
  <c r="BL60" i="8" s="1"/>
  <c r="BM60" i="8" s="1"/>
  <c r="BN60" i="8" s="1"/>
  <c r="BO60" i="8" s="1"/>
  <c r="G18" i="8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AH18" i="8" s="1"/>
  <c r="AI18" i="8" s="1"/>
  <c r="AJ18" i="8" s="1"/>
  <c r="AK18" i="8" s="1"/>
  <c r="AL18" i="8" s="1"/>
  <c r="AM18" i="8" s="1"/>
  <c r="AN18" i="8" s="1"/>
  <c r="AO18" i="8" s="1"/>
  <c r="AP18" i="8" s="1"/>
  <c r="AQ18" i="8" s="1"/>
  <c r="AR18" i="8" s="1"/>
  <c r="AS18" i="8" s="1"/>
  <c r="AT18" i="8" s="1"/>
  <c r="AU18" i="8" s="1"/>
  <c r="AV18" i="8" s="1"/>
  <c r="AW18" i="8" s="1"/>
  <c r="AX18" i="8" s="1"/>
  <c r="AY18" i="8" s="1"/>
  <c r="AZ18" i="8" s="1"/>
  <c r="BA18" i="8" s="1"/>
  <c r="BB18" i="8" s="1"/>
  <c r="BC18" i="8" s="1"/>
  <c r="BD18" i="8" s="1"/>
  <c r="BE18" i="8" s="1"/>
  <c r="BF18" i="8" s="1"/>
  <c r="BG18" i="8" s="1"/>
  <c r="BH18" i="8" s="1"/>
  <c r="BI18" i="8" s="1"/>
  <c r="BJ18" i="8" s="1"/>
  <c r="BK18" i="8" s="1"/>
  <c r="BL18" i="8" s="1"/>
  <c r="BM18" i="8" s="1"/>
  <c r="BN18" i="8" s="1"/>
  <c r="BO18" i="8" s="1"/>
  <c r="G94" i="8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AH94" i="8" s="1"/>
  <c r="AI94" i="8" s="1"/>
  <c r="AJ94" i="8" s="1"/>
  <c r="AK94" i="8" s="1"/>
  <c r="AL94" i="8" s="1"/>
  <c r="AM94" i="8" s="1"/>
  <c r="AN94" i="8" s="1"/>
  <c r="AO94" i="8" s="1"/>
  <c r="AP94" i="8" s="1"/>
  <c r="AQ94" i="8" s="1"/>
  <c r="AR94" i="8" s="1"/>
  <c r="AS94" i="8" s="1"/>
  <c r="AT94" i="8" s="1"/>
  <c r="AU94" i="8" s="1"/>
  <c r="AV94" i="8" s="1"/>
  <c r="AW94" i="8" s="1"/>
  <c r="AX94" i="8" s="1"/>
  <c r="AY94" i="8" s="1"/>
  <c r="AZ94" i="8" s="1"/>
  <c r="BA94" i="8" s="1"/>
  <c r="BB94" i="8" s="1"/>
  <c r="BC94" i="8" s="1"/>
  <c r="BD94" i="8" s="1"/>
  <c r="BE94" i="8" s="1"/>
  <c r="BF94" i="8" s="1"/>
  <c r="BG94" i="8" s="1"/>
  <c r="BH94" i="8" s="1"/>
  <c r="BI94" i="8" s="1"/>
  <c r="BJ94" i="8" s="1"/>
  <c r="BK94" i="8" s="1"/>
  <c r="BL94" i="8" s="1"/>
  <c r="BM94" i="8" s="1"/>
  <c r="BN94" i="8" s="1"/>
  <c r="BO94" i="8" s="1"/>
  <c r="G33" i="2"/>
  <c r="H32" i="2"/>
  <c r="BO104" i="8" l="1"/>
  <c r="G34" i="2"/>
  <c r="H33" i="2"/>
  <c r="G35" i="2" l="1"/>
  <c r="H34" i="2"/>
  <c r="G36" i="2" l="1"/>
  <c r="H35" i="2"/>
  <c r="G37" i="2" l="1"/>
  <c r="H36" i="2"/>
  <c r="G38" i="2" l="1"/>
  <c r="H37" i="2"/>
  <c r="G39" i="2" l="1"/>
  <c r="H38" i="2"/>
  <c r="G40" i="2" l="1"/>
  <c r="H39" i="2"/>
  <c r="G41" i="2" l="1"/>
  <c r="H40" i="2"/>
  <c r="G42" i="2" l="1"/>
  <c r="H41" i="2"/>
  <c r="G43" i="2" l="1"/>
  <c r="H42" i="2"/>
  <c r="G44" i="2" l="1"/>
  <c r="H43" i="2"/>
  <c r="G45" i="2" l="1"/>
  <c r="H44" i="2"/>
  <c r="G46" i="2" l="1"/>
  <c r="H45" i="2"/>
  <c r="G47" i="2" l="1"/>
  <c r="H46" i="2"/>
  <c r="G48" i="2" l="1"/>
  <c r="H47" i="2"/>
  <c r="G49" i="2" l="1"/>
  <c r="H48" i="2"/>
  <c r="G50" i="2" l="1"/>
  <c r="H49" i="2"/>
  <c r="G51" i="2" l="1"/>
  <c r="H50" i="2"/>
  <c r="G52" i="2" l="1"/>
  <c r="H51" i="2"/>
  <c r="G53" i="2" l="1"/>
  <c r="H52" i="2"/>
  <c r="G54" i="2" l="1"/>
  <c r="H53" i="2"/>
  <c r="G55" i="2" l="1"/>
  <c r="H54" i="2"/>
  <c r="G56" i="2" l="1"/>
  <c r="H55" i="2"/>
  <c r="G57" i="2" l="1"/>
  <c r="H56" i="2"/>
  <c r="G58" i="2" l="1"/>
  <c r="H57" i="2"/>
  <c r="G59" i="2" l="1"/>
  <c r="H58" i="2"/>
  <c r="G60" i="2" l="1"/>
  <c r="H59" i="2"/>
  <c r="G61" i="2" l="1"/>
  <c r="H60" i="2"/>
  <c r="G62" i="2" l="1"/>
  <c r="H61" i="2"/>
  <c r="G63" i="2" l="1"/>
  <c r="H62" i="2"/>
  <c r="G64" i="2" l="1"/>
  <c r="H63" i="2"/>
  <c r="G65" i="2" l="1"/>
  <c r="H64" i="2"/>
  <c r="G66" i="2" l="1"/>
  <c r="H65" i="2"/>
  <c r="G67" i="2" l="1"/>
  <c r="H66" i="2"/>
  <c r="G68" i="2" l="1"/>
  <c r="H67" i="2"/>
  <c r="G69" i="2" l="1"/>
  <c r="H68" i="2"/>
  <c r="G70" i="2" l="1"/>
  <c r="H69" i="2"/>
  <c r="G71" i="2" l="1"/>
  <c r="H70" i="2"/>
  <c r="G72" i="2" l="1"/>
  <c r="H71" i="2"/>
  <c r="G73" i="2" l="1"/>
  <c r="H72" i="2"/>
  <c r="G74" i="2" l="1"/>
  <c r="H73" i="2"/>
  <c r="G75" i="2" l="1"/>
  <c r="H74" i="2"/>
  <c r="G76" i="2" l="1"/>
  <c r="H75" i="2"/>
  <c r="G77" i="2" l="1"/>
  <c r="H76" i="2"/>
  <c r="G78" i="2" l="1"/>
  <c r="H77" i="2"/>
  <c r="G79" i="2" l="1"/>
  <c r="H78" i="2"/>
  <c r="G80" i="2" l="1"/>
  <c r="H79" i="2"/>
  <c r="G81" i="2" l="1"/>
  <c r="H80" i="2"/>
  <c r="G82" i="2" l="1"/>
  <c r="H81" i="2"/>
  <c r="G83" i="2" l="1"/>
  <c r="H82" i="2"/>
  <c r="G84" i="2" l="1"/>
  <c r="H83" i="2"/>
  <c r="G85" i="2" l="1"/>
  <c r="H84" i="2"/>
  <c r="G86" i="2" l="1"/>
  <c r="H85" i="2"/>
  <c r="G87" i="2" l="1"/>
  <c r="H86" i="2"/>
  <c r="G88" i="2" l="1"/>
  <c r="H87" i="2"/>
  <c r="G89" i="2" l="1"/>
  <c r="H88" i="2"/>
  <c r="G90" i="2" l="1"/>
  <c r="H89" i="2"/>
  <c r="G91" i="2" l="1"/>
  <c r="H90" i="2"/>
  <c r="G92" i="2" l="1"/>
  <c r="H91" i="2"/>
  <c r="G93" i="2" l="1"/>
  <c r="H92" i="2"/>
  <c r="G94" i="2" l="1"/>
  <c r="H93" i="2"/>
  <c r="G95" i="2" l="1"/>
  <c r="H94" i="2"/>
  <c r="G96" i="2" l="1"/>
  <c r="H95" i="2"/>
  <c r="G97" i="2" l="1"/>
  <c r="H96" i="2"/>
  <c r="G98" i="2" l="1"/>
  <c r="H97" i="2"/>
  <c r="G99" i="2" l="1"/>
  <c r="H98" i="2"/>
  <c r="G100" i="2" l="1"/>
  <c r="H99" i="2"/>
  <c r="G101" i="2" l="1"/>
  <c r="H100" i="2"/>
  <c r="G102" i="2" l="1"/>
  <c r="H101" i="2"/>
  <c r="G103" i="2" l="1"/>
  <c r="H102" i="2"/>
  <c r="G104" i="2" l="1"/>
  <c r="H103" i="2"/>
  <c r="G105" i="2" l="1"/>
  <c r="H104" i="2"/>
  <c r="G106" i="2" l="1"/>
  <c r="H105" i="2"/>
  <c r="G107" i="2" l="1"/>
  <c r="H106" i="2"/>
  <c r="G108" i="2" l="1"/>
  <c r="H107" i="2"/>
  <c r="G109" i="2" l="1"/>
  <c r="H108" i="2"/>
  <c r="G110" i="2" l="1"/>
  <c r="H109" i="2"/>
  <c r="G111" i="2" l="1"/>
  <c r="H110" i="2"/>
  <c r="G112" i="2" l="1"/>
  <c r="H111" i="2"/>
  <c r="G113" i="2" l="1"/>
  <c r="H112" i="2"/>
  <c r="G114" i="2" l="1"/>
  <c r="H113" i="2"/>
  <c r="G115" i="2" l="1"/>
  <c r="H114" i="2"/>
  <c r="G116" i="2" l="1"/>
  <c r="H115" i="2"/>
  <c r="G117" i="2" l="1"/>
  <c r="H116" i="2"/>
  <c r="G118" i="2" l="1"/>
  <c r="H117" i="2"/>
  <c r="G119" i="2" l="1"/>
  <c r="H118" i="2"/>
  <c r="G120" i="2" l="1"/>
  <c r="H119" i="2"/>
  <c r="G121" i="2" l="1"/>
  <c r="H120" i="2"/>
  <c r="G122" i="2" l="1"/>
  <c r="H121" i="2"/>
  <c r="G123" i="2" l="1"/>
  <c r="H122" i="2"/>
  <c r="G124" i="2" l="1"/>
  <c r="H123" i="2"/>
  <c r="G125" i="2" l="1"/>
  <c r="H124" i="2"/>
  <c r="G126" i="2" l="1"/>
  <c r="H125" i="2"/>
  <c r="G127" i="2" l="1"/>
  <c r="H126" i="2"/>
  <c r="G128" i="2" l="1"/>
  <c r="H127" i="2"/>
  <c r="G129" i="2" l="1"/>
  <c r="H128" i="2"/>
  <c r="G130" i="2" l="1"/>
  <c r="H129" i="2"/>
  <c r="G131" i="2" l="1"/>
  <c r="H130" i="2"/>
  <c r="G132" i="2" l="1"/>
  <c r="H131" i="2"/>
  <c r="G133" i="2" l="1"/>
  <c r="H132" i="2"/>
  <c r="G134" i="2" l="1"/>
  <c r="H133" i="2"/>
  <c r="G135" i="2" l="1"/>
  <c r="H134" i="2"/>
  <c r="G136" i="2" l="1"/>
  <c r="H135" i="2"/>
  <c r="G137" i="2" l="1"/>
  <c r="H136" i="2"/>
  <c r="G138" i="2" l="1"/>
  <c r="H137" i="2"/>
  <c r="G139" i="2" l="1"/>
  <c r="H138" i="2"/>
  <c r="G140" i="2" l="1"/>
  <c r="H139" i="2"/>
  <c r="G141" i="2" l="1"/>
  <c r="H140" i="2"/>
  <c r="G142" i="2" l="1"/>
  <c r="H141" i="2"/>
  <c r="G143" i="2" l="1"/>
  <c r="H142" i="2"/>
  <c r="G144" i="2" l="1"/>
  <c r="H143" i="2"/>
  <c r="G145" i="2" l="1"/>
  <c r="H144" i="2"/>
  <c r="G146" i="2" l="1"/>
  <c r="H145" i="2"/>
  <c r="G147" i="2" l="1"/>
  <c r="H146" i="2"/>
  <c r="G148" i="2" l="1"/>
  <c r="H147" i="2"/>
  <c r="G149" i="2" l="1"/>
  <c r="H148" i="2"/>
  <c r="G150" i="2" l="1"/>
  <c r="H149" i="2"/>
  <c r="G151" i="2" l="1"/>
  <c r="H150" i="2"/>
  <c r="G152" i="2" l="1"/>
  <c r="H151" i="2"/>
  <c r="G153" i="2" l="1"/>
  <c r="H152" i="2"/>
  <c r="G154" i="2" l="1"/>
  <c r="H153" i="2"/>
  <c r="G155" i="2" l="1"/>
  <c r="H154" i="2"/>
  <c r="G156" i="2" l="1"/>
  <c r="H155" i="2"/>
  <c r="G157" i="2" l="1"/>
  <c r="H156" i="2"/>
  <c r="G158" i="2" l="1"/>
  <c r="H157" i="2"/>
  <c r="G159" i="2" l="1"/>
  <c r="H158" i="2"/>
  <c r="G160" i="2" l="1"/>
  <c r="H159" i="2"/>
  <c r="G161" i="2" l="1"/>
  <c r="H160" i="2"/>
  <c r="G162" i="2" l="1"/>
  <c r="H161" i="2"/>
  <c r="G163" i="2" l="1"/>
  <c r="H162" i="2"/>
  <c r="G164" i="2" l="1"/>
  <c r="H163" i="2"/>
  <c r="G165" i="2" l="1"/>
  <c r="H164" i="2"/>
  <c r="G166" i="2" l="1"/>
  <c r="H165" i="2"/>
  <c r="G167" i="2" l="1"/>
  <c r="H166" i="2"/>
  <c r="G168" i="2" l="1"/>
  <c r="H167" i="2"/>
  <c r="G169" i="2" l="1"/>
  <c r="H168" i="2"/>
  <c r="G170" i="2" l="1"/>
  <c r="H169" i="2"/>
  <c r="G171" i="2" l="1"/>
  <c r="H170" i="2"/>
  <c r="G172" i="2" l="1"/>
  <c r="H171" i="2"/>
  <c r="G173" i="2" l="1"/>
  <c r="H172" i="2"/>
  <c r="G174" i="2" l="1"/>
  <c r="H173" i="2"/>
  <c r="G175" i="2" l="1"/>
  <c r="H174" i="2"/>
  <c r="G176" i="2" l="1"/>
  <c r="H175" i="2"/>
  <c r="G177" i="2" l="1"/>
  <c r="H176" i="2"/>
  <c r="G178" i="2" l="1"/>
  <c r="H177" i="2"/>
  <c r="G179" i="2" l="1"/>
  <c r="H178" i="2"/>
  <c r="G180" i="2" l="1"/>
  <c r="H179" i="2"/>
  <c r="G181" i="2" l="1"/>
  <c r="H180" i="2"/>
  <c r="G182" i="2" l="1"/>
  <c r="H181" i="2"/>
  <c r="G183" i="2" l="1"/>
  <c r="H182" i="2"/>
  <c r="G184" i="2" l="1"/>
  <c r="H183" i="2"/>
  <c r="G185" i="2" l="1"/>
  <c r="H184" i="2"/>
  <c r="G186" i="2" l="1"/>
  <c r="H185" i="2"/>
  <c r="G187" i="2" l="1"/>
  <c r="H186" i="2"/>
  <c r="G188" i="2" l="1"/>
  <c r="H187" i="2"/>
  <c r="G189" i="2" l="1"/>
  <c r="H188" i="2"/>
  <c r="G190" i="2" l="1"/>
  <c r="H189" i="2"/>
  <c r="G191" i="2" l="1"/>
  <c r="H190" i="2"/>
  <c r="G192" i="2" l="1"/>
  <c r="H192" i="2" s="1"/>
  <c r="H19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tc={24E61288-A05B-4415-AC5F-9F4F87BA746F}</author>
    <author>tc={62984D9C-D9EE-4E68-8517-7479F75A98CD}</author>
    <author>tc={080B9AF8-31C9-46A9-8FCB-79360F785379}</author>
    <author>tc={8DD0012D-81F8-4422-A839-FD6126BE03F7}</author>
  </authors>
  <commentList>
    <comment ref="C1" authorId="0" shapeId="0" xr:uid="{24E61288-A05B-4415-AC5F-9F4F87BA746F}">
      <text>
        <t>[Threaded comment]
Your version of Excel allows you to read this threaded comment; however, any edits to it will get removed if the file is opened in a newer version of Excel. Learn more: https://go.microsoft.com/fwlink/?linkid=870924
Comment:
    BRISTOL-MYERS SQUIBB CO</t>
      </text>
    </comment>
    <comment ref="D1" authorId="1" shapeId="0" xr:uid="{62984D9C-D9EE-4E68-8517-7479F75A98CD}">
      <text>
        <t>[Threaded comment]
Your version of Excel allows you to read this threaded comment; however, any edits to it will get removed if the file is opened in a newer version of Excel. Learn more: https://go.microsoft.com/fwlink/?linkid=870924
Comment:
     NETFLIX INC</t>
      </text>
    </comment>
    <comment ref="E1" authorId="2" shapeId="0" xr:uid="{080B9AF8-31C9-46A9-8FCB-79360F785379}">
      <text>
        <t>[Threaded comment]
Your version of Excel allows you to read this threaded comment; however, any edits to it will get removed if the file is opened in a newer version of Excel. Learn more: https://go.microsoft.com/fwlink/?linkid=870924
Comment:
    S&amp;P 500 INDEX</t>
      </text>
    </comment>
    <comment ref="E192" authorId="3" shapeId="0" xr:uid="{8DD0012D-81F8-4422-A839-FD6126BE0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Found on Bloomberg on 26 March 2025, 12:55 10 year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tc={3AACACB0-C02C-4CE2-9218-B2390A9FC022}</author>
    <author>tc={AEEC41BB-E16B-4F9A-ABE7-072A08C926D2}</author>
  </authors>
  <commentList>
    <comment ref="B1" authorId="0" shapeId="0" xr:uid="{3AACACB0-C02C-4CE2-9218-B2390A9FC022}">
      <text>
        <t>[Threaded comment]
Your version of Excel allows you to read this threaded comment; however, any edits to it will get removed if the file is opened in a newer version of Excel. Learn more: https://go.microsoft.com/fwlink/?linkid=870924
Comment:
    BRISTOL-MYERS SQUIBB CO</t>
      </text>
    </comment>
    <comment ref="C1" authorId="1" shapeId="0" xr:uid="{AEEC41BB-E16B-4F9A-ABE7-072A08C926D2}">
      <text>
        <t>[Threaded comment]
Your version of Excel allows you to read this threaded comment; however, any edits to it will get removed if the file is opened in a newer version of Excel. Learn more: https://go.microsoft.com/fwlink/?linkid=870924
Comment:
    S&amp;P 500 INDEX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tc={48B24D5A-D624-4DA7-A7F6-52B823268AA7}</author>
    <author>tc={F7607D63-BB2B-4014-BE5D-56D343AFA6D3}</author>
    <author>tc={9578CE7F-DA84-465D-9581-0D25AE1EE71F}</author>
    <author>tc={6C2D5754-F5B7-4B63-8983-85BE822D6C89}</author>
  </authors>
  <commentList>
    <comment ref="B4" authorId="0" shapeId="0" xr:uid="{48B24D5A-D624-4DA7-A7F6-52B823268AA7}">
      <text>
        <t>[Threaded comment]
Your version of Excel allows you to read this threaded comment; however, any edits to it will get removed if the file is opened in a newer version of Excel. Learn more: https://go.microsoft.com/fwlink/?linkid=870924
Comment:
    BRISTOL-MYERS SQUIBB CO</t>
      </text>
    </comment>
    <comment ref="C14" authorId="1" shapeId="0" xr:uid="{F7607D63-BB2B-4014-BE5D-56D343AFA6D3}">
      <text>
        <t>[Threaded comment]
Your version of Excel allows you to read this threaded comment; however, any edits to it will get removed if the file is opened in a newer version of Excel. Learn more: https://go.microsoft.com/fwlink/?linkid=870924
Comment:
    9th day stops here</t>
      </text>
    </comment>
    <comment ref="D17" authorId="2" shapeId="0" xr:uid="{9578CE7F-DA84-465D-9581-0D25AE1EE71F}">
      <text>
        <t>[Threaded comment]
Your version of Excel allows you to read this threaded comment; however, any edits to it will get removed if the file is opened in a newer version of Excel. Learn more: https://go.microsoft.com/fwlink/?linkid=870924
Comment:
    12th day stops here</t>
      </text>
    </comment>
    <comment ref="E31" authorId="3" shapeId="0" xr:uid="{6C2D5754-F5B7-4B63-8983-85BE822D6C89}">
      <text>
        <t>[Threaded comment]
Your version of Excel allows you to read this threaded comment; however, any edits to it will get removed if the file is opened in a newer version of Excel. Learn more: https://go.microsoft.com/fwlink/?linkid=870924
Comment:
    26th day ends here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tc={8503D5CB-6532-4FD3-A627-30CB9A2C11BE}</author>
  </authors>
  <commentList>
    <comment ref="B1" authorId="0" shapeId="0" xr:uid="{8503D5CB-6532-4FD3-A627-30CB9A2C11BE}">
      <text>
        <t>[Threaded comment]
Your version of Excel allows you to read this threaded comment; however, any edits to it will get removed if the file is opened in a newer version of Excel. Learn more: https://go.microsoft.com/fwlink/?linkid=870924
Comment:
    BRISTOL-MYERS SQUIBB CO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tc={1E384016-80D5-467E-9F04-C632E25E3A61}</author>
  </authors>
  <commentList>
    <comment ref="B1" authorId="0" shapeId="0" xr:uid="{1E384016-80D5-467E-9F04-C632E25E3A61}">
      <text>
        <t>[Threaded comment]
Your version of Excel allows you to read this threaded comment; however, any edits to it will get removed if the file is opened in a newer version of Excel. Learn more: https://go.microsoft.com/fwlink/?linkid=870924
Comment:
    BRISTOL-MYERS SQUIBB CO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tc={D3BD89B1-5A99-497E-B5F4-29B17B4D5F64}</author>
    <author>tc={7CC274F1-2EE9-4001-8D68-9AF1E0B447EC}</author>
  </authors>
  <commentList>
    <comment ref="B1" authorId="0" shapeId="0" xr:uid="{D3BD89B1-5A99-497E-B5F4-29B17B4D5F64}">
      <text>
        <t>[Threaded comment]
Your version of Excel allows you to read this threaded comment; however, any edits to it will get removed if the file is opened in a newer version of Excel. Learn more: https://go.microsoft.com/fwlink/?linkid=870924
Comment:
    BRISTOL-MYERS SQUIBB CO</t>
      </text>
    </comment>
    <comment ref="A183" authorId="1" shapeId="0" xr:uid="{7CC274F1-2EE9-4001-8D68-9AF1E0B447E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the remainder of the data till 31 of March 2025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tc={8B042BE1-6F5F-4620-8D4A-D26E0BD25A77}</author>
    <author>tc={A3218517-7A8F-4F8F-93C6-5E5C5F849B65}</author>
  </authors>
  <commentList>
    <comment ref="A4" authorId="0" shapeId="0" xr:uid="{8B042BE1-6F5F-4620-8D4A-D26E0BD25A77}">
      <text>
        <t>[Threaded comment]
Your version of Excel allows you to read this threaded comment; however, any edits to it will get removed if the file is opened in a newer version of Excel. Learn more: https://go.microsoft.com/fwlink/?linkid=870924
Comment:
    BRISTOL-MYERS SQUIBB CO</t>
      </text>
    </comment>
    <comment ref="B4" authorId="1" shapeId="0" xr:uid="{A3218517-7A8F-4F8F-93C6-5E5C5F849B65}">
      <text>
        <t>[Threaded comment]
Your version of Excel allows you to read this threaded comment; however, any edits to it will get removed if the file is opened in a newer version of Excel. Learn more: https://go.microsoft.com/fwlink/?linkid=870924
Comment:
    31/03/2025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tc={89859E04-E631-4606-82DA-34EE41153C0A}</author>
    <author>tc={4FB8E336-E44C-47DB-B557-D04FA15585BA}</author>
  </authors>
  <commentList>
    <comment ref="E2" authorId="0" shapeId="0" xr:uid="{89859E04-E631-4606-82DA-34EE41153C0A}">
      <text>
        <t>[Threaded comment]
Your version of Excel allows you to read this threaded comment; however, any edits to it will get removed if the file is opened in a newer version of Excel. Learn more: https://go.microsoft.com/fwlink/?linkid=870924
Comment:
    BRISTOL-MYERS SQUIBB CO</t>
      </text>
    </comment>
    <comment ref="B6" authorId="1" shapeId="0" xr:uid="{4FB8E336-E44C-47DB-B557-D04FA15585BA}">
      <text>
        <t>[Threaded comment]
Your version of Excel allows you to read this threaded comment; however, any edits to it will get removed if the file is opened in a newer version of Excel. Learn more: https://go.microsoft.com/fwlink/?linkid=870924
Comment:
    60 days 
Reply:
    3 months 
Reply:
    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<sst xmlns="http://schemas.openxmlformats.org/spreadsheetml/2006/main" count="104" uniqueCount="74">
  <si>
    <t>BMY US</t>
  </si>
  <si>
    <t>NFLX</t>
  </si>
  <si>
    <t>SPX</t>
  </si>
  <si>
    <t xml:space="preserve">BMY UN </t>
  </si>
  <si>
    <t>Date</t>
  </si>
  <si>
    <t>Last Price</t>
  </si>
  <si>
    <t xml:space="preserve">Log Return </t>
  </si>
  <si>
    <t>x-mean</t>
  </si>
  <si>
    <t>(x-mean)^2</t>
  </si>
  <si>
    <t>Count</t>
  </si>
  <si>
    <t xml:space="preserve">Risk Free rate </t>
  </si>
  <si>
    <t>Sum</t>
  </si>
  <si>
    <t>/n-1</t>
  </si>
  <si>
    <t>Average Returns</t>
  </si>
  <si>
    <t>stdev</t>
  </si>
  <si>
    <t xml:space="preserve">Annualised </t>
  </si>
  <si>
    <t>annualised</t>
  </si>
  <si>
    <t>Critical value 95%</t>
  </si>
  <si>
    <t xml:space="preserve">StDev </t>
  </si>
  <si>
    <t xml:space="preserve">Portolio value </t>
  </si>
  <si>
    <t xml:space="preserve">VAR </t>
  </si>
  <si>
    <t xml:space="preserve">The most we will lose </t>
  </si>
  <si>
    <t>Risk Free Rate</t>
  </si>
  <si>
    <t>ER_BMY UN</t>
  </si>
  <si>
    <t>ER_SPX</t>
  </si>
  <si>
    <t>Beta</t>
  </si>
  <si>
    <t>Regression</t>
  </si>
  <si>
    <t>n</t>
  </si>
  <si>
    <t>Weight</t>
  </si>
  <si>
    <t>9-Day EMA</t>
  </si>
  <si>
    <t>12-Day EMA</t>
  </si>
  <si>
    <t>26-Day EMA</t>
  </si>
  <si>
    <t xml:space="preserve">MACD Line </t>
  </si>
  <si>
    <t xml:space="preserve">Signal Line </t>
  </si>
  <si>
    <t>Histogram</t>
  </si>
  <si>
    <t xml:space="preserve">Change </t>
  </si>
  <si>
    <t>Gain</t>
  </si>
  <si>
    <t>Loss</t>
  </si>
  <si>
    <t xml:space="preserve">Average Gain </t>
  </si>
  <si>
    <t>Average Loss</t>
  </si>
  <si>
    <t>RS</t>
  </si>
  <si>
    <t xml:space="preserve">14-Day RSI </t>
  </si>
  <si>
    <t>30 Line</t>
  </si>
  <si>
    <t>70 line</t>
  </si>
  <si>
    <t>count</t>
  </si>
  <si>
    <t>20 Day MA</t>
  </si>
  <si>
    <t>STD DEV</t>
  </si>
  <si>
    <t>Upper Band</t>
  </si>
  <si>
    <t>Lower Band</t>
  </si>
  <si>
    <t xml:space="preserve">Count </t>
  </si>
  <si>
    <t>%K Line</t>
  </si>
  <si>
    <t>%D Line</t>
  </si>
  <si>
    <t xml:space="preserve">80 Line </t>
  </si>
  <si>
    <t xml:space="preserve">20 line </t>
  </si>
  <si>
    <t xml:space="preserve">European Option Model </t>
  </si>
  <si>
    <t xml:space="preserve">BMY UN Price  </t>
  </si>
  <si>
    <t>d1</t>
  </si>
  <si>
    <t xml:space="preserve">Strike Price </t>
  </si>
  <si>
    <t>d2</t>
  </si>
  <si>
    <t>Risk-Free Rate</t>
  </si>
  <si>
    <t xml:space="preserve">Volatitlity </t>
  </si>
  <si>
    <t xml:space="preserve">Time </t>
  </si>
  <si>
    <t xml:space="preserve">Call </t>
  </si>
  <si>
    <t xml:space="preserve">Option Price </t>
  </si>
  <si>
    <t>Asset</t>
  </si>
  <si>
    <t>Time</t>
  </si>
  <si>
    <t>Payoff - call</t>
  </si>
  <si>
    <t>Drift</t>
  </si>
  <si>
    <t>Volitility</t>
  </si>
  <si>
    <t>Timestep</t>
  </si>
  <si>
    <t>Risk free rate</t>
  </si>
  <si>
    <t xml:space="preserve">Maturity </t>
  </si>
  <si>
    <t xml:space="preserve">Call price </t>
  </si>
  <si>
    <t>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</si>
</sst>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0.000%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9" fontId="0" fillId="2" borderId="0" xfId="2" applyFont="1" applyFill="1"/>
    <xf numFmtId="164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9" fontId="0" fillId="0" borderId="0" xfId="0" applyNumberFormat="1"/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EMA</a:t>
            </a:r>
            <a:r>
              <a:rPr lang="en-GB" baseline="0"/>
              <a:t> for BMY UN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5.8058789545625399E-2"/>
          <c:y val="6.9356037672512236E-2"/>
          <c:w val="0.89657684395683979"/>
          <c:h val="0.73420495283358422"/>
        </c:manualLayout>
      </c:layout>
      <c:lineChart>
        <c:grouping val="standard"/>
        <c:varyColors val="0"/>
        <c:ser>
          <c:idx val="0"/>
          <c:order val="0"/>
          <c:tx>
            <c:strRef>
              <c:f>MACD!$B$4</c:f>
              <c:strCache>
                <c:ptCount val="1"/>
                <c:pt idx="0">
                  <c:v>BMY UN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MACD!$A$17:$A$192</c:f>
              <c:numCache>
                <c:formatCode>m/d/yyyy</c:formatCode>
                <c:ptCount val="176"/>
                <c:pt idx="0">
                  <c:v>45491</c:v>
                </c:pt>
                <c:pt idx="1">
                  <c:v>45492</c:v>
                </c:pt>
                <c:pt idx="2">
                  <c:v>45495</c:v>
                </c:pt>
                <c:pt idx="3">
                  <c:v>45496</c:v>
                </c:pt>
                <c:pt idx="4">
                  <c:v>45497</c:v>
                </c:pt>
                <c:pt idx="5">
                  <c:v>45498</c:v>
                </c:pt>
                <c:pt idx="6">
                  <c:v>45499</c:v>
                </c:pt>
                <c:pt idx="7">
                  <c:v>45502</c:v>
                </c:pt>
                <c:pt idx="8">
                  <c:v>45503</c:v>
                </c:pt>
                <c:pt idx="9">
                  <c:v>45504</c:v>
                </c:pt>
                <c:pt idx="10">
                  <c:v>45505</c:v>
                </c:pt>
                <c:pt idx="11">
                  <c:v>45506</c:v>
                </c:pt>
                <c:pt idx="12">
                  <c:v>45509</c:v>
                </c:pt>
                <c:pt idx="13">
                  <c:v>45510</c:v>
                </c:pt>
                <c:pt idx="14">
                  <c:v>45511</c:v>
                </c:pt>
                <c:pt idx="15">
                  <c:v>45512</c:v>
                </c:pt>
                <c:pt idx="16">
                  <c:v>45513</c:v>
                </c:pt>
                <c:pt idx="17">
                  <c:v>45516</c:v>
                </c:pt>
                <c:pt idx="18">
                  <c:v>45517</c:v>
                </c:pt>
                <c:pt idx="19">
                  <c:v>45518</c:v>
                </c:pt>
                <c:pt idx="20">
                  <c:v>45519</c:v>
                </c:pt>
                <c:pt idx="21">
                  <c:v>45520</c:v>
                </c:pt>
                <c:pt idx="22">
                  <c:v>45523</c:v>
                </c:pt>
                <c:pt idx="23">
                  <c:v>45524</c:v>
                </c:pt>
                <c:pt idx="24">
                  <c:v>45525</c:v>
                </c:pt>
                <c:pt idx="25">
                  <c:v>45526</c:v>
                </c:pt>
                <c:pt idx="26">
                  <c:v>45527</c:v>
                </c:pt>
                <c:pt idx="27">
                  <c:v>45530</c:v>
                </c:pt>
                <c:pt idx="28">
                  <c:v>45531</c:v>
                </c:pt>
                <c:pt idx="29">
                  <c:v>45532</c:v>
                </c:pt>
                <c:pt idx="30">
                  <c:v>45533</c:v>
                </c:pt>
                <c:pt idx="31">
                  <c:v>45534</c:v>
                </c:pt>
                <c:pt idx="32">
                  <c:v>45538</c:v>
                </c:pt>
                <c:pt idx="33">
                  <c:v>45539</c:v>
                </c:pt>
                <c:pt idx="34">
                  <c:v>45540</c:v>
                </c:pt>
                <c:pt idx="35">
                  <c:v>45541</c:v>
                </c:pt>
                <c:pt idx="36">
                  <c:v>45544</c:v>
                </c:pt>
                <c:pt idx="37">
                  <c:v>45545</c:v>
                </c:pt>
                <c:pt idx="38">
                  <c:v>45546</c:v>
                </c:pt>
                <c:pt idx="39">
                  <c:v>45547</c:v>
                </c:pt>
                <c:pt idx="40">
                  <c:v>45548</c:v>
                </c:pt>
                <c:pt idx="41">
                  <c:v>45551</c:v>
                </c:pt>
                <c:pt idx="42">
                  <c:v>45552</c:v>
                </c:pt>
                <c:pt idx="43">
                  <c:v>45553</c:v>
                </c:pt>
                <c:pt idx="44">
                  <c:v>45554</c:v>
                </c:pt>
                <c:pt idx="45">
                  <c:v>45555</c:v>
                </c:pt>
                <c:pt idx="46">
                  <c:v>45558</c:v>
                </c:pt>
                <c:pt idx="47">
                  <c:v>45559</c:v>
                </c:pt>
                <c:pt idx="48">
                  <c:v>45560</c:v>
                </c:pt>
                <c:pt idx="49">
                  <c:v>45561</c:v>
                </c:pt>
                <c:pt idx="50">
                  <c:v>45562</c:v>
                </c:pt>
                <c:pt idx="51">
                  <c:v>45565</c:v>
                </c:pt>
                <c:pt idx="52">
                  <c:v>45566</c:v>
                </c:pt>
                <c:pt idx="53">
                  <c:v>45567</c:v>
                </c:pt>
                <c:pt idx="54">
                  <c:v>45568</c:v>
                </c:pt>
                <c:pt idx="55">
                  <c:v>45569</c:v>
                </c:pt>
                <c:pt idx="56">
                  <c:v>45572</c:v>
                </c:pt>
                <c:pt idx="57">
                  <c:v>45573</c:v>
                </c:pt>
                <c:pt idx="58">
                  <c:v>45574</c:v>
                </c:pt>
                <c:pt idx="59">
                  <c:v>45575</c:v>
                </c:pt>
                <c:pt idx="60">
                  <c:v>45576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45586</c:v>
                </c:pt>
                <c:pt idx="67">
                  <c:v>45587</c:v>
                </c:pt>
                <c:pt idx="68">
                  <c:v>45588</c:v>
                </c:pt>
                <c:pt idx="69">
                  <c:v>45589</c:v>
                </c:pt>
                <c:pt idx="70">
                  <c:v>45590</c:v>
                </c:pt>
                <c:pt idx="71">
                  <c:v>45593</c:v>
                </c:pt>
                <c:pt idx="72">
                  <c:v>45594</c:v>
                </c:pt>
                <c:pt idx="73">
                  <c:v>45595</c:v>
                </c:pt>
                <c:pt idx="74">
                  <c:v>45596</c:v>
                </c:pt>
                <c:pt idx="75">
                  <c:v>45597</c:v>
                </c:pt>
                <c:pt idx="76">
                  <c:v>45600</c:v>
                </c:pt>
                <c:pt idx="77">
                  <c:v>45601</c:v>
                </c:pt>
                <c:pt idx="78">
                  <c:v>45602</c:v>
                </c:pt>
                <c:pt idx="79">
                  <c:v>45603</c:v>
                </c:pt>
                <c:pt idx="80">
                  <c:v>45604</c:v>
                </c:pt>
                <c:pt idx="81">
                  <c:v>45607</c:v>
                </c:pt>
                <c:pt idx="82">
                  <c:v>45608</c:v>
                </c:pt>
                <c:pt idx="83">
                  <c:v>45609</c:v>
                </c:pt>
                <c:pt idx="84">
                  <c:v>45610</c:v>
                </c:pt>
                <c:pt idx="85">
                  <c:v>45611</c:v>
                </c:pt>
                <c:pt idx="86">
                  <c:v>45614</c:v>
                </c:pt>
                <c:pt idx="87">
                  <c:v>45615</c:v>
                </c:pt>
                <c:pt idx="88">
                  <c:v>45616</c:v>
                </c:pt>
                <c:pt idx="89">
                  <c:v>45617</c:v>
                </c:pt>
                <c:pt idx="90">
                  <c:v>45618</c:v>
                </c:pt>
                <c:pt idx="91">
                  <c:v>45621</c:v>
                </c:pt>
                <c:pt idx="92">
                  <c:v>45622</c:v>
                </c:pt>
                <c:pt idx="93">
                  <c:v>45623</c:v>
                </c:pt>
                <c:pt idx="94">
                  <c:v>45625</c:v>
                </c:pt>
                <c:pt idx="95">
                  <c:v>45628</c:v>
                </c:pt>
                <c:pt idx="96">
                  <c:v>45629</c:v>
                </c:pt>
                <c:pt idx="97">
                  <c:v>45630</c:v>
                </c:pt>
                <c:pt idx="98">
                  <c:v>45631</c:v>
                </c:pt>
                <c:pt idx="99">
                  <c:v>45632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45642</c:v>
                </c:pt>
                <c:pt idx="106">
                  <c:v>45643</c:v>
                </c:pt>
                <c:pt idx="107">
                  <c:v>45644</c:v>
                </c:pt>
                <c:pt idx="108">
                  <c:v>45645</c:v>
                </c:pt>
                <c:pt idx="109">
                  <c:v>45646</c:v>
                </c:pt>
                <c:pt idx="110">
                  <c:v>45649</c:v>
                </c:pt>
                <c:pt idx="111">
                  <c:v>45650</c:v>
                </c:pt>
                <c:pt idx="112">
                  <c:v>45652</c:v>
                </c:pt>
                <c:pt idx="113">
                  <c:v>45653</c:v>
                </c:pt>
                <c:pt idx="114">
                  <c:v>45656</c:v>
                </c:pt>
                <c:pt idx="115">
                  <c:v>45657</c:v>
                </c:pt>
                <c:pt idx="116">
                  <c:v>45659</c:v>
                </c:pt>
                <c:pt idx="117">
                  <c:v>45660</c:v>
                </c:pt>
                <c:pt idx="118">
                  <c:v>45663</c:v>
                </c:pt>
                <c:pt idx="119">
                  <c:v>45664</c:v>
                </c:pt>
                <c:pt idx="120">
                  <c:v>45665</c:v>
                </c:pt>
                <c:pt idx="121">
                  <c:v>45667</c:v>
                </c:pt>
                <c:pt idx="122">
                  <c:v>45670</c:v>
                </c:pt>
                <c:pt idx="123">
                  <c:v>45671</c:v>
                </c:pt>
                <c:pt idx="124">
                  <c:v>45672</c:v>
                </c:pt>
                <c:pt idx="125">
                  <c:v>45673</c:v>
                </c:pt>
                <c:pt idx="126">
                  <c:v>45674</c:v>
                </c:pt>
                <c:pt idx="127">
                  <c:v>45678</c:v>
                </c:pt>
                <c:pt idx="128">
                  <c:v>45679</c:v>
                </c:pt>
                <c:pt idx="129">
                  <c:v>45680</c:v>
                </c:pt>
                <c:pt idx="130">
                  <c:v>45681</c:v>
                </c:pt>
                <c:pt idx="131">
                  <c:v>45684</c:v>
                </c:pt>
                <c:pt idx="132">
                  <c:v>45685</c:v>
                </c:pt>
                <c:pt idx="133">
                  <c:v>45686</c:v>
                </c:pt>
                <c:pt idx="134">
                  <c:v>45687</c:v>
                </c:pt>
                <c:pt idx="135">
                  <c:v>45688</c:v>
                </c:pt>
                <c:pt idx="136">
                  <c:v>45691</c:v>
                </c:pt>
                <c:pt idx="137">
                  <c:v>45692</c:v>
                </c:pt>
                <c:pt idx="138">
                  <c:v>45693</c:v>
                </c:pt>
                <c:pt idx="139">
                  <c:v>45694</c:v>
                </c:pt>
                <c:pt idx="140">
                  <c:v>45695</c:v>
                </c:pt>
                <c:pt idx="141">
                  <c:v>45698</c:v>
                </c:pt>
                <c:pt idx="142">
                  <c:v>45699</c:v>
                </c:pt>
                <c:pt idx="143">
                  <c:v>45700</c:v>
                </c:pt>
                <c:pt idx="144">
                  <c:v>45701</c:v>
                </c:pt>
                <c:pt idx="145">
                  <c:v>45702</c:v>
                </c:pt>
                <c:pt idx="146">
                  <c:v>45706</c:v>
                </c:pt>
                <c:pt idx="147">
                  <c:v>45707</c:v>
                </c:pt>
                <c:pt idx="148">
                  <c:v>45708</c:v>
                </c:pt>
                <c:pt idx="149">
                  <c:v>45709</c:v>
                </c:pt>
                <c:pt idx="150">
                  <c:v>45712</c:v>
                </c:pt>
                <c:pt idx="151">
                  <c:v>45713</c:v>
                </c:pt>
                <c:pt idx="152">
                  <c:v>45714</c:v>
                </c:pt>
                <c:pt idx="153">
                  <c:v>45715</c:v>
                </c:pt>
                <c:pt idx="154">
                  <c:v>45716</c:v>
                </c:pt>
                <c:pt idx="155">
                  <c:v>45719</c:v>
                </c:pt>
                <c:pt idx="156">
                  <c:v>45720</c:v>
                </c:pt>
                <c:pt idx="157">
                  <c:v>45721</c:v>
                </c:pt>
                <c:pt idx="158">
                  <c:v>45722</c:v>
                </c:pt>
                <c:pt idx="159">
                  <c:v>45723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45733</c:v>
                </c:pt>
                <c:pt idx="166">
                  <c:v>45734</c:v>
                </c:pt>
                <c:pt idx="167">
                  <c:v>45735</c:v>
                </c:pt>
                <c:pt idx="168">
                  <c:v>45736</c:v>
                </c:pt>
                <c:pt idx="169">
                  <c:v>45737</c:v>
                </c:pt>
                <c:pt idx="170">
                  <c:v>45740</c:v>
                </c:pt>
                <c:pt idx="171">
                  <c:v>45741</c:v>
                </c:pt>
                <c:pt idx="172">
                  <c:v>45742</c:v>
                </c:pt>
                <c:pt idx="173">
                  <c:v>45743</c:v>
                </c:pt>
                <c:pt idx="174">
                  <c:v>45744</c:v>
                </c:pt>
                <c:pt idx="175">
                  <c:v>45747</c:v>
                </c:pt>
              </c:numCache>
            </c:numRef>
          </c:cat>
          <c:val>
            <c:numRef>
              <c:f>MACD!$B$17:$B$192</c:f>
              <c:numCache>
                <c:formatCode>General</c:formatCode>
                <c:ptCount val="176"/>
                <c:pt idx="0">
                  <c:v>42.39</c:v>
                </c:pt>
                <c:pt idx="1">
                  <c:v>42.64</c:v>
                </c:pt>
                <c:pt idx="2">
                  <c:v>42.67</c:v>
                </c:pt>
                <c:pt idx="3">
                  <c:v>42.98</c:v>
                </c:pt>
                <c:pt idx="4">
                  <c:v>44.66</c:v>
                </c:pt>
                <c:pt idx="5">
                  <c:v>45.27</c:v>
                </c:pt>
                <c:pt idx="6">
                  <c:v>50.45</c:v>
                </c:pt>
                <c:pt idx="7">
                  <c:v>48.98</c:v>
                </c:pt>
                <c:pt idx="8">
                  <c:v>49.05</c:v>
                </c:pt>
                <c:pt idx="9">
                  <c:v>47.56</c:v>
                </c:pt>
                <c:pt idx="10">
                  <c:v>48.17</c:v>
                </c:pt>
                <c:pt idx="11">
                  <c:v>48.77</c:v>
                </c:pt>
                <c:pt idx="12">
                  <c:v>47.59</c:v>
                </c:pt>
                <c:pt idx="13">
                  <c:v>47.31</c:v>
                </c:pt>
                <c:pt idx="14">
                  <c:v>46.5</c:v>
                </c:pt>
                <c:pt idx="15">
                  <c:v>46.85</c:v>
                </c:pt>
                <c:pt idx="16">
                  <c:v>46.72</c:v>
                </c:pt>
                <c:pt idx="17">
                  <c:v>47.06</c:v>
                </c:pt>
                <c:pt idx="18">
                  <c:v>49.06</c:v>
                </c:pt>
                <c:pt idx="19">
                  <c:v>48.41</c:v>
                </c:pt>
                <c:pt idx="20">
                  <c:v>49.11</c:v>
                </c:pt>
                <c:pt idx="21">
                  <c:v>49.36</c:v>
                </c:pt>
                <c:pt idx="22">
                  <c:v>49.3</c:v>
                </c:pt>
                <c:pt idx="23">
                  <c:v>48.98</c:v>
                </c:pt>
                <c:pt idx="24">
                  <c:v>48.44</c:v>
                </c:pt>
                <c:pt idx="25">
                  <c:v>47.62</c:v>
                </c:pt>
                <c:pt idx="26">
                  <c:v>48.11</c:v>
                </c:pt>
                <c:pt idx="27">
                  <c:v>48.24</c:v>
                </c:pt>
                <c:pt idx="28">
                  <c:v>48.12</c:v>
                </c:pt>
                <c:pt idx="29">
                  <c:v>49.06</c:v>
                </c:pt>
                <c:pt idx="30">
                  <c:v>49.72</c:v>
                </c:pt>
                <c:pt idx="31">
                  <c:v>49.95</c:v>
                </c:pt>
                <c:pt idx="32">
                  <c:v>50.52</c:v>
                </c:pt>
                <c:pt idx="33">
                  <c:v>49.96</c:v>
                </c:pt>
                <c:pt idx="34">
                  <c:v>49.8</c:v>
                </c:pt>
                <c:pt idx="35">
                  <c:v>48.7</c:v>
                </c:pt>
                <c:pt idx="36">
                  <c:v>48.5</c:v>
                </c:pt>
                <c:pt idx="37">
                  <c:v>49.28</c:v>
                </c:pt>
                <c:pt idx="38">
                  <c:v>48.59</c:v>
                </c:pt>
                <c:pt idx="39">
                  <c:v>48.24</c:v>
                </c:pt>
                <c:pt idx="40">
                  <c:v>49.13</c:v>
                </c:pt>
                <c:pt idx="41">
                  <c:v>49.99</c:v>
                </c:pt>
                <c:pt idx="42">
                  <c:v>49.49</c:v>
                </c:pt>
                <c:pt idx="43">
                  <c:v>49.74</c:v>
                </c:pt>
                <c:pt idx="44">
                  <c:v>49.02</c:v>
                </c:pt>
                <c:pt idx="45">
                  <c:v>49.41</c:v>
                </c:pt>
                <c:pt idx="46">
                  <c:v>50.01</c:v>
                </c:pt>
                <c:pt idx="47">
                  <c:v>50.94</c:v>
                </c:pt>
                <c:pt idx="48">
                  <c:v>49.95</c:v>
                </c:pt>
                <c:pt idx="49">
                  <c:v>50.12</c:v>
                </c:pt>
                <c:pt idx="50">
                  <c:v>50.91</c:v>
                </c:pt>
                <c:pt idx="51">
                  <c:v>51.74</c:v>
                </c:pt>
                <c:pt idx="52">
                  <c:v>52.9</c:v>
                </c:pt>
                <c:pt idx="53">
                  <c:v>53.76</c:v>
                </c:pt>
                <c:pt idx="54">
                  <c:v>54.2</c:v>
                </c:pt>
                <c:pt idx="55">
                  <c:v>53.96</c:v>
                </c:pt>
                <c:pt idx="56">
                  <c:v>53.44</c:v>
                </c:pt>
                <c:pt idx="57">
                  <c:v>52.48</c:v>
                </c:pt>
                <c:pt idx="58">
                  <c:v>52.8</c:v>
                </c:pt>
                <c:pt idx="59">
                  <c:v>52.4</c:v>
                </c:pt>
                <c:pt idx="60">
                  <c:v>52.2</c:v>
                </c:pt>
                <c:pt idx="61">
                  <c:v>52.67</c:v>
                </c:pt>
                <c:pt idx="62">
                  <c:v>52.76</c:v>
                </c:pt>
                <c:pt idx="63">
                  <c:v>53.37</c:v>
                </c:pt>
                <c:pt idx="64">
                  <c:v>53.18</c:v>
                </c:pt>
                <c:pt idx="65">
                  <c:v>53.22</c:v>
                </c:pt>
                <c:pt idx="66">
                  <c:v>52.12</c:v>
                </c:pt>
                <c:pt idx="67">
                  <c:v>52.76</c:v>
                </c:pt>
                <c:pt idx="68">
                  <c:v>53.06</c:v>
                </c:pt>
                <c:pt idx="69">
                  <c:v>52.92</c:v>
                </c:pt>
                <c:pt idx="70">
                  <c:v>51.92</c:v>
                </c:pt>
                <c:pt idx="71">
                  <c:v>52.64</c:v>
                </c:pt>
                <c:pt idx="72">
                  <c:v>52.5</c:v>
                </c:pt>
                <c:pt idx="73">
                  <c:v>52.66</c:v>
                </c:pt>
                <c:pt idx="74">
                  <c:v>55.77</c:v>
                </c:pt>
                <c:pt idx="75">
                  <c:v>54.32</c:v>
                </c:pt>
                <c:pt idx="76">
                  <c:v>55.45</c:v>
                </c:pt>
                <c:pt idx="77">
                  <c:v>55.95</c:v>
                </c:pt>
                <c:pt idx="78">
                  <c:v>55.28</c:v>
                </c:pt>
                <c:pt idx="79">
                  <c:v>54.71</c:v>
                </c:pt>
                <c:pt idx="80">
                  <c:v>54.14</c:v>
                </c:pt>
                <c:pt idx="81">
                  <c:v>59.82</c:v>
                </c:pt>
                <c:pt idx="82">
                  <c:v>59.02</c:v>
                </c:pt>
                <c:pt idx="83">
                  <c:v>58.41</c:v>
                </c:pt>
                <c:pt idx="84">
                  <c:v>58.5</c:v>
                </c:pt>
                <c:pt idx="85">
                  <c:v>56.22</c:v>
                </c:pt>
                <c:pt idx="86">
                  <c:v>56.8</c:v>
                </c:pt>
                <c:pt idx="87">
                  <c:v>58.23</c:v>
                </c:pt>
                <c:pt idx="88">
                  <c:v>57.88</c:v>
                </c:pt>
                <c:pt idx="89">
                  <c:v>58.23</c:v>
                </c:pt>
                <c:pt idx="90">
                  <c:v>58.87</c:v>
                </c:pt>
                <c:pt idx="91">
                  <c:v>58.78</c:v>
                </c:pt>
                <c:pt idx="92">
                  <c:v>58.74</c:v>
                </c:pt>
                <c:pt idx="93">
                  <c:v>59.27</c:v>
                </c:pt>
                <c:pt idx="94">
                  <c:v>59.22</c:v>
                </c:pt>
                <c:pt idx="95">
                  <c:v>59.94</c:v>
                </c:pt>
                <c:pt idx="96">
                  <c:v>58.69</c:v>
                </c:pt>
                <c:pt idx="97">
                  <c:v>58.37</c:v>
                </c:pt>
                <c:pt idx="98">
                  <c:v>58.84</c:v>
                </c:pt>
                <c:pt idx="99">
                  <c:v>59.38</c:v>
                </c:pt>
                <c:pt idx="100">
                  <c:v>58.71</c:v>
                </c:pt>
                <c:pt idx="101">
                  <c:v>58.12</c:v>
                </c:pt>
                <c:pt idx="102">
                  <c:v>56.65</c:v>
                </c:pt>
                <c:pt idx="103">
                  <c:v>56.28</c:v>
                </c:pt>
                <c:pt idx="104">
                  <c:v>55.78</c:v>
                </c:pt>
                <c:pt idx="105">
                  <c:v>55.87</c:v>
                </c:pt>
                <c:pt idx="106">
                  <c:v>57.65</c:v>
                </c:pt>
                <c:pt idx="107">
                  <c:v>56.84</c:v>
                </c:pt>
                <c:pt idx="108">
                  <c:v>56.3</c:v>
                </c:pt>
                <c:pt idx="109">
                  <c:v>57.33</c:v>
                </c:pt>
                <c:pt idx="110">
                  <c:v>57.58</c:v>
                </c:pt>
                <c:pt idx="111">
                  <c:v>57.76</c:v>
                </c:pt>
                <c:pt idx="112">
                  <c:v>58</c:v>
                </c:pt>
                <c:pt idx="113">
                  <c:v>57.68</c:v>
                </c:pt>
                <c:pt idx="114">
                  <c:v>56.06</c:v>
                </c:pt>
                <c:pt idx="115">
                  <c:v>56.56</c:v>
                </c:pt>
                <c:pt idx="116">
                  <c:v>56.79</c:v>
                </c:pt>
                <c:pt idx="117">
                  <c:v>56.57</c:v>
                </c:pt>
                <c:pt idx="118">
                  <c:v>56.68</c:v>
                </c:pt>
                <c:pt idx="119">
                  <c:v>57.14</c:v>
                </c:pt>
                <c:pt idx="120">
                  <c:v>56.81</c:v>
                </c:pt>
                <c:pt idx="121">
                  <c:v>55.83</c:v>
                </c:pt>
                <c:pt idx="122">
                  <c:v>55.36</c:v>
                </c:pt>
                <c:pt idx="123">
                  <c:v>55.74</c:v>
                </c:pt>
                <c:pt idx="124">
                  <c:v>55.91</c:v>
                </c:pt>
                <c:pt idx="125">
                  <c:v>56.38</c:v>
                </c:pt>
                <c:pt idx="126">
                  <c:v>56.29</c:v>
                </c:pt>
                <c:pt idx="127">
                  <c:v>57.04</c:v>
                </c:pt>
                <c:pt idx="128">
                  <c:v>57.09</c:v>
                </c:pt>
                <c:pt idx="129">
                  <c:v>59.14</c:v>
                </c:pt>
                <c:pt idx="130">
                  <c:v>59.67</c:v>
                </c:pt>
                <c:pt idx="131">
                  <c:v>60.6</c:v>
                </c:pt>
                <c:pt idx="132">
                  <c:v>58.76</c:v>
                </c:pt>
                <c:pt idx="133">
                  <c:v>59.05</c:v>
                </c:pt>
                <c:pt idx="134">
                  <c:v>59.14</c:v>
                </c:pt>
                <c:pt idx="135">
                  <c:v>58.95</c:v>
                </c:pt>
                <c:pt idx="136">
                  <c:v>59.95</c:v>
                </c:pt>
                <c:pt idx="137">
                  <c:v>59.12</c:v>
                </c:pt>
                <c:pt idx="138">
                  <c:v>59.71</c:v>
                </c:pt>
                <c:pt idx="139">
                  <c:v>57.42</c:v>
                </c:pt>
                <c:pt idx="140">
                  <c:v>56.85</c:v>
                </c:pt>
                <c:pt idx="141">
                  <c:v>55.53</c:v>
                </c:pt>
                <c:pt idx="142">
                  <c:v>55.94</c:v>
                </c:pt>
                <c:pt idx="143">
                  <c:v>56.15</c:v>
                </c:pt>
                <c:pt idx="144">
                  <c:v>55.97</c:v>
                </c:pt>
                <c:pt idx="145">
                  <c:v>53.9</c:v>
                </c:pt>
                <c:pt idx="146">
                  <c:v>54.43</c:v>
                </c:pt>
                <c:pt idx="147">
                  <c:v>54.98</c:v>
                </c:pt>
                <c:pt idx="148">
                  <c:v>55.79</c:v>
                </c:pt>
                <c:pt idx="149">
                  <c:v>55.83</c:v>
                </c:pt>
                <c:pt idx="150">
                  <c:v>57.88</c:v>
                </c:pt>
                <c:pt idx="151">
                  <c:v>58.21</c:v>
                </c:pt>
                <c:pt idx="152">
                  <c:v>57.38</c:v>
                </c:pt>
                <c:pt idx="153">
                  <c:v>58.8</c:v>
                </c:pt>
                <c:pt idx="154">
                  <c:v>59.62</c:v>
                </c:pt>
                <c:pt idx="155">
                  <c:v>59.87</c:v>
                </c:pt>
                <c:pt idx="156">
                  <c:v>59.44</c:v>
                </c:pt>
                <c:pt idx="157">
                  <c:v>59.82</c:v>
                </c:pt>
                <c:pt idx="158">
                  <c:v>60.18</c:v>
                </c:pt>
                <c:pt idx="159">
                  <c:v>61.09</c:v>
                </c:pt>
                <c:pt idx="160">
                  <c:v>63.11</c:v>
                </c:pt>
                <c:pt idx="161">
                  <c:v>61.51</c:v>
                </c:pt>
                <c:pt idx="162">
                  <c:v>59.81</c:v>
                </c:pt>
                <c:pt idx="163">
                  <c:v>60.28</c:v>
                </c:pt>
                <c:pt idx="164">
                  <c:v>59.01</c:v>
                </c:pt>
                <c:pt idx="165">
                  <c:v>59.99</c:v>
                </c:pt>
                <c:pt idx="166">
                  <c:v>59.9</c:v>
                </c:pt>
                <c:pt idx="167">
                  <c:v>60.08</c:v>
                </c:pt>
                <c:pt idx="168">
                  <c:v>60.42</c:v>
                </c:pt>
                <c:pt idx="169">
                  <c:v>60.99</c:v>
                </c:pt>
                <c:pt idx="170">
                  <c:v>61.05</c:v>
                </c:pt>
                <c:pt idx="171">
                  <c:v>59.19</c:v>
                </c:pt>
                <c:pt idx="172">
                  <c:v>59.21</c:v>
                </c:pt>
                <c:pt idx="173">
                  <c:v>58.9</c:v>
                </c:pt>
                <c:pt idx="174">
                  <c:v>60.02</c:v>
                </c:pt>
                <c:pt idx="175">
                  <c:v>60.99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4-471F-A094-64C2C72DA596}"/>
            </c:ext>
          </c:extLst>
        </c:ser>
        <c:ser>
          <c:idx val="1"/>
          <c:order val="1"/>
          <c:tx>
            <c:strRef>
              <c:f>MACD!$D$4</c:f>
              <c:strCache>
                <c:ptCount val="1"/>
                <c:pt idx="0">
                  <c:v>12-Day EMA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MACD!$A$17:$A$192</c:f>
              <c:numCache>
                <c:formatCode>m/d/yyyy</c:formatCode>
                <c:ptCount val="176"/>
                <c:pt idx="0">
                  <c:v>45491</c:v>
                </c:pt>
                <c:pt idx="1">
                  <c:v>45492</c:v>
                </c:pt>
                <c:pt idx="2">
                  <c:v>45495</c:v>
                </c:pt>
                <c:pt idx="3">
                  <c:v>45496</c:v>
                </c:pt>
                <c:pt idx="4">
                  <c:v>45497</c:v>
                </c:pt>
                <c:pt idx="5">
                  <c:v>45498</c:v>
                </c:pt>
                <c:pt idx="6">
                  <c:v>45499</c:v>
                </c:pt>
                <c:pt idx="7">
                  <c:v>45502</c:v>
                </c:pt>
                <c:pt idx="8">
                  <c:v>45503</c:v>
                </c:pt>
                <c:pt idx="9">
                  <c:v>45504</c:v>
                </c:pt>
                <c:pt idx="10">
                  <c:v>45505</c:v>
                </c:pt>
                <c:pt idx="11">
                  <c:v>45506</c:v>
                </c:pt>
                <c:pt idx="12">
                  <c:v>45509</c:v>
                </c:pt>
                <c:pt idx="13">
                  <c:v>45510</c:v>
                </c:pt>
                <c:pt idx="14">
                  <c:v>45511</c:v>
                </c:pt>
                <c:pt idx="15">
                  <c:v>45512</c:v>
                </c:pt>
                <c:pt idx="16">
                  <c:v>45513</c:v>
                </c:pt>
                <c:pt idx="17">
                  <c:v>45516</c:v>
                </c:pt>
                <c:pt idx="18">
                  <c:v>45517</c:v>
                </c:pt>
                <c:pt idx="19">
                  <c:v>45518</c:v>
                </c:pt>
                <c:pt idx="20">
                  <c:v>45519</c:v>
                </c:pt>
                <c:pt idx="21">
                  <c:v>45520</c:v>
                </c:pt>
                <c:pt idx="22">
                  <c:v>45523</c:v>
                </c:pt>
                <c:pt idx="23">
                  <c:v>45524</c:v>
                </c:pt>
                <c:pt idx="24">
                  <c:v>45525</c:v>
                </c:pt>
                <c:pt idx="25">
                  <c:v>45526</c:v>
                </c:pt>
                <c:pt idx="26">
                  <c:v>45527</c:v>
                </c:pt>
                <c:pt idx="27">
                  <c:v>45530</c:v>
                </c:pt>
                <c:pt idx="28">
                  <c:v>45531</c:v>
                </c:pt>
                <c:pt idx="29">
                  <c:v>45532</c:v>
                </c:pt>
                <c:pt idx="30">
                  <c:v>45533</c:v>
                </c:pt>
                <c:pt idx="31">
                  <c:v>45534</c:v>
                </c:pt>
                <c:pt idx="32">
                  <c:v>45538</c:v>
                </c:pt>
                <c:pt idx="33">
                  <c:v>45539</c:v>
                </c:pt>
                <c:pt idx="34">
                  <c:v>45540</c:v>
                </c:pt>
                <c:pt idx="35">
                  <c:v>45541</c:v>
                </c:pt>
                <c:pt idx="36">
                  <c:v>45544</c:v>
                </c:pt>
                <c:pt idx="37">
                  <c:v>45545</c:v>
                </c:pt>
                <c:pt idx="38">
                  <c:v>45546</c:v>
                </c:pt>
                <c:pt idx="39">
                  <c:v>45547</c:v>
                </c:pt>
                <c:pt idx="40">
                  <c:v>45548</c:v>
                </c:pt>
                <c:pt idx="41">
                  <c:v>45551</c:v>
                </c:pt>
                <c:pt idx="42">
                  <c:v>45552</c:v>
                </c:pt>
                <c:pt idx="43">
                  <c:v>45553</c:v>
                </c:pt>
                <c:pt idx="44">
                  <c:v>45554</c:v>
                </c:pt>
                <c:pt idx="45">
                  <c:v>45555</c:v>
                </c:pt>
                <c:pt idx="46">
                  <c:v>45558</c:v>
                </c:pt>
                <c:pt idx="47">
                  <c:v>45559</c:v>
                </c:pt>
                <c:pt idx="48">
                  <c:v>45560</c:v>
                </c:pt>
                <c:pt idx="49">
                  <c:v>45561</c:v>
                </c:pt>
                <c:pt idx="50">
                  <c:v>45562</c:v>
                </c:pt>
                <c:pt idx="51">
                  <c:v>45565</c:v>
                </c:pt>
                <c:pt idx="52">
                  <c:v>45566</c:v>
                </c:pt>
                <c:pt idx="53">
                  <c:v>45567</c:v>
                </c:pt>
                <c:pt idx="54">
                  <c:v>45568</c:v>
                </c:pt>
                <c:pt idx="55">
                  <c:v>45569</c:v>
                </c:pt>
                <c:pt idx="56">
                  <c:v>45572</c:v>
                </c:pt>
                <c:pt idx="57">
                  <c:v>45573</c:v>
                </c:pt>
                <c:pt idx="58">
                  <c:v>45574</c:v>
                </c:pt>
                <c:pt idx="59">
                  <c:v>45575</c:v>
                </c:pt>
                <c:pt idx="60">
                  <c:v>45576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45586</c:v>
                </c:pt>
                <c:pt idx="67">
                  <c:v>45587</c:v>
                </c:pt>
                <c:pt idx="68">
                  <c:v>45588</c:v>
                </c:pt>
                <c:pt idx="69">
                  <c:v>45589</c:v>
                </c:pt>
                <c:pt idx="70">
                  <c:v>45590</c:v>
                </c:pt>
                <c:pt idx="71">
                  <c:v>45593</c:v>
                </c:pt>
                <c:pt idx="72">
                  <c:v>45594</c:v>
                </c:pt>
                <c:pt idx="73">
                  <c:v>45595</c:v>
                </c:pt>
                <c:pt idx="74">
                  <c:v>45596</c:v>
                </c:pt>
                <c:pt idx="75">
                  <c:v>45597</c:v>
                </c:pt>
                <c:pt idx="76">
                  <c:v>45600</c:v>
                </c:pt>
                <c:pt idx="77">
                  <c:v>45601</c:v>
                </c:pt>
                <c:pt idx="78">
                  <c:v>45602</c:v>
                </c:pt>
                <c:pt idx="79">
                  <c:v>45603</c:v>
                </c:pt>
                <c:pt idx="80">
                  <c:v>45604</c:v>
                </c:pt>
                <c:pt idx="81">
                  <c:v>45607</c:v>
                </c:pt>
                <c:pt idx="82">
                  <c:v>45608</c:v>
                </c:pt>
                <c:pt idx="83">
                  <c:v>45609</c:v>
                </c:pt>
                <c:pt idx="84">
                  <c:v>45610</c:v>
                </c:pt>
                <c:pt idx="85">
                  <c:v>45611</c:v>
                </c:pt>
                <c:pt idx="86">
                  <c:v>45614</c:v>
                </c:pt>
                <c:pt idx="87">
                  <c:v>45615</c:v>
                </c:pt>
                <c:pt idx="88">
                  <c:v>45616</c:v>
                </c:pt>
                <c:pt idx="89">
                  <c:v>45617</c:v>
                </c:pt>
                <c:pt idx="90">
                  <c:v>45618</c:v>
                </c:pt>
                <c:pt idx="91">
                  <c:v>45621</c:v>
                </c:pt>
                <c:pt idx="92">
                  <c:v>45622</c:v>
                </c:pt>
                <c:pt idx="93">
                  <c:v>45623</c:v>
                </c:pt>
                <c:pt idx="94">
                  <c:v>45625</c:v>
                </c:pt>
                <c:pt idx="95">
                  <c:v>45628</c:v>
                </c:pt>
                <c:pt idx="96">
                  <c:v>45629</c:v>
                </c:pt>
                <c:pt idx="97">
                  <c:v>45630</c:v>
                </c:pt>
                <c:pt idx="98">
                  <c:v>45631</c:v>
                </c:pt>
                <c:pt idx="99">
                  <c:v>45632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45642</c:v>
                </c:pt>
                <c:pt idx="106">
                  <c:v>45643</c:v>
                </c:pt>
                <c:pt idx="107">
                  <c:v>45644</c:v>
                </c:pt>
                <c:pt idx="108">
                  <c:v>45645</c:v>
                </c:pt>
                <c:pt idx="109">
                  <c:v>45646</c:v>
                </c:pt>
                <c:pt idx="110">
                  <c:v>45649</c:v>
                </c:pt>
                <c:pt idx="111">
                  <c:v>45650</c:v>
                </c:pt>
                <c:pt idx="112">
                  <c:v>45652</c:v>
                </c:pt>
                <c:pt idx="113">
                  <c:v>45653</c:v>
                </c:pt>
                <c:pt idx="114">
                  <c:v>45656</c:v>
                </c:pt>
                <c:pt idx="115">
                  <c:v>45657</c:v>
                </c:pt>
                <c:pt idx="116">
                  <c:v>45659</c:v>
                </c:pt>
                <c:pt idx="117">
                  <c:v>45660</c:v>
                </c:pt>
                <c:pt idx="118">
                  <c:v>45663</c:v>
                </c:pt>
                <c:pt idx="119">
                  <c:v>45664</c:v>
                </c:pt>
                <c:pt idx="120">
                  <c:v>45665</c:v>
                </c:pt>
                <c:pt idx="121">
                  <c:v>45667</c:v>
                </c:pt>
                <c:pt idx="122">
                  <c:v>45670</c:v>
                </c:pt>
                <c:pt idx="123">
                  <c:v>45671</c:v>
                </c:pt>
                <c:pt idx="124">
                  <c:v>45672</c:v>
                </c:pt>
                <c:pt idx="125">
                  <c:v>45673</c:v>
                </c:pt>
                <c:pt idx="126">
                  <c:v>45674</c:v>
                </c:pt>
                <c:pt idx="127">
                  <c:v>45678</c:v>
                </c:pt>
                <c:pt idx="128">
                  <c:v>45679</c:v>
                </c:pt>
                <c:pt idx="129">
                  <c:v>45680</c:v>
                </c:pt>
                <c:pt idx="130">
                  <c:v>45681</c:v>
                </c:pt>
                <c:pt idx="131">
                  <c:v>45684</c:v>
                </c:pt>
                <c:pt idx="132">
                  <c:v>45685</c:v>
                </c:pt>
                <c:pt idx="133">
                  <c:v>45686</c:v>
                </c:pt>
                <c:pt idx="134">
                  <c:v>45687</c:v>
                </c:pt>
                <c:pt idx="135">
                  <c:v>45688</c:v>
                </c:pt>
                <c:pt idx="136">
                  <c:v>45691</c:v>
                </c:pt>
                <c:pt idx="137">
                  <c:v>45692</c:v>
                </c:pt>
                <c:pt idx="138">
                  <c:v>45693</c:v>
                </c:pt>
                <c:pt idx="139">
                  <c:v>45694</c:v>
                </c:pt>
                <c:pt idx="140">
                  <c:v>45695</c:v>
                </c:pt>
                <c:pt idx="141">
                  <c:v>45698</c:v>
                </c:pt>
                <c:pt idx="142">
                  <c:v>45699</c:v>
                </c:pt>
                <c:pt idx="143">
                  <c:v>45700</c:v>
                </c:pt>
                <c:pt idx="144">
                  <c:v>45701</c:v>
                </c:pt>
                <c:pt idx="145">
                  <c:v>45702</c:v>
                </c:pt>
                <c:pt idx="146">
                  <c:v>45706</c:v>
                </c:pt>
                <c:pt idx="147">
                  <c:v>45707</c:v>
                </c:pt>
                <c:pt idx="148">
                  <c:v>45708</c:v>
                </c:pt>
                <c:pt idx="149">
                  <c:v>45709</c:v>
                </c:pt>
                <c:pt idx="150">
                  <c:v>45712</c:v>
                </c:pt>
                <c:pt idx="151">
                  <c:v>45713</c:v>
                </c:pt>
                <c:pt idx="152">
                  <c:v>45714</c:v>
                </c:pt>
                <c:pt idx="153">
                  <c:v>45715</c:v>
                </c:pt>
                <c:pt idx="154">
                  <c:v>45716</c:v>
                </c:pt>
                <c:pt idx="155">
                  <c:v>45719</c:v>
                </c:pt>
                <c:pt idx="156">
                  <c:v>45720</c:v>
                </c:pt>
                <c:pt idx="157">
                  <c:v>45721</c:v>
                </c:pt>
                <c:pt idx="158">
                  <c:v>45722</c:v>
                </c:pt>
                <c:pt idx="159">
                  <c:v>45723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45733</c:v>
                </c:pt>
                <c:pt idx="166">
                  <c:v>45734</c:v>
                </c:pt>
                <c:pt idx="167">
                  <c:v>45735</c:v>
                </c:pt>
                <c:pt idx="168">
                  <c:v>45736</c:v>
                </c:pt>
                <c:pt idx="169">
                  <c:v>45737</c:v>
                </c:pt>
                <c:pt idx="170">
                  <c:v>45740</c:v>
                </c:pt>
                <c:pt idx="171">
                  <c:v>45741</c:v>
                </c:pt>
                <c:pt idx="172">
                  <c:v>45742</c:v>
                </c:pt>
                <c:pt idx="173">
                  <c:v>45743</c:v>
                </c:pt>
                <c:pt idx="174">
                  <c:v>45744</c:v>
                </c:pt>
                <c:pt idx="175">
                  <c:v>45747</c:v>
                </c:pt>
              </c:numCache>
            </c:numRef>
          </c:cat>
          <c:val>
            <c:numRef>
              <c:f>MACD!$D$17:$D$192</c:f>
              <c:numCache>
                <c:formatCode>0.00</c:formatCode>
                <c:ptCount val="176"/>
                <c:pt idx="0">
                  <c:v>41.012884615384614</c:v>
                </c:pt>
                <c:pt idx="1">
                  <c:v>41.263210059171598</c:v>
                </c:pt>
                <c:pt idx="2">
                  <c:v>41.479639280837503</c:v>
                </c:pt>
                <c:pt idx="3">
                  <c:v>41.710464006862502</c:v>
                </c:pt>
                <c:pt idx="4">
                  <c:v>42.164238775037504</c:v>
                </c:pt>
                <c:pt idx="5">
                  <c:v>42.6420481942625</c:v>
                </c:pt>
                <c:pt idx="6">
                  <c:v>43.843271548991346</c:v>
                </c:pt>
                <c:pt idx="7">
                  <c:v>44.633537464531138</c:v>
                </c:pt>
                <c:pt idx="8">
                  <c:v>45.312993239218656</c:v>
                </c:pt>
                <c:pt idx="9">
                  <c:v>45.65868658703117</c:v>
                </c:pt>
                <c:pt idx="10">
                  <c:v>46.045042496718679</c:v>
                </c:pt>
                <c:pt idx="11">
                  <c:v>46.464266727992729</c:v>
                </c:pt>
                <c:pt idx="12">
                  <c:v>46.637456462147696</c:v>
                </c:pt>
                <c:pt idx="13">
                  <c:v>46.740924698740358</c:v>
                </c:pt>
                <c:pt idx="14">
                  <c:v>46.703859360472613</c:v>
                </c:pt>
                <c:pt idx="15">
                  <c:v>46.726342535784518</c:v>
                </c:pt>
                <c:pt idx="16">
                  <c:v>46.725366761048441</c:v>
                </c:pt>
                <c:pt idx="17">
                  <c:v>46.776848797810217</c:v>
                </c:pt>
                <c:pt idx="18">
                  <c:v>47.12810282891634</c:v>
                </c:pt>
                <c:pt idx="19">
                  <c:v>47.325317778313824</c:v>
                </c:pt>
                <c:pt idx="20">
                  <c:v>47.599884273957848</c:v>
                </c:pt>
                <c:pt idx="21">
                  <c:v>47.870671308733563</c:v>
                </c:pt>
                <c:pt idx="22">
                  <c:v>48.090568030466862</c:v>
                </c:pt>
                <c:pt idx="23">
                  <c:v>48.227403718087345</c:v>
                </c:pt>
                <c:pt idx="24">
                  <c:v>48.2601108383816</c:v>
                </c:pt>
                <c:pt idx="25">
                  <c:v>48.161632247861355</c:v>
                </c:pt>
                <c:pt idx="26">
                  <c:v>48.153688825113456</c:v>
                </c:pt>
                <c:pt idx="27">
                  <c:v>48.166967467403694</c:v>
                </c:pt>
                <c:pt idx="28">
                  <c:v>48.159741703187741</c:v>
                </c:pt>
                <c:pt idx="29">
                  <c:v>48.298242979620397</c:v>
                </c:pt>
                <c:pt idx="30">
                  <c:v>48.516974828909568</c:v>
                </c:pt>
                <c:pt idx="31">
                  <c:v>48.737440239846556</c:v>
                </c:pt>
                <c:pt idx="32">
                  <c:v>49.011680202947083</c:v>
                </c:pt>
                <c:pt idx="33">
                  <c:v>49.157575556339843</c:v>
                </c:pt>
                <c:pt idx="34">
                  <c:v>49.256410086133712</c:v>
                </c:pt>
                <c:pt idx="35">
                  <c:v>49.170808534420836</c:v>
                </c:pt>
                <c:pt idx="36">
                  <c:v>49.067607221433015</c:v>
                </c:pt>
                <c:pt idx="37">
                  <c:v>49.100283033520242</c:v>
                </c:pt>
                <c:pt idx="38">
                  <c:v>49.021777951440207</c:v>
                </c:pt>
                <c:pt idx="39">
                  <c:v>48.901504420449406</c:v>
                </c:pt>
                <c:pt idx="40">
                  <c:v>48.93665758653411</c:v>
                </c:pt>
                <c:pt idx="41">
                  <c:v>49.098710265528865</c:v>
                </c:pt>
                <c:pt idx="42">
                  <c:v>49.158908686216733</c:v>
                </c:pt>
                <c:pt idx="43">
                  <c:v>49.248307349875695</c:v>
                </c:pt>
                <c:pt idx="44">
                  <c:v>49.21318314220251</c:v>
                </c:pt>
                <c:pt idx="45">
                  <c:v>49.24346265878674</c:v>
                </c:pt>
                <c:pt idx="46">
                  <c:v>49.361391480511855</c:v>
                </c:pt>
                <c:pt idx="47">
                  <c:v>49.604254329663874</c:v>
                </c:pt>
                <c:pt idx="48">
                  <c:v>49.657445971254049</c:v>
                </c:pt>
                <c:pt idx="49">
                  <c:v>49.728608129522655</c:v>
                </c:pt>
                <c:pt idx="50">
                  <c:v>49.910360724980706</c:v>
                </c:pt>
                <c:pt idx="51">
                  <c:v>50.191843690368287</c:v>
                </c:pt>
                <c:pt idx="52">
                  <c:v>50.608483122619319</c:v>
                </c:pt>
                <c:pt idx="53">
                  <c:v>51.09333187298558</c:v>
                </c:pt>
                <c:pt idx="54">
                  <c:v>51.571280815603181</c:v>
                </c:pt>
                <c:pt idx="55">
                  <c:v>51.938776074741156</c:v>
                </c:pt>
                <c:pt idx="56">
                  <c:v>52.169733601704053</c:v>
                </c:pt>
                <c:pt idx="57">
                  <c:v>52.217466893749581</c:v>
                </c:pt>
                <c:pt idx="58">
                  <c:v>52.30708737163426</c:v>
                </c:pt>
                <c:pt idx="59">
                  <c:v>52.321381622152067</c:v>
                </c:pt>
                <c:pt idx="60">
                  <c:v>52.302707526436365</c:v>
                </c:pt>
                <c:pt idx="61">
                  <c:v>52.359214060830773</c:v>
                </c:pt>
                <c:pt idx="62">
                  <c:v>52.420873436087575</c:v>
                </c:pt>
                <c:pt idx="63">
                  <c:v>52.566892907458715</c:v>
                </c:pt>
                <c:pt idx="64">
                  <c:v>52.661217075541991</c:v>
                </c:pt>
                <c:pt idx="65">
                  <c:v>52.747183679304761</c:v>
                </c:pt>
                <c:pt idx="66">
                  <c:v>52.650693882488646</c:v>
                </c:pt>
                <c:pt idx="67">
                  <c:v>52.667510208259621</c:v>
                </c:pt>
                <c:pt idx="68">
                  <c:v>52.72789325314276</c:v>
                </c:pt>
                <c:pt idx="69">
                  <c:v>52.757448137274643</c:v>
                </c:pt>
                <c:pt idx="70">
                  <c:v>52.628609962309312</c:v>
                </c:pt>
                <c:pt idx="71">
                  <c:v>52.630362275800188</c:v>
                </c:pt>
                <c:pt idx="72">
                  <c:v>52.610306541061696</c:v>
                </c:pt>
                <c:pt idx="73">
                  <c:v>52.617951688590665</c:v>
                </c:pt>
                <c:pt idx="74">
                  <c:v>53.102882198038259</c:v>
                </c:pt>
                <c:pt idx="75">
                  <c:v>53.290131090647755</c:v>
                </c:pt>
                <c:pt idx="76">
                  <c:v>53.622418615163483</c:v>
                </c:pt>
                <c:pt idx="77">
                  <c:v>53.980508058984483</c:v>
                </c:pt>
                <c:pt idx="78">
                  <c:v>54.180429896063792</c:v>
                </c:pt>
                <c:pt idx="79">
                  <c:v>54.261902219746283</c:v>
                </c:pt>
                <c:pt idx="80">
                  <c:v>54.243148032093011</c:v>
                </c:pt>
                <c:pt idx="81">
                  <c:v>55.101125257924856</c:v>
                </c:pt>
                <c:pt idx="82">
                  <c:v>55.704029064397957</c:v>
                </c:pt>
                <c:pt idx="83">
                  <c:v>56.120332285259806</c:v>
                </c:pt>
                <c:pt idx="84">
                  <c:v>56.486435010604453</c:v>
                </c:pt>
                <c:pt idx="85">
                  <c:v>56.445445008972996</c:v>
                </c:pt>
                <c:pt idx="86">
                  <c:v>56.499991930669459</c:v>
                </c:pt>
                <c:pt idx="87">
                  <c:v>56.766147018258771</c:v>
                </c:pt>
                <c:pt idx="88">
                  <c:v>56.937509015449727</c:v>
                </c:pt>
                <c:pt idx="89">
                  <c:v>57.136353782303615</c:v>
                </c:pt>
                <c:pt idx="90">
                  <c:v>57.403068585026134</c:v>
                </c:pt>
                <c:pt idx="91">
                  <c:v>57.614904187329806</c:v>
                </c:pt>
                <c:pt idx="92">
                  <c:v>57.787995850817531</c:v>
                </c:pt>
                <c:pt idx="93">
                  <c:v>58.015996489153295</c:v>
                </c:pt>
                <c:pt idx="94">
                  <c:v>58.201227798514324</c:v>
                </c:pt>
                <c:pt idx="95">
                  <c:v>58.468731214127502</c:v>
                </c:pt>
                <c:pt idx="96">
                  <c:v>58.502772565800193</c:v>
                </c:pt>
                <c:pt idx="97">
                  <c:v>58.482346017215548</c:v>
                </c:pt>
                <c:pt idx="98">
                  <c:v>58.537369706874692</c:v>
                </c:pt>
                <c:pt idx="99">
                  <c:v>58.667005136586276</c:v>
                </c:pt>
                <c:pt idx="100">
                  <c:v>58.673619730957618</c:v>
                </c:pt>
                <c:pt idx="101">
                  <c:v>58.588447464656447</c:v>
                </c:pt>
                <c:pt idx="102">
                  <c:v>58.290224777786221</c:v>
                </c:pt>
                <c:pt idx="103">
                  <c:v>57.980959427357575</c:v>
                </c:pt>
                <c:pt idx="104">
                  <c:v>57.642350284687183</c:v>
                </c:pt>
                <c:pt idx="105">
                  <c:v>57.369681010119926</c:v>
                </c:pt>
                <c:pt idx="106">
                  <c:v>57.412807008563014</c:v>
                </c:pt>
                <c:pt idx="107">
                  <c:v>57.324682853399473</c:v>
                </c:pt>
                <c:pt idx="108">
                  <c:v>57.167039337491865</c:v>
                </c:pt>
                <c:pt idx="109">
                  <c:v>57.192110208646959</c:v>
                </c:pt>
                <c:pt idx="110">
                  <c:v>57.251785561162812</c:v>
                </c:pt>
                <c:pt idx="111">
                  <c:v>57.329972397906992</c:v>
                </c:pt>
                <c:pt idx="112">
                  <c:v>57.433053567459766</c:v>
                </c:pt>
                <c:pt idx="113">
                  <c:v>57.471045326312108</c:v>
                </c:pt>
                <c:pt idx="114">
                  <c:v>57.253961429956398</c:v>
                </c:pt>
                <c:pt idx="115">
                  <c:v>57.147198133040028</c:v>
                </c:pt>
                <c:pt idx="116">
                  <c:v>57.092244574110794</c:v>
                </c:pt>
                <c:pt idx="117">
                  <c:v>57.011899255016829</c:v>
                </c:pt>
                <c:pt idx="118">
                  <c:v>56.960837831168085</c:v>
                </c:pt>
                <c:pt idx="119">
                  <c:v>56.988401241757607</c:v>
                </c:pt>
                <c:pt idx="120">
                  <c:v>56.960954896871819</c:v>
                </c:pt>
                <c:pt idx="121">
                  <c:v>56.786961835814616</c:v>
                </c:pt>
                <c:pt idx="122">
                  <c:v>56.56742924568929</c:v>
                </c:pt>
                <c:pt idx="123">
                  <c:v>56.440132438660171</c:v>
                </c:pt>
                <c:pt idx="124">
                  <c:v>56.35857360194322</c:v>
                </c:pt>
                <c:pt idx="125">
                  <c:v>56.361869970875034</c:v>
                </c:pt>
                <c:pt idx="126">
                  <c:v>56.350813052278873</c:v>
                </c:pt>
                <c:pt idx="127">
                  <c:v>56.456841813466738</c:v>
                </c:pt>
                <c:pt idx="128">
                  <c:v>56.554250765241086</c:v>
                </c:pt>
                <c:pt idx="129">
                  <c:v>56.952058339819381</c:v>
                </c:pt>
                <c:pt idx="130">
                  <c:v>57.370203210616403</c:v>
                </c:pt>
                <c:pt idx="131">
                  <c:v>57.867095024367728</c:v>
                </c:pt>
                <c:pt idx="132">
                  <c:v>58.004465020618845</c:v>
                </c:pt>
                <c:pt idx="133">
                  <c:v>58.165316555908255</c:v>
                </c:pt>
                <c:pt idx="134">
                  <c:v>58.315267854999291</c:v>
                </c:pt>
                <c:pt idx="135">
                  <c:v>58.412918954230172</c:v>
                </c:pt>
                <c:pt idx="136">
                  <c:v>58.649392961271687</c:v>
                </c:pt>
                <c:pt idx="137">
                  <c:v>58.721794044152965</c:v>
                </c:pt>
                <c:pt idx="138">
                  <c:v>58.873825729667892</c:v>
                </c:pt>
                <c:pt idx="139">
                  <c:v>58.650160232795912</c:v>
                </c:pt>
                <c:pt idx="140">
                  <c:v>58.373212504673461</c:v>
                </c:pt>
                <c:pt idx="141">
                  <c:v>57.935795196262163</c:v>
                </c:pt>
                <c:pt idx="142">
                  <c:v>57.628749781452598</c:v>
                </c:pt>
                <c:pt idx="143">
                  <c:v>57.401249815075275</c:v>
                </c:pt>
                <c:pt idx="144">
                  <c:v>57.181057535832927</c:v>
                </c:pt>
                <c:pt idx="145">
                  <c:v>56.676279453397093</c:v>
                </c:pt>
                <c:pt idx="146">
                  <c:v>56.33069799902831</c:v>
                </c:pt>
                <c:pt idx="147">
                  <c:v>56.122898306870106</c:v>
                </c:pt>
                <c:pt idx="148">
                  <c:v>56.071683182736244</c:v>
                </c:pt>
                <c:pt idx="149">
                  <c:v>56.034501154622973</c:v>
                </c:pt>
                <c:pt idx="150">
                  <c:v>56.318424053911748</c:v>
                </c:pt>
                <c:pt idx="151">
                  <c:v>56.609435737925324</c:v>
                </c:pt>
                <c:pt idx="152">
                  <c:v>56.727984085936811</c:v>
                </c:pt>
                <c:pt idx="153">
                  <c:v>57.046755765023455</c:v>
                </c:pt>
                <c:pt idx="154">
                  <c:v>57.442639493481387</c:v>
                </c:pt>
                <c:pt idx="155">
                  <c:v>57.816079571407329</c:v>
                </c:pt>
                <c:pt idx="156">
                  <c:v>58.065913483498505</c:v>
                </c:pt>
                <c:pt idx="157">
                  <c:v>58.335772947575656</c:v>
                </c:pt>
                <c:pt idx="158">
                  <c:v>58.619500186410171</c:v>
                </c:pt>
                <c:pt idx="159">
                  <c:v>58.999577080808606</c:v>
                </c:pt>
                <c:pt idx="160">
                  <c:v>59.63194983760728</c:v>
                </c:pt>
                <c:pt idx="161">
                  <c:v>59.920880631821547</c:v>
                </c:pt>
                <c:pt idx="162">
                  <c:v>59.903822073079773</c:v>
                </c:pt>
                <c:pt idx="163">
                  <c:v>59.96169560029827</c:v>
                </c:pt>
                <c:pt idx="164">
                  <c:v>59.815280892560075</c:v>
                </c:pt>
                <c:pt idx="165">
                  <c:v>59.842160755243142</c:v>
                </c:pt>
                <c:pt idx="166">
                  <c:v>59.851059100590348</c:v>
                </c:pt>
                <c:pt idx="167">
                  <c:v>59.886280777422598</c:v>
                </c:pt>
                <c:pt idx="168">
                  <c:v>59.968391427049895</c:v>
                </c:pt>
                <c:pt idx="169">
                  <c:v>60.125561976734524</c:v>
                </c:pt>
                <c:pt idx="170">
                  <c:v>60.267783211083056</c:v>
                </c:pt>
                <c:pt idx="171">
                  <c:v>60.101970409377969</c:v>
                </c:pt>
                <c:pt idx="172">
                  <c:v>59.96474419255059</c:v>
                </c:pt>
                <c:pt idx="173">
                  <c:v>59.80093739369665</c:v>
                </c:pt>
                <c:pt idx="174">
                  <c:v>59.834639333127932</c:v>
                </c:pt>
                <c:pt idx="175">
                  <c:v>60.012387128031328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A4-471F-A094-64C2C72DA596}"/>
            </c:ext>
          </c:extLst>
        </c:ser>
        <c:ser>
          <c:idx val="2"/>
          <c:order val="2"/>
          <c:tx>
            <c:strRef>
              <c:f>MACD!$E$4</c:f>
              <c:strCache>
                <c:ptCount val="1"/>
                <c:pt idx="0">
                  <c:v>26-Day EMA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MACD!$A$17:$A$192</c:f>
              <c:numCache>
                <c:formatCode>m/d/yyyy</c:formatCode>
                <c:ptCount val="176"/>
                <c:pt idx="0">
                  <c:v>45491</c:v>
                </c:pt>
                <c:pt idx="1">
                  <c:v>45492</c:v>
                </c:pt>
                <c:pt idx="2">
                  <c:v>45495</c:v>
                </c:pt>
                <c:pt idx="3">
                  <c:v>45496</c:v>
                </c:pt>
                <c:pt idx="4">
                  <c:v>45497</c:v>
                </c:pt>
                <c:pt idx="5">
                  <c:v>45498</c:v>
                </c:pt>
                <c:pt idx="6">
                  <c:v>45499</c:v>
                </c:pt>
                <c:pt idx="7">
                  <c:v>45502</c:v>
                </c:pt>
                <c:pt idx="8">
                  <c:v>45503</c:v>
                </c:pt>
                <c:pt idx="9">
                  <c:v>45504</c:v>
                </c:pt>
                <c:pt idx="10">
                  <c:v>45505</c:v>
                </c:pt>
                <c:pt idx="11">
                  <c:v>45506</c:v>
                </c:pt>
                <c:pt idx="12">
                  <c:v>45509</c:v>
                </c:pt>
                <c:pt idx="13">
                  <c:v>45510</c:v>
                </c:pt>
                <c:pt idx="14">
                  <c:v>45511</c:v>
                </c:pt>
                <c:pt idx="15">
                  <c:v>45512</c:v>
                </c:pt>
                <c:pt idx="16">
                  <c:v>45513</c:v>
                </c:pt>
                <c:pt idx="17">
                  <c:v>45516</c:v>
                </c:pt>
                <c:pt idx="18">
                  <c:v>45517</c:v>
                </c:pt>
                <c:pt idx="19">
                  <c:v>45518</c:v>
                </c:pt>
                <c:pt idx="20">
                  <c:v>45519</c:v>
                </c:pt>
                <c:pt idx="21">
                  <c:v>45520</c:v>
                </c:pt>
                <c:pt idx="22">
                  <c:v>45523</c:v>
                </c:pt>
                <c:pt idx="23">
                  <c:v>45524</c:v>
                </c:pt>
                <c:pt idx="24">
                  <c:v>45525</c:v>
                </c:pt>
                <c:pt idx="25">
                  <c:v>45526</c:v>
                </c:pt>
                <c:pt idx="26">
                  <c:v>45527</c:v>
                </c:pt>
                <c:pt idx="27">
                  <c:v>45530</c:v>
                </c:pt>
                <c:pt idx="28">
                  <c:v>45531</c:v>
                </c:pt>
                <c:pt idx="29">
                  <c:v>45532</c:v>
                </c:pt>
                <c:pt idx="30">
                  <c:v>45533</c:v>
                </c:pt>
                <c:pt idx="31">
                  <c:v>45534</c:v>
                </c:pt>
                <c:pt idx="32">
                  <c:v>45538</c:v>
                </c:pt>
                <c:pt idx="33">
                  <c:v>45539</c:v>
                </c:pt>
                <c:pt idx="34">
                  <c:v>45540</c:v>
                </c:pt>
                <c:pt idx="35">
                  <c:v>45541</c:v>
                </c:pt>
                <c:pt idx="36">
                  <c:v>45544</c:v>
                </c:pt>
                <c:pt idx="37">
                  <c:v>45545</c:v>
                </c:pt>
                <c:pt idx="38">
                  <c:v>45546</c:v>
                </c:pt>
                <c:pt idx="39">
                  <c:v>45547</c:v>
                </c:pt>
                <c:pt idx="40">
                  <c:v>45548</c:v>
                </c:pt>
                <c:pt idx="41">
                  <c:v>45551</c:v>
                </c:pt>
                <c:pt idx="42">
                  <c:v>45552</c:v>
                </c:pt>
                <c:pt idx="43">
                  <c:v>45553</c:v>
                </c:pt>
                <c:pt idx="44">
                  <c:v>45554</c:v>
                </c:pt>
                <c:pt idx="45">
                  <c:v>45555</c:v>
                </c:pt>
                <c:pt idx="46">
                  <c:v>45558</c:v>
                </c:pt>
                <c:pt idx="47">
                  <c:v>45559</c:v>
                </c:pt>
                <c:pt idx="48">
                  <c:v>45560</c:v>
                </c:pt>
                <c:pt idx="49">
                  <c:v>45561</c:v>
                </c:pt>
                <c:pt idx="50">
                  <c:v>45562</c:v>
                </c:pt>
                <c:pt idx="51">
                  <c:v>45565</c:v>
                </c:pt>
                <c:pt idx="52">
                  <c:v>45566</c:v>
                </c:pt>
                <c:pt idx="53">
                  <c:v>45567</c:v>
                </c:pt>
                <c:pt idx="54">
                  <c:v>45568</c:v>
                </c:pt>
                <c:pt idx="55">
                  <c:v>45569</c:v>
                </c:pt>
                <c:pt idx="56">
                  <c:v>45572</c:v>
                </c:pt>
                <c:pt idx="57">
                  <c:v>45573</c:v>
                </c:pt>
                <c:pt idx="58">
                  <c:v>45574</c:v>
                </c:pt>
                <c:pt idx="59">
                  <c:v>45575</c:v>
                </c:pt>
                <c:pt idx="60">
                  <c:v>45576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45586</c:v>
                </c:pt>
                <c:pt idx="67">
                  <c:v>45587</c:v>
                </c:pt>
                <c:pt idx="68">
                  <c:v>45588</c:v>
                </c:pt>
                <c:pt idx="69">
                  <c:v>45589</c:v>
                </c:pt>
                <c:pt idx="70">
                  <c:v>45590</c:v>
                </c:pt>
                <c:pt idx="71">
                  <c:v>45593</c:v>
                </c:pt>
                <c:pt idx="72">
                  <c:v>45594</c:v>
                </c:pt>
                <c:pt idx="73">
                  <c:v>45595</c:v>
                </c:pt>
                <c:pt idx="74">
                  <c:v>45596</c:v>
                </c:pt>
                <c:pt idx="75">
                  <c:v>45597</c:v>
                </c:pt>
                <c:pt idx="76">
                  <c:v>45600</c:v>
                </c:pt>
                <c:pt idx="77">
                  <c:v>45601</c:v>
                </c:pt>
                <c:pt idx="78">
                  <c:v>45602</c:v>
                </c:pt>
                <c:pt idx="79">
                  <c:v>45603</c:v>
                </c:pt>
                <c:pt idx="80">
                  <c:v>45604</c:v>
                </c:pt>
                <c:pt idx="81">
                  <c:v>45607</c:v>
                </c:pt>
                <c:pt idx="82">
                  <c:v>45608</c:v>
                </c:pt>
                <c:pt idx="83">
                  <c:v>45609</c:v>
                </c:pt>
                <c:pt idx="84">
                  <c:v>45610</c:v>
                </c:pt>
                <c:pt idx="85">
                  <c:v>45611</c:v>
                </c:pt>
                <c:pt idx="86">
                  <c:v>45614</c:v>
                </c:pt>
                <c:pt idx="87">
                  <c:v>45615</c:v>
                </c:pt>
                <c:pt idx="88">
                  <c:v>45616</c:v>
                </c:pt>
                <c:pt idx="89">
                  <c:v>45617</c:v>
                </c:pt>
                <c:pt idx="90">
                  <c:v>45618</c:v>
                </c:pt>
                <c:pt idx="91">
                  <c:v>45621</c:v>
                </c:pt>
                <c:pt idx="92">
                  <c:v>45622</c:v>
                </c:pt>
                <c:pt idx="93">
                  <c:v>45623</c:v>
                </c:pt>
                <c:pt idx="94">
                  <c:v>45625</c:v>
                </c:pt>
                <c:pt idx="95">
                  <c:v>45628</c:v>
                </c:pt>
                <c:pt idx="96">
                  <c:v>45629</c:v>
                </c:pt>
                <c:pt idx="97">
                  <c:v>45630</c:v>
                </c:pt>
                <c:pt idx="98">
                  <c:v>45631</c:v>
                </c:pt>
                <c:pt idx="99">
                  <c:v>45632</c:v>
                </c:pt>
                <c:pt idx="100">
                  <c:v>45635</c:v>
                </c:pt>
                <c:pt idx="101">
                  <c:v>45636</c:v>
                </c:pt>
                <c:pt idx="102">
                  <c:v>45637</c:v>
                </c:pt>
                <c:pt idx="103">
                  <c:v>45638</c:v>
                </c:pt>
                <c:pt idx="104">
                  <c:v>45639</c:v>
                </c:pt>
                <c:pt idx="105">
                  <c:v>45642</c:v>
                </c:pt>
                <c:pt idx="106">
                  <c:v>45643</c:v>
                </c:pt>
                <c:pt idx="107">
                  <c:v>45644</c:v>
                </c:pt>
                <c:pt idx="108">
                  <c:v>45645</c:v>
                </c:pt>
                <c:pt idx="109">
                  <c:v>45646</c:v>
                </c:pt>
                <c:pt idx="110">
                  <c:v>45649</c:v>
                </c:pt>
                <c:pt idx="111">
                  <c:v>45650</c:v>
                </c:pt>
                <c:pt idx="112">
                  <c:v>45652</c:v>
                </c:pt>
                <c:pt idx="113">
                  <c:v>45653</c:v>
                </c:pt>
                <c:pt idx="114">
                  <c:v>45656</c:v>
                </c:pt>
                <c:pt idx="115">
                  <c:v>45657</c:v>
                </c:pt>
                <c:pt idx="116">
                  <c:v>45659</c:v>
                </c:pt>
                <c:pt idx="117">
                  <c:v>45660</c:v>
                </c:pt>
                <c:pt idx="118">
                  <c:v>45663</c:v>
                </c:pt>
                <c:pt idx="119">
                  <c:v>45664</c:v>
                </c:pt>
                <c:pt idx="120">
                  <c:v>45665</c:v>
                </c:pt>
                <c:pt idx="121">
                  <c:v>45667</c:v>
                </c:pt>
                <c:pt idx="122">
                  <c:v>45670</c:v>
                </c:pt>
                <c:pt idx="123">
                  <c:v>45671</c:v>
                </c:pt>
                <c:pt idx="124">
                  <c:v>45672</c:v>
                </c:pt>
                <c:pt idx="125">
                  <c:v>45673</c:v>
                </c:pt>
                <c:pt idx="126">
                  <c:v>45674</c:v>
                </c:pt>
                <c:pt idx="127">
                  <c:v>45678</c:v>
                </c:pt>
                <c:pt idx="128">
                  <c:v>45679</c:v>
                </c:pt>
                <c:pt idx="129">
                  <c:v>45680</c:v>
                </c:pt>
                <c:pt idx="130">
                  <c:v>45681</c:v>
                </c:pt>
                <c:pt idx="131">
                  <c:v>45684</c:v>
                </c:pt>
                <c:pt idx="132">
                  <c:v>45685</c:v>
                </c:pt>
                <c:pt idx="133">
                  <c:v>45686</c:v>
                </c:pt>
                <c:pt idx="134">
                  <c:v>45687</c:v>
                </c:pt>
                <c:pt idx="135">
                  <c:v>45688</c:v>
                </c:pt>
                <c:pt idx="136">
                  <c:v>45691</c:v>
                </c:pt>
                <c:pt idx="137">
                  <c:v>45692</c:v>
                </c:pt>
                <c:pt idx="138">
                  <c:v>45693</c:v>
                </c:pt>
                <c:pt idx="139">
                  <c:v>45694</c:v>
                </c:pt>
                <c:pt idx="140">
                  <c:v>45695</c:v>
                </c:pt>
                <c:pt idx="141">
                  <c:v>45698</c:v>
                </c:pt>
                <c:pt idx="142">
                  <c:v>45699</c:v>
                </c:pt>
                <c:pt idx="143">
                  <c:v>45700</c:v>
                </c:pt>
                <c:pt idx="144">
                  <c:v>45701</c:v>
                </c:pt>
                <c:pt idx="145">
                  <c:v>45702</c:v>
                </c:pt>
                <c:pt idx="146">
                  <c:v>45706</c:v>
                </c:pt>
                <c:pt idx="147">
                  <c:v>45707</c:v>
                </c:pt>
                <c:pt idx="148">
                  <c:v>45708</c:v>
                </c:pt>
                <c:pt idx="149">
                  <c:v>45709</c:v>
                </c:pt>
                <c:pt idx="150">
                  <c:v>45712</c:v>
                </c:pt>
                <c:pt idx="151">
                  <c:v>45713</c:v>
                </c:pt>
                <c:pt idx="152">
                  <c:v>45714</c:v>
                </c:pt>
                <c:pt idx="153">
                  <c:v>45715</c:v>
                </c:pt>
                <c:pt idx="154">
                  <c:v>45716</c:v>
                </c:pt>
                <c:pt idx="155">
                  <c:v>45719</c:v>
                </c:pt>
                <c:pt idx="156">
                  <c:v>45720</c:v>
                </c:pt>
                <c:pt idx="157">
                  <c:v>45721</c:v>
                </c:pt>
                <c:pt idx="158">
                  <c:v>45722</c:v>
                </c:pt>
                <c:pt idx="159">
                  <c:v>45723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45733</c:v>
                </c:pt>
                <c:pt idx="166">
                  <c:v>45734</c:v>
                </c:pt>
                <c:pt idx="167">
                  <c:v>45735</c:v>
                </c:pt>
                <c:pt idx="168">
                  <c:v>45736</c:v>
                </c:pt>
                <c:pt idx="169">
                  <c:v>45737</c:v>
                </c:pt>
                <c:pt idx="170">
                  <c:v>45740</c:v>
                </c:pt>
                <c:pt idx="171">
                  <c:v>45741</c:v>
                </c:pt>
                <c:pt idx="172">
                  <c:v>45742</c:v>
                </c:pt>
                <c:pt idx="173">
                  <c:v>45743</c:v>
                </c:pt>
                <c:pt idx="174">
                  <c:v>45744</c:v>
                </c:pt>
                <c:pt idx="175">
                  <c:v>45747</c:v>
                </c:pt>
              </c:numCache>
            </c:numRef>
          </c:cat>
          <c:val>
            <c:numRef>
              <c:f>MACD!$E$17:$E$192</c:f>
              <c:numCache>
                <c:formatCode>0.00</c:formatCode>
                <c:ptCount val="176"/>
                <c:pt idx="0">
                  <c:v>40.887692307692305</c:v>
                </c:pt>
                <c:pt idx="1">
                  <c:v>41.012857142857136</c:v>
                </c:pt>
                <c:pt idx="2">
                  <c:v>41.123333333333328</c:v>
                </c:pt>
                <c:pt idx="3">
                  <c:v>41.239374999999995</c:v>
                </c:pt>
                <c:pt idx="4">
                  <c:v>41.440588235294115</c:v>
                </c:pt>
                <c:pt idx="5">
                  <c:v>41.653333333333329</c:v>
                </c:pt>
                <c:pt idx="6">
                  <c:v>42.116315789473681</c:v>
                </c:pt>
                <c:pt idx="7">
                  <c:v>42.459499999999998</c:v>
                </c:pt>
                <c:pt idx="8">
                  <c:v>42.773333333333326</c:v>
                </c:pt>
                <c:pt idx="9">
                  <c:v>42.990909090909092</c:v>
                </c:pt>
                <c:pt idx="10">
                  <c:v>43.216086956521735</c:v>
                </c:pt>
                <c:pt idx="11">
                  <c:v>43.447499999999998</c:v>
                </c:pt>
                <c:pt idx="12">
                  <c:v>43.613199999999999</c:v>
                </c:pt>
                <c:pt idx="13">
                  <c:v>43.755384615384614</c:v>
                </c:pt>
                <c:pt idx="14">
                  <c:v>43.958689458689456</c:v>
                </c:pt>
                <c:pt idx="15">
                  <c:v>44.172860609897647</c:v>
                </c:pt>
                <c:pt idx="16">
                  <c:v>44.361537601757078</c:v>
                </c:pt>
                <c:pt idx="17">
                  <c:v>44.561423705330625</c:v>
                </c:pt>
                <c:pt idx="18">
                  <c:v>44.894651579009839</c:v>
                </c:pt>
                <c:pt idx="19">
                  <c:v>45.155047758342441</c:v>
                </c:pt>
                <c:pt idx="20">
                  <c:v>45.448007183650411</c:v>
                </c:pt>
                <c:pt idx="21">
                  <c:v>45.737784429305933</c:v>
                </c:pt>
                <c:pt idx="22">
                  <c:v>46.001652249357342</c:v>
                </c:pt>
                <c:pt idx="23">
                  <c:v>46.222270601256795</c:v>
                </c:pt>
                <c:pt idx="24">
                  <c:v>46.386546853015552</c:v>
                </c:pt>
                <c:pt idx="25">
                  <c:v>46.477913752792176</c:v>
                </c:pt>
                <c:pt idx="26">
                  <c:v>46.598809030363128</c:v>
                </c:pt>
                <c:pt idx="27">
                  <c:v>46.720378731817711</c:v>
                </c:pt>
                <c:pt idx="28">
                  <c:v>46.824054381312692</c:v>
                </c:pt>
                <c:pt idx="29">
                  <c:v>46.989679982696934</c:v>
                </c:pt>
                <c:pt idx="30">
                  <c:v>47.191925909904569</c:v>
                </c:pt>
                <c:pt idx="31">
                  <c:v>47.396227694356085</c:v>
                </c:pt>
                <c:pt idx="32">
                  <c:v>47.627618235514895</c:v>
                </c:pt>
                <c:pt idx="33">
                  <c:v>47.800387255106386</c:v>
                </c:pt>
                <c:pt idx="34">
                  <c:v>47.948506717691096</c:v>
                </c:pt>
                <c:pt idx="35">
                  <c:v>48.004172886751014</c:v>
                </c:pt>
                <c:pt idx="36">
                  <c:v>48.040900821065755</c:v>
                </c:pt>
                <c:pt idx="37">
                  <c:v>48.132685945431255</c:v>
                </c:pt>
                <c:pt idx="38">
                  <c:v>48.166561060584499</c:v>
                </c:pt>
                <c:pt idx="39">
                  <c:v>48.172000982022688</c:v>
                </c:pt>
                <c:pt idx="40">
                  <c:v>48.24296387224323</c:v>
                </c:pt>
                <c:pt idx="41">
                  <c:v>48.372373955780766</c:v>
                </c:pt>
                <c:pt idx="42">
                  <c:v>48.455161070167378</c:v>
                </c:pt>
                <c:pt idx="43">
                  <c:v>48.550334324229055</c:v>
                </c:pt>
                <c:pt idx="44">
                  <c:v>48.58512437428616</c:v>
                </c:pt>
                <c:pt idx="45">
                  <c:v>48.646226272487183</c:v>
                </c:pt>
                <c:pt idx="46">
                  <c:v>48.747246548599243</c:v>
                </c:pt>
                <c:pt idx="47">
                  <c:v>48.909672730184482</c:v>
                </c:pt>
                <c:pt idx="48">
                  <c:v>48.986734009430073</c:v>
                </c:pt>
                <c:pt idx="49">
                  <c:v>49.070679638361177</c:v>
                </c:pt>
                <c:pt idx="50">
                  <c:v>49.206925591075162</c:v>
                </c:pt>
                <c:pt idx="51">
                  <c:v>49.394560732477004</c:v>
                </c:pt>
                <c:pt idx="52">
                  <c:v>49.654222900441667</c:v>
                </c:pt>
                <c:pt idx="53">
                  <c:v>49.958354537445985</c:v>
                </c:pt>
                <c:pt idx="54">
                  <c:v>50.272550497635173</c:v>
                </c:pt>
                <c:pt idx="55">
                  <c:v>50.545694905217751</c:v>
                </c:pt>
                <c:pt idx="56">
                  <c:v>50.76008787520162</c:v>
                </c:pt>
                <c:pt idx="57">
                  <c:v>50.88748877333483</c:v>
                </c:pt>
                <c:pt idx="58">
                  <c:v>51.029156271606325</c:v>
                </c:pt>
                <c:pt idx="59">
                  <c:v>51.13070025148734</c:v>
                </c:pt>
                <c:pt idx="60">
                  <c:v>51.209907640266053</c:v>
                </c:pt>
                <c:pt idx="61">
                  <c:v>51.318062629875975</c:v>
                </c:pt>
                <c:pt idx="62">
                  <c:v>51.424872805440714</c:v>
                </c:pt>
                <c:pt idx="63">
                  <c:v>51.568956301333991</c:v>
                </c:pt>
                <c:pt idx="64">
                  <c:v>51.688292871605547</c:v>
                </c:pt>
                <c:pt idx="65">
                  <c:v>51.801752658894024</c:v>
                </c:pt>
                <c:pt idx="66">
                  <c:v>51.825326536012987</c:v>
                </c:pt>
                <c:pt idx="67">
                  <c:v>51.894561607419433</c:v>
                </c:pt>
                <c:pt idx="68">
                  <c:v>51.980890377240215</c:v>
                </c:pt>
                <c:pt idx="69">
                  <c:v>52.050454053000202</c:v>
                </c:pt>
                <c:pt idx="70">
                  <c:v>52.040790789814999</c:v>
                </c:pt>
                <c:pt idx="71">
                  <c:v>52.085176657236111</c:v>
                </c:pt>
                <c:pt idx="72">
                  <c:v>52.115904312255658</c:v>
                </c:pt>
                <c:pt idx="73">
                  <c:v>52.156207696533016</c:v>
                </c:pt>
                <c:pt idx="74">
                  <c:v>52.423896015308351</c:v>
                </c:pt>
                <c:pt idx="75">
                  <c:v>52.564348162322545</c:v>
                </c:pt>
                <c:pt idx="76">
                  <c:v>52.778100150298656</c:v>
                </c:pt>
                <c:pt idx="77">
                  <c:v>53.013055694720975</c:v>
                </c:pt>
                <c:pt idx="78">
                  <c:v>53.180977495112018</c:v>
                </c:pt>
                <c:pt idx="79">
                  <c:v>53.294238421400017</c:v>
                </c:pt>
                <c:pt idx="80">
                  <c:v>53.35688742722224</c:v>
                </c:pt>
                <c:pt idx="81">
                  <c:v>53.835636506687258</c:v>
                </c:pt>
                <c:pt idx="82">
                  <c:v>54.219663432117834</c:v>
                </c:pt>
                <c:pt idx="83">
                  <c:v>54.530058733442438</c:v>
                </c:pt>
                <c:pt idx="84">
                  <c:v>54.824128456891145</c:v>
                </c:pt>
                <c:pt idx="85">
                  <c:v>54.927526348973281</c:v>
                </c:pt>
                <c:pt idx="86">
                  <c:v>55.066228100901185</c:v>
                </c:pt>
                <c:pt idx="87">
                  <c:v>55.300581574908506</c:v>
                </c:pt>
                <c:pt idx="88">
                  <c:v>55.491649606396763</c:v>
                </c:pt>
                <c:pt idx="89">
                  <c:v>55.694490376293295</c:v>
                </c:pt>
                <c:pt idx="90">
                  <c:v>55.929713311382677</c:v>
                </c:pt>
                <c:pt idx="91">
                  <c:v>56.140845658687667</c:v>
                </c:pt>
                <c:pt idx="92">
                  <c:v>56.333375609895988</c:v>
                </c:pt>
                <c:pt idx="93">
                  <c:v>56.550903342496284</c:v>
                </c:pt>
                <c:pt idx="94">
                  <c:v>56.748614206015077</c:v>
                </c:pt>
                <c:pt idx="95">
                  <c:v>56.985013153717667</c:v>
                </c:pt>
                <c:pt idx="96">
                  <c:v>57.111308475664508</c:v>
                </c:pt>
                <c:pt idx="97">
                  <c:v>57.204544884874544</c:v>
                </c:pt>
                <c:pt idx="98">
                  <c:v>57.325689708217169</c:v>
                </c:pt>
                <c:pt idx="99">
                  <c:v>57.477860840941823</c:v>
                </c:pt>
                <c:pt idx="100">
                  <c:v>57.569130408279463</c:v>
                </c:pt>
                <c:pt idx="101">
                  <c:v>57.609935563221725</c:v>
                </c:pt>
                <c:pt idx="102">
                  <c:v>57.538829225205298</c:v>
                </c:pt>
                <c:pt idx="103">
                  <c:v>57.445582615930832</c:v>
                </c:pt>
                <c:pt idx="104">
                  <c:v>57.322206125861882</c:v>
                </c:pt>
                <c:pt idx="105">
                  <c:v>57.214635301723966</c:v>
                </c:pt>
                <c:pt idx="106">
                  <c:v>57.246884538633303</c:v>
                </c:pt>
                <c:pt idx="107">
                  <c:v>57.216744943178988</c:v>
                </c:pt>
                <c:pt idx="108">
                  <c:v>57.148837910350913</c:v>
                </c:pt>
                <c:pt idx="109">
                  <c:v>57.162257324398993</c:v>
                </c:pt>
                <c:pt idx="110">
                  <c:v>57.193201226295365</c:v>
                </c:pt>
                <c:pt idx="111">
                  <c:v>57.235186320643855</c:v>
                </c:pt>
                <c:pt idx="112">
                  <c:v>57.291839185781349</c:v>
                </c:pt>
                <c:pt idx="113">
                  <c:v>57.320591838686433</c:v>
                </c:pt>
                <c:pt idx="114">
                  <c:v>57.227214665450404</c:v>
                </c:pt>
                <c:pt idx="115">
                  <c:v>57.177791356898524</c:v>
                </c:pt>
                <c:pt idx="116">
                  <c:v>57.149066071202334</c:v>
                </c:pt>
                <c:pt idx="117">
                  <c:v>57.106172288150312</c:v>
                </c:pt>
                <c:pt idx="118">
                  <c:v>57.07460397050955</c:v>
                </c:pt>
                <c:pt idx="119">
                  <c:v>57.079448120842173</c:v>
                </c:pt>
                <c:pt idx="120">
                  <c:v>57.059489000779791</c:v>
                </c:pt>
                <c:pt idx="121">
                  <c:v>56.968415741462771</c:v>
                </c:pt>
                <c:pt idx="122">
                  <c:v>56.84927383468775</c:v>
                </c:pt>
                <c:pt idx="123">
                  <c:v>56.76710540248866</c:v>
                </c:pt>
                <c:pt idx="124">
                  <c:v>56.703616113415428</c:v>
                </c:pt>
                <c:pt idx="125">
                  <c:v>56.679644549458729</c:v>
                </c:pt>
                <c:pt idx="126">
                  <c:v>56.650781990239565</c:v>
                </c:pt>
                <c:pt idx="127">
                  <c:v>56.67961295392552</c:v>
                </c:pt>
                <c:pt idx="128">
                  <c:v>56.710011994375485</c:v>
                </c:pt>
                <c:pt idx="129">
                  <c:v>56.890011105903227</c:v>
                </c:pt>
                <c:pt idx="130">
                  <c:v>57.095936209169658</c:v>
                </c:pt>
                <c:pt idx="131">
                  <c:v>57.355496489971905</c:v>
                </c:pt>
                <c:pt idx="132">
                  <c:v>57.459533787011026</c:v>
                </c:pt>
                <c:pt idx="133">
                  <c:v>57.577346099084281</c:v>
                </c:pt>
                <c:pt idx="134">
                  <c:v>57.693098239892855</c:v>
                </c:pt>
                <c:pt idx="135">
                  <c:v>57.786202073974863</c:v>
                </c:pt>
                <c:pt idx="136">
                  <c:v>57.94648340182858</c:v>
                </c:pt>
                <c:pt idx="137">
                  <c:v>58.033410557248686</c:v>
                </c:pt>
                <c:pt idx="138">
                  <c:v>58.157602367822861</c:v>
                </c:pt>
                <c:pt idx="139">
                  <c:v>58.102965155391537</c:v>
                </c:pt>
                <c:pt idx="140">
                  <c:v>58.010152921658829</c:v>
                </c:pt>
                <c:pt idx="141">
                  <c:v>57.826437890424842</c:v>
                </c:pt>
                <c:pt idx="142">
                  <c:v>57.686701750393375</c:v>
                </c:pt>
                <c:pt idx="143">
                  <c:v>57.572871991104975</c:v>
                </c:pt>
                <c:pt idx="144">
                  <c:v>57.454140732504605</c:v>
                </c:pt>
                <c:pt idx="145">
                  <c:v>57.190871048615378</c:v>
                </c:pt>
                <c:pt idx="146">
                  <c:v>56.986362082051279</c:v>
                </c:pt>
                <c:pt idx="147">
                  <c:v>56.837742668566001</c:v>
                </c:pt>
                <c:pt idx="148">
                  <c:v>56.760132100524075</c:v>
                </c:pt>
                <c:pt idx="149">
                  <c:v>56.691233426411181</c:v>
                </c:pt>
                <c:pt idx="150">
                  <c:v>56.779290209639981</c:v>
                </c:pt>
                <c:pt idx="151">
                  <c:v>56.88526871262961</c:v>
                </c:pt>
                <c:pt idx="152">
                  <c:v>56.921915474657048</c:v>
                </c:pt>
                <c:pt idx="153">
                  <c:v>57.061032846904673</c:v>
                </c:pt>
                <c:pt idx="154">
                  <c:v>57.25058596935618</c:v>
                </c:pt>
                <c:pt idx="155">
                  <c:v>57.444616638292757</c:v>
                </c:pt>
                <c:pt idx="156">
                  <c:v>57.592422813234037</c:v>
                </c:pt>
                <c:pt idx="157">
                  <c:v>57.757428530772259</c:v>
                </c:pt>
                <c:pt idx="158">
                  <c:v>57.936878269233574</c:v>
                </c:pt>
                <c:pt idx="159">
                  <c:v>58.170442841882938</c:v>
                </c:pt>
                <c:pt idx="160">
                  <c:v>58.536335964706424</c:v>
                </c:pt>
                <c:pt idx="161">
                  <c:v>58.756607374728169</c:v>
                </c:pt>
                <c:pt idx="162">
                  <c:v>58.83463645808164</c:v>
                </c:pt>
                <c:pt idx="163">
                  <c:v>58.941700424149666</c:v>
                </c:pt>
                <c:pt idx="164">
                  <c:v>58.946759651990433</c:v>
                </c:pt>
                <c:pt idx="165">
                  <c:v>59.024036714805959</c:v>
                </c:pt>
                <c:pt idx="166">
                  <c:v>59.088922884079594</c:v>
                </c:pt>
                <c:pt idx="167">
                  <c:v>59.162336003777405</c:v>
                </c:pt>
                <c:pt idx="168">
                  <c:v>59.25549629979389</c:v>
                </c:pt>
                <c:pt idx="169">
                  <c:v>59.383978055364715</c:v>
                </c:pt>
                <c:pt idx="170">
                  <c:v>59.507387088300661</c:v>
                </c:pt>
                <c:pt idx="171">
                  <c:v>59.483876933611725</c:v>
                </c:pt>
                <c:pt idx="172">
                  <c:v>59.463589753344188</c:v>
                </c:pt>
                <c:pt idx="173">
                  <c:v>59.421842364207578</c:v>
                </c:pt>
                <c:pt idx="174">
                  <c:v>59.466150337229237</c:v>
                </c:pt>
                <c:pt idx="175">
                  <c:v>59.579028090027073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A4-471F-A094-64C2C72DA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3181967"/>
        <c:axId val="943183407"/>
      </c:lineChart>
      <c:dateAx>
        <c:axId val="943181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183407"/>
        <c:crosses val="autoZero"/>
        <c:auto val="1"/>
        <c:lblOffset val="100"/>
        <c:baseTimeUnit val="days"/>
      </c:dateAx>
      <c:valAx>
        <c:axId val="94318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18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814693745401411"/>
          <c:y val="0.93639077085586075"/>
          <c:w val="0.28881381990421512"/>
          <c:h val="1.8525879961112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MACD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088360100361899E-2"/>
          <c:y val="8.5221615057680625E-2"/>
          <c:w val="0.941227352087597"/>
          <c:h val="0.8276499863746540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MACD!$H$4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MACD!$A$18:$A$192</c:f>
              <c:numCache>
                <c:formatCode>m/d/yyyy</c:formatCode>
                <c:ptCount val="175"/>
                <c:pt idx="0">
                  <c:v>45492</c:v>
                </c:pt>
                <c:pt idx="1">
                  <c:v>45495</c:v>
                </c:pt>
                <c:pt idx="2">
                  <c:v>45496</c:v>
                </c:pt>
                <c:pt idx="3">
                  <c:v>45497</c:v>
                </c:pt>
                <c:pt idx="4">
                  <c:v>45498</c:v>
                </c:pt>
                <c:pt idx="5">
                  <c:v>45499</c:v>
                </c:pt>
                <c:pt idx="6">
                  <c:v>45502</c:v>
                </c:pt>
                <c:pt idx="7">
                  <c:v>45503</c:v>
                </c:pt>
                <c:pt idx="8">
                  <c:v>45504</c:v>
                </c:pt>
                <c:pt idx="9">
                  <c:v>45505</c:v>
                </c:pt>
                <c:pt idx="10">
                  <c:v>45506</c:v>
                </c:pt>
                <c:pt idx="11">
                  <c:v>45509</c:v>
                </c:pt>
                <c:pt idx="12">
                  <c:v>45510</c:v>
                </c:pt>
                <c:pt idx="13">
                  <c:v>45511</c:v>
                </c:pt>
                <c:pt idx="14">
                  <c:v>45512</c:v>
                </c:pt>
                <c:pt idx="15">
                  <c:v>45513</c:v>
                </c:pt>
                <c:pt idx="16">
                  <c:v>45516</c:v>
                </c:pt>
                <c:pt idx="17">
                  <c:v>45517</c:v>
                </c:pt>
                <c:pt idx="18">
                  <c:v>45518</c:v>
                </c:pt>
                <c:pt idx="19">
                  <c:v>45519</c:v>
                </c:pt>
                <c:pt idx="20">
                  <c:v>45520</c:v>
                </c:pt>
                <c:pt idx="21">
                  <c:v>45523</c:v>
                </c:pt>
                <c:pt idx="22">
                  <c:v>45524</c:v>
                </c:pt>
                <c:pt idx="23">
                  <c:v>45525</c:v>
                </c:pt>
                <c:pt idx="24">
                  <c:v>45526</c:v>
                </c:pt>
                <c:pt idx="25">
                  <c:v>45527</c:v>
                </c:pt>
                <c:pt idx="26">
                  <c:v>45530</c:v>
                </c:pt>
                <c:pt idx="27">
                  <c:v>45531</c:v>
                </c:pt>
                <c:pt idx="28">
                  <c:v>45532</c:v>
                </c:pt>
                <c:pt idx="29">
                  <c:v>45533</c:v>
                </c:pt>
                <c:pt idx="30">
                  <c:v>45534</c:v>
                </c:pt>
                <c:pt idx="31">
                  <c:v>45538</c:v>
                </c:pt>
                <c:pt idx="32">
                  <c:v>45539</c:v>
                </c:pt>
                <c:pt idx="33">
                  <c:v>45540</c:v>
                </c:pt>
                <c:pt idx="34">
                  <c:v>45541</c:v>
                </c:pt>
                <c:pt idx="35">
                  <c:v>45544</c:v>
                </c:pt>
                <c:pt idx="36">
                  <c:v>45545</c:v>
                </c:pt>
                <c:pt idx="37">
                  <c:v>45546</c:v>
                </c:pt>
                <c:pt idx="38">
                  <c:v>45547</c:v>
                </c:pt>
                <c:pt idx="39">
                  <c:v>45548</c:v>
                </c:pt>
                <c:pt idx="40">
                  <c:v>45551</c:v>
                </c:pt>
                <c:pt idx="41">
                  <c:v>45552</c:v>
                </c:pt>
                <c:pt idx="42">
                  <c:v>45553</c:v>
                </c:pt>
                <c:pt idx="43">
                  <c:v>45554</c:v>
                </c:pt>
                <c:pt idx="44">
                  <c:v>45555</c:v>
                </c:pt>
                <c:pt idx="45">
                  <c:v>45558</c:v>
                </c:pt>
                <c:pt idx="46">
                  <c:v>45559</c:v>
                </c:pt>
                <c:pt idx="47">
                  <c:v>45560</c:v>
                </c:pt>
                <c:pt idx="48">
                  <c:v>45561</c:v>
                </c:pt>
                <c:pt idx="49">
                  <c:v>45562</c:v>
                </c:pt>
                <c:pt idx="50">
                  <c:v>45565</c:v>
                </c:pt>
                <c:pt idx="51">
                  <c:v>45566</c:v>
                </c:pt>
                <c:pt idx="52">
                  <c:v>45567</c:v>
                </c:pt>
                <c:pt idx="53">
                  <c:v>45568</c:v>
                </c:pt>
                <c:pt idx="54">
                  <c:v>45569</c:v>
                </c:pt>
                <c:pt idx="55">
                  <c:v>45572</c:v>
                </c:pt>
                <c:pt idx="56">
                  <c:v>45573</c:v>
                </c:pt>
                <c:pt idx="57">
                  <c:v>45574</c:v>
                </c:pt>
                <c:pt idx="58">
                  <c:v>45575</c:v>
                </c:pt>
                <c:pt idx="59">
                  <c:v>45576</c:v>
                </c:pt>
                <c:pt idx="60">
                  <c:v>45579</c:v>
                </c:pt>
                <c:pt idx="61">
                  <c:v>45580</c:v>
                </c:pt>
                <c:pt idx="62">
                  <c:v>45581</c:v>
                </c:pt>
                <c:pt idx="63">
                  <c:v>45582</c:v>
                </c:pt>
                <c:pt idx="64">
                  <c:v>45583</c:v>
                </c:pt>
                <c:pt idx="65">
                  <c:v>45586</c:v>
                </c:pt>
                <c:pt idx="66">
                  <c:v>45587</c:v>
                </c:pt>
                <c:pt idx="67">
                  <c:v>45588</c:v>
                </c:pt>
                <c:pt idx="68">
                  <c:v>45589</c:v>
                </c:pt>
                <c:pt idx="69">
                  <c:v>45590</c:v>
                </c:pt>
                <c:pt idx="70">
                  <c:v>45593</c:v>
                </c:pt>
                <c:pt idx="71">
                  <c:v>45594</c:v>
                </c:pt>
                <c:pt idx="72">
                  <c:v>45595</c:v>
                </c:pt>
                <c:pt idx="73">
                  <c:v>45596</c:v>
                </c:pt>
                <c:pt idx="74">
                  <c:v>45597</c:v>
                </c:pt>
                <c:pt idx="75">
                  <c:v>45600</c:v>
                </c:pt>
                <c:pt idx="76">
                  <c:v>45601</c:v>
                </c:pt>
                <c:pt idx="77">
                  <c:v>45602</c:v>
                </c:pt>
                <c:pt idx="78">
                  <c:v>45603</c:v>
                </c:pt>
                <c:pt idx="79">
                  <c:v>45604</c:v>
                </c:pt>
                <c:pt idx="80">
                  <c:v>45607</c:v>
                </c:pt>
                <c:pt idx="81">
                  <c:v>45608</c:v>
                </c:pt>
                <c:pt idx="82">
                  <c:v>45609</c:v>
                </c:pt>
                <c:pt idx="83">
                  <c:v>45610</c:v>
                </c:pt>
                <c:pt idx="84">
                  <c:v>45611</c:v>
                </c:pt>
                <c:pt idx="85">
                  <c:v>45614</c:v>
                </c:pt>
                <c:pt idx="86">
                  <c:v>45615</c:v>
                </c:pt>
                <c:pt idx="87">
                  <c:v>45616</c:v>
                </c:pt>
                <c:pt idx="88">
                  <c:v>45617</c:v>
                </c:pt>
                <c:pt idx="89">
                  <c:v>45618</c:v>
                </c:pt>
                <c:pt idx="90">
                  <c:v>45621</c:v>
                </c:pt>
                <c:pt idx="91">
                  <c:v>45622</c:v>
                </c:pt>
                <c:pt idx="92">
                  <c:v>45623</c:v>
                </c:pt>
                <c:pt idx="93">
                  <c:v>45625</c:v>
                </c:pt>
                <c:pt idx="94">
                  <c:v>45628</c:v>
                </c:pt>
                <c:pt idx="95">
                  <c:v>45629</c:v>
                </c:pt>
                <c:pt idx="96">
                  <c:v>45630</c:v>
                </c:pt>
                <c:pt idx="97">
                  <c:v>45631</c:v>
                </c:pt>
                <c:pt idx="98">
                  <c:v>45632</c:v>
                </c:pt>
                <c:pt idx="99">
                  <c:v>45635</c:v>
                </c:pt>
                <c:pt idx="100">
                  <c:v>45636</c:v>
                </c:pt>
                <c:pt idx="101">
                  <c:v>45637</c:v>
                </c:pt>
                <c:pt idx="102">
                  <c:v>45638</c:v>
                </c:pt>
                <c:pt idx="103">
                  <c:v>45639</c:v>
                </c:pt>
                <c:pt idx="104">
                  <c:v>45642</c:v>
                </c:pt>
                <c:pt idx="105">
                  <c:v>45643</c:v>
                </c:pt>
                <c:pt idx="106">
                  <c:v>45644</c:v>
                </c:pt>
                <c:pt idx="107">
                  <c:v>45645</c:v>
                </c:pt>
                <c:pt idx="108">
                  <c:v>45646</c:v>
                </c:pt>
                <c:pt idx="109">
                  <c:v>45649</c:v>
                </c:pt>
                <c:pt idx="110">
                  <c:v>45650</c:v>
                </c:pt>
                <c:pt idx="111">
                  <c:v>45652</c:v>
                </c:pt>
                <c:pt idx="112">
                  <c:v>45653</c:v>
                </c:pt>
                <c:pt idx="113">
                  <c:v>45656</c:v>
                </c:pt>
                <c:pt idx="114">
                  <c:v>45657</c:v>
                </c:pt>
                <c:pt idx="115">
                  <c:v>45659</c:v>
                </c:pt>
                <c:pt idx="116">
                  <c:v>45660</c:v>
                </c:pt>
                <c:pt idx="117">
                  <c:v>45663</c:v>
                </c:pt>
                <c:pt idx="118">
                  <c:v>45664</c:v>
                </c:pt>
                <c:pt idx="119">
                  <c:v>45665</c:v>
                </c:pt>
                <c:pt idx="120">
                  <c:v>45667</c:v>
                </c:pt>
                <c:pt idx="121">
                  <c:v>45670</c:v>
                </c:pt>
                <c:pt idx="122">
                  <c:v>45671</c:v>
                </c:pt>
                <c:pt idx="123">
                  <c:v>45672</c:v>
                </c:pt>
                <c:pt idx="124">
                  <c:v>45673</c:v>
                </c:pt>
                <c:pt idx="125">
                  <c:v>45674</c:v>
                </c:pt>
                <c:pt idx="126">
                  <c:v>45678</c:v>
                </c:pt>
                <c:pt idx="127">
                  <c:v>45679</c:v>
                </c:pt>
                <c:pt idx="128">
                  <c:v>45680</c:v>
                </c:pt>
                <c:pt idx="129">
                  <c:v>45681</c:v>
                </c:pt>
                <c:pt idx="130">
                  <c:v>45684</c:v>
                </c:pt>
                <c:pt idx="131">
                  <c:v>45685</c:v>
                </c:pt>
                <c:pt idx="132">
                  <c:v>45686</c:v>
                </c:pt>
                <c:pt idx="133">
                  <c:v>45687</c:v>
                </c:pt>
                <c:pt idx="134">
                  <c:v>45688</c:v>
                </c:pt>
                <c:pt idx="135">
                  <c:v>45691</c:v>
                </c:pt>
                <c:pt idx="136">
                  <c:v>45692</c:v>
                </c:pt>
                <c:pt idx="137">
                  <c:v>45693</c:v>
                </c:pt>
                <c:pt idx="138">
                  <c:v>45694</c:v>
                </c:pt>
                <c:pt idx="139">
                  <c:v>45695</c:v>
                </c:pt>
                <c:pt idx="140">
                  <c:v>45698</c:v>
                </c:pt>
                <c:pt idx="141">
                  <c:v>45699</c:v>
                </c:pt>
                <c:pt idx="142">
                  <c:v>45700</c:v>
                </c:pt>
                <c:pt idx="143">
                  <c:v>45701</c:v>
                </c:pt>
                <c:pt idx="144">
                  <c:v>45702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45712</c:v>
                </c:pt>
                <c:pt idx="150">
                  <c:v>45713</c:v>
                </c:pt>
                <c:pt idx="151">
                  <c:v>45714</c:v>
                </c:pt>
                <c:pt idx="152">
                  <c:v>45715</c:v>
                </c:pt>
                <c:pt idx="153">
                  <c:v>45716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45726</c:v>
                </c:pt>
                <c:pt idx="160">
                  <c:v>45727</c:v>
                </c:pt>
                <c:pt idx="161">
                  <c:v>45728</c:v>
                </c:pt>
                <c:pt idx="162">
                  <c:v>45729</c:v>
                </c:pt>
                <c:pt idx="163">
                  <c:v>45730</c:v>
                </c:pt>
                <c:pt idx="164">
                  <c:v>45733</c:v>
                </c:pt>
                <c:pt idx="165">
                  <c:v>45734</c:v>
                </c:pt>
                <c:pt idx="166">
                  <c:v>45735</c:v>
                </c:pt>
                <c:pt idx="167">
                  <c:v>45736</c:v>
                </c:pt>
                <c:pt idx="168">
                  <c:v>45737</c:v>
                </c:pt>
                <c:pt idx="169">
                  <c:v>45740</c:v>
                </c:pt>
                <c:pt idx="170">
                  <c:v>45741</c:v>
                </c:pt>
                <c:pt idx="171">
                  <c:v>45742</c:v>
                </c:pt>
                <c:pt idx="172">
                  <c:v>45743</c:v>
                </c:pt>
                <c:pt idx="173">
                  <c:v>45744</c:v>
                </c:pt>
                <c:pt idx="174">
                  <c:v>45747</c:v>
                </c:pt>
              </c:numCache>
            </c:numRef>
          </c:cat>
          <c:val>
            <c:numRef>
              <c:f>MACD!$H$5:$H$192</c:f>
              <c:numCache>
                <c:formatCode>General</c:formatCode>
                <c:ptCount val="188"/>
                <c:pt idx="12" formatCode="0.00">
                  <c:v>0</c:v>
                </c:pt>
                <c:pt idx="13" formatCode="0.00">
                  <c:v>6.2580304311076418E-2</c:v>
                </c:pt>
                <c:pt idx="14" formatCode="0.00">
                  <c:v>0.11235555700052657</c:v>
                </c:pt>
                <c:pt idx="15" formatCode="0.00">
                  <c:v>0.17035396226914301</c:v>
                </c:pt>
                <c:pt idx="16" formatCode="0.00">
                  <c:v>0.33833239612002047</c:v>
                </c:pt>
                <c:pt idx="17" formatCode="0.00">
                  <c:v>0.50283059775483596</c:v>
                </c:pt>
                <c:pt idx="18" formatCode="0.00">
                  <c:v>1.0637755682942824</c:v>
                </c:pt>
                <c:pt idx="19" formatCode="0.00">
                  <c:v>1.322000114144287</c:v>
                </c:pt>
                <c:pt idx="20" formatCode="0.00">
                  <c:v>1.500108938220869</c:v>
                </c:pt>
                <c:pt idx="21" formatCode="0.00">
                  <c:v>1.3025812227660936</c:v>
                </c:pt>
                <c:pt idx="22" formatCode="0.00">
                  <c:v>1.1710074134727677</c:v>
                </c:pt>
                <c:pt idx="23" formatCode="0.00">
                  <c:v>1.0870548810148444</c:v>
                </c:pt>
                <c:pt idx="24" formatCode="0.00">
                  <c:v>0.87563569213584813</c:v>
                </c:pt>
                <c:pt idx="25" formatCode="0.00">
                  <c:v>0.66953545067511566</c:v>
                </c:pt>
                <c:pt idx="26" formatCode="0.00">
                  <c:v>0.34333221528202307</c:v>
                </c:pt>
                <c:pt idx="27" formatCode="0.00">
                  <c:v>0.12131539150858917</c:v>
                </c:pt>
                <c:pt idx="28" formatCode="0.00">
                  <c:v>-5.4669900069534982E-2</c:v>
                </c:pt>
                <c:pt idx="29" formatCode="0.00">
                  <c:v>-0.16245917350504513</c:v>
                </c:pt>
                <c:pt idx="30" formatCode="0.00">
                  <c:v>-0.11554641286250833</c:v>
                </c:pt>
                <c:pt idx="31" formatCode="0.00">
                  <c:v>-0.14298211423810114</c:v>
                </c:pt>
                <c:pt idx="32" formatCode="0.00">
                  <c:v>-0.12910003512163781</c:v>
                </c:pt>
                <c:pt idx="33" formatCode="0.00">
                  <c:v>-0.1184721968011555</c:v>
                </c:pt>
                <c:pt idx="34" formatCode="0.00">
                  <c:v>-0.12995463609541247</c:v>
                </c:pt>
                <c:pt idx="35" formatCode="0.00">
                  <c:v>-0.17098984029950648</c:v>
                </c:pt>
                <c:pt idx="36" formatCode="0.00">
                  <c:v>-0.24204717741120696</c:v>
                </c:pt>
                <c:pt idx="37" formatCode="0.00">
                  <c:v>-0.34551413416645982</c:v>
                </c:pt>
                <c:pt idx="38" formatCode="0.00">
                  <c:v>-0.37948226758824921</c:v>
                </c:pt>
                <c:pt idx="39" formatCode="0.00">
                  <c:v>-0.39021866140207462</c:v>
                </c:pt>
                <c:pt idx="40" formatCode="0.00">
                  <c:v>-0.40089606009040701</c:v>
                </c:pt>
                <c:pt idx="41" formatCode="0.00">
                  <c:v>-0.34241630803359469</c:v>
                </c:pt>
                <c:pt idx="42" formatCode="0.00">
                  <c:v>-0.260744308761647</c:v>
                </c:pt>
                <c:pt idx="43" formatCode="0.00">
                  <c:v>-0.19566454582093984</c:v>
                </c:pt>
                <c:pt idx="44" formatCode="0.00">
                  <c:v>-0.12225209910337798</c:v>
                </c:pt>
                <c:pt idx="45" formatCode="0.00">
                  <c:v>-0.11930061224168798</c:v>
                </c:pt>
                <c:pt idx="46" formatCode="0.00">
                  <c:v>-0.13486843602602261</c:v>
                </c:pt>
                <c:pt idx="47" formatCode="0.00">
                  <c:v>-0.22090892543905438</c:v>
                </c:pt>
                <c:pt idx="48" formatCode="0.00">
                  <c:v>-0.28867053819329236</c:v>
                </c:pt>
                <c:pt idx="49" formatCode="0.00">
                  <c:v>-0.27822388037725299</c:v>
                </c:pt>
                <c:pt idx="50" formatCode="0.00">
                  <c:v>-0.31248326208842525</c:v>
                </c:pt>
                <c:pt idx="51" formatCode="0.00">
                  <c:v>-0.35055737161393186</c:v>
                </c:pt>
                <c:pt idx="52" formatCode="0.00">
                  <c:v>-0.30909367659981579</c:v>
                </c:pt>
                <c:pt idx="53" formatCode="0.00">
                  <c:v>-0.22116086491407771</c:v>
                </c:pt>
                <c:pt idx="54" formatCode="0.00">
                  <c:v>-0.19499964689025706</c:v>
                </c:pt>
                <c:pt idx="55" formatCode="0.00">
                  <c:v>-0.16061938983437829</c:v>
                </c:pt>
                <c:pt idx="56" formatCode="0.00">
                  <c:v>-0.18442691805173417</c:v>
                </c:pt>
                <c:pt idx="57" formatCode="0.00">
                  <c:v>-0.17219943973482243</c:v>
                </c:pt>
                <c:pt idx="58" formatCode="0.00">
                  <c:v>-0.1242327152974132</c:v>
                </c:pt>
                <c:pt idx="59" formatCode="0.00">
                  <c:v>-3.5036838184507091E-2</c:v>
                </c:pt>
                <c:pt idx="60" formatCode="0.00">
                  <c:v>-4.7125180671938383E-2</c:v>
                </c:pt>
                <c:pt idx="61" formatCode="0.00">
                  <c:v>-4.7926921067549144E-2</c:v>
                </c:pt>
                <c:pt idx="62" formatCode="0.00">
                  <c:v>-1.9362226587869014E-3</c:v>
                </c:pt>
                <c:pt idx="63" formatCode="0.00">
                  <c:v>7.3529281061562757E-2</c:v>
                </c:pt>
                <c:pt idx="64" formatCode="0.00">
                  <c:v>0.18440523627834482</c:v>
                </c:pt>
                <c:pt idx="65" formatCode="0.00">
                  <c:v>0.29209787971223056</c:v>
                </c:pt>
                <c:pt idx="66" formatCode="0.00">
                  <c:v>0.36468068971251477</c:v>
                </c:pt>
                <c:pt idx="67" formatCode="0.00">
                  <c:v>0.36722523301432952</c:v>
                </c:pt>
                <c:pt idx="68" formatCode="0.00">
                  <c:v>0.30703183199468542</c:v>
                </c:pt>
                <c:pt idx="69" formatCode="0.00">
                  <c:v>0.18189138072560285</c:v>
                </c:pt>
                <c:pt idx="70" formatCode="0.00">
                  <c:v>0.10387548827102977</c:v>
                </c:pt>
                <c:pt idx="71" formatCode="0.00">
                  <c:v>1.3300607126257358E-2</c:v>
                </c:pt>
                <c:pt idx="72" formatCode="0.00">
                  <c:v>-6.7664701894526447E-2</c:v>
                </c:pt>
                <c:pt idx="73" formatCode="0.00">
                  <c:v>-9.5450525688031806E-2</c:v>
                </c:pt>
                <c:pt idx="74" formatCode="0.00">
                  <c:v>-0.112481060796775</c:v>
                </c:pt>
                <c:pt idx="75" formatCode="0.00">
                  <c:v>-8.8436068255129285E-2</c:v>
                </c:pt>
                <c:pt idx="76" formatCode="0.00">
                  <c:v>-9.0758776354728399E-2</c:v>
                </c:pt>
                <c:pt idx="77" formatCode="0.00">
                  <c:v>-9.4601567904347927E-2</c:v>
                </c:pt>
                <c:pt idx="78" formatCode="0.00">
                  <c:v>-0.17173219347154112</c:v>
                </c:pt>
                <c:pt idx="79" formatCode="0.00">
                  <c:v>-0.17932075128560965</c:v>
                </c:pt>
                <c:pt idx="80" formatCode="0.00">
                  <c:v>-0.16421318097860171</c:v>
                </c:pt>
                <c:pt idx="81" formatCode="0.00">
                  <c:v>-0.16337757808536435</c:v>
                </c:pt>
                <c:pt idx="82" formatCode="0.00">
                  <c:v>-0.22604199189239382</c:v>
                </c:pt>
                <c:pt idx="83" formatCode="0.00">
                  <c:v>-0.21494043665810481</c:v>
                </c:pt>
                <c:pt idx="84" formatCode="0.00">
                  <c:v>-0.21257906113291447</c:v>
                </c:pt>
                <c:pt idx="85" formatCode="0.00">
                  <c:v>-0.19618983830504311</c:v>
                </c:pt>
                <c:pt idx="86" formatCode="0.00">
                  <c:v>1.6841881893772781E-2</c:v>
                </c:pt>
                <c:pt idx="87" formatCode="0.00">
                  <c:v>5.0910901991259472E-2</c:v>
                </c:pt>
                <c:pt idx="88" formatCode="0.00">
                  <c:v>0.13555715082470177</c:v>
                </c:pt>
                <c:pt idx="89" formatCode="0.00">
                  <c:v>0.20695284017870619</c:v>
                </c:pt>
                <c:pt idx="90" formatCode="0.00">
                  <c:v>0.19116230149357827</c:v>
                </c:pt>
                <c:pt idx="91" formatCode="0.00">
                  <c:v>0.12749895911045528</c:v>
                </c:pt>
                <c:pt idx="92" formatCode="0.00">
                  <c:v>3.6876612507968143E-2</c:v>
                </c:pt>
                <c:pt idx="93" formatCode="0.00">
                  <c:v>0.33288380709983645</c:v>
                </c:pt>
                <c:pt idx="94" formatCode="0.00">
                  <c:v>0.44140855051388983</c:v>
                </c:pt>
                <c:pt idx="95" formatCode="0.00">
                  <c:v>0.43785317604090768</c:v>
                </c:pt>
                <c:pt idx="96" formatCode="0.00">
                  <c:v>0.40790894234947705</c:v>
                </c:pt>
                <c:pt idx="97" formatCode="0.00">
                  <c:v>0.21081683890870795</c:v>
                </c:pt>
                <c:pt idx="98" formatCode="0.00">
                  <c:v>0.1013296069418137</c:v>
                </c:pt>
                <c:pt idx="99" formatCode="0.00">
                  <c:v>0.10650497641904311</c:v>
                </c:pt>
                <c:pt idx="100" formatCode="0.00">
                  <c:v>6.9439153697394174E-2</c:v>
                </c:pt>
                <c:pt idx="101" formatCode="0.00">
                  <c:v>5.2354520523799852E-2</c:v>
                </c:pt>
                <c:pt idx="102" formatCode="0.00">
                  <c:v>6.7077110525548544E-2</c:v>
                </c:pt>
                <c:pt idx="103" formatCode="0.00">
                  <c:v>5.4224292419385423E-2</c:v>
                </c:pt>
                <c:pt idx="104" formatCode="0.00">
                  <c:v>2.7828803759030851E-2</c:v>
                </c:pt>
                <c:pt idx="105" formatCode="0.00">
                  <c:v>3.0641367595599878E-2</c:v>
                </c:pt>
                <c:pt idx="106" formatCode="0.00">
                  <c:v>1.452945075026868E-2</c:v>
                </c:pt>
                <c:pt idx="107" formatCode="0.00">
                  <c:v>3.6507134928684959E-2</c:v>
                </c:pt>
                <c:pt idx="108" formatCode="0.00">
                  <c:v>-4.4597468276372343E-2</c:v>
                </c:pt>
                <c:pt idx="109" formatCode="0.00">
                  <c:v>-0.12660834085684236</c:v>
                </c:pt>
                <c:pt idx="110" formatCode="0.00">
                  <c:v>-0.15418357963225882</c:v>
                </c:pt>
                <c:pt idx="111" formatCode="0.00">
                  <c:v>-0.14137542611626275</c:v>
                </c:pt>
                <c:pt idx="112" formatCode="0.00">
                  <c:v>-0.18082431926604881</c:v>
                </c:pt>
                <c:pt idx="113" formatCode="0.00">
                  <c:v>-0.245441392407586</c:v>
                </c:pt>
                <c:pt idx="114" formatCode="0.00">
                  <c:v>-0.37804619300910725</c:v>
                </c:pt>
                <c:pt idx="115" formatCode="0.00">
                  <c:v>-0.47525194733062959</c:v>
                </c:pt>
                <c:pt idx="116" formatCode="0.00">
                  <c:v>-0.55238767994565841</c:v>
                </c:pt>
                <c:pt idx="117" formatCode="0.00">
                  <c:v>-0.57398890429999905</c:v>
                </c:pt>
                <c:pt idx="118" formatCode="0.00">
                  <c:v>-0.45048971421299822</c:v>
                </c:pt>
                <c:pt idx="119" formatCode="0.00">
                  <c:v>-0.40677941913777926</c:v>
                </c:pt>
                <c:pt idx="120" formatCode="0.00">
                  <c:v>-0.39721272177385059</c:v>
                </c:pt>
                <c:pt idx="121" formatCode="0.00">
                  <c:v>-0.30844901173346917</c:v>
                </c:pt>
                <c:pt idx="122" formatCode="0.00">
                  <c:v>-0.2237740488911899</c:v>
                </c:pt>
                <c:pt idx="123" formatCode="0.00">
                  <c:v>-0.15005784519639995</c:v>
                </c:pt>
                <c:pt idx="124" formatCode="0.00">
                  <c:v>-8.2903632624896473E-2</c:v>
                </c:pt>
                <c:pt idx="125" formatCode="0.00">
                  <c:v>-5.8931621342109997E-2</c:v>
                </c:pt>
                <c:pt idx="126" formatCode="0.00">
                  <c:v>-0.14611067556943341</c:v>
                </c:pt>
                <c:pt idx="127" formatCode="0.00">
                  <c:v>-0.16276053114713843</c:v>
                </c:pt>
                <c:pt idx="128" formatCode="0.00">
                  <c:v>-0.15119104350414656</c:v>
                </c:pt>
                <c:pt idx="129" formatCode="0.00">
                  <c:v>-0.15091406363687107</c:v>
                </c:pt>
                <c:pt idx="130" formatCode="0.00">
                  <c:v>-0.13632573587588223</c:v>
                </c:pt>
                <c:pt idx="131" formatCode="0.00">
                  <c:v>-9.0885180495186527E-2</c:v>
                </c:pt>
                <c:pt idx="132" formatCode="0.00">
                  <c:v>-7.8697924254875012E-2</c:v>
                </c:pt>
                <c:pt idx="133" formatCode="0.00">
                  <c:v>-0.12929418079604577</c:v>
                </c:pt>
                <c:pt idx="134" formatCode="0.00">
                  <c:v>-0.1837478913170808</c:v>
                </c:pt>
                <c:pt idx="135" formatCode="0.00">
                  <c:v>-0.18310101291768735</c:v>
                </c:pt>
                <c:pt idx="136" formatCode="0.00">
                  <c:v>-0.16093644844912539</c:v>
                </c:pt>
                <c:pt idx="137" formatCode="0.00">
                  <c:v>-0.10693481244848971</c:v>
                </c:pt>
                <c:pt idx="138" formatCode="0.00">
                  <c:v>-7.1303337460389582E-2</c:v>
                </c:pt>
                <c:pt idx="139" formatCode="0.00">
                  <c:v>4.7155680332161831E-3</c:v>
                </c:pt>
                <c:pt idx="140" formatCode="0.00">
                  <c:v>5.7380383486079822E-2</c:v>
                </c:pt>
                <c:pt idx="141" formatCode="0.00">
                  <c:v>0.22015107722930574</c:v>
                </c:pt>
                <c:pt idx="142" formatCode="0.00">
                  <c:v>0.34589667580791761</c:v>
                </c:pt>
                <c:pt idx="143" formatCode="0.00">
                  <c:v>0.46658256700559642</c:v>
                </c:pt>
                <c:pt idx="144" formatCode="0.00">
                  <c:v>0.39993221297407427</c:v>
                </c:pt>
                <c:pt idx="145" formatCode="0.00">
                  <c:v>0.35437714895218353</c:v>
                </c:pt>
                <c:pt idx="146" formatCode="0.00">
                  <c:v>0.31086104578771634</c:v>
                </c:pt>
                <c:pt idx="147" formatCode="0.00">
                  <c:v>0.25232664874927091</c:v>
                </c:pt>
                <c:pt idx="148" formatCode="0.00">
                  <c:v>0.26281546234965536</c:v>
                </c:pt>
                <c:pt idx="149" formatCode="0.00">
                  <c:v>0.19863151184866162</c:v>
                </c:pt>
                <c:pt idx="150" formatCode="0.00">
                  <c:v>0.18117710943153165</c:v>
                </c:pt>
                <c:pt idx="151" formatCode="0.00">
                  <c:v>9.7190599926999521E-3</c:v>
                </c:pt>
                <c:pt idx="152" formatCode="0.00">
                  <c:v>-0.13953314751763435</c:v>
                </c:pt>
                <c:pt idx="153" formatCode="0.00">
                  <c:v>-0.31458833975595624</c:v>
                </c:pt>
                <c:pt idx="154" formatCode="0.00">
                  <c:v>-0.38551809162724371</c:v>
                </c:pt>
                <c:pt idx="155" formatCode="0.00">
                  <c:v>-0.39935063897293321</c:v>
                </c:pt>
                <c:pt idx="156" formatCode="0.00">
                  <c:v>-0.40064932769192857</c:v>
                </c:pt>
                <c:pt idx="157" formatCode="0.00">
                  <c:v>-0.51372618099082834</c:v>
                </c:pt>
                <c:pt idx="158" formatCode="0.00">
                  <c:v>-0.52383893503641066</c:v>
                </c:pt>
                <c:pt idx="159" formatCode="0.00">
                  <c:v>-0.46641537096746938</c:v>
                </c:pt>
                <c:pt idx="160" formatCode="0.00">
                  <c:v>-0.35201594164752359</c:v>
                </c:pt>
                <c:pt idx="161" formatCode="0.00">
                  <c:v>-0.25623943651832048</c:v>
                </c:pt>
                <c:pt idx="162" formatCode="0.00">
                  <c:v>-4.8298656366676684E-2</c:v>
                </c:pt>
                <c:pt idx="163" formatCode="0.00">
                  <c:v>0.10938761972581601</c:v>
                </c:pt>
                <c:pt idx="164" formatCode="0.00">
                  <c:v>0.15303136456789207</c:v>
                </c:pt>
                <c:pt idx="165" formatCode="0.00">
                  <c:v>0.26614853712552911</c:v>
                </c:pt>
                <c:pt idx="166" formatCode="0.00">
                  <c:v>0.37798331450556322</c:v>
                </c:pt>
                <c:pt idx="167" formatCode="0.00">
                  <c:v>0.44591417879594236</c:v>
                </c:pt>
                <c:pt idx="168" formatCode="0.00">
                  <c:v>0.43835353275667094</c:v>
                </c:pt>
                <c:pt idx="169" formatCode="0.00">
                  <c:v>0.43456582343647976</c:v>
                </c:pt>
                <c:pt idx="170" formatCode="0.00">
                  <c:v>0.43107465904774411</c:v>
                </c:pt>
                <c:pt idx="171" formatCode="0.00">
                  <c:v>0.4620695846374524</c:v>
                </c:pt>
                <c:pt idx="172" formatCode="0.00">
                  <c:v>0.58283937489011184</c:v>
                </c:pt>
                <c:pt idx="173" formatCode="0.00">
                  <c:v>0.5211990072661068</c:v>
                </c:pt>
                <c:pt idx="174" formatCode="0.00">
                  <c:v>0.34088909213669027</c:v>
                </c:pt>
                <c:pt idx="175" formatCode="0.00">
                  <c:v>0.23335892262972935</c:v>
                </c:pt>
                <c:pt idx="176" formatCode="0.00">
                  <c:v>6.5507989640613107E-2</c:v>
                </c:pt>
                <c:pt idx="177" formatCode="0.00">
                  <c:v>1.2088631606523736E-2</c:v>
                </c:pt>
                <c:pt idx="178" formatCode="0.00">
                  <c:v>-3.5119353855924462E-2</c:v>
                </c:pt>
                <c:pt idx="179" formatCode="0.00">
                  <c:v>-5.8648637377187951E-2</c:v>
                </c:pt>
                <c:pt idx="180" formatCode="0.00">
                  <c:v>-5.5758627013101636E-2</c:v>
                </c:pt>
                <c:pt idx="181" formatCode="0.00">
                  <c:v>-2.16558663194375E-2</c:v>
                </c:pt>
                <c:pt idx="182" formatCode="0.00">
                  <c:v>-2.2749319254806721E-3</c:v>
                </c:pt>
                <c:pt idx="183" formatCode="0.00">
                  <c:v>-0.11566206315330585</c:v>
                </c:pt>
                <c:pt idx="184" formatCode="0.00">
                  <c:v>-0.18608087977051802</c:v>
                </c:pt>
                <c:pt idx="185" formatCode="0.00">
                  <c:v>-0.2465122315902788</c:v>
                </c:pt>
                <c:pt idx="186" formatCode="0.00">
                  <c:v>-0.20569461214452522</c:v>
                </c:pt>
                <c:pt idx="187" formatCode="0.00">
                  <c:v>-0.11265965603117156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BC-4E59-B109-81B6F61E1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6574687"/>
        <c:axId val="1346571327"/>
      </c:barChart>
      <c:lineChart>
        <c:grouping val="standard"/>
        <c:varyColors val="0"/>
        <c:ser>
          <c:idx val="0"/>
          <c:order val="0"/>
          <c:tx>
            <c:strRef>
              <c:f>MACD!$F$4</c:f>
              <c:strCache>
                <c:ptCount val="1"/>
                <c:pt idx="0">
                  <c:v>MACD Line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MACD!$A$18:$A$192</c:f>
              <c:numCache>
                <c:formatCode>m/d/yyyy</c:formatCode>
                <c:ptCount val="175"/>
                <c:pt idx="0">
                  <c:v>45492</c:v>
                </c:pt>
                <c:pt idx="1">
                  <c:v>45495</c:v>
                </c:pt>
                <c:pt idx="2">
                  <c:v>45496</c:v>
                </c:pt>
                <c:pt idx="3">
                  <c:v>45497</c:v>
                </c:pt>
                <c:pt idx="4">
                  <c:v>45498</c:v>
                </c:pt>
                <c:pt idx="5">
                  <c:v>45499</c:v>
                </c:pt>
                <c:pt idx="6">
                  <c:v>45502</c:v>
                </c:pt>
                <c:pt idx="7">
                  <c:v>45503</c:v>
                </c:pt>
                <c:pt idx="8">
                  <c:v>45504</c:v>
                </c:pt>
                <c:pt idx="9">
                  <c:v>45505</c:v>
                </c:pt>
                <c:pt idx="10">
                  <c:v>45506</c:v>
                </c:pt>
                <c:pt idx="11">
                  <c:v>45509</c:v>
                </c:pt>
                <c:pt idx="12">
                  <c:v>45510</c:v>
                </c:pt>
                <c:pt idx="13">
                  <c:v>45511</c:v>
                </c:pt>
                <c:pt idx="14">
                  <c:v>45512</c:v>
                </c:pt>
                <c:pt idx="15">
                  <c:v>45513</c:v>
                </c:pt>
                <c:pt idx="16">
                  <c:v>45516</c:v>
                </c:pt>
                <c:pt idx="17">
                  <c:v>45517</c:v>
                </c:pt>
                <c:pt idx="18">
                  <c:v>45518</c:v>
                </c:pt>
                <c:pt idx="19">
                  <c:v>45519</c:v>
                </c:pt>
                <c:pt idx="20">
                  <c:v>45520</c:v>
                </c:pt>
                <c:pt idx="21">
                  <c:v>45523</c:v>
                </c:pt>
                <c:pt idx="22">
                  <c:v>45524</c:v>
                </c:pt>
                <c:pt idx="23">
                  <c:v>45525</c:v>
                </c:pt>
                <c:pt idx="24">
                  <c:v>45526</c:v>
                </c:pt>
                <c:pt idx="25">
                  <c:v>45527</c:v>
                </c:pt>
                <c:pt idx="26">
                  <c:v>45530</c:v>
                </c:pt>
                <c:pt idx="27">
                  <c:v>45531</c:v>
                </c:pt>
                <c:pt idx="28">
                  <c:v>45532</c:v>
                </c:pt>
                <c:pt idx="29">
                  <c:v>45533</c:v>
                </c:pt>
                <c:pt idx="30">
                  <c:v>45534</c:v>
                </c:pt>
                <c:pt idx="31">
                  <c:v>45538</c:v>
                </c:pt>
                <c:pt idx="32">
                  <c:v>45539</c:v>
                </c:pt>
                <c:pt idx="33">
                  <c:v>45540</c:v>
                </c:pt>
                <c:pt idx="34">
                  <c:v>45541</c:v>
                </c:pt>
                <c:pt idx="35">
                  <c:v>45544</c:v>
                </c:pt>
                <c:pt idx="36">
                  <c:v>45545</c:v>
                </c:pt>
                <c:pt idx="37">
                  <c:v>45546</c:v>
                </c:pt>
                <c:pt idx="38">
                  <c:v>45547</c:v>
                </c:pt>
                <c:pt idx="39">
                  <c:v>45548</c:v>
                </c:pt>
                <c:pt idx="40">
                  <c:v>45551</c:v>
                </c:pt>
                <c:pt idx="41">
                  <c:v>45552</c:v>
                </c:pt>
                <c:pt idx="42">
                  <c:v>45553</c:v>
                </c:pt>
                <c:pt idx="43">
                  <c:v>45554</c:v>
                </c:pt>
                <c:pt idx="44">
                  <c:v>45555</c:v>
                </c:pt>
                <c:pt idx="45">
                  <c:v>45558</c:v>
                </c:pt>
                <c:pt idx="46">
                  <c:v>45559</c:v>
                </c:pt>
                <c:pt idx="47">
                  <c:v>45560</c:v>
                </c:pt>
                <c:pt idx="48">
                  <c:v>45561</c:v>
                </c:pt>
                <c:pt idx="49">
                  <c:v>45562</c:v>
                </c:pt>
                <c:pt idx="50">
                  <c:v>45565</c:v>
                </c:pt>
                <c:pt idx="51">
                  <c:v>45566</c:v>
                </c:pt>
                <c:pt idx="52">
                  <c:v>45567</c:v>
                </c:pt>
                <c:pt idx="53">
                  <c:v>45568</c:v>
                </c:pt>
                <c:pt idx="54">
                  <c:v>45569</c:v>
                </c:pt>
                <c:pt idx="55">
                  <c:v>45572</c:v>
                </c:pt>
                <c:pt idx="56">
                  <c:v>45573</c:v>
                </c:pt>
                <c:pt idx="57">
                  <c:v>45574</c:v>
                </c:pt>
                <c:pt idx="58">
                  <c:v>45575</c:v>
                </c:pt>
                <c:pt idx="59">
                  <c:v>45576</c:v>
                </c:pt>
                <c:pt idx="60">
                  <c:v>45579</c:v>
                </c:pt>
                <c:pt idx="61">
                  <c:v>45580</c:v>
                </c:pt>
                <c:pt idx="62">
                  <c:v>45581</c:v>
                </c:pt>
                <c:pt idx="63">
                  <c:v>45582</c:v>
                </c:pt>
                <c:pt idx="64">
                  <c:v>45583</c:v>
                </c:pt>
                <c:pt idx="65">
                  <c:v>45586</c:v>
                </c:pt>
                <c:pt idx="66">
                  <c:v>45587</c:v>
                </c:pt>
                <c:pt idx="67">
                  <c:v>45588</c:v>
                </c:pt>
                <c:pt idx="68">
                  <c:v>45589</c:v>
                </c:pt>
                <c:pt idx="69">
                  <c:v>45590</c:v>
                </c:pt>
                <c:pt idx="70">
                  <c:v>45593</c:v>
                </c:pt>
                <c:pt idx="71">
                  <c:v>45594</c:v>
                </c:pt>
                <c:pt idx="72">
                  <c:v>45595</c:v>
                </c:pt>
                <c:pt idx="73">
                  <c:v>45596</c:v>
                </c:pt>
                <c:pt idx="74">
                  <c:v>45597</c:v>
                </c:pt>
                <c:pt idx="75">
                  <c:v>45600</c:v>
                </c:pt>
                <c:pt idx="76">
                  <c:v>45601</c:v>
                </c:pt>
                <c:pt idx="77">
                  <c:v>45602</c:v>
                </c:pt>
                <c:pt idx="78">
                  <c:v>45603</c:v>
                </c:pt>
                <c:pt idx="79">
                  <c:v>45604</c:v>
                </c:pt>
                <c:pt idx="80">
                  <c:v>45607</c:v>
                </c:pt>
                <c:pt idx="81">
                  <c:v>45608</c:v>
                </c:pt>
                <c:pt idx="82">
                  <c:v>45609</c:v>
                </c:pt>
                <c:pt idx="83">
                  <c:v>45610</c:v>
                </c:pt>
                <c:pt idx="84">
                  <c:v>45611</c:v>
                </c:pt>
                <c:pt idx="85">
                  <c:v>45614</c:v>
                </c:pt>
                <c:pt idx="86">
                  <c:v>45615</c:v>
                </c:pt>
                <c:pt idx="87">
                  <c:v>45616</c:v>
                </c:pt>
                <c:pt idx="88">
                  <c:v>45617</c:v>
                </c:pt>
                <c:pt idx="89">
                  <c:v>45618</c:v>
                </c:pt>
                <c:pt idx="90">
                  <c:v>45621</c:v>
                </c:pt>
                <c:pt idx="91">
                  <c:v>45622</c:v>
                </c:pt>
                <c:pt idx="92">
                  <c:v>45623</c:v>
                </c:pt>
                <c:pt idx="93">
                  <c:v>45625</c:v>
                </c:pt>
                <c:pt idx="94">
                  <c:v>45628</c:v>
                </c:pt>
                <c:pt idx="95">
                  <c:v>45629</c:v>
                </c:pt>
                <c:pt idx="96">
                  <c:v>45630</c:v>
                </c:pt>
                <c:pt idx="97">
                  <c:v>45631</c:v>
                </c:pt>
                <c:pt idx="98">
                  <c:v>45632</c:v>
                </c:pt>
                <c:pt idx="99">
                  <c:v>45635</c:v>
                </c:pt>
                <c:pt idx="100">
                  <c:v>45636</c:v>
                </c:pt>
                <c:pt idx="101">
                  <c:v>45637</c:v>
                </c:pt>
                <c:pt idx="102">
                  <c:v>45638</c:v>
                </c:pt>
                <c:pt idx="103">
                  <c:v>45639</c:v>
                </c:pt>
                <c:pt idx="104">
                  <c:v>45642</c:v>
                </c:pt>
                <c:pt idx="105">
                  <c:v>45643</c:v>
                </c:pt>
                <c:pt idx="106">
                  <c:v>45644</c:v>
                </c:pt>
                <c:pt idx="107">
                  <c:v>45645</c:v>
                </c:pt>
                <c:pt idx="108">
                  <c:v>45646</c:v>
                </c:pt>
                <c:pt idx="109">
                  <c:v>45649</c:v>
                </c:pt>
                <c:pt idx="110">
                  <c:v>45650</c:v>
                </c:pt>
                <c:pt idx="111">
                  <c:v>45652</c:v>
                </c:pt>
                <c:pt idx="112">
                  <c:v>45653</c:v>
                </c:pt>
                <c:pt idx="113">
                  <c:v>45656</c:v>
                </c:pt>
                <c:pt idx="114">
                  <c:v>45657</c:v>
                </c:pt>
                <c:pt idx="115">
                  <c:v>45659</c:v>
                </c:pt>
                <c:pt idx="116">
                  <c:v>45660</c:v>
                </c:pt>
                <c:pt idx="117">
                  <c:v>45663</c:v>
                </c:pt>
                <c:pt idx="118">
                  <c:v>45664</c:v>
                </c:pt>
                <c:pt idx="119">
                  <c:v>45665</c:v>
                </c:pt>
                <c:pt idx="120">
                  <c:v>45667</c:v>
                </c:pt>
                <c:pt idx="121">
                  <c:v>45670</c:v>
                </c:pt>
                <c:pt idx="122">
                  <c:v>45671</c:v>
                </c:pt>
                <c:pt idx="123">
                  <c:v>45672</c:v>
                </c:pt>
                <c:pt idx="124">
                  <c:v>45673</c:v>
                </c:pt>
                <c:pt idx="125">
                  <c:v>45674</c:v>
                </c:pt>
                <c:pt idx="126">
                  <c:v>45678</c:v>
                </c:pt>
                <c:pt idx="127">
                  <c:v>45679</c:v>
                </c:pt>
                <c:pt idx="128">
                  <c:v>45680</c:v>
                </c:pt>
                <c:pt idx="129">
                  <c:v>45681</c:v>
                </c:pt>
                <c:pt idx="130">
                  <c:v>45684</c:v>
                </c:pt>
                <c:pt idx="131">
                  <c:v>45685</c:v>
                </c:pt>
                <c:pt idx="132">
                  <c:v>45686</c:v>
                </c:pt>
                <c:pt idx="133">
                  <c:v>45687</c:v>
                </c:pt>
                <c:pt idx="134">
                  <c:v>45688</c:v>
                </c:pt>
                <c:pt idx="135">
                  <c:v>45691</c:v>
                </c:pt>
                <c:pt idx="136">
                  <c:v>45692</c:v>
                </c:pt>
                <c:pt idx="137">
                  <c:v>45693</c:v>
                </c:pt>
                <c:pt idx="138">
                  <c:v>45694</c:v>
                </c:pt>
                <c:pt idx="139">
                  <c:v>45695</c:v>
                </c:pt>
                <c:pt idx="140">
                  <c:v>45698</c:v>
                </c:pt>
                <c:pt idx="141">
                  <c:v>45699</c:v>
                </c:pt>
                <c:pt idx="142">
                  <c:v>45700</c:v>
                </c:pt>
                <c:pt idx="143">
                  <c:v>45701</c:v>
                </c:pt>
                <c:pt idx="144">
                  <c:v>45702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45712</c:v>
                </c:pt>
                <c:pt idx="150">
                  <c:v>45713</c:v>
                </c:pt>
                <c:pt idx="151">
                  <c:v>45714</c:v>
                </c:pt>
                <c:pt idx="152">
                  <c:v>45715</c:v>
                </c:pt>
                <c:pt idx="153">
                  <c:v>45716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45726</c:v>
                </c:pt>
                <c:pt idx="160">
                  <c:v>45727</c:v>
                </c:pt>
                <c:pt idx="161">
                  <c:v>45728</c:v>
                </c:pt>
                <c:pt idx="162">
                  <c:v>45729</c:v>
                </c:pt>
                <c:pt idx="163">
                  <c:v>45730</c:v>
                </c:pt>
                <c:pt idx="164">
                  <c:v>45733</c:v>
                </c:pt>
                <c:pt idx="165">
                  <c:v>45734</c:v>
                </c:pt>
                <c:pt idx="166">
                  <c:v>45735</c:v>
                </c:pt>
                <c:pt idx="167">
                  <c:v>45736</c:v>
                </c:pt>
                <c:pt idx="168">
                  <c:v>45737</c:v>
                </c:pt>
                <c:pt idx="169">
                  <c:v>45740</c:v>
                </c:pt>
                <c:pt idx="170">
                  <c:v>45741</c:v>
                </c:pt>
                <c:pt idx="171">
                  <c:v>45742</c:v>
                </c:pt>
                <c:pt idx="172">
                  <c:v>45743</c:v>
                </c:pt>
                <c:pt idx="173">
                  <c:v>45744</c:v>
                </c:pt>
                <c:pt idx="174">
                  <c:v>45747</c:v>
                </c:pt>
              </c:numCache>
            </c:numRef>
          </c:cat>
          <c:val>
            <c:numRef>
              <c:f>MACD!$F$5:$F$192</c:f>
              <c:numCache>
                <c:formatCode>General</c:formatCode>
                <c:ptCount val="188"/>
                <c:pt idx="12" formatCode="0.00">
                  <c:v>0.12519230769230916</c:v>
                </c:pt>
                <c:pt idx="13" formatCode="0.00">
                  <c:v>0.25035291631446199</c:v>
                </c:pt>
                <c:pt idx="14" formatCode="0.00">
                  <c:v>0.35630594750417544</c:v>
                </c:pt>
                <c:pt idx="15" formatCode="0.00">
                  <c:v>0.47108900686250621</c:v>
                </c:pt>
                <c:pt idx="16" formatCode="0.00">
                  <c:v>0.72365053974338878</c:v>
                </c:pt>
                <c:pt idx="17" formatCode="0.00">
                  <c:v>0.98871486092917138</c:v>
                </c:pt>
                <c:pt idx="18" formatCode="0.00">
                  <c:v>1.726955759517665</c:v>
                </c:pt>
                <c:pt idx="19" formatCode="0.00">
                  <c:v>2.1740374645311391</c:v>
                </c:pt>
                <c:pt idx="20" formatCode="0.00">
                  <c:v>2.5396599058853297</c:v>
                </c:pt>
                <c:pt idx="21" formatCode="0.00">
                  <c:v>2.6677774961220777</c:v>
                </c:pt>
                <c:pt idx="22" formatCode="0.00">
                  <c:v>2.8289555401969437</c:v>
                </c:pt>
                <c:pt idx="23" formatCode="0.00">
                  <c:v>3.0167667279927315</c:v>
                </c:pt>
                <c:pt idx="24" formatCode="0.00">
                  <c:v>3.0242564621476973</c:v>
                </c:pt>
                <c:pt idx="25" formatCode="0.00">
                  <c:v>2.9855400833557439</c:v>
                </c:pt>
                <c:pt idx="26" formatCode="0.00">
                  <c:v>2.7451699017831572</c:v>
                </c:pt>
                <c:pt idx="27" formatCode="0.00">
                  <c:v>2.5534819258868708</c:v>
                </c:pt>
                <c:pt idx="28" formatCode="0.00">
                  <c:v>2.3638291592913632</c:v>
                </c:pt>
                <c:pt idx="29" formatCode="0.00">
                  <c:v>2.2154250924795917</c:v>
                </c:pt>
                <c:pt idx="30" formatCode="0.00">
                  <c:v>2.2334512499065013</c:v>
                </c:pt>
                <c:pt idx="31" formatCode="0.00">
                  <c:v>2.1702700199713831</c:v>
                </c:pt>
                <c:pt idx="32" formatCode="0.00">
                  <c:v>2.1518770903074369</c:v>
                </c:pt>
                <c:pt idx="33" formatCode="0.00">
                  <c:v>2.1328868794276303</c:v>
                </c:pt>
                <c:pt idx="34" formatCode="0.00">
                  <c:v>2.0889157811095203</c:v>
                </c:pt>
                <c:pt idx="35" formatCode="0.00">
                  <c:v>2.0051331168305495</c:v>
                </c:pt>
                <c:pt idx="36" formatCode="0.00">
                  <c:v>1.8735639853660473</c:v>
                </c:pt>
                <c:pt idx="37" formatCode="0.00">
                  <c:v>1.6837184950691793</c:v>
                </c:pt>
                <c:pt idx="38" formatCode="0.00">
                  <c:v>1.5548797947503274</c:v>
                </c:pt>
                <c:pt idx="39" formatCode="0.00">
                  <c:v>1.4465887355859834</c:v>
                </c:pt>
                <c:pt idx="40" formatCode="0.00">
                  <c:v>1.3356873218750493</c:v>
                </c:pt>
                <c:pt idx="41" formatCode="0.00">
                  <c:v>1.3085629969234631</c:v>
                </c:pt>
                <c:pt idx="42" formatCode="0.00">
                  <c:v>1.325048919004999</c:v>
                </c:pt>
                <c:pt idx="43" formatCode="0.00">
                  <c:v>1.3412125454904711</c:v>
                </c:pt>
                <c:pt idx="44" formatCode="0.00">
                  <c:v>1.3840619674321886</c:v>
                </c:pt>
                <c:pt idx="45" formatCode="0.00">
                  <c:v>1.3571883012334567</c:v>
                </c:pt>
                <c:pt idx="46" formatCode="0.00">
                  <c:v>1.3079033684426165</c:v>
                </c:pt>
                <c:pt idx="47" formatCode="0.00">
                  <c:v>1.1666356476698212</c:v>
                </c:pt>
                <c:pt idx="48" formatCode="0.00">
                  <c:v>1.0267064003672601</c:v>
                </c:pt>
                <c:pt idx="49" formatCode="0.00">
                  <c:v>0.96759708808898637</c:v>
                </c:pt>
                <c:pt idx="50" formatCode="0.00">
                  <c:v>0.85521689085570785</c:v>
                </c:pt>
                <c:pt idx="51" formatCode="0.00">
                  <c:v>0.72950343842671828</c:v>
                </c:pt>
                <c:pt idx="52" formatCode="0.00">
                  <c:v>0.69369371429088034</c:v>
                </c:pt>
                <c:pt idx="53" formatCode="0.00">
                  <c:v>0.72633630974809904</c:v>
                </c:pt>
                <c:pt idx="54" formatCode="0.00">
                  <c:v>0.70374761604935543</c:v>
                </c:pt>
                <c:pt idx="55" formatCode="0.00">
                  <c:v>0.69797302564663966</c:v>
                </c:pt>
                <c:pt idx="56" formatCode="0.00">
                  <c:v>0.62805876791635029</c:v>
                </c:pt>
                <c:pt idx="57" formatCode="0.00">
                  <c:v>0.59723638629955644</c:v>
                </c:pt>
                <c:pt idx="58" formatCode="0.00">
                  <c:v>0.61414493191261244</c:v>
                </c:pt>
                <c:pt idx="59" formatCode="0.00">
                  <c:v>0.6945815994793918</c:v>
                </c:pt>
                <c:pt idx="60" formatCode="0.00">
                  <c:v>0.67071196182397586</c:v>
                </c:pt>
                <c:pt idx="61" formatCode="0.00">
                  <c:v>0.65792849116147778</c:v>
                </c:pt>
                <c:pt idx="62" formatCode="0.00">
                  <c:v>0.70343513390554335</c:v>
                </c:pt>
                <c:pt idx="63" formatCode="0.00">
                  <c:v>0.79728295789128367</c:v>
                </c:pt>
                <c:pt idx="64" formatCode="0.00">
                  <c:v>0.95426022217765194</c:v>
                </c:pt>
                <c:pt idx="65" formatCode="0.00">
                  <c:v>1.1349773355395953</c:v>
                </c:pt>
                <c:pt idx="66" formatCode="0.00">
                  <c:v>1.2987303179680083</c:v>
                </c:pt>
                <c:pt idx="67" formatCode="0.00">
                  <c:v>1.3930811695234055</c:v>
                </c:pt>
                <c:pt idx="68" formatCode="0.00">
                  <c:v>1.4096457265024327</c:v>
                </c:pt>
                <c:pt idx="69" formatCode="0.00">
                  <c:v>1.3299781204147507</c:v>
                </c:pt>
                <c:pt idx="70" formatCode="0.00">
                  <c:v>1.277931100027935</c:v>
                </c:pt>
                <c:pt idx="71" formatCode="0.00">
                  <c:v>1.190681370664727</c:v>
                </c:pt>
                <c:pt idx="72" formatCode="0.00">
                  <c:v>1.0927998861703117</c:v>
                </c:pt>
                <c:pt idx="73" formatCode="0.00">
                  <c:v>1.0411514309547982</c:v>
                </c:pt>
                <c:pt idx="74" formatCode="0.00">
                  <c:v>0.9960006306468614</c:v>
                </c:pt>
                <c:pt idx="75" formatCode="0.00">
                  <c:v>0.99793660612472479</c:v>
                </c:pt>
                <c:pt idx="76" formatCode="0.00">
                  <c:v>0.97292420393644363</c:v>
                </c:pt>
                <c:pt idx="77" formatCode="0.00">
                  <c:v>0.94543102041073723</c:v>
                </c:pt>
                <c:pt idx="78" formatCode="0.00">
                  <c:v>0.82536734647565879</c:v>
                </c:pt>
                <c:pt idx="79" formatCode="0.00">
                  <c:v>0.77294860084018779</c:v>
                </c:pt>
                <c:pt idx="80" formatCode="0.00">
                  <c:v>0.74700287590254533</c:v>
                </c:pt>
                <c:pt idx="81" formatCode="0.00">
                  <c:v>0.70699408427444155</c:v>
                </c:pt>
                <c:pt idx="82" formatCode="0.00">
                  <c:v>0.58781917249431359</c:v>
                </c:pt>
                <c:pt idx="83" formatCode="0.00">
                  <c:v>0.54518561856407644</c:v>
                </c:pt>
                <c:pt idx="84" formatCode="0.00">
                  <c:v>0.49440222880603812</c:v>
                </c:pt>
                <c:pt idx="85" formatCode="0.00">
                  <c:v>0.46174399205764871</c:v>
                </c:pt>
                <c:pt idx="86" formatCode="0.00">
                  <c:v>0.67898618272990774</c:v>
                </c:pt>
                <c:pt idx="87" formatCode="0.00">
                  <c:v>0.7257829283252093</c:v>
                </c:pt>
                <c:pt idx="88" formatCode="0.00">
                  <c:v>0.84431846486482698</c:v>
                </c:pt>
                <c:pt idx="89" formatCode="0.00">
                  <c:v>0.967452364263508</c:v>
                </c:pt>
                <c:pt idx="90" formatCode="0.00">
                  <c:v>0.99945240095177468</c:v>
                </c:pt>
                <c:pt idx="91" formatCode="0.00">
                  <c:v>0.96766379834626548</c:v>
                </c:pt>
                <c:pt idx="92" formatCode="0.00">
                  <c:v>0.88626060487077041</c:v>
                </c:pt>
                <c:pt idx="93" formatCode="0.00">
                  <c:v>1.2654887512375979</c:v>
                </c:pt>
                <c:pt idx="94" formatCode="0.00">
                  <c:v>1.4843656322801237</c:v>
                </c:pt>
                <c:pt idx="95" formatCode="0.00">
                  <c:v>1.5902735518173685</c:v>
                </c:pt>
                <c:pt idx="96" formatCode="0.00">
                  <c:v>1.6623065537133073</c:v>
                </c:pt>
                <c:pt idx="97" formatCode="0.00">
                  <c:v>1.5179186599997152</c:v>
                </c:pt>
                <c:pt idx="98" formatCode="0.00">
                  <c:v>1.4337638297682744</c:v>
                </c:pt>
                <c:pt idx="99" formatCode="0.00">
                  <c:v>1.4655654433502647</c:v>
                </c:pt>
                <c:pt idx="100" formatCode="0.00">
                  <c:v>1.4458594090529644</c:v>
                </c:pt>
                <c:pt idx="101" formatCode="0.00">
                  <c:v>1.4418634060103201</c:v>
                </c:pt>
                <c:pt idx="102" formatCode="0.00">
                  <c:v>1.4733552736434561</c:v>
                </c:pt>
                <c:pt idx="103" formatCode="0.00">
                  <c:v>1.4740585286421393</c:v>
                </c:pt>
                <c:pt idx="104" formatCode="0.00">
                  <c:v>1.4546202409215425</c:v>
                </c:pt>
                <c:pt idx="105" formatCode="0.00">
                  <c:v>1.4650931466570114</c:v>
                </c:pt>
                <c:pt idx="106" formatCode="0.00">
                  <c:v>1.4526135924992474</c:v>
                </c:pt>
                <c:pt idx="107" formatCode="0.00">
                  <c:v>1.483718060409835</c:v>
                </c:pt>
                <c:pt idx="108" formatCode="0.00">
                  <c:v>1.3914640901356847</c:v>
                </c:pt>
                <c:pt idx="109" formatCode="0.00">
                  <c:v>1.2778011323410041</c:v>
                </c:pt>
                <c:pt idx="110" formatCode="0.00">
                  <c:v>1.2116799986575231</c:v>
                </c:pt>
                <c:pt idx="111" formatCode="0.00">
                  <c:v>1.1891442956444536</c:v>
                </c:pt>
                <c:pt idx="112" formatCode="0.00">
                  <c:v>1.1044893226781554</c:v>
                </c:pt>
                <c:pt idx="113" formatCode="0.00">
                  <c:v>0.97851190143472166</c:v>
                </c:pt>
                <c:pt idx="114" formatCode="0.00">
                  <c:v>0.75139555258092372</c:v>
                </c:pt>
                <c:pt idx="115" formatCode="0.00">
                  <c:v>0.53537681142674387</c:v>
                </c:pt>
                <c:pt idx="116" formatCode="0.00">
                  <c:v>0.32014415882530045</c:v>
                </c:pt>
                <c:pt idx="117" formatCode="0.00">
                  <c:v>0.15504570839595999</c:v>
                </c:pt>
                <c:pt idx="118" formatCode="0.00">
                  <c:v>0.16592246992971127</c:v>
                </c:pt>
                <c:pt idx="119" formatCode="0.00">
                  <c:v>0.10793791022048538</c:v>
                </c:pt>
                <c:pt idx="120" formatCode="0.00">
                  <c:v>1.8201427140951409E-2</c:v>
                </c:pt>
                <c:pt idx="121" formatCode="0.00">
                  <c:v>2.9852884247965505E-2</c:v>
                </c:pt>
                <c:pt idx="122" formatCode="0.00">
                  <c:v>5.8584334867447296E-2</c:v>
                </c:pt>
                <c:pt idx="123" formatCode="0.00">
                  <c:v>9.4786077263137258E-2</c:v>
                </c:pt>
                <c:pt idx="124" formatCode="0.00">
                  <c:v>0.1412143816784166</c:v>
                </c:pt>
                <c:pt idx="125" formatCode="0.00">
                  <c:v>0.15045348762567556</c:v>
                </c:pt>
                <c:pt idx="126" formatCode="0.00">
                  <c:v>2.6746764505993781E-2</c:v>
                </c:pt>
                <c:pt idx="127" formatCode="0.00">
                  <c:v>-3.0593223858495833E-2</c:v>
                </c:pt>
                <c:pt idx="128" formatCode="0.00">
                  <c:v>-5.6821497091540607E-2</c:v>
                </c:pt>
                <c:pt idx="129" formatCode="0.00">
                  <c:v>-9.4273033133482897E-2</c:v>
                </c:pt>
                <c:pt idx="130" formatCode="0.00">
                  <c:v>-0.11376613934146462</c:v>
                </c:pt>
                <c:pt idx="131" formatCode="0.00">
                  <c:v>-9.1046879084565546E-2</c:v>
                </c:pt>
                <c:pt idx="132" formatCode="0.00">
                  <c:v>-9.8534103907972792E-2</c:v>
                </c:pt>
                <c:pt idx="133" formatCode="0.00">
                  <c:v>-0.181453905648155</c:v>
                </c:pt>
                <c:pt idx="134" formatCode="0.00">
                  <c:v>-0.28184458899846021</c:v>
                </c:pt>
                <c:pt idx="135" formatCode="0.00">
                  <c:v>-0.32697296382848862</c:v>
                </c:pt>
                <c:pt idx="136" formatCode="0.00">
                  <c:v>-0.34504251147220799</c:v>
                </c:pt>
                <c:pt idx="137" formatCode="0.00">
                  <c:v>-0.31777457858369473</c:v>
                </c:pt>
                <c:pt idx="138" formatCode="0.00">
                  <c:v>-0.29996893796069202</c:v>
                </c:pt>
                <c:pt idx="139" formatCode="0.00">
                  <c:v>-0.22277114045878221</c:v>
                </c:pt>
                <c:pt idx="140" formatCode="0.00">
                  <c:v>-0.1557612291343986</c:v>
                </c:pt>
                <c:pt idx="141" formatCode="0.00">
                  <c:v>6.2047233916153743E-2</c:v>
                </c:pt>
                <c:pt idx="142" formatCode="0.00">
                  <c:v>0.27426700144674498</c:v>
                </c:pt>
                <c:pt idx="143" formatCode="0.00">
                  <c:v>0.51159853439582292</c:v>
                </c:pt>
                <c:pt idx="144" formatCode="0.00">
                  <c:v>0.54493123360781937</c:v>
                </c:pt>
                <c:pt idx="145" formatCode="0.00">
                  <c:v>0.58797045682397453</c:v>
                </c:pt>
                <c:pt idx="146" formatCode="0.00">
                  <c:v>0.62216961510643642</c:v>
                </c:pt>
                <c:pt idx="147" formatCode="0.00">
                  <c:v>0.62671688025530869</c:v>
                </c:pt>
                <c:pt idx="148" formatCode="0.00">
                  <c:v>0.70290955944310696</c:v>
                </c:pt>
                <c:pt idx="149" formatCode="0.00">
                  <c:v>0.68838348690427864</c:v>
                </c:pt>
                <c:pt idx="150" formatCode="0.00">
                  <c:v>0.71622336184503155</c:v>
                </c:pt>
                <c:pt idx="151" formatCode="0.00">
                  <c:v>0.54719507740437479</c:v>
                </c:pt>
                <c:pt idx="152" formatCode="0.00">
                  <c:v>0.36305958301463193</c:v>
                </c:pt>
                <c:pt idx="153" formatCode="0.00">
                  <c:v>0.10935730583732095</c:v>
                </c:pt>
                <c:pt idx="154" formatCode="0.00">
                  <c:v>-5.7951968940777476E-2</c:v>
                </c:pt>
                <c:pt idx="155" formatCode="0.00">
                  <c:v>-0.17162217602970031</c:v>
                </c:pt>
                <c:pt idx="156" formatCode="0.00">
                  <c:v>-0.2730831966716778</c:v>
                </c:pt>
                <c:pt idx="157" formatCode="0.00">
                  <c:v>-0.51459159521828468</c:v>
                </c:pt>
                <c:pt idx="158" formatCode="0.00">
                  <c:v>-0.65566408302296963</c:v>
                </c:pt>
                <c:pt idx="159" formatCode="0.00">
                  <c:v>-0.71484436169589571</c:v>
                </c:pt>
                <c:pt idx="160" formatCode="0.00">
                  <c:v>-0.68844891778783079</c:v>
                </c:pt>
                <c:pt idx="161" formatCode="0.00">
                  <c:v>-0.65673227178820781</c:v>
                </c:pt>
                <c:pt idx="162" formatCode="0.00">
                  <c:v>-0.4608661557282332</c:v>
                </c:pt>
                <c:pt idx="163" formatCode="0.00">
                  <c:v>-0.27583297470428647</c:v>
                </c:pt>
                <c:pt idx="164" formatCode="0.00">
                  <c:v>-0.19393138872023741</c:v>
                </c:pt>
                <c:pt idx="165" formatCode="0.00">
                  <c:v>-1.4277081881218123E-2</c:v>
                </c:pt>
                <c:pt idx="166" formatCode="0.00">
                  <c:v>0.19205352412520682</c:v>
                </c:pt>
                <c:pt idx="167" formatCode="0.00">
                  <c:v>0.37146293311457157</c:v>
                </c:pt>
                <c:pt idx="168" formatCode="0.00">
                  <c:v>0.47349067026446789</c:v>
                </c:pt>
                <c:pt idx="169" formatCode="0.00">
                  <c:v>0.57834441680339665</c:v>
                </c:pt>
                <c:pt idx="170" formatCode="0.00">
                  <c:v>0.68262191717659704</c:v>
                </c:pt>
                <c:pt idx="171" formatCode="0.00">
                  <c:v>0.8291342389256684</c:v>
                </c:pt>
                <c:pt idx="172" formatCode="0.00">
                  <c:v>1.0956138729008558</c:v>
                </c:pt>
                <c:pt idx="173" formatCode="0.00">
                  <c:v>1.1642732570933774</c:v>
                </c:pt>
                <c:pt idx="174" formatCode="0.00">
                  <c:v>1.0691856149981334</c:v>
                </c:pt>
                <c:pt idx="175" formatCode="0.00">
                  <c:v>1.0199951761486048</c:v>
                </c:pt>
                <c:pt idx="176" formatCode="0.00">
                  <c:v>0.86852124056964186</c:v>
                </c:pt>
                <c:pt idx="177" formatCode="0.00">
                  <c:v>0.81812404043718345</c:v>
                </c:pt>
                <c:pt idx="178" formatCode="0.00">
                  <c:v>0.76213621651075414</c:v>
                </c:pt>
                <c:pt idx="179" formatCode="0.00">
                  <c:v>0.72394477364519361</c:v>
                </c:pt>
                <c:pt idx="180" formatCode="0.00">
                  <c:v>0.71289512725600446</c:v>
                </c:pt>
                <c:pt idx="181" formatCode="0.00">
                  <c:v>0.74158392136980922</c:v>
                </c:pt>
                <c:pt idx="182" formatCode="0.00">
                  <c:v>0.76039612278239588</c:v>
                </c:pt>
                <c:pt idx="183" formatCode="0.00">
                  <c:v>0.61809347576624418</c:v>
                </c:pt>
                <c:pt idx="184" formatCode="0.00">
                  <c:v>0.50115443920640246</c:v>
                </c:pt>
                <c:pt idx="185" formatCode="0.00">
                  <c:v>0.37909502948907203</c:v>
                </c:pt>
                <c:pt idx="186" formatCode="0.00">
                  <c:v>0.36848899589869433</c:v>
                </c:pt>
                <c:pt idx="187" formatCode="0.00">
                  <c:v>0.43335903800425513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C-4E59-B109-81B6F61E1AFB}"/>
            </c:ext>
          </c:extLst>
        </c:ser>
        <c:ser>
          <c:idx val="1"/>
          <c:order val="1"/>
          <c:tx>
            <c:strRef>
              <c:f>MACD!$G$4</c:f>
              <c:strCache>
                <c:ptCount val="1"/>
                <c:pt idx="0">
                  <c:v>Signal Line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MACD!$A$18:$A$192</c:f>
              <c:numCache>
                <c:formatCode>m/d/yyyy</c:formatCode>
                <c:ptCount val="175"/>
                <c:pt idx="0">
                  <c:v>45492</c:v>
                </c:pt>
                <c:pt idx="1">
                  <c:v>45495</c:v>
                </c:pt>
                <c:pt idx="2">
                  <c:v>45496</c:v>
                </c:pt>
                <c:pt idx="3">
                  <c:v>45497</c:v>
                </c:pt>
                <c:pt idx="4">
                  <c:v>45498</c:v>
                </c:pt>
                <c:pt idx="5">
                  <c:v>45499</c:v>
                </c:pt>
                <c:pt idx="6">
                  <c:v>45502</c:v>
                </c:pt>
                <c:pt idx="7">
                  <c:v>45503</c:v>
                </c:pt>
                <c:pt idx="8">
                  <c:v>45504</c:v>
                </c:pt>
                <c:pt idx="9">
                  <c:v>45505</c:v>
                </c:pt>
                <c:pt idx="10">
                  <c:v>45506</c:v>
                </c:pt>
                <c:pt idx="11">
                  <c:v>45509</c:v>
                </c:pt>
                <c:pt idx="12">
                  <c:v>45510</c:v>
                </c:pt>
                <c:pt idx="13">
                  <c:v>45511</c:v>
                </c:pt>
                <c:pt idx="14">
                  <c:v>45512</c:v>
                </c:pt>
                <c:pt idx="15">
                  <c:v>45513</c:v>
                </c:pt>
                <c:pt idx="16">
                  <c:v>45516</c:v>
                </c:pt>
                <c:pt idx="17">
                  <c:v>45517</c:v>
                </c:pt>
                <c:pt idx="18">
                  <c:v>45518</c:v>
                </c:pt>
                <c:pt idx="19">
                  <c:v>45519</c:v>
                </c:pt>
                <c:pt idx="20">
                  <c:v>45520</c:v>
                </c:pt>
                <c:pt idx="21">
                  <c:v>45523</c:v>
                </c:pt>
                <c:pt idx="22">
                  <c:v>45524</c:v>
                </c:pt>
                <c:pt idx="23">
                  <c:v>45525</c:v>
                </c:pt>
                <c:pt idx="24">
                  <c:v>45526</c:v>
                </c:pt>
                <c:pt idx="25">
                  <c:v>45527</c:v>
                </c:pt>
                <c:pt idx="26">
                  <c:v>45530</c:v>
                </c:pt>
                <c:pt idx="27">
                  <c:v>45531</c:v>
                </c:pt>
                <c:pt idx="28">
                  <c:v>45532</c:v>
                </c:pt>
                <c:pt idx="29">
                  <c:v>45533</c:v>
                </c:pt>
                <c:pt idx="30">
                  <c:v>45534</c:v>
                </c:pt>
                <c:pt idx="31">
                  <c:v>45538</c:v>
                </c:pt>
                <c:pt idx="32">
                  <c:v>45539</c:v>
                </c:pt>
                <c:pt idx="33">
                  <c:v>45540</c:v>
                </c:pt>
                <c:pt idx="34">
                  <c:v>45541</c:v>
                </c:pt>
                <c:pt idx="35">
                  <c:v>45544</c:v>
                </c:pt>
                <c:pt idx="36">
                  <c:v>45545</c:v>
                </c:pt>
                <c:pt idx="37">
                  <c:v>45546</c:v>
                </c:pt>
                <c:pt idx="38">
                  <c:v>45547</c:v>
                </c:pt>
                <c:pt idx="39">
                  <c:v>45548</c:v>
                </c:pt>
                <c:pt idx="40">
                  <c:v>45551</c:v>
                </c:pt>
                <c:pt idx="41">
                  <c:v>45552</c:v>
                </c:pt>
                <c:pt idx="42">
                  <c:v>45553</c:v>
                </c:pt>
                <c:pt idx="43">
                  <c:v>45554</c:v>
                </c:pt>
                <c:pt idx="44">
                  <c:v>45555</c:v>
                </c:pt>
                <c:pt idx="45">
                  <c:v>45558</c:v>
                </c:pt>
                <c:pt idx="46">
                  <c:v>45559</c:v>
                </c:pt>
                <c:pt idx="47">
                  <c:v>45560</c:v>
                </c:pt>
                <c:pt idx="48">
                  <c:v>45561</c:v>
                </c:pt>
                <c:pt idx="49">
                  <c:v>45562</c:v>
                </c:pt>
                <c:pt idx="50">
                  <c:v>45565</c:v>
                </c:pt>
                <c:pt idx="51">
                  <c:v>45566</c:v>
                </c:pt>
                <c:pt idx="52">
                  <c:v>45567</c:v>
                </c:pt>
                <c:pt idx="53">
                  <c:v>45568</c:v>
                </c:pt>
                <c:pt idx="54">
                  <c:v>45569</c:v>
                </c:pt>
                <c:pt idx="55">
                  <c:v>45572</c:v>
                </c:pt>
                <c:pt idx="56">
                  <c:v>45573</c:v>
                </c:pt>
                <c:pt idx="57">
                  <c:v>45574</c:v>
                </c:pt>
                <c:pt idx="58">
                  <c:v>45575</c:v>
                </c:pt>
                <c:pt idx="59">
                  <c:v>45576</c:v>
                </c:pt>
                <c:pt idx="60">
                  <c:v>45579</c:v>
                </c:pt>
                <c:pt idx="61">
                  <c:v>45580</c:v>
                </c:pt>
                <c:pt idx="62">
                  <c:v>45581</c:v>
                </c:pt>
                <c:pt idx="63">
                  <c:v>45582</c:v>
                </c:pt>
                <c:pt idx="64">
                  <c:v>45583</c:v>
                </c:pt>
                <c:pt idx="65">
                  <c:v>45586</c:v>
                </c:pt>
                <c:pt idx="66">
                  <c:v>45587</c:v>
                </c:pt>
                <c:pt idx="67">
                  <c:v>45588</c:v>
                </c:pt>
                <c:pt idx="68">
                  <c:v>45589</c:v>
                </c:pt>
                <c:pt idx="69">
                  <c:v>45590</c:v>
                </c:pt>
                <c:pt idx="70">
                  <c:v>45593</c:v>
                </c:pt>
                <c:pt idx="71">
                  <c:v>45594</c:v>
                </c:pt>
                <c:pt idx="72">
                  <c:v>45595</c:v>
                </c:pt>
                <c:pt idx="73">
                  <c:v>45596</c:v>
                </c:pt>
                <c:pt idx="74">
                  <c:v>45597</c:v>
                </c:pt>
                <c:pt idx="75">
                  <c:v>45600</c:v>
                </c:pt>
                <c:pt idx="76">
                  <c:v>45601</c:v>
                </c:pt>
                <c:pt idx="77">
                  <c:v>45602</c:v>
                </c:pt>
                <c:pt idx="78">
                  <c:v>45603</c:v>
                </c:pt>
                <c:pt idx="79">
                  <c:v>45604</c:v>
                </c:pt>
                <c:pt idx="80">
                  <c:v>45607</c:v>
                </c:pt>
                <c:pt idx="81">
                  <c:v>45608</c:v>
                </c:pt>
                <c:pt idx="82">
                  <c:v>45609</c:v>
                </c:pt>
                <c:pt idx="83">
                  <c:v>45610</c:v>
                </c:pt>
                <c:pt idx="84">
                  <c:v>45611</c:v>
                </c:pt>
                <c:pt idx="85">
                  <c:v>45614</c:v>
                </c:pt>
                <c:pt idx="86">
                  <c:v>45615</c:v>
                </c:pt>
                <c:pt idx="87">
                  <c:v>45616</c:v>
                </c:pt>
                <c:pt idx="88">
                  <c:v>45617</c:v>
                </c:pt>
                <c:pt idx="89">
                  <c:v>45618</c:v>
                </c:pt>
                <c:pt idx="90">
                  <c:v>45621</c:v>
                </c:pt>
                <c:pt idx="91">
                  <c:v>45622</c:v>
                </c:pt>
                <c:pt idx="92">
                  <c:v>45623</c:v>
                </c:pt>
                <c:pt idx="93">
                  <c:v>45625</c:v>
                </c:pt>
                <c:pt idx="94">
                  <c:v>45628</c:v>
                </c:pt>
                <c:pt idx="95">
                  <c:v>45629</c:v>
                </c:pt>
                <c:pt idx="96">
                  <c:v>45630</c:v>
                </c:pt>
                <c:pt idx="97">
                  <c:v>45631</c:v>
                </c:pt>
                <c:pt idx="98">
                  <c:v>45632</c:v>
                </c:pt>
                <c:pt idx="99">
                  <c:v>45635</c:v>
                </c:pt>
                <c:pt idx="100">
                  <c:v>45636</c:v>
                </c:pt>
                <c:pt idx="101">
                  <c:v>45637</c:v>
                </c:pt>
                <c:pt idx="102">
                  <c:v>45638</c:v>
                </c:pt>
                <c:pt idx="103">
                  <c:v>45639</c:v>
                </c:pt>
                <c:pt idx="104">
                  <c:v>45642</c:v>
                </c:pt>
                <c:pt idx="105">
                  <c:v>45643</c:v>
                </c:pt>
                <c:pt idx="106">
                  <c:v>45644</c:v>
                </c:pt>
                <c:pt idx="107">
                  <c:v>45645</c:v>
                </c:pt>
                <c:pt idx="108">
                  <c:v>45646</c:v>
                </c:pt>
                <c:pt idx="109">
                  <c:v>45649</c:v>
                </c:pt>
                <c:pt idx="110">
                  <c:v>45650</c:v>
                </c:pt>
                <c:pt idx="111">
                  <c:v>45652</c:v>
                </c:pt>
                <c:pt idx="112">
                  <c:v>45653</c:v>
                </c:pt>
                <c:pt idx="113">
                  <c:v>45656</c:v>
                </c:pt>
                <c:pt idx="114">
                  <c:v>45657</c:v>
                </c:pt>
                <c:pt idx="115">
                  <c:v>45659</c:v>
                </c:pt>
                <c:pt idx="116">
                  <c:v>45660</c:v>
                </c:pt>
                <c:pt idx="117">
                  <c:v>45663</c:v>
                </c:pt>
                <c:pt idx="118">
                  <c:v>45664</c:v>
                </c:pt>
                <c:pt idx="119">
                  <c:v>45665</c:v>
                </c:pt>
                <c:pt idx="120">
                  <c:v>45667</c:v>
                </c:pt>
                <c:pt idx="121">
                  <c:v>45670</c:v>
                </c:pt>
                <c:pt idx="122">
                  <c:v>45671</c:v>
                </c:pt>
                <c:pt idx="123">
                  <c:v>45672</c:v>
                </c:pt>
                <c:pt idx="124">
                  <c:v>45673</c:v>
                </c:pt>
                <c:pt idx="125">
                  <c:v>45674</c:v>
                </c:pt>
                <c:pt idx="126">
                  <c:v>45678</c:v>
                </c:pt>
                <c:pt idx="127">
                  <c:v>45679</c:v>
                </c:pt>
                <c:pt idx="128">
                  <c:v>45680</c:v>
                </c:pt>
                <c:pt idx="129">
                  <c:v>45681</c:v>
                </c:pt>
                <c:pt idx="130">
                  <c:v>45684</c:v>
                </c:pt>
                <c:pt idx="131">
                  <c:v>45685</c:v>
                </c:pt>
                <c:pt idx="132">
                  <c:v>45686</c:v>
                </c:pt>
                <c:pt idx="133">
                  <c:v>45687</c:v>
                </c:pt>
                <c:pt idx="134">
                  <c:v>45688</c:v>
                </c:pt>
                <c:pt idx="135">
                  <c:v>45691</c:v>
                </c:pt>
                <c:pt idx="136">
                  <c:v>45692</c:v>
                </c:pt>
                <c:pt idx="137">
                  <c:v>45693</c:v>
                </c:pt>
                <c:pt idx="138">
                  <c:v>45694</c:v>
                </c:pt>
                <c:pt idx="139">
                  <c:v>45695</c:v>
                </c:pt>
                <c:pt idx="140">
                  <c:v>45698</c:v>
                </c:pt>
                <c:pt idx="141">
                  <c:v>45699</c:v>
                </c:pt>
                <c:pt idx="142">
                  <c:v>45700</c:v>
                </c:pt>
                <c:pt idx="143">
                  <c:v>45701</c:v>
                </c:pt>
                <c:pt idx="144">
                  <c:v>45702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45712</c:v>
                </c:pt>
                <c:pt idx="150">
                  <c:v>45713</c:v>
                </c:pt>
                <c:pt idx="151">
                  <c:v>45714</c:v>
                </c:pt>
                <c:pt idx="152">
                  <c:v>45715</c:v>
                </c:pt>
                <c:pt idx="153">
                  <c:v>45716</c:v>
                </c:pt>
                <c:pt idx="154">
                  <c:v>45719</c:v>
                </c:pt>
                <c:pt idx="155">
                  <c:v>45720</c:v>
                </c:pt>
                <c:pt idx="156">
                  <c:v>45721</c:v>
                </c:pt>
                <c:pt idx="157">
                  <c:v>45722</c:v>
                </c:pt>
                <c:pt idx="158">
                  <c:v>45723</c:v>
                </c:pt>
                <c:pt idx="159">
                  <c:v>45726</c:v>
                </c:pt>
                <c:pt idx="160">
                  <c:v>45727</c:v>
                </c:pt>
                <c:pt idx="161">
                  <c:v>45728</c:v>
                </c:pt>
                <c:pt idx="162">
                  <c:v>45729</c:v>
                </c:pt>
                <c:pt idx="163">
                  <c:v>45730</c:v>
                </c:pt>
                <c:pt idx="164">
                  <c:v>45733</c:v>
                </c:pt>
                <c:pt idx="165">
                  <c:v>45734</c:v>
                </c:pt>
                <c:pt idx="166">
                  <c:v>45735</c:v>
                </c:pt>
                <c:pt idx="167">
                  <c:v>45736</c:v>
                </c:pt>
                <c:pt idx="168">
                  <c:v>45737</c:v>
                </c:pt>
                <c:pt idx="169">
                  <c:v>45740</c:v>
                </c:pt>
                <c:pt idx="170">
                  <c:v>45741</c:v>
                </c:pt>
                <c:pt idx="171">
                  <c:v>45742</c:v>
                </c:pt>
                <c:pt idx="172">
                  <c:v>45743</c:v>
                </c:pt>
                <c:pt idx="173">
                  <c:v>45744</c:v>
                </c:pt>
                <c:pt idx="174">
                  <c:v>45747</c:v>
                </c:pt>
              </c:numCache>
            </c:numRef>
          </c:cat>
          <c:val>
            <c:numRef>
              <c:f>MACD!$G$5:$G$192</c:f>
              <c:numCache>
                <c:formatCode>General</c:formatCode>
                <c:ptCount val="188"/>
                <c:pt idx="12" formatCode="0.00">
                  <c:v>0.12519230769230916</c:v>
                </c:pt>
                <c:pt idx="13" formatCode="0.00">
                  <c:v>0.18777261200338558</c:v>
                </c:pt>
                <c:pt idx="14" formatCode="0.00">
                  <c:v>0.24395039050364886</c:v>
                </c:pt>
                <c:pt idx="15" formatCode="0.00">
                  <c:v>0.3007350445933632</c:v>
                </c:pt>
                <c:pt idx="16" formatCode="0.00">
                  <c:v>0.3853181436233683</c:v>
                </c:pt>
                <c:pt idx="17" formatCode="0.00">
                  <c:v>0.48588426317433547</c:v>
                </c:pt>
                <c:pt idx="18" formatCode="0.00">
                  <c:v>0.66318019122338256</c:v>
                </c:pt>
                <c:pt idx="19" formatCode="0.00">
                  <c:v>0.85203735038685213</c:v>
                </c:pt>
                <c:pt idx="20" formatCode="0.00">
                  <c:v>1.0395509676644608</c:v>
                </c:pt>
                <c:pt idx="21" formatCode="0.00">
                  <c:v>1.3651962733559841</c:v>
                </c:pt>
                <c:pt idx="22" formatCode="0.00">
                  <c:v>1.657948126724176</c:v>
                </c:pt>
                <c:pt idx="23" formatCode="0.00">
                  <c:v>1.9297118469778871</c:v>
                </c:pt>
                <c:pt idx="24" formatCode="0.00">
                  <c:v>2.1486207700118491</c:v>
                </c:pt>
                <c:pt idx="25" formatCode="0.00">
                  <c:v>2.3160046326806283</c:v>
                </c:pt>
                <c:pt idx="26" formatCode="0.00">
                  <c:v>2.4018376865011342</c:v>
                </c:pt>
                <c:pt idx="27" formatCode="0.00">
                  <c:v>2.4321665343782817</c:v>
                </c:pt>
                <c:pt idx="28" formatCode="0.00">
                  <c:v>2.4184990593608982</c:v>
                </c:pt>
                <c:pt idx="29" formatCode="0.00">
                  <c:v>2.3778842659846369</c:v>
                </c:pt>
                <c:pt idx="30" formatCode="0.00">
                  <c:v>2.3489976627690097</c:v>
                </c:pt>
                <c:pt idx="31" formatCode="0.00">
                  <c:v>2.3132521342094843</c:v>
                </c:pt>
                <c:pt idx="32" formatCode="0.00">
                  <c:v>2.2809771254290747</c:v>
                </c:pt>
                <c:pt idx="33" formatCode="0.00">
                  <c:v>2.2513590762287858</c:v>
                </c:pt>
                <c:pt idx="34" formatCode="0.00">
                  <c:v>2.2188704172049327</c:v>
                </c:pt>
                <c:pt idx="35" formatCode="0.00">
                  <c:v>2.176122957130056</c:v>
                </c:pt>
                <c:pt idx="36" formatCode="0.00">
                  <c:v>2.1156111627772543</c:v>
                </c:pt>
                <c:pt idx="37" formatCode="0.00">
                  <c:v>2.0292326292356391</c:v>
                </c:pt>
                <c:pt idx="38" formatCode="0.00">
                  <c:v>1.9343620623385767</c:v>
                </c:pt>
                <c:pt idx="39" formatCode="0.00">
                  <c:v>1.8368073969880581</c:v>
                </c:pt>
                <c:pt idx="40" formatCode="0.00">
                  <c:v>1.7365833819654564</c:v>
                </c:pt>
                <c:pt idx="41" formatCode="0.00">
                  <c:v>1.6509793049570578</c:v>
                </c:pt>
                <c:pt idx="42" formatCode="0.00">
                  <c:v>1.585793227766646</c:v>
                </c:pt>
                <c:pt idx="43" formatCode="0.00">
                  <c:v>1.5368770913114109</c:v>
                </c:pt>
                <c:pt idx="44" formatCode="0.00">
                  <c:v>1.5063140665355665</c:v>
                </c:pt>
                <c:pt idx="45" formatCode="0.00">
                  <c:v>1.4764889134751447</c:v>
                </c:pt>
                <c:pt idx="46" formatCode="0.00">
                  <c:v>1.4427718044686391</c:v>
                </c:pt>
                <c:pt idx="47" formatCode="0.00">
                  <c:v>1.3875445731088756</c:v>
                </c:pt>
                <c:pt idx="48" formatCode="0.00">
                  <c:v>1.3153769385605525</c:v>
                </c:pt>
                <c:pt idx="49" formatCode="0.00">
                  <c:v>1.2458209684662394</c:v>
                </c:pt>
                <c:pt idx="50" formatCode="0.00">
                  <c:v>1.1677001529441331</c:v>
                </c:pt>
                <c:pt idx="51" formatCode="0.00">
                  <c:v>1.0800608100406501</c:v>
                </c:pt>
                <c:pt idx="52" formatCode="0.00">
                  <c:v>1.0027873908906961</c:v>
                </c:pt>
                <c:pt idx="53" formatCode="0.00">
                  <c:v>0.94749717466217676</c:v>
                </c:pt>
                <c:pt idx="54" formatCode="0.00">
                  <c:v>0.89874726293961249</c:v>
                </c:pt>
                <c:pt idx="55" formatCode="0.00">
                  <c:v>0.85859241548101795</c:v>
                </c:pt>
                <c:pt idx="56" formatCode="0.00">
                  <c:v>0.81248568596808446</c:v>
                </c:pt>
                <c:pt idx="57" formatCode="0.00">
                  <c:v>0.76943582603437888</c:v>
                </c:pt>
                <c:pt idx="58" formatCode="0.00">
                  <c:v>0.73837764721002563</c:v>
                </c:pt>
                <c:pt idx="59" formatCode="0.00">
                  <c:v>0.72961843766389889</c:v>
                </c:pt>
                <c:pt idx="60" formatCode="0.00">
                  <c:v>0.71783714249591424</c:v>
                </c:pt>
                <c:pt idx="61" formatCode="0.00">
                  <c:v>0.70585541222902692</c:v>
                </c:pt>
                <c:pt idx="62" formatCode="0.00">
                  <c:v>0.70537135656433025</c:v>
                </c:pt>
                <c:pt idx="63" formatCode="0.00">
                  <c:v>0.72375367682972092</c:v>
                </c:pt>
                <c:pt idx="64" formatCode="0.00">
                  <c:v>0.76985498589930712</c:v>
                </c:pt>
                <c:pt idx="65" formatCode="0.00">
                  <c:v>0.84287945582736479</c:v>
                </c:pt>
                <c:pt idx="66" formatCode="0.00">
                  <c:v>0.93404962825549354</c:v>
                </c:pt>
                <c:pt idx="67" formatCode="0.00">
                  <c:v>1.025855936509076</c:v>
                </c:pt>
                <c:pt idx="68" formatCode="0.00">
                  <c:v>1.1026138945077473</c:v>
                </c:pt>
                <c:pt idx="69" formatCode="0.00">
                  <c:v>1.1480867396891479</c:v>
                </c:pt>
                <c:pt idx="70" formatCode="0.00">
                  <c:v>1.1740556117569052</c:v>
                </c:pt>
                <c:pt idx="71" formatCode="0.00">
                  <c:v>1.1773807635384697</c:v>
                </c:pt>
                <c:pt idx="72" formatCode="0.00">
                  <c:v>1.1604645880648381</c:v>
                </c:pt>
                <c:pt idx="73" formatCode="0.00">
                  <c:v>1.13660195664283</c:v>
                </c:pt>
                <c:pt idx="74" formatCode="0.00">
                  <c:v>1.1084816914436364</c:v>
                </c:pt>
                <c:pt idx="75" formatCode="0.00">
                  <c:v>1.0863726743798541</c:v>
                </c:pt>
                <c:pt idx="76" formatCode="0.00">
                  <c:v>1.063682980291172</c:v>
                </c:pt>
                <c:pt idx="77" formatCode="0.00">
                  <c:v>1.0400325883150852</c:v>
                </c:pt>
                <c:pt idx="78" formatCode="0.00">
                  <c:v>0.99709953994719991</c:v>
                </c:pt>
                <c:pt idx="79" formatCode="0.00">
                  <c:v>0.95226935212579744</c:v>
                </c:pt>
                <c:pt idx="80" formatCode="0.00">
                  <c:v>0.91121605688114704</c:v>
                </c:pt>
                <c:pt idx="81" formatCode="0.00">
                  <c:v>0.8703716623598059</c:v>
                </c:pt>
                <c:pt idx="82" formatCode="0.00">
                  <c:v>0.81386116438670741</c:v>
                </c:pt>
                <c:pt idx="83" formatCode="0.00">
                  <c:v>0.76012605522218124</c:v>
                </c:pt>
                <c:pt idx="84" formatCode="0.00">
                  <c:v>0.7069812899389526</c:v>
                </c:pt>
                <c:pt idx="85" formatCode="0.00">
                  <c:v>0.65793383036269182</c:v>
                </c:pt>
                <c:pt idx="86" formatCode="0.00">
                  <c:v>0.66214430083613496</c:v>
                </c:pt>
                <c:pt idx="87" formatCode="0.00">
                  <c:v>0.67487202633394983</c:v>
                </c:pt>
                <c:pt idx="88" formatCode="0.00">
                  <c:v>0.70876131404012521</c:v>
                </c:pt>
                <c:pt idx="89" formatCode="0.00">
                  <c:v>0.76049952408480181</c:v>
                </c:pt>
                <c:pt idx="90" formatCode="0.00">
                  <c:v>0.80829009945819641</c:v>
                </c:pt>
                <c:pt idx="91" formatCode="0.00">
                  <c:v>0.8401648392358102</c:v>
                </c:pt>
                <c:pt idx="92" formatCode="0.00">
                  <c:v>0.84938399236280226</c:v>
                </c:pt>
                <c:pt idx="93" formatCode="0.00">
                  <c:v>0.9326049441377614</c:v>
                </c:pt>
                <c:pt idx="94" formatCode="0.00">
                  <c:v>1.0429570817662339</c:v>
                </c:pt>
                <c:pt idx="95" formatCode="0.00">
                  <c:v>1.1524203757764608</c:v>
                </c:pt>
                <c:pt idx="96" formatCode="0.00">
                  <c:v>1.2543976113638302</c:v>
                </c:pt>
                <c:pt idx="97" formatCode="0.00">
                  <c:v>1.3071018210910073</c:v>
                </c:pt>
                <c:pt idx="98" formatCode="0.00">
                  <c:v>1.3324342228264607</c:v>
                </c:pt>
                <c:pt idx="99" formatCode="0.00">
                  <c:v>1.3590604669312216</c:v>
                </c:pt>
                <c:pt idx="100" formatCode="0.00">
                  <c:v>1.3764202553555702</c:v>
                </c:pt>
                <c:pt idx="101" formatCode="0.00">
                  <c:v>1.3895088854865203</c:v>
                </c:pt>
                <c:pt idx="102" formatCode="0.00">
                  <c:v>1.4062781631179075</c:v>
                </c:pt>
                <c:pt idx="103" formatCode="0.00">
                  <c:v>1.4198342362227538</c:v>
                </c:pt>
                <c:pt idx="104" formatCode="0.00">
                  <c:v>1.4267914371625117</c:v>
                </c:pt>
                <c:pt idx="105" formatCode="0.00">
                  <c:v>1.4344517790614115</c:v>
                </c:pt>
                <c:pt idx="106" formatCode="0.00">
                  <c:v>1.4380841417489787</c:v>
                </c:pt>
                <c:pt idx="107" formatCode="0.00">
                  <c:v>1.44721092548115</c:v>
                </c:pt>
                <c:pt idx="108" formatCode="0.00">
                  <c:v>1.4360615584120571</c:v>
                </c:pt>
                <c:pt idx="109" formatCode="0.00">
                  <c:v>1.4044094731978465</c:v>
                </c:pt>
                <c:pt idx="110" formatCode="0.00">
                  <c:v>1.3658635782897819</c:v>
                </c:pt>
                <c:pt idx="111" formatCode="0.00">
                  <c:v>1.3305197217607163</c:v>
                </c:pt>
                <c:pt idx="112" formatCode="0.00">
                  <c:v>1.2853136419442042</c:v>
                </c:pt>
                <c:pt idx="113" formatCode="0.00">
                  <c:v>1.2239532938423077</c:v>
                </c:pt>
                <c:pt idx="114" formatCode="0.00">
                  <c:v>1.129441745590031</c:v>
                </c:pt>
                <c:pt idx="115" formatCode="0.00">
                  <c:v>1.0106287587573735</c:v>
                </c:pt>
                <c:pt idx="116" formatCode="0.00">
                  <c:v>0.87253183877095886</c:v>
                </c:pt>
                <c:pt idx="117" formatCode="0.00">
                  <c:v>0.72903461269595904</c:v>
                </c:pt>
                <c:pt idx="118" formatCode="0.00">
                  <c:v>0.61641218414270949</c:v>
                </c:pt>
                <c:pt idx="119" formatCode="0.00">
                  <c:v>0.51471732935826464</c:v>
                </c:pt>
                <c:pt idx="120" formatCode="0.00">
                  <c:v>0.415414148914802</c:v>
                </c:pt>
                <c:pt idx="121" formatCode="0.00">
                  <c:v>0.33830189598143467</c:v>
                </c:pt>
                <c:pt idx="122" formatCode="0.00">
                  <c:v>0.2823583837586372</c:v>
                </c:pt>
                <c:pt idx="123" formatCode="0.00">
                  <c:v>0.24484392245953721</c:v>
                </c:pt>
                <c:pt idx="124" formatCode="0.00">
                  <c:v>0.22411801430331307</c:v>
                </c:pt>
                <c:pt idx="125" formatCode="0.00">
                  <c:v>0.20938510896778556</c:v>
                </c:pt>
                <c:pt idx="126" formatCode="0.00">
                  <c:v>0.17285744007542719</c:v>
                </c:pt>
                <c:pt idx="127" formatCode="0.00">
                  <c:v>0.13216730728864259</c:v>
                </c:pt>
                <c:pt idx="128" formatCode="0.00">
                  <c:v>9.4369546412605948E-2</c:v>
                </c:pt>
                <c:pt idx="129" formatCode="0.00">
                  <c:v>5.6641030503388173E-2</c:v>
                </c:pt>
                <c:pt idx="130" formatCode="0.00">
                  <c:v>2.2559596534417616E-2</c:v>
                </c:pt>
                <c:pt idx="131" formatCode="0.00">
                  <c:v>-1.6169858937901613E-4</c:v>
                </c:pt>
                <c:pt idx="132" formatCode="0.00">
                  <c:v>-1.9836179653097773E-2</c:v>
                </c:pt>
                <c:pt idx="133" formatCode="0.00">
                  <c:v>-5.2159724852109221E-2</c:v>
                </c:pt>
                <c:pt idx="134" formatCode="0.00">
                  <c:v>-9.8096697681379422E-2</c:v>
                </c:pt>
                <c:pt idx="135" formatCode="0.00">
                  <c:v>-0.14387195091080127</c:v>
                </c:pt>
                <c:pt idx="136" formatCode="0.00">
                  <c:v>-0.18410606302308261</c:v>
                </c:pt>
                <c:pt idx="137" formatCode="0.00">
                  <c:v>-0.21083976613520503</c:v>
                </c:pt>
                <c:pt idx="138" formatCode="0.00">
                  <c:v>-0.22866560050030244</c:v>
                </c:pt>
                <c:pt idx="139" formatCode="0.00">
                  <c:v>-0.2274867084919984</c:v>
                </c:pt>
                <c:pt idx="140" formatCode="0.00">
                  <c:v>-0.21314161262047843</c:v>
                </c:pt>
                <c:pt idx="141" formatCode="0.00">
                  <c:v>-0.158103843313152</c:v>
                </c:pt>
                <c:pt idx="142" formatCode="0.00">
                  <c:v>-7.1629674361172596E-2</c:v>
                </c:pt>
                <c:pt idx="143" formatCode="0.00">
                  <c:v>4.5015967390226522E-2</c:v>
                </c:pt>
                <c:pt idx="144" formatCode="0.00">
                  <c:v>0.14499902063374509</c:v>
                </c:pt>
                <c:pt idx="145" formatCode="0.00">
                  <c:v>0.233593307871791</c:v>
                </c:pt>
                <c:pt idx="146" formatCode="0.00">
                  <c:v>0.31130856931872009</c:v>
                </c:pt>
                <c:pt idx="147" formatCode="0.00">
                  <c:v>0.37439023150603779</c:v>
                </c:pt>
                <c:pt idx="148" formatCode="0.00">
                  <c:v>0.4400940970934516</c:v>
                </c:pt>
                <c:pt idx="149" formatCode="0.00">
                  <c:v>0.48975197505561702</c:v>
                </c:pt>
                <c:pt idx="150" formatCode="0.00">
                  <c:v>0.5350462524134999</c:v>
                </c:pt>
                <c:pt idx="151" formatCode="0.00">
                  <c:v>0.53747601741167483</c:v>
                </c:pt>
                <c:pt idx="152" formatCode="0.00">
                  <c:v>0.50259273053226627</c:v>
                </c:pt>
                <c:pt idx="153" formatCode="0.00">
                  <c:v>0.42394564559327719</c:v>
                </c:pt>
                <c:pt idx="154" formatCode="0.00">
                  <c:v>0.32756612268646623</c:v>
                </c:pt>
                <c:pt idx="155" formatCode="0.00">
                  <c:v>0.2277284629432329</c:v>
                </c:pt>
                <c:pt idx="156" formatCode="0.00">
                  <c:v>0.12756613102025077</c:v>
                </c:pt>
                <c:pt idx="157" formatCode="0.00">
                  <c:v>-8.6541422745631258E-4</c:v>
                </c:pt>
                <c:pt idx="158" formatCode="0.00">
                  <c:v>-0.13182514798655898</c:v>
                </c:pt>
                <c:pt idx="159" formatCode="0.00">
                  <c:v>-0.24842899072842634</c:v>
                </c:pt>
                <c:pt idx="160" formatCode="0.00">
                  <c:v>-0.3364329761403072</c:v>
                </c:pt>
                <c:pt idx="161" formatCode="0.00">
                  <c:v>-0.40049283526988733</c:v>
                </c:pt>
                <c:pt idx="162" formatCode="0.00">
                  <c:v>-0.41256749936155651</c:v>
                </c:pt>
                <c:pt idx="163" formatCode="0.00">
                  <c:v>-0.38522059443010248</c:v>
                </c:pt>
                <c:pt idx="164" formatCode="0.00">
                  <c:v>-0.34696275328812948</c:v>
                </c:pt>
                <c:pt idx="165" formatCode="0.00">
                  <c:v>-0.28042561900674723</c:v>
                </c:pt>
                <c:pt idx="166" formatCode="0.00">
                  <c:v>-0.1859297903803564</c:v>
                </c:pt>
                <c:pt idx="167" formatCode="0.00">
                  <c:v>-7.4451245681370792E-2</c:v>
                </c:pt>
                <c:pt idx="168" formatCode="0.00">
                  <c:v>3.5137137507796956E-2</c:v>
                </c:pt>
                <c:pt idx="169" formatCode="0.00">
                  <c:v>0.1437785933669169</c:v>
                </c:pt>
                <c:pt idx="170" formatCode="0.00">
                  <c:v>0.25154725812885292</c:v>
                </c:pt>
                <c:pt idx="171" formatCode="0.00">
                  <c:v>0.367064654288216</c:v>
                </c:pt>
                <c:pt idx="172" formatCode="0.00">
                  <c:v>0.51277449801074393</c:v>
                </c:pt>
                <c:pt idx="173" formatCode="0.00">
                  <c:v>0.64307424982727057</c:v>
                </c:pt>
                <c:pt idx="174" formatCode="0.00">
                  <c:v>0.72829652286144309</c:v>
                </c:pt>
                <c:pt idx="175" formatCode="0.00">
                  <c:v>0.78663625351887545</c:v>
                </c:pt>
                <c:pt idx="176" formatCode="0.00">
                  <c:v>0.80301325092902875</c:v>
                </c:pt>
                <c:pt idx="177" formatCode="0.00">
                  <c:v>0.80603540883065972</c:v>
                </c:pt>
                <c:pt idx="178" formatCode="0.00">
                  <c:v>0.7972555703666786</c:v>
                </c:pt>
                <c:pt idx="179" formatCode="0.00">
                  <c:v>0.78259341102238156</c:v>
                </c:pt>
                <c:pt idx="180" formatCode="0.00">
                  <c:v>0.76865375426910609</c:v>
                </c:pt>
                <c:pt idx="181" formatCode="0.00">
                  <c:v>0.76323978768924672</c:v>
                </c:pt>
                <c:pt idx="182" formatCode="0.00">
                  <c:v>0.76267105470787655</c:v>
                </c:pt>
                <c:pt idx="183" formatCode="0.00">
                  <c:v>0.73375553891955003</c:v>
                </c:pt>
                <c:pt idx="184" formatCode="0.00">
                  <c:v>0.68723531897692047</c:v>
                </c:pt>
                <c:pt idx="185" formatCode="0.00">
                  <c:v>0.62560726107935083</c:v>
                </c:pt>
                <c:pt idx="186" formatCode="0.00">
                  <c:v>0.57418360804321955</c:v>
                </c:pt>
                <c:pt idx="187" formatCode="0.00">
                  <c:v>0.54601869403542669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BC-4E59-B109-81B6F61E1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6574687"/>
        <c:axId val="1346571327"/>
      </c:lineChart>
      <c:dateAx>
        <c:axId val="134657468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71327"/>
        <c:crosses val="autoZero"/>
        <c:auto val="1"/>
        <c:lblOffset val="100"/>
        <c:baseTimeUnit val="days"/>
      </c:dateAx>
      <c:valAx>
        <c:axId val="134657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7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RSI</a:t>
            </a:r>
            <a:r>
              <a:rPr lang="en-GB" sz="1600" baseline="0"/>
              <a:t> of BMY UN</a:t>
            </a:r>
            <a:endParaRPr lang="en-GB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6532766346262331E-2"/>
          <c:y val="9.3308157617360943E-2"/>
          <c:w val="0.89387958535472201"/>
          <c:h val="0.73480934287934574"/>
        </c:manualLayout>
      </c:layout>
      <c:lineChart>
        <c:grouping val="standard"/>
        <c:varyColors val="0"/>
        <c:ser>
          <c:idx val="0"/>
          <c:order val="0"/>
          <c:tx>
            <c:strRef>
              <c:f>RSI!$I$1</c:f>
              <c:strCache>
                <c:ptCount val="1"/>
                <c:pt idx="0">
                  <c:v>14-Day RSI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RSI!$A$16:$A$189</c:f>
              <c:numCache>
                <c:formatCode>m/d/yyyy</c:formatCode>
                <c:ptCount val="174"/>
                <c:pt idx="0">
                  <c:v>45495</c:v>
                </c:pt>
                <c:pt idx="1">
                  <c:v>45496</c:v>
                </c:pt>
                <c:pt idx="2">
                  <c:v>45497</c:v>
                </c:pt>
                <c:pt idx="3">
                  <c:v>45498</c:v>
                </c:pt>
                <c:pt idx="4">
                  <c:v>45499</c:v>
                </c:pt>
                <c:pt idx="5">
                  <c:v>45502</c:v>
                </c:pt>
                <c:pt idx="6">
                  <c:v>45503</c:v>
                </c:pt>
                <c:pt idx="7">
                  <c:v>45504</c:v>
                </c:pt>
                <c:pt idx="8">
                  <c:v>45505</c:v>
                </c:pt>
                <c:pt idx="9">
                  <c:v>45506</c:v>
                </c:pt>
                <c:pt idx="10">
                  <c:v>45509</c:v>
                </c:pt>
                <c:pt idx="11">
                  <c:v>45510</c:v>
                </c:pt>
                <c:pt idx="12">
                  <c:v>45511</c:v>
                </c:pt>
                <c:pt idx="13">
                  <c:v>45512</c:v>
                </c:pt>
                <c:pt idx="14">
                  <c:v>45513</c:v>
                </c:pt>
                <c:pt idx="15">
                  <c:v>45516</c:v>
                </c:pt>
                <c:pt idx="16">
                  <c:v>45517</c:v>
                </c:pt>
                <c:pt idx="17">
                  <c:v>45518</c:v>
                </c:pt>
                <c:pt idx="18">
                  <c:v>45519</c:v>
                </c:pt>
                <c:pt idx="19">
                  <c:v>45520</c:v>
                </c:pt>
                <c:pt idx="20">
                  <c:v>45523</c:v>
                </c:pt>
                <c:pt idx="21">
                  <c:v>45524</c:v>
                </c:pt>
                <c:pt idx="22">
                  <c:v>45525</c:v>
                </c:pt>
                <c:pt idx="23">
                  <c:v>45526</c:v>
                </c:pt>
                <c:pt idx="24">
                  <c:v>45527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45538</c:v>
                </c:pt>
                <c:pt idx="31">
                  <c:v>45539</c:v>
                </c:pt>
                <c:pt idx="32">
                  <c:v>45540</c:v>
                </c:pt>
                <c:pt idx="33">
                  <c:v>45541</c:v>
                </c:pt>
                <c:pt idx="34">
                  <c:v>45544</c:v>
                </c:pt>
                <c:pt idx="35">
                  <c:v>45545</c:v>
                </c:pt>
                <c:pt idx="36">
                  <c:v>45546</c:v>
                </c:pt>
                <c:pt idx="37">
                  <c:v>45547</c:v>
                </c:pt>
                <c:pt idx="38">
                  <c:v>45548</c:v>
                </c:pt>
                <c:pt idx="39">
                  <c:v>45551</c:v>
                </c:pt>
                <c:pt idx="40">
                  <c:v>45552</c:v>
                </c:pt>
                <c:pt idx="41">
                  <c:v>45553</c:v>
                </c:pt>
                <c:pt idx="42">
                  <c:v>45554</c:v>
                </c:pt>
                <c:pt idx="43">
                  <c:v>45555</c:v>
                </c:pt>
                <c:pt idx="44">
                  <c:v>45558</c:v>
                </c:pt>
                <c:pt idx="45">
                  <c:v>45559</c:v>
                </c:pt>
                <c:pt idx="46">
                  <c:v>45560</c:v>
                </c:pt>
                <c:pt idx="47">
                  <c:v>45561</c:v>
                </c:pt>
                <c:pt idx="48">
                  <c:v>45562</c:v>
                </c:pt>
                <c:pt idx="49">
                  <c:v>45565</c:v>
                </c:pt>
                <c:pt idx="50">
                  <c:v>45566</c:v>
                </c:pt>
                <c:pt idx="51">
                  <c:v>45567</c:v>
                </c:pt>
                <c:pt idx="52">
                  <c:v>45568</c:v>
                </c:pt>
                <c:pt idx="53">
                  <c:v>45569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45579</c:v>
                </c:pt>
                <c:pt idx="60">
                  <c:v>45580</c:v>
                </c:pt>
                <c:pt idx="61">
                  <c:v>45581</c:v>
                </c:pt>
                <c:pt idx="62">
                  <c:v>45582</c:v>
                </c:pt>
                <c:pt idx="63">
                  <c:v>45583</c:v>
                </c:pt>
                <c:pt idx="64">
                  <c:v>45586</c:v>
                </c:pt>
                <c:pt idx="65">
                  <c:v>45587</c:v>
                </c:pt>
                <c:pt idx="66">
                  <c:v>45588</c:v>
                </c:pt>
                <c:pt idx="67">
                  <c:v>45589</c:v>
                </c:pt>
                <c:pt idx="68">
                  <c:v>45590</c:v>
                </c:pt>
                <c:pt idx="69">
                  <c:v>45593</c:v>
                </c:pt>
                <c:pt idx="70">
                  <c:v>45594</c:v>
                </c:pt>
                <c:pt idx="71">
                  <c:v>45595</c:v>
                </c:pt>
                <c:pt idx="72">
                  <c:v>45596</c:v>
                </c:pt>
                <c:pt idx="73">
                  <c:v>45597</c:v>
                </c:pt>
                <c:pt idx="74">
                  <c:v>45600</c:v>
                </c:pt>
                <c:pt idx="75">
                  <c:v>45601</c:v>
                </c:pt>
                <c:pt idx="76">
                  <c:v>45602</c:v>
                </c:pt>
                <c:pt idx="77">
                  <c:v>45603</c:v>
                </c:pt>
                <c:pt idx="78">
                  <c:v>45604</c:v>
                </c:pt>
                <c:pt idx="79">
                  <c:v>45607</c:v>
                </c:pt>
                <c:pt idx="80">
                  <c:v>45608</c:v>
                </c:pt>
                <c:pt idx="81">
                  <c:v>45609</c:v>
                </c:pt>
                <c:pt idx="82">
                  <c:v>45610</c:v>
                </c:pt>
                <c:pt idx="83">
                  <c:v>45611</c:v>
                </c:pt>
                <c:pt idx="84">
                  <c:v>45614</c:v>
                </c:pt>
                <c:pt idx="85">
                  <c:v>45615</c:v>
                </c:pt>
                <c:pt idx="86">
                  <c:v>45616</c:v>
                </c:pt>
                <c:pt idx="87">
                  <c:v>45617</c:v>
                </c:pt>
                <c:pt idx="88">
                  <c:v>45618</c:v>
                </c:pt>
                <c:pt idx="89">
                  <c:v>45621</c:v>
                </c:pt>
                <c:pt idx="90">
                  <c:v>45622</c:v>
                </c:pt>
                <c:pt idx="91">
                  <c:v>45623</c:v>
                </c:pt>
                <c:pt idx="92">
                  <c:v>45625</c:v>
                </c:pt>
                <c:pt idx="93">
                  <c:v>45628</c:v>
                </c:pt>
                <c:pt idx="94">
                  <c:v>45629</c:v>
                </c:pt>
                <c:pt idx="95">
                  <c:v>45630</c:v>
                </c:pt>
                <c:pt idx="96">
                  <c:v>45631</c:v>
                </c:pt>
                <c:pt idx="97">
                  <c:v>45632</c:v>
                </c:pt>
                <c:pt idx="98">
                  <c:v>45635</c:v>
                </c:pt>
                <c:pt idx="99">
                  <c:v>45636</c:v>
                </c:pt>
                <c:pt idx="100">
                  <c:v>45637</c:v>
                </c:pt>
                <c:pt idx="101">
                  <c:v>45638</c:v>
                </c:pt>
                <c:pt idx="102">
                  <c:v>45639</c:v>
                </c:pt>
                <c:pt idx="103">
                  <c:v>45642</c:v>
                </c:pt>
                <c:pt idx="104">
                  <c:v>45643</c:v>
                </c:pt>
                <c:pt idx="105">
                  <c:v>45644</c:v>
                </c:pt>
                <c:pt idx="106">
                  <c:v>45645</c:v>
                </c:pt>
                <c:pt idx="107">
                  <c:v>45646</c:v>
                </c:pt>
                <c:pt idx="108">
                  <c:v>45649</c:v>
                </c:pt>
                <c:pt idx="109">
                  <c:v>45650</c:v>
                </c:pt>
                <c:pt idx="110">
                  <c:v>45652</c:v>
                </c:pt>
                <c:pt idx="111">
                  <c:v>45653</c:v>
                </c:pt>
                <c:pt idx="112">
                  <c:v>45656</c:v>
                </c:pt>
                <c:pt idx="113">
                  <c:v>45657</c:v>
                </c:pt>
                <c:pt idx="114">
                  <c:v>45659</c:v>
                </c:pt>
                <c:pt idx="115">
                  <c:v>45660</c:v>
                </c:pt>
                <c:pt idx="116">
                  <c:v>45663</c:v>
                </c:pt>
                <c:pt idx="117">
                  <c:v>45664</c:v>
                </c:pt>
                <c:pt idx="118">
                  <c:v>45665</c:v>
                </c:pt>
                <c:pt idx="119">
                  <c:v>45667</c:v>
                </c:pt>
                <c:pt idx="120">
                  <c:v>45670</c:v>
                </c:pt>
                <c:pt idx="121">
                  <c:v>45671</c:v>
                </c:pt>
                <c:pt idx="122">
                  <c:v>45672</c:v>
                </c:pt>
                <c:pt idx="123">
                  <c:v>45673</c:v>
                </c:pt>
                <c:pt idx="124">
                  <c:v>45674</c:v>
                </c:pt>
                <c:pt idx="125">
                  <c:v>45678</c:v>
                </c:pt>
                <c:pt idx="126">
                  <c:v>45679</c:v>
                </c:pt>
                <c:pt idx="127">
                  <c:v>45680</c:v>
                </c:pt>
                <c:pt idx="128">
                  <c:v>45681</c:v>
                </c:pt>
                <c:pt idx="129">
                  <c:v>45684</c:v>
                </c:pt>
                <c:pt idx="130">
                  <c:v>45685</c:v>
                </c:pt>
                <c:pt idx="131">
                  <c:v>45686</c:v>
                </c:pt>
                <c:pt idx="132">
                  <c:v>45687</c:v>
                </c:pt>
                <c:pt idx="133">
                  <c:v>45688</c:v>
                </c:pt>
                <c:pt idx="134">
                  <c:v>45691</c:v>
                </c:pt>
                <c:pt idx="135">
                  <c:v>45692</c:v>
                </c:pt>
                <c:pt idx="136">
                  <c:v>45693</c:v>
                </c:pt>
                <c:pt idx="137">
                  <c:v>45694</c:v>
                </c:pt>
                <c:pt idx="138">
                  <c:v>45695</c:v>
                </c:pt>
                <c:pt idx="139">
                  <c:v>45698</c:v>
                </c:pt>
                <c:pt idx="140">
                  <c:v>45699</c:v>
                </c:pt>
                <c:pt idx="141">
                  <c:v>45700</c:v>
                </c:pt>
                <c:pt idx="142">
                  <c:v>45701</c:v>
                </c:pt>
                <c:pt idx="143">
                  <c:v>45702</c:v>
                </c:pt>
                <c:pt idx="144">
                  <c:v>45706</c:v>
                </c:pt>
                <c:pt idx="145">
                  <c:v>45707</c:v>
                </c:pt>
                <c:pt idx="146">
                  <c:v>45708</c:v>
                </c:pt>
                <c:pt idx="147">
                  <c:v>45709</c:v>
                </c:pt>
                <c:pt idx="148">
                  <c:v>45712</c:v>
                </c:pt>
                <c:pt idx="149">
                  <c:v>45713</c:v>
                </c:pt>
                <c:pt idx="150">
                  <c:v>45714</c:v>
                </c:pt>
                <c:pt idx="151">
                  <c:v>45715</c:v>
                </c:pt>
                <c:pt idx="152">
                  <c:v>45716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45726</c:v>
                </c:pt>
                <c:pt idx="159">
                  <c:v>45727</c:v>
                </c:pt>
                <c:pt idx="160">
                  <c:v>45728</c:v>
                </c:pt>
                <c:pt idx="161">
                  <c:v>45729</c:v>
                </c:pt>
                <c:pt idx="162">
                  <c:v>45730</c:v>
                </c:pt>
                <c:pt idx="163">
                  <c:v>45733</c:v>
                </c:pt>
                <c:pt idx="164">
                  <c:v>45734</c:v>
                </c:pt>
                <c:pt idx="165">
                  <c:v>45735</c:v>
                </c:pt>
                <c:pt idx="166">
                  <c:v>45736</c:v>
                </c:pt>
                <c:pt idx="167">
                  <c:v>45737</c:v>
                </c:pt>
                <c:pt idx="168">
                  <c:v>45740</c:v>
                </c:pt>
                <c:pt idx="169">
                  <c:v>45741</c:v>
                </c:pt>
                <c:pt idx="170">
                  <c:v>45742</c:v>
                </c:pt>
                <c:pt idx="171">
                  <c:v>45743</c:v>
                </c:pt>
                <c:pt idx="172">
                  <c:v>45744</c:v>
                </c:pt>
                <c:pt idx="173">
                  <c:v>45747</c:v>
                </c:pt>
              </c:numCache>
            </c:numRef>
          </c:cat>
          <c:val>
            <c:numRef>
              <c:f>RSI!$I$16:$I$189</c:f>
              <c:numCache>
                <c:formatCode>General</c:formatCode>
                <c:ptCount val="174"/>
                <c:pt idx="0">
                  <c:v>58.446362515413099</c:v>
                </c:pt>
                <c:pt idx="1">
                  <c:v>60.089277580395375</c:v>
                </c:pt>
                <c:pt idx="2">
                  <c:v>67.571984125628461</c:v>
                </c:pt>
                <c:pt idx="3">
                  <c:v>69.786958986126052</c:v>
                </c:pt>
                <c:pt idx="4">
                  <c:v>81.403292836159977</c:v>
                </c:pt>
                <c:pt idx="5">
                  <c:v>72.843950550273945</c:v>
                </c:pt>
                <c:pt idx="6">
                  <c:v>72.98959532254095</c:v>
                </c:pt>
                <c:pt idx="7">
                  <c:v>64.998528759054793</c:v>
                </c:pt>
                <c:pt idx="8">
                  <c:v>66.610233291025651</c:v>
                </c:pt>
                <c:pt idx="9">
                  <c:v>68.163106204868583</c:v>
                </c:pt>
                <c:pt idx="10">
                  <c:v>62.051052998137891</c:v>
                </c:pt>
                <c:pt idx="11">
                  <c:v>60.661073006939766</c:v>
                </c:pt>
                <c:pt idx="12">
                  <c:v>56.703908894485167</c:v>
                </c:pt>
                <c:pt idx="13">
                  <c:v>57.979475530466644</c:v>
                </c:pt>
                <c:pt idx="14">
                  <c:v>57.304169425409306</c:v>
                </c:pt>
                <c:pt idx="15">
                  <c:v>58.660337656502669</c:v>
                </c:pt>
                <c:pt idx="16">
                  <c:v>65.585173020604714</c:v>
                </c:pt>
                <c:pt idx="17">
                  <c:v>61.95294955564237</c:v>
                </c:pt>
                <c:pt idx="18">
                  <c:v>64.249213757148482</c:v>
                </c:pt>
                <c:pt idx="19">
                  <c:v>65.060262856730873</c:v>
                </c:pt>
                <c:pt idx="20">
                  <c:v>64.68100530645296</c:v>
                </c:pt>
                <c:pt idx="21">
                  <c:v>62.585561652529456</c:v>
                </c:pt>
                <c:pt idx="22">
                  <c:v>59.105737247652613</c:v>
                </c:pt>
                <c:pt idx="23">
                  <c:v>54.179420762025224</c:v>
                </c:pt>
                <c:pt idx="24">
                  <c:v>56.51196233304249</c:v>
                </c:pt>
                <c:pt idx="25">
                  <c:v>57.135409212152808</c:v>
                </c:pt>
                <c:pt idx="26">
                  <c:v>56.332600601172402</c:v>
                </c:pt>
                <c:pt idx="27">
                  <c:v>60.960102823356294</c:v>
                </c:pt>
                <c:pt idx="28">
                  <c:v>63.856266388402283</c:v>
                </c:pt>
                <c:pt idx="29">
                  <c:v>64.835283153834013</c:v>
                </c:pt>
                <c:pt idx="30">
                  <c:v>67.206017949597424</c:v>
                </c:pt>
                <c:pt idx="31">
                  <c:v>62.731373807805163</c:v>
                </c:pt>
                <c:pt idx="32">
                  <c:v>61.472029369075734</c:v>
                </c:pt>
                <c:pt idx="33">
                  <c:v>53.517524811738049</c:v>
                </c:pt>
                <c:pt idx="34">
                  <c:v>52.195051523329226</c:v>
                </c:pt>
                <c:pt idx="35">
                  <c:v>56.690034186812923</c:v>
                </c:pt>
                <c:pt idx="36">
                  <c:v>52.029418327495904</c:v>
                </c:pt>
                <c:pt idx="37">
                  <c:v>49.793219406994702</c:v>
                </c:pt>
                <c:pt idx="38">
                  <c:v>55.080180462553969</c:v>
                </c:pt>
                <c:pt idx="39">
                  <c:v>59.516427252303536</c:v>
                </c:pt>
                <c:pt idx="40">
                  <c:v>56.050545245928092</c:v>
                </c:pt>
                <c:pt idx="41">
                  <c:v>57.386759706245378</c:v>
                </c:pt>
                <c:pt idx="42">
                  <c:v>52.441647254559733</c:v>
                </c:pt>
                <c:pt idx="43">
                  <c:v>54.717836818909554</c:v>
                </c:pt>
                <c:pt idx="44">
                  <c:v>58.044734359884671</c:v>
                </c:pt>
                <c:pt idx="45">
                  <c:v>62.627999560157427</c:v>
                </c:pt>
                <c:pt idx="46">
                  <c:v>55.657710637217562</c:v>
                </c:pt>
                <c:pt idx="47">
                  <c:v>56.5519442648107</c:v>
                </c:pt>
                <c:pt idx="48">
                  <c:v>60.534928879475856</c:v>
                </c:pt>
                <c:pt idx="49">
                  <c:v>64.24367296831312</c:v>
                </c:pt>
                <c:pt idx="50">
                  <c:v>68.674426463529159</c:v>
                </c:pt>
                <c:pt idx="51">
                  <c:v>71.494606736281227</c:v>
                </c:pt>
                <c:pt idx="52">
                  <c:v>72.841764025435666</c:v>
                </c:pt>
                <c:pt idx="53">
                  <c:v>70.874227271298082</c:v>
                </c:pt>
                <c:pt idx="54">
                  <c:v>66.672153546396601</c:v>
                </c:pt>
                <c:pt idx="55">
                  <c:v>59.641778566426964</c:v>
                </c:pt>
                <c:pt idx="56">
                  <c:v>61.113730788443306</c:v>
                </c:pt>
                <c:pt idx="57">
                  <c:v>58.253642263755026</c:v>
                </c:pt>
                <c:pt idx="58">
                  <c:v>56.821751193780806</c:v>
                </c:pt>
                <c:pt idx="59">
                  <c:v>59.350439477978242</c:v>
                </c:pt>
                <c:pt idx="60">
                  <c:v>59.835506667580489</c:v>
                </c:pt>
                <c:pt idx="61">
                  <c:v>63.053542376963783</c:v>
                </c:pt>
                <c:pt idx="62">
                  <c:v>61.40329632802748</c:v>
                </c:pt>
                <c:pt idx="63">
                  <c:v>61.630969110371829</c:v>
                </c:pt>
                <c:pt idx="64">
                  <c:v>52.46554680785983</c:v>
                </c:pt>
                <c:pt idx="65">
                  <c:v>56.517291258984081</c:v>
                </c:pt>
                <c:pt idx="66">
                  <c:v>58.311115078924814</c:v>
                </c:pt>
                <c:pt idx="67">
                  <c:v>57.126727065580397</c:v>
                </c:pt>
                <c:pt idx="68">
                  <c:v>49.407217637182846</c:v>
                </c:pt>
                <c:pt idx="69">
                  <c:v>54.205450590082542</c:v>
                </c:pt>
                <c:pt idx="70">
                  <c:v>53.149908611958267</c:v>
                </c:pt>
                <c:pt idx="71">
                  <c:v>54.24647206663132</c:v>
                </c:pt>
                <c:pt idx="72">
                  <c:v>69.291825985825042</c:v>
                </c:pt>
                <c:pt idx="73">
                  <c:v>59.47241005865159</c:v>
                </c:pt>
                <c:pt idx="74">
                  <c:v>63.780114054435323</c:v>
                </c:pt>
                <c:pt idx="75">
                  <c:v>65.5261803312588</c:v>
                </c:pt>
                <c:pt idx="76">
                  <c:v>61.264214189485955</c:v>
                </c:pt>
                <c:pt idx="77">
                  <c:v>57.81874373486967</c:v>
                </c:pt>
                <c:pt idx="78">
                  <c:v>54.516892953627298</c:v>
                </c:pt>
                <c:pt idx="79">
                  <c:v>71.799364485207477</c:v>
                </c:pt>
                <c:pt idx="80">
                  <c:v>67.886749832902723</c:v>
                </c:pt>
                <c:pt idx="81">
                  <c:v>64.979083360382305</c:v>
                </c:pt>
                <c:pt idx="82">
                  <c:v>65.215805501665614</c:v>
                </c:pt>
                <c:pt idx="83">
                  <c:v>55.061772311971865</c:v>
                </c:pt>
                <c:pt idx="84">
                  <c:v>56.900168529409285</c:v>
                </c:pt>
                <c:pt idx="85">
                  <c:v>61.123042975217921</c:v>
                </c:pt>
                <c:pt idx="86">
                  <c:v>59.58424803258076</c:v>
                </c:pt>
                <c:pt idx="87">
                  <c:v>60.651073453135673</c:v>
                </c:pt>
                <c:pt idx="88">
                  <c:v>62.595379206327969</c:v>
                </c:pt>
                <c:pt idx="89">
                  <c:v>62.1304536540679</c:v>
                </c:pt>
                <c:pt idx="90">
                  <c:v>61.910360447052533</c:v>
                </c:pt>
                <c:pt idx="91">
                  <c:v>63.743070241375904</c:v>
                </c:pt>
                <c:pt idx="92">
                  <c:v>63.432985207188231</c:v>
                </c:pt>
                <c:pt idx="93">
                  <c:v>65.998052682486815</c:v>
                </c:pt>
                <c:pt idx="94">
                  <c:v>58.345927993460997</c:v>
                </c:pt>
                <c:pt idx="95">
                  <c:v>56.538665971689284</c:v>
                </c:pt>
                <c:pt idx="96">
                  <c:v>58.568559089578308</c:v>
                </c:pt>
                <c:pt idx="97">
                  <c:v>60.832063749864318</c:v>
                </c:pt>
                <c:pt idx="98">
                  <c:v>56.693493769904613</c:v>
                </c:pt>
                <c:pt idx="99">
                  <c:v>53.257440144433303</c:v>
                </c:pt>
                <c:pt idx="100">
                  <c:v>45.80808241638271</c:v>
                </c:pt>
                <c:pt idx="101">
                  <c:v>44.134727498599517</c:v>
                </c:pt>
                <c:pt idx="102">
                  <c:v>41.906885916082643</c:v>
                </c:pt>
                <c:pt idx="103">
                  <c:v>42.469819015415332</c:v>
                </c:pt>
                <c:pt idx="104">
                  <c:v>52.312226662394238</c:v>
                </c:pt>
                <c:pt idx="105">
                  <c:v>48.265601042177401</c:v>
                </c:pt>
                <c:pt idx="106">
                  <c:v>45.726105476409039</c:v>
                </c:pt>
                <c:pt idx="107">
                  <c:v>51.019795226672819</c:v>
                </c:pt>
                <c:pt idx="108">
                  <c:v>52.237500022143678</c:v>
                </c:pt>
                <c:pt idx="109">
                  <c:v>53.140802999598129</c:v>
                </c:pt>
                <c:pt idx="110">
                  <c:v>54.379679855897585</c:v>
                </c:pt>
                <c:pt idx="111">
                  <c:v>52.390785886529848</c:v>
                </c:pt>
                <c:pt idx="112">
                  <c:v>43.680836176761936</c:v>
                </c:pt>
                <c:pt idx="113">
                  <c:v>46.629991714378825</c:v>
                </c:pt>
                <c:pt idx="114">
                  <c:v>47.979448394700292</c:v>
                </c:pt>
                <c:pt idx="115">
                  <c:v>46.761497944426914</c:v>
                </c:pt>
                <c:pt idx="116">
                  <c:v>47.479389464386124</c:v>
                </c:pt>
                <c:pt idx="117">
                  <c:v>50.486219715214432</c:v>
                </c:pt>
                <c:pt idx="118">
                  <c:v>48.347782536082413</c:v>
                </c:pt>
                <c:pt idx="119">
                  <c:v>42.579798326098484</c:v>
                </c:pt>
                <c:pt idx="120">
                  <c:v>40.108418451629888</c:v>
                </c:pt>
                <c:pt idx="121">
                  <c:v>42.989535530411821</c:v>
                </c:pt>
                <c:pt idx="122">
                  <c:v>44.280901142691526</c:v>
                </c:pt>
                <c:pt idx="123">
                  <c:v>47.801270185367905</c:v>
                </c:pt>
                <c:pt idx="124">
                  <c:v>47.186474271148647</c:v>
                </c:pt>
                <c:pt idx="125">
                  <c:v>52.651601390658797</c:v>
                </c:pt>
                <c:pt idx="126">
                  <c:v>53.000773256878787</c:v>
                </c:pt>
                <c:pt idx="127">
                  <c:v>64.545303406320983</c:v>
                </c:pt>
                <c:pt idx="128">
                  <c:v>66.814834950786576</c:v>
                </c:pt>
                <c:pt idx="129">
                  <c:v>70.395854872835969</c:v>
                </c:pt>
                <c:pt idx="130">
                  <c:v>57.235987975752465</c:v>
                </c:pt>
                <c:pt idx="131">
                  <c:v>58.551157318061954</c:v>
                </c:pt>
                <c:pt idx="132">
                  <c:v>58.972857413425842</c:v>
                </c:pt>
                <c:pt idx="133">
                  <c:v>57.639617954061713</c:v>
                </c:pt>
                <c:pt idx="134">
                  <c:v>62.451153220491179</c:v>
                </c:pt>
                <c:pt idx="135">
                  <c:v>56.695012096580591</c:v>
                </c:pt>
                <c:pt idx="136">
                  <c:v>59.549163947718746</c:v>
                </c:pt>
                <c:pt idx="137">
                  <c:v>46.687249956818732</c:v>
                </c:pt>
                <c:pt idx="138">
                  <c:v>44.132143436014296</c:v>
                </c:pt>
                <c:pt idx="139">
                  <c:v>38.832036380718861</c:v>
                </c:pt>
                <c:pt idx="140">
                  <c:v>41.194379968106546</c:v>
                </c:pt>
                <c:pt idx="141">
                  <c:v>42.420981270449637</c:v>
                </c:pt>
                <c:pt idx="142">
                  <c:v>41.619634042462202</c:v>
                </c:pt>
                <c:pt idx="143">
                  <c:v>33.728792151074799</c:v>
                </c:pt>
                <c:pt idx="144">
                  <c:v>37.021171505358438</c:v>
                </c:pt>
                <c:pt idx="145">
                  <c:v>40.333887680153232</c:v>
                </c:pt>
                <c:pt idx="146">
                  <c:v>44.928252918014984</c:v>
                </c:pt>
                <c:pt idx="147">
                  <c:v>45.152853805035235</c:v>
                </c:pt>
                <c:pt idx="148">
                  <c:v>55.230202686483416</c:v>
                </c:pt>
                <c:pt idx="149">
                  <c:v>56.612192141864313</c:v>
                </c:pt>
                <c:pt idx="150">
                  <c:v>52.24397099749703</c:v>
                </c:pt>
                <c:pt idx="151">
                  <c:v>58.188115063161433</c:v>
                </c:pt>
                <c:pt idx="152">
                  <c:v>61.192059571713237</c:v>
                </c:pt>
                <c:pt idx="153">
                  <c:v>62.08639026146998</c:v>
                </c:pt>
                <c:pt idx="154">
                  <c:v>59.544637381336834</c:v>
                </c:pt>
                <c:pt idx="155">
                  <c:v>61.061734354759281</c:v>
                </c:pt>
                <c:pt idx="156">
                  <c:v>62.496600749959967</c:v>
                </c:pt>
                <c:pt idx="157">
                  <c:v>65.915707922025234</c:v>
                </c:pt>
                <c:pt idx="158">
                  <c:v>72.014799610765351</c:v>
                </c:pt>
                <c:pt idx="159">
                  <c:v>62.478216380176576</c:v>
                </c:pt>
                <c:pt idx="160">
                  <c:v>54.256928209843963</c:v>
                </c:pt>
                <c:pt idx="161">
                  <c:v>55.981495527961101</c:v>
                </c:pt>
                <c:pt idx="162">
                  <c:v>50.446969266577753</c:v>
                </c:pt>
                <c:pt idx="163">
                  <c:v>54.209006268268212</c:v>
                </c:pt>
                <c:pt idx="164">
                  <c:v>53.805010626833955</c:v>
                </c:pt>
                <c:pt idx="165">
                  <c:v>54.534802453358928</c:v>
                </c:pt>
                <c:pt idx="166">
                  <c:v>55.950391746881358</c:v>
                </c:pt>
                <c:pt idx="167">
                  <c:v>58.294778409115615</c:v>
                </c:pt>
                <c:pt idx="168">
                  <c:v>58.544885719703672</c:v>
                </c:pt>
                <c:pt idx="169">
                  <c:v>48.778932826528568</c:v>
                </c:pt>
                <c:pt idx="170">
                  <c:v>48.877683013412202</c:v>
                </c:pt>
                <c:pt idx="171">
                  <c:v>47.35376976936579</c:v>
                </c:pt>
                <c:pt idx="172">
                  <c:v>53.049283104966122</c:v>
                </c:pt>
                <c:pt idx="173">
                  <c:v>57.352538979335385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5D-41A7-8065-B7379AC4812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RSI!$A$16:$A$189</c:f>
              <c:numCache>
                <c:formatCode>m/d/yyyy</c:formatCode>
                <c:ptCount val="174"/>
                <c:pt idx="0">
                  <c:v>45495</c:v>
                </c:pt>
                <c:pt idx="1">
                  <c:v>45496</c:v>
                </c:pt>
                <c:pt idx="2">
                  <c:v>45497</c:v>
                </c:pt>
                <c:pt idx="3">
                  <c:v>45498</c:v>
                </c:pt>
                <c:pt idx="4">
                  <c:v>45499</c:v>
                </c:pt>
                <c:pt idx="5">
                  <c:v>45502</c:v>
                </c:pt>
                <c:pt idx="6">
                  <c:v>45503</c:v>
                </c:pt>
                <c:pt idx="7">
                  <c:v>45504</c:v>
                </c:pt>
                <c:pt idx="8">
                  <c:v>45505</c:v>
                </c:pt>
                <c:pt idx="9">
                  <c:v>45506</c:v>
                </c:pt>
                <c:pt idx="10">
                  <c:v>45509</c:v>
                </c:pt>
                <c:pt idx="11">
                  <c:v>45510</c:v>
                </c:pt>
                <c:pt idx="12">
                  <c:v>45511</c:v>
                </c:pt>
                <c:pt idx="13">
                  <c:v>45512</c:v>
                </c:pt>
                <c:pt idx="14">
                  <c:v>45513</c:v>
                </c:pt>
                <c:pt idx="15">
                  <c:v>45516</c:v>
                </c:pt>
                <c:pt idx="16">
                  <c:v>45517</c:v>
                </c:pt>
                <c:pt idx="17">
                  <c:v>45518</c:v>
                </c:pt>
                <c:pt idx="18">
                  <c:v>45519</c:v>
                </c:pt>
                <c:pt idx="19">
                  <c:v>45520</c:v>
                </c:pt>
                <c:pt idx="20">
                  <c:v>45523</c:v>
                </c:pt>
                <c:pt idx="21">
                  <c:v>45524</c:v>
                </c:pt>
                <c:pt idx="22">
                  <c:v>45525</c:v>
                </c:pt>
                <c:pt idx="23">
                  <c:v>45526</c:v>
                </c:pt>
                <c:pt idx="24">
                  <c:v>45527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45538</c:v>
                </c:pt>
                <c:pt idx="31">
                  <c:v>45539</c:v>
                </c:pt>
                <c:pt idx="32">
                  <c:v>45540</c:v>
                </c:pt>
                <c:pt idx="33">
                  <c:v>45541</c:v>
                </c:pt>
                <c:pt idx="34">
                  <c:v>45544</c:v>
                </c:pt>
                <c:pt idx="35">
                  <c:v>45545</c:v>
                </c:pt>
                <c:pt idx="36">
                  <c:v>45546</c:v>
                </c:pt>
                <c:pt idx="37">
                  <c:v>45547</c:v>
                </c:pt>
                <c:pt idx="38">
                  <c:v>45548</c:v>
                </c:pt>
                <c:pt idx="39">
                  <c:v>45551</c:v>
                </c:pt>
                <c:pt idx="40">
                  <c:v>45552</c:v>
                </c:pt>
                <c:pt idx="41">
                  <c:v>45553</c:v>
                </c:pt>
                <c:pt idx="42">
                  <c:v>45554</c:v>
                </c:pt>
                <c:pt idx="43">
                  <c:v>45555</c:v>
                </c:pt>
                <c:pt idx="44">
                  <c:v>45558</c:v>
                </c:pt>
                <c:pt idx="45">
                  <c:v>45559</c:v>
                </c:pt>
                <c:pt idx="46">
                  <c:v>45560</c:v>
                </c:pt>
                <c:pt idx="47">
                  <c:v>45561</c:v>
                </c:pt>
                <c:pt idx="48">
                  <c:v>45562</c:v>
                </c:pt>
                <c:pt idx="49">
                  <c:v>45565</c:v>
                </c:pt>
                <c:pt idx="50">
                  <c:v>45566</c:v>
                </c:pt>
                <c:pt idx="51">
                  <c:v>45567</c:v>
                </c:pt>
                <c:pt idx="52">
                  <c:v>45568</c:v>
                </c:pt>
                <c:pt idx="53">
                  <c:v>45569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45579</c:v>
                </c:pt>
                <c:pt idx="60">
                  <c:v>45580</c:v>
                </c:pt>
                <c:pt idx="61">
                  <c:v>45581</c:v>
                </c:pt>
                <c:pt idx="62">
                  <c:v>45582</c:v>
                </c:pt>
                <c:pt idx="63">
                  <c:v>45583</c:v>
                </c:pt>
                <c:pt idx="64">
                  <c:v>45586</c:v>
                </c:pt>
                <c:pt idx="65">
                  <c:v>45587</c:v>
                </c:pt>
                <c:pt idx="66">
                  <c:v>45588</c:v>
                </c:pt>
                <c:pt idx="67">
                  <c:v>45589</c:v>
                </c:pt>
                <c:pt idx="68">
                  <c:v>45590</c:v>
                </c:pt>
                <c:pt idx="69">
                  <c:v>45593</c:v>
                </c:pt>
                <c:pt idx="70">
                  <c:v>45594</c:v>
                </c:pt>
                <c:pt idx="71">
                  <c:v>45595</c:v>
                </c:pt>
                <c:pt idx="72">
                  <c:v>45596</c:v>
                </c:pt>
                <c:pt idx="73">
                  <c:v>45597</c:v>
                </c:pt>
                <c:pt idx="74">
                  <c:v>45600</c:v>
                </c:pt>
                <c:pt idx="75">
                  <c:v>45601</c:v>
                </c:pt>
                <c:pt idx="76">
                  <c:v>45602</c:v>
                </c:pt>
                <c:pt idx="77">
                  <c:v>45603</c:v>
                </c:pt>
                <c:pt idx="78">
                  <c:v>45604</c:v>
                </c:pt>
                <c:pt idx="79">
                  <c:v>45607</c:v>
                </c:pt>
                <c:pt idx="80">
                  <c:v>45608</c:v>
                </c:pt>
                <c:pt idx="81">
                  <c:v>45609</c:v>
                </c:pt>
                <c:pt idx="82">
                  <c:v>45610</c:v>
                </c:pt>
                <c:pt idx="83">
                  <c:v>45611</c:v>
                </c:pt>
                <c:pt idx="84">
                  <c:v>45614</c:v>
                </c:pt>
                <c:pt idx="85">
                  <c:v>45615</c:v>
                </c:pt>
                <c:pt idx="86">
                  <c:v>45616</c:v>
                </c:pt>
                <c:pt idx="87">
                  <c:v>45617</c:v>
                </c:pt>
                <c:pt idx="88">
                  <c:v>45618</c:v>
                </c:pt>
                <c:pt idx="89">
                  <c:v>45621</c:v>
                </c:pt>
                <c:pt idx="90">
                  <c:v>45622</c:v>
                </c:pt>
                <c:pt idx="91">
                  <c:v>45623</c:v>
                </c:pt>
                <c:pt idx="92">
                  <c:v>45625</c:v>
                </c:pt>
                <c:pt idx="93">
                  <c:v>45628</c:v>
                </c:pt>
                <c:pt idx="94">
                  <c:v>45629</c:v>
                </c:pt>
                <c:pt idx="95">
                  <c:v>45630</c:v>
                </c:pt>
                <c:pt idx="96">
                  <c:v>45631</c:v>
                </c:pt>
                <c:pt idx="97">
                  <c:v>45632</c:v>
                </c:pt>
                <c:pt idx="98">
                  <c:v>45635</c:v>
                </c:pt>
                <c:pt idx="99">
                  <c:v>45636</c:v>
                </c:pt>
                <c:pt idx="100">
                  <c:v>45637</c:v>
                </c:pt>
                <c:pt idx="101">
                  <c:v>45638</c:v>
                </c:pt>
                <c:pt idx="102">
                  <c:v>45639</c:v>
                </c:pt>
                <c:pt idx="103">
                  <c:v>45642</c:v>
                </c:pt>
                <c:pt idx="104">
                  <c:v>45643</c:v>
                </c:pt>
                <c:pt idx="105">
                  <c:v>45644</c:v>
                </c:pt>
                <c:pt idx="106">
                  <c:v>45645</c:v>
                </c:pt>
                <c:pt idx="107">
                  <c:v>45646</c:v>
                </c:pt>
                <c:pt idx="108">
                  <c:v>45649</c:v>
                </c:pt>
                <c:pt idx="109">
                  <c:v>45650</c:v>
                </c:pt>
                <c:pt idx="110">
                  <c:v>45652</c:v>
                </c:pt>
                <c:pt idx="111">
                  <c:v>45653</c:v>
                </c:pt>
                <c:pt idx="112">
                  <c:v>45656</c:v>
                </c:pt>
                <c:pt idx="113">
                  <c:v>45657</c:v>
                </c:pt>
                <c:pt idx="114">
                  <c:v>45659</c:v>
                </c:pt>
                <c:pt idx="115">
                  <c:v>45660</c:v>
                </c:pt>
                <c:pt idx="116">
                  <c:v>45663</c:v>
                </c:pt>
                <c:pt idx="117">
                  <c:v>45664</c:v>
                </c:pt>
                <c:pt idx="118">
                  <c:v>45665</c:v>
                </c:pt>
                <c:pt idx="119">
                  <c:v>45667</c:v>
                </c:pt>
                <c:pt idx="120">
                  <c:v>45670</c:v>
                </c:pt>
                <c:pt idx="121">
                  <c:v>45671</c:v>
                </c:pt>
                <c:pt idx="122">
                  <c:v>45672</c:v>
                </c:pt>
                <c:pt idx="123">
                  <c:v>45673</c:v>
                </c:pt>
                <c:pt idx="124">
                  <c:v>45674</c:v>
                </c:pt>
                <c:pt idx="125">
                  <c:v>45678</c:v>
                </c:pt>
                <c:pt idx="126">
                  <c:v>45679</c:v>
                </c:pt>
                <c:pt idx="127">
                  <c:v>45680</c:v>
                </c:pt>
                <c:pt idx="128">
                  <c:v>45681</c:v>
                </c:pt>
                <c:pt idx="129">
                  <c:v>45684</c:v>
                </c:pt>
                <c:pt idx="130">
                  <c:v>45685</c:v>
                </c:pt>
                <c:pt idx="131">
                  <c:v>45686</c:v>
                </c:pt>
                <c:pt idx="132">
                  <c:v>45687</c:v>
                </c:pt>
                <c:pt idx="133">
                  <c:v>45688</c:v>
                </c:pt>
                <c:pt idx="134">
                  <c:v>45691</c:v>
                </c:pt>
                <c:pt idx="135">
                  <c:v>45692</c:v>
                </c:pt>
                <c:pt idx="136">
                  <c:v>45693</c:v>
                </c:pt>
                <c:pt idx="137">
                  <c:v>45694</c:v>
                </c:pt>
                <c:pt idx="138">
                  <c:v>45695</c:v>
                </c:pt>
                <c:pt idx="139">
                  <c:v>45698</c:v>
                </c:pt>
                <c:pt idx="140">
                  <c:v>45699</c:v>
                </c:pt>
                <c:pt idx="141">
                  <c:v>45700</c:v>
                </c:pt>
                <c:pt idx="142">
                  <c:v>45701</c:v>
                </c:pt>
                <c:pt idx="143">
                  <c:v>45702</c:v>
                </c:pt>
                <c:pt idx="144">
                  <c:v>45706</c:v>
                </c:pt>
                <c:pt idx="145">
                  <c:v>45707</c:v>
                </c:pt>
                <c:pt idx="146">
                  <c:v>45708</c:v>
                </c:pt>
                <c:pt idx="147">
                  <c:v>45709</c:v>
                </c:pt>
                <c:pt idx="148">
                  <c:v>45712</c:v>
                </c:pt>
                <c:pt idx="149">
                  <c:v>45713</c:v>
                </c:pt>
                <c:pt idx="150">
                  <c:v>45714</c:v>
                </c:pt>
                <c:pt idx="151">
                  <c:v>45715</c:v>
                </c:pt>
                <c:pt idx="152">
                  <c:v>45716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45726</c:v>
                </c:pt>
                <c:pt idx="159">
                  <c:v>45727</c:v>
                </c:pt>
                <c:pt idx="160">
                  <c:v>45728</c:v>
                </c:pt>
                <c:pt idx="161">
                  <c:v>45729</c:v>
                </c:pt>
                <c:pt idx="162">
                  <c:v>45730</c:v>
                </c:pt>
                <c:pt idx="163">
                  <c:v>45733</c:v>
                </c:pt>
                <c:pt idx="164">
                  <c:v>45734</c:v>
                </c:pt>
                <c:pt idx="165">
                  <c:v>45735</c:v>
                </c:pt>
                <c:pt idx="166">
                  <c:v>45736</c:v>
                </c:pt>
                <c:pt idx="167">
                  <c:v>45737</c:v>
                </c:pt>
                <c:pt idx="168">
                  <c:v>45740</c:v>
                </c:pt>
                <c:pt idx="169">
                  <c:v>45741</c:v>
                </c:pt>
                <c:pt idx="170">
                  <c:v>45742</c:v>
                </c:pt>
                <c:pt idx="171">
                  <c:v>45743</c:v>
                </c:pt>
                <c:pt idx="172">
                  <c:v>45744</c:v>
                </c:pt>
                <c:pt idx="173">
                  <c:v>45747</c:v>
                </c:pt>
              </c:numCache>
            </c:numRef>
          </c:cat>
          <c:val>
            <c:numRef>
              <c:f>RSI!$J$16:$J$189</c:f>
              <c:numCache>
                <c:formatCode>General</c:formatCode>
                <c:ptCount val="17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5D-41A7-8065-B7379AC4812A}"/>
            </c:ext>
          </c:extLst>
        </c:ser>
        <c:ser>
          <c:idx val="2"/>
          <c:order val="2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RSI!$A$16:$A$189</c:f>
              <c:numCache>
                <c:formatCode>m/d/yyyy</c:formatCode>
                <c:ptCount val="174"/>
                <c:pt idx="0">
                  <c:v>45495</c:v>
                </c:pt>
                <c:pt idx="1">
                  <c:v>45496</c:v>
                </c:pt>
                <c:pt idx="2">
                  <c:v>45497</c:v>
                </c:pt>
                <c:pt idx="3">
                  <c:v>45498</c:v>
                </c:pt>
                <c:pt idx="4">
                  <c:v>45499</c:v>
                </c:pt>
                <c:pt idx="5">
                  <c:v>45502</c:v>
                </c:pt>
                <c:pt idx="6">
                  <c:v>45503</c:v>
                </c:pt>
                <c:pt idx="7">
                  <c:v>45504</c:v>
                </c:pt>
                <c:pt idx="8">
                  <c:v>45505</c:v>
                </c:pt>
                <c:pt idx="9">
                  <c:v>45506</c:v>
                </c:pt>
                <c:pt idx="10">
                  <c:v>45509</c:v>
                </c:pt>
                <c:pt idx="11">
                  <c:v>45510</c:v>
                </c:pt>
                <c:pt idx="12">
                  <c:v>45511</c:v>
                </c:pt>
                <c:pt idx="13">
                  <c:v>45512</c:v>
                </c:pt>
                <c:pt idx="14">
                  <c:v>45513</c:v>
                </c:pt>
                <c:pt idx="15">
                  <c:v>45516</c:v>
                </c:pt>
                <c:pt idx="16">
                  <c:v>45517</c:v>
                </c:pt>
                <c:pt idx="17">
                  <c:v>45518</c:v>
                </c:pt>
                <c:pt idx="18">
                  <c:v>45519</c:v>
                </c:pt>
                <c:pt idx="19">
                  <c:v>45520</c:v>
                </c:pt>
                <c:pt idx="20">
                  <c:v>45523</c:v>
                </c:pt>
                <c:pt idx="21">
                  <c:v>45524</c:v>
                </c:pt>
                <c:pt idx="22">
                  <c:v>45525</c:v>
                </c:pt>
                <c:pt idx="23">
                  <c:v>45526</c:v>
                </c:pt>
                <c:pt idx="24">
                  <c:v>45527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45538</c:v>
                </c:pt>
                <c:pt idx="31">
                  <c:v>45539</c:v>
                </c:pt>
                <c:pt idx="32">
                  <c:v>45540</c:v>
                </c:pt>
                <c:pt idx="33">
                  <c:v>45541</c:v>
                </c:pt>
                <c:pt idx="34">
                  <c:v>45544</c:v>
                </c:pt>
                <c:pt idx="35">
                  <c:v>45545</c:v>
                </c:pt>
                <c:pt idx="36">
                  <c:v>45546</c:v>
                </c:pt>
                <c:pt idx="37">
                  <c:v>45547</c:v>
                </c:pt>
                <c:pt idx="38">
                  <c:v>45548</c:v>
                </c:pt>
                <c:pt idx="39">
                  <c:v>45551</c:v>
                </c:pt>
                <c:pt idx="40">
                  <c:v>45552</c:v>
                </c:pt>
                <c:pt idx="41">
                  <c:v>45553</c:v>
                </c:pt>
                <c:pt idx="42">
                  <c:v>45554</c:v>
                </c:pt>
                <c:pt idx="43">
                  <c:v>45555</c:v>
                </c:pt>
                <c:pt idx="44">
                  <c:v>45558</c:v>
                </c:pt>
                <c:pt idx="45">
                  <c:v>45559</c:v>
                </c:pt>
                <c:pt idx="46">
                  <c:v>45560</c:v>
                </c:pt>
                <c:pt idx="47">
                  <c:v>45561</c:v>
                </c:pt>
                <c:pt idx="48">
                  <c:v>45562</c:v>
                </c:pt>
                <c:pt idx="49">
                  <c:v>45565</c:v>
                </c:pt>
                <c:pt idx="50">
                  <c:v>45566</c:v>
                </c:pt>
                <c:pt idx="51">
                  <c:v>45567</c:v>
                </c:pt>
                <c:pt idx="52">
                  <c:v>45568</c:v>
                </c:pt>
                <c:pt idx="53">
                  <c:v>45569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45579</c:v>
                </c:pt>
                <c:pt idx="60">
                  <c:v>45580</c:v>
                </c:pt>
                <c:pt idx="61">
                  <c:v>45581</c:v>
                </c:pt>
                <c:pt idx="62">
                  <c:v>45582</c:v>
                </c:pt>
                <c:pt idx="63">
                  <c:v>45583</c:v>
                </c:pt>
                <c:pt idx="64">
                  <c:v>45586</c:v>
                </c:pt>
                <c:pt idx="65">
                  <c:v>45587</c:v>
                </c:pt>
                <c:pt idx="66">
                  <c:v>45588</c:v>
                </c:pt>
                <c:pt idx="67">
                  <c:v>45589</c:v>
                </c:pt>
                <c:pt idx="68">
                  <c:v>45590</c:v>
                </c:pt>
                <c:pt idx="69">
                  <c:v>45593</c:v>
                </c:pt>
                <c:pt idx="70">
                  <c:v>45594</c:v>
                </c:pt>
                <c:pt idx="71">
                  <c:v>45595</c:v>
                </c:pt>
                <c:pt idx="72">
                  <c:v>45596</c:v>
                </c:pt>
                <c:pt idx="73">
                  <c:v>45597</c:v>
                </c:pt>
                <c:pt idx="74">
                  <c:v>45600</c:v>
                </c:pt>
                <c:pt idx="75">
                  <c:v>45601</c:v>
                </c:pt>
                <c:pt idx="76">
                  <c:v>45602</c:v>
                </c:pt>
                <c:pt idx="77">
                  <c:v>45603</c:v>
                </c:pt>
                <c:pt idx="78">
                  <c:v>45604</c:v>
                </c:pt>
                <c:pt idx="79">
                  <c:v>45607</c:v>
                </c:pt>
                <c:pt idx="80">
                  <c:v>45608</c:v>
                </c:pt>
                <c:pt idx="81">
                  <c:v>45609</c:v>
                </c:pt>
                <c:pt idx="82">
                  <c:v>45610</c:v>
                </c:pt>
                <c:pt idx="83">
                  <c:v>45611</c:v>
                </c:pt>
                <c:pt idx="84">
                  <c:v>45614</c:v>
                </c:pt>
                <c:pt idx="85">
                  <c:v>45615</c:v>
                </c:pt>
                <c:pt idx="86">
                  <c:v>45616</c:v>
                </c:pt>
                <c:pt idx="87">
                  <c:v>45617</c:v>
                </c:pt>
                <c:pt idx="88">
                  <c:v>45618</c:v>
                </c:pt>
                <c:pt idx="89">
                  <c:v>45621</c:v>
                </c:pt>
                <c:pt idx="90">
                  <c:v>45622</c:v>
                </c:pt>
                <c:pt idx="91">
                  <c:v>45623</c:v>
                </c:pt>
                <c:pt idx="92">
                  <c:v>45625</c:v>
                </c:pt>
                <c:pt idx="93">
                  <c:v>45628</c:v>
                </c:pt>
                <c:pt idx="94">
                  <c:v>45629</c:v>
                </c:pt>
                <c:pt idx="95">
                  <c:v>45630</c:v>
                </c:pt>
                <c:pt idx="96">
                  <c:v>45631</c:v>
                </c:pt>
                <c:pt idx="97">
                  <c:v>45632</c:v>
                </c:pt>
                <c:pt idx="98">
                  <c:v>45635</c:v>
                </c:pt>
                <c:pt idx="99">
                  <c:v>45636</c:v>
                </c:pt>
                <c:pt idx="100">
                  <c:v>45637</c:v>
                </c:pt>
                <c:pt idx="101">
                  <c:v>45638</c:v>
                </c:pt>
                <c:pt idx="102">
                  <c:v>45639</c:v>
                </c:pt>
                <c:pt idx="103">
                  <c:v>45642</c:v>
                </c:pt>
                <c:pt idx="104">
                  <c:v>45643</c:v>
                </c:pt>
                <c:pt idx="105">
                  <c:v>45644</c:v>
                </c:pt>
                <c:pt idx="106">
                  <c:v>45645</c:v>
                </c:pt>
                <c:pt idx="107">
                  <c:v>45646</c:v>
                </c:pt>
                <c:pt idx="108">
                  <c:v>45649</c:v>
                </c:pt>
                <c:pt idx="109">
                  <c:v>45650</c:v>
                </c:pt>
                <c:pt idx="110">
                  <c:v>45652</c:v>
                </c:pt>
                <c:pt idx="111">
                  <c:v>45653</c:v>
                </c:pt>
                <c:pt idx="112">
                  <c:v>45656</c:v>
                </c:pt>
                <c:pt idx="113">
                  <c:v>45657</c:v>
                </c:pt>
                <c:pt idx="114">
                  <c:v>45659</c:v>
                </c:pt>
                <c:pt idx="115">
                  <c:v>45660</c:v>
                </c:pt>
                <c:pt idx="116">
                  <c:v>45663</c:v>
                </c:pt>
                <c:pt idx="117">
                  <c:v>45664</c:v>
                </c:pt>
                <c:pt idx="118">
                  <c:v>45665</c:v>
                </c:pt>
                <c:pt idx="119">
                  <c:v>45667</c:v>
                </c:pt>
                <c:pt idx="120">
                  <c:v>45670</c:v>
                </c:pt>
                <c:pt idx="121">
                  <c:v>45671</c:v>
                </c:pt>
                <c:pt idx="122">
                  <c:v>45672</c:v>
                </c:pt>
                <c:pt idx="123">
                  <c:v>45673</c:v>
                </c:pt>
                <c:pt idx="124">
                  <c:v>45674</c:v>
                </c:pt>
                <c:pt idx="125">
                  <c:v>45678</c:v>
                </c:pt>
                <c:pt idx="126">
                  <c:v>45679</c:v>
                </c:pt>
                <c:pt idx="127">
                  <c:v>45680</c:v>
                </c:pt>
                <c:pt idx="128">
                  <c:v>45681</c:v>
                </c:pt>
                <c:pt idx="129">
                  <c:v>45684</c:v>
                </c:pt>
                <c:pt idx="130">
                  <c:v>45685</c:v>
                </c:pt>
                <c:pt idx="131">
                  <c:v>45686</c:v>
                </c:pt>
                <c:pt idx="132">
                  <c:v>45687</c:v>
                </c:pt>
                <c:pt idx="133">
                  <c:v>45688</c:v>
                </c:pt>
                <c:pt idx="134">
                  <c:v>45691</c:v>
                </c:pt>
                <c:pt idx="135">
                  <c:v>45692</c:v>
                </c:pt>
                <c:pt idx="136">
                  <c:v>45693</c:v>
                </c:pt>
                <c:pt idx="137">
                  <c:v>45694</c:v>
                </c:pt>
                <c:pt idx="138">
                  <c:v>45695</c:v>
                </c:pt>
                <c:pt idx="139">
                  <c:v>45698</c:v>
                </c:pt>
                <c:pt idx="140">
                  <c:v>45699</c:v>
                </c:pt>
                <c:pt idx="141">
                  <c:v>45700</c:v>
                </c:pt>
                <c:pt idx="142">
                  <c:v>45701</c:v>
                </c:pt>
                <c:pt idx="143">
                  <c:v>45702</c:v>
                </c:pt>
                <c:pt idx="144">
                  <c:v>45706</c:v>
                </c:pt>
                <c:pt idx="145">
                  <c:v>45707</c:v>
                </c:pt>
                <c:pt idx="146">
                  <c:v>45708</c:v>
                </c:pt>
                <c:pt idx="147">
                  <c:v>45709</c:v>
                </c:pt>
                <c:pt idx="148">
                  <c:v>45712</c:v>
                </c:pt>
                <c:pt idx="149">
                  <c:v>45713</c:v>
                </c:pt>
                <c:pt idx="150">
                  <c:v>45714</c:v>
                </c:pt>
                <c:pt idx="151">
                  <c:v>45715</c:v>
                </c:pt>
                <c:pt idx="152">
                  <c:v>45716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45726</c:v>
                </c:pt>
                <c:pt idx="159">
                  <c:v>45727</c:v>
                </c:pt>
                <c:pt idx="160">
                  <c:v>45728</c:v>
                </c:pt>
                <c:pt idx="161">
                  <c:v>45729</c:v>
                </c:pt>
                <c:pt idx="162">
                  <c:v>45730</c:v>
                </c:pt>
                <c:pt idx="163">
                  <c:v>45733</c:v>
                </c:pt>
                <c:pt idx="164">
                  <c:v>45734</c:v>
                </c:pt>
                <c:pt idx="165">
                  <c:v>45735</c:v>
                </c:pt>
                <c:pt idx="166">
                  <c:v>45736</c:v>
                </c:pt>
                <c:pt idx="167">
                  <c:v>45737</c:v>
                </c:pt>
                <c:pt idx="168">
                  <c:v>45740</c:v>
                </c:pt>
                <c:pt idx="169">
                  <c:v>45741</c:v>
                </c:pt>
                <c:pt idx="170">
                  <c:v>45742</c:v>
                </c:pt>
                <c:pt idx="171">
                  <c:v>45743</c:v>
                </c:pt>
                <c:pt idx="172">
                  <c:v>45744</c:v>
                </c:pt>
                <c:pt idx="173">
                  <c:v>45747</c:v>
                </c:pt>
              </c:numCache>
            </c:numRef>
          </c:cat>
          <c:val>
            <c:numRef>
              <c:f>RSI!$K$16:$K$189</c:f>
              <c:numCache>
                <c:formatCode>General</c:formatCode>
                <c:ptCount val="174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5D-41A7-8065-B7379AC48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006016"/>
        <c:axId val="1485007936"/>
      </c:lineChart>
      <c:dateAx>
        <c:axId val="148500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007936"/>
        <c:crosses val="autoZero"/>
        <c:auto val="1"/>
        <c:lblOffset val="100"/>
        <c:baseTimeUnit val="days"/>
      </c:dateAx>
      <c:valAx>
        <c:axId val="148500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00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4282583997611708"/>
          <c:y val="0.91662241041501302"/>
          <c:w val="0.15899061258468011"/>
          <c:h val="4.2453118911876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Bollinger</a:t>
            </a:r>
            <a:r>
              <a:rPr lang="en-GB" sz="1600" baseline="0"/>
              <a:t> Bands of BMY UN </a:t>
            </a:r>
            <a:endParaRPr lang="en-GB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7275670617435931E-2"/>
          <c:y val="7.9063275874299496E-2"/>
          <c:w val="0.88859941601675363"/>
          <c:h val="0.75102982904164006"/>
        </c:manualLayout>
      </c:layout>
      <c:lineChart>
        <c:grouping val="standard"/>
        <c:varyColors val="0"/>
        <c:ser>
          <c:idx val="0"/>
          <c:order val="0"/>
          <c:tx>
            <c:strRef>
              <c:f>BB!$B$1</c:f>
              <c:strCache>
                <c:ptCount val="1"/>
                <c:pt idx="0">
                  <c:v>BMY UN </c:v>
                </c:pt>
              </c:strCache>
            </c:strRef>
          </c:tx>
          <c:spPr>
            <a:ln w="2857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BB!$A$21:$A$189</c:f>
              <c:numCache>
                <c:formatCode>m/d/yyyy</c:formatCode>
                <c:ptCount val="169"/>
                <c:pt idx="0">
                  <c:v>45502</c:v>
                </c:pt>
                <c:pt idx="1">
                  <c:v>45503</c:v>
                </c:pt>
                <c:pt idx="2">
                  <c:v>45504</c:v>
                </c:pt>
                <c:pt idx="3">
                  <c:v>45505</c:v>
                </c:pt>
                <c:pt idx="4">
                  <c:v>45506</c:v>
                </c:pt>
                <c:pt idx="5">
                  <c:v>45509</c:v>
                </c:pt>
                <c:pt idx="6">
                  <c:v>45510</c:v>
                </c:pt>
                <c:pt idx="7">
                  <c:v>45511</c:v>
                </c:pt>
                <c:pt idx="8">
                  <c:v>45512</c:v>
                </c:pt>
                <c:pt idx="9">
                  <c:v>45513</c:v>
                </c:pt>
                <c:pt idx="10">
                  <c:v>45516</c:v>
                </c:pt>
                <c:pt idx="11">
                  <c:v>45517</c:v>
                </c:pt>
                <c:pt idx="12">
                  <c:v>45518</c:v>
                </c:pt>
                <c:pt idx="13">
                  <c:v>45519</c:v>
                </c:pt>
                <c:pt idx="14">
                  <c:v>45520</c:v>
                </c:pt>
                <c:pt idx="15">
                  <c:v>45523</c:v>
                </c:pt>
                <c:pt idx="16">
                  <c:v>45524</c:v>
                </c:pt>
                <c:pt idx="17">
                  <c:v>45525</c:v>
                </c:pt>
                <c:pt idx="18">
                  <c:v>45526</c:v>
                </c:pt>
                <c:pt idx="19">
                  <c:v>45527</c:v>
                </c:pt>
                <c:pt idx="20">
                  <c:v>45530</c:v>
                </c:pt>
                <c:pt idx="21">
                  <c:v>45531</c:v>
                </c:pt>
                <c:pt idx="22">
                  <c:v>45532</c:v>
                </c:pt>
                <c:pt idx="23">
                  <c:v>45533</c:v>
                </c:pt>
                <c:pt idx="24">
                  <c:v>45534</c:v>
                </c:pt>
                <c:pt idx="25">
                  <c:v>45538</c:v>
                </c:pt>
                <c:pt idx="26">
                  <c:v>45539</c:v>
                </c:pt>
                <c:pt idx="27">
                  <c:v>45540</c:v>
                </c:pt>
                <c:pt idx="28">
                  <c:v>45541</c:v>
                </c:pt>
                <c:pt idx="29">
                  <c:v>45544</c:v>
                </c:pt>
                <c:pt idx="30">
                  <c:v>45545</c:v>
                </c:pt>
                <c:pt idx="31">
                  <c:v>45546</c:v>
                </c:pt>
                <c:pt idx="32">
                  <c:v>45547</c:v>
                </c:pt>
                <c:pt idx="33">
                  <c:v>45548</c:v>
                </c:pt>
                <c:pt idx="34">
                  <c:v>45551</c:v>
                </c:pt>
                <c:pt idx="35">
                  <c:v>45552</c:v>
                </c:pt>
                <c:pt idx="36">
                  <c:v>45553</c:v>
                </c:pt>
                <c:pt idx="37">
                  <c:v>45554</c:v>
                </c:pt>
                <c:pt idx="38">
                  <c:v>45555</c:v>
                </c:pt>
                <c:pt idx="39">
                  <c:v>45558</c:v>
                </c:pt>
                <c:pt idx="40">
                  <c:v>45559</c:v>
                </c:pt>
                <c:pt idx="41">
                  <c:v>45560</c:v>
                </c:pt>
                <c:pt idx="42">
                  <c:v>45561</c:v>
                </c:pt>
                <c:pt idx="43">
                  <c:v>45562</c:v>
                </c:pt>
                <c:pt idx="44">
                  <c:v>45565</c:v>
                </c:pt>
                <c:pt idx="45">
                  <c:v>45566</c:v>
                </c:pt>
                <c:pt idx="46">
                  <c:v>45567</c:v>
                </c:pt>
                <c:pt idx="47">
                  <c:v>45568</c:v>
                </c:pt>
                <c:pt idx="48">
                  <c:v>45569</c:v>
                </c:pt>
                <c:pt idx="49">
                  <c:v>45572</c:v>
                </c:pt>
                <c:pt idx="50">
                  <c:v>45573</c:v>
                </c:pt>
                <c:pt idx="51">
                  <c:v>45574</c:v>
                </c:pt>
                <c:pt idx="52">
                  <c:v>45575</c:v>
                </c:pt>
                <c:pt idx="53">
                  <c:v>45576</c:v>
                </c:pt>
                <c:pt idx="54">
                  <c:v>45579</c:v>
                </c:pt>
                <c:pt idx="55">
                  <c:v>45580</c:v>
                </c:pt>
                <c:pt idx="56">
                  <c:v>45581</c:v>
                </c:pt>
                <c:pt idx="57">
                  <c:v>45582</c:v>
                </c:pt>
                <c:pt idx="58">
                  <c:v>45583</c:v>
                </c:pt>
                <c:pt idx="59">
                  <c:v>45586</c:v>
                </c:pt>
                <c:pt idx="60">
                  <c:v>45587</c:v>
                </c:pt>
                <c:pt idx="61">
                  <c:v>45588</c:v>
                </c:pt>
                <c:pt idx="62">
                  <c:v>45589</c:v>
                </c:pt>
                <c:pt idx="63">
                  <c:v>45590</c:v>
                </c:pt>
                <c:pt idx="64">
                  <c:v>45593</c:v>
                </c:pt>
                <c:pt idx="65">
                  <c:v>45594</c:v>
                </c:pt>
                <c:pt idx="66">
                  <c:v>45595</c:v>
                </c:pt>
                <c:pt idx="67">
                  <c:v>45596</c:v>
                </c:pt>
                <c:pt idx="68">
                  <c:v>45597</c:v>
                </c:pt>
                <c:pt idx="69">
                  <c:v>45600</c:v>
                </c:pt>
                <c:pt idx="70">
                  <c:v>45601</c:v>
                </c:pt>
                <c:pt idx="71">
                  <c:v>45602</c:v>
                </c:pt>
                <c:pt idx="72">
                  <c:v>45603</c:v>
                </c:pt>
                <c:pt idx="73">
                  <c:v>45604</c:v>
                </c:pt>
                <c:pt idx="74">
                  <c:v>45607</c:v>
                </c:pt>
                <c:pt idx="75">
                  <c:v>45608</c:v>
                </c:pt>
                <c:pt idx="76">
                  <c:v>45609</c:v>
                </c:pt>
                <c:pt idx="77">
                  <c:v>45610</c:v>
                </c:pt>
                <c:pt idx="78">
                  <c:v>45611</c:v>
                </c:pt>
                <c:pt idx="79">
                  <c:v>45614</c:v>
                </c:pt>
                <c:pt idx="80">
                  <c:v>45615</c:v>
                </c:pt>
                <c:pt idx="81">
                  <c:v>45616</c:v>
                </c:pt>
                <c:pt idx="82">
                  <c:v>45617</c:v>
                </c:pt>
                <c:pt idx="83">
                  <c:v>45618</c:v>
                </c:pt>
                <c:pt idx="84">
                  <c:v>45621</c:v>
                </c:pt>
                <c:pt idx="85">
                  <c:v>45622</c:v>
                </c:pt>
                <c:pt idx="86">
                  <c:v>45623</c:v>
                </c:pt>
                <c:pt idx="87">
                  <c:v>45625</c:v>
                </c:pt>
                <c:pt idx="88">
                  <c:v>45628</c:v>
                </c:pt>
                <c:pt idx="89">
                  <c:v>45629</c:v>
                </c:pt>
                <c:pt idx="90">
                  <c:v>45630</c:v>
                </c:pt>
                <c:pt idx="91">
                  <c:v>45631</c:v>
                </c:pt>
                <c:pt idx="92">
                  <c:v>45632</c:v>
                </c:pt>
                <c:pt idx="93">
                  <c:v>45635</c:v>
                </c:pt>
                <c:pt idx="94">
                  <c:v>45636</c:v>
                </c:pt>
                <c:pt idx="95">
                  <c:v>45637</c:v>
                </c:pt>
                <c:pt idx="96">
                  <c:v>45638</c:v>
                </c:pt>
                <c:pt idx="97">
                  <c:v>45639</c:v>
                </c:pt>
                <c:pt idx="98">
                  <c:v>45642</c:v>
                </c:pt>
                <c:pt idx="99">
                  <c:v>45643</c:v>
                </c:pt>
                <c:pt idx="100">
                  <c:v>45644</c:v>
                </c:pt>
                <c:pt idx="101">
                  <c:v>45645</c:v>
                </c:pt>
                <c:pt idx="102">
                  <c:v>45646</c:v>
                </c:pt>
                <c:pt idx="103">
                  <c:v>45649</c:v>
                </c:pt>
                <c:pt idx="104">
                  <c:v>45650</c:v>
                </c:pt>
                <c:pt idx="105">
                  <c:v>45652</c:v>
                </c:pt>
                <c:pt idx="106">
                  <c:v>45653</c:v>
                </c:pt>
                <c:pt idx="107">
                  <c:v>45656</c:v>
                </c:pt>
                <c:pt idx="108">
                  <c:v>45657</c:v>
                </c:pt>
                <c:pt idx="109">
                  <c:v>45659</c:v>
                </c:pt>
                <c:pt idx="110">
                  <c:v>45660</c:v>
                </c:pt>
                <c:pt idx="111">
                  <c:v>45663</c:v>
                </c:pt>
                <c:pt idx="112">
                  <c:v>45664</c:v>
                </c:pt>
                <c:pt idx="113">
                  <c:v>45665</c:v>
                </c:pt>
                <c:pt idx="114">
                  <c:v>45667</c:v>
                </c:pt>
                <c:pt idx="115">
                  <c:v>45670</c:v>
                </c:pt>
                <c:pt idx="116">
                  <c:v>45671</c:v>
                </c:pt>
                <c:pt idx="117">
                  <c:v>45672</c:v>
                </c:pt>
                <c:pt idx="118">
                  <c:v>45673</c:v>
                </c:pt>
                <c:pt idx="119">
                  <c:v>45674</c:v>
                </c:pt>
                <c:pt idx="120">
                  <c:v>45678</c:v>
                </c:pt>
                <c:pt idx="121">
                  <c:v>45679</c:v>
                </c:pt>
                <c:pt idx="122">
                  <c:v>45680</c:v>
                </c:pt>
                <c:pt idx="123">
                  <c:v>45681</c:v>
                </c:pt>
                <c:pt idx="124">
                  <c:v>45684</c:v>
                </c:pt>
                <c:pt idx="125">
                  <c:v>45685</c:v>
                </c:pt>
                <c:pt idx="126">
                  <c:v>45686</c:v>
                </c:pt>
                <c:pt idx="127">
                  <c:v>45687</c:v>
                </c:pt>
                <c:pt idx="128">
                  <c:v>45688</c:v>
                </c:pt>
                <c:pt idx="129">
                  <c:v>45691</c:v>
                </c:pt>
                <c:pt idx="130">
                  <c:v>45692</c:v>
                </c:pt>
                <c:pt idx="131">
                  <c:v>45693</c:v>
                </c:pt>
                <c:pt idx="132">
                  <c:v>45694</c:v>
                </c:pt>
                <c:pt idx="133">
                  <c:v>45695</c:v>
                </c:pt>
                <c:pt idx="134">
                  <c:v>45698</c:v>
                </c:pt>
                <c:pt idx="135">
                  <c:v>45699</c:v>
                </c:pt>
                <c:pt idx="136">
                  <c:v>45700</c:v>
                </c:pt>
                <c:pt idx="137">
                  <c:v>45701</c:v>
                </c:pt>
                <c:pt idx="138">
                  <c:v>45702</c:v>
                </c:pt>
                <c:pt idx="139">
                  <c:v>45706</c:v>
                </c:pt>
                <c:pt idx="140">
                  <c:v>45707</c:v>
                </c:pt>
                <c:pt idx="141">
                  <c:v>45708</c:v>
                </c:pt>
                <c:pt idx="142">
                  <c:v>45709</c:v>
                </c:pt>
                <c:pt idx="143">
                  <c:v>45712</c:v>
                </c:pt>
                <c:pt idx="144">
                  <c:v>45713</c:v>
                </c:pt>
                <c:pt idx="145">
                  <c:v>45714</c:v>
                </c:pt>
                <c:pt idx="146">
                  <c:v>45715</c:v>
                </c:pt>
                <c:pt idx="147">
                  <c:v>45716</c:v>
                </c:pt>
                <c:pt idx="148">
                  <c:v>45719</c:v>
                </c:pt>
                <c:pt idx="149">
                  <c:v>45720</c:v>
                </c:pt>
                <c:pt idx="150">
                  <c:v>45721</c:v>
                </c:pt>
                <c:pt idx="151">
                  <c:v>45722</c:v>
                </c:pt>
                <c:pt idx="152">
                  <c:v>45723</c:v>
                </c:pt>
                <c:pt idx="153">
                  <c:v>45726</c:v>
                </c:pt>
                <c:pt idx="154">
                  <c:v>45727</c:v>
                </c:pt>
                <c:pt idx="155">
                  <c:v>45728</c:v>
                </c:pt>
                <c:pt idx="156">
                  <c:v>45729</c:v>
                </c:pt>
                <c:pt idx="157">
                  <c:v>45730</c:v>
                </c:pt>
                <c:pt idx="158">
                  <c:v>45733</c:v>
                </c:pt>
                <c:pt idx="159">
                  <c:v>45734</c:v>
                </c:pt>
                <c:pt idx="160">
                  <c:v>45735</c:v>
                </c:pt>
                <c:pt idx="161">
                  <c:v>45736</c:v>
                </c:pt>
                <c:pt idx="162">
                  <c:v>45737</c:v>
                </c:pt>
                <c:pt idx="163">
                  <c:v>45740</c:v>
                </c:pt>
                <c:pt idx="164">
                  <c:v>45741</c:v>
                </c:pt>
                <c:pt idx="165">
                  <c:v>45742</c:v>
                </c:pt>
                <c:pt idx="166">
                  <c:v>45743</c:v>
                </c:pt>
                <c:pt idx="167">
                  <c:v>45744</c:v>
                </c:pt>
                <c:pt idx="168">
                  <c:v>45747</c:v>
                </c:pt>
              </c:numCache>
            </c:numRef>
          </c:cat>
          <c:val>
            <c:numRef>
              <c:f>BB!$B$21:$B$189</c:f>
              <c:numCache>
                <c:formatCode>General</c:formatCode>
                <c:ptCount val="169"/>
                <c:pt idx="0">
                  <c:v>48.98</c:v>
                </c:pt>
                <c:pt idx="1">
                  <c:v>49.05</c:v>
                </c:pt>
                <c:pt idx="2">
                  <c:v>47.56</c:v>
                </c:pt>
                <c:pt idx="3">
                  <c:v>48.17</c:v>
                </c:pt>
                <c:pt idx="4">
                  <c:v>48.77</c:v>
                </c:pt>
                <c:pt idx="5">
                  <c:v>47.59</c:v>
                </c:pt>
                <c:pt idx="6">
                  <c:v>47.31</c:v>
                </c:pt>
                <c:pt idx="7">
                  <c:v>46.5</c:v>
                </c:pt>
                <c:pt idx="8">
                  <c:v>46.85</c:v>
                </c:pt>
                <c:pt idx="9">
                  <c:v>46.72</c:v>
                </c:pt>
                <c:pt idx="10">
                  <c:v>47.06</c:v>
                </c:pt>
                <c:pt idx="11">
                  <c:v>49.06</c:v>
                </c:pt>
                <c:pt idx="12">
                  <c:v>48.41</c:v>
                </c:pt>
                <c:pt idx="13">
                  <c:v>49.11</c:v>
                </c:pt>
                <c:pt idx="14">
                  <c:v>49.36</c:v>
                </c:pt>
                <c:pt idx="15">
                  <c:v>49.3</c:v>
                </c:pt>
                <c:pt idx="16">
                  <c:v>48.98</c:v>
                </c:pt>
                <c:pt idx="17">
                  <c:v>48.44</c:v>
                </c:pt>
                <c:pt idx="18">
                  <c:v>47.62</c:v>
                </c:pt>
                <c:pt idx="19">
                  <c:v>48.11</c:v>
                </c:pt>
                <c:pt idx="20">
                  <c:v>48.24</c:v>
                </c:pt>
                <c:pt idx="21">
                  <c:v>48.12</c:v>
                </c:pt>
                <c:pt idx="22">
                  <c:v>49.06</c:v>
                </c:pt>
                <c:pt idx="23">
                  <c:v>49.72</c:v>
                </c:pt>
                <c:pt idx="24">
                  <c:v>49.95</c:v>
                </c:pt>
                <c:pt idx="25">
                  <c:v>50.52</c:v>
                </c:pt>
                <c:pt idx="26">
                  <c:v>49.96</c:v>
                </c:pt>
                <c:pt idx="27">
                  <c:v>49.8</c:v>
                </c:pt>
                <c:pt idx="28">
                  <c:v>48.7</c:v>
                </c:pt>
                <c:pt idx="29">
                  <c:v>48.5</c:v>
                </c:pt>
                <c:pt idx="30">
                  <c:v>49.28</c:v>
                </c:pt>
                <c:pt idx="31">
                  <c:v>48.59</c:v>
                </c:pt>
                <c:pt idx="32">
                  <c:v>48.24</c:v>
                </c:pt>
                <c:pt idx="33">
                  <c:v>49.13</c:v>
                </c:pt>
                <c:pt idx="34">
                  <c:v>49.99</c:v>
                </c:pt>
                <c:pt idx="35">
                  <c:v>49.49</c:v>
                </c:pt>
                <c:pt idx="36">
                  <c:v>49.74</c:v>
                </c:pt>
                <c:pt idx="37">
                  <c:v>49.02</c:v>
                </c:pt>
                <c:pt idx="38">
                  <c:v>49.41</c:v>
                </c:pt>
                <c:pt idx="39">
                  <c:v>50.01</c:v>
                </c:pt>
                <c:pt idx="40">
                  <c:v>50.94</c:v>
                </c:pt>
                <c:pt idx="41">
                  <c:v>49.95</c:v>
                </c:pt>
                <c:pt idx="42">
                  <c:v>50.12</c:v>
                </c:pt>
                <c:pt idx="43">
                  <c:v>50.91</c:v>
                </c:pt>
                <c:pt idx="44">
                  <c:v>51.74</c:v>
                </c:pt>
                <c:pt idx="45">
                  <c:v>52.9</c:v>
                </c:pt>
                <c:pt idx="46">
                  <c:v>53.76</c:v>
                </c:pt>
                <c:pt idx="47">
                  <c:v>54.2</c:v>
                </c:pt>
                <c:pt idx="48">
                  <c:v>53.96</c:v>
                </c:pt>
                <c:pt idx="49">
                  <c:v>53.44</c:v>
                </c:pt>
                <c:pt idx="50">
                  <c:v>52.48</c:v>
                </c:pt>
                <c:pt idx="51">
                  <c:v>52.8</c:v>
                </c:pt>
                <c:pt idx="52">
                  <c:v>52.4</c:v>
                </c:pt>
                <c:pt idx="53">
                  <c:v>52.2</c:v>
                </c:pt>
                <c:pt idx="54">
                  <c:v>52.67</c:v>
                </c:pt>
                <c:pt idx="55">
                  <c:v>52.76</c:v>
                </c:pt>
                <c:pt idx="56">
                  <c:v>53.37</c:v>
                </c:pt>
                <c:pt idx="57">
                  <c:v>53.18</c:v>
                </c:pt>
                <c:pt idx="58">
                  <c:v>53.22</c:v>
                </c:pt>
                <c:pt idx="59">
                  <c:v>52.12</c:v>
                </c:pt>
                <c:pt idx="60">
                  <c:v>52.76</c:v>
                </c:pt>
                <c:pt idx="61">
                  <c:v>53.06</c:v>
                </c:pt>
                <c:pt idx="62">
                  <c:v>52.92</c:v>
                </c:pt>
                <c:pt idx="63">
                  <c:v>51.92</c:v>
                </c:pt>
                <c:pt idx="64">
                  <c:v>52.64</c:v>
                </c:pt>
                <c:pt idx="65">
                  <c:v>52.5</c:v>
                </c:pt>
                <c:pt idx="66">
                  <c:v>52.66</c:v>
                </c:pt>
                <c:pt idx="67">
                  <c:v>55.77</c:v>
                </c:pt>
                <c:pt idx="68">
                  <c:v>54.32</c:v>
                </c:pt>
                <c:pt idx="69">
                  <c:v>55.45</c:v>
                </c:pt>
                <c:pt idx="70">
                  <c:v>55.95</c:v>
                </c:pt>
                <c:pt idx="71">
                  <c:v>55.28</c:v>
                </c:pt>
                <c:pt idx="72">
                  <c:v>54.71</c:v>
                </c:pt>
                <c:pt idx="73">
                  <c:v>54.14</c:v>
                </c:pt>
                <c:pt idx="74">
                  <c:v>59.82</c:v>
                </c:pt>
                <c:pt idx="75">
                  <c:v>59.02</c:v>
                </c:pt>
                <c:pt idx="76">
                  <c:v>58.41</c:v>
                </c:pt>
                <c:pt idx="77">
                  <c:v>58.5</c:v>
                </c:pt>
                <c:pt idx="78">
                  <c:v>56.22</c:v>
                </c:pt>
                <c:pt idx="79">
                  <c:v>56.8</c:v>
                </c:pt>
                <c:pt idx="80">
                  <c:v>58.23</c:v>
                </c:pt>
                <c:pt idx="81">
                  <c:v>57.88</c:v>
                </c:pt>
                <c:pt idx="82">
                  <c:v>58.23</c:v>
                </c:pt>
                <c:pt idx="83">
                  <c:v>58.87</c:v>
                </c:pt>
                <c:pt idx="84">
                  <c:v>58.78</c:v>
                </c:pt>
                <c:pt idx="85">
                  <c:v>58.74</c:v>
                </c:pt>
                <c:pt idx="86">
                  <c:v>59.27</c:v>
                </c:pt>
                <c:pt idx="87">
                  <c:v>59.22</c:v>
                </c:pt>
                <c:pt idx="88">
                  <c:v>59.94</c:v>
                </c:pt>
                <c:pt idx="89">
                  <c:v>58.69</c:v>
                </c:pt>
                <c:pt idx="90">
                  <c:v>58.37</c:v>
                </c:pt>
                <c:pt idx="91">
                  <c:v>58.84</c:v>
                </c:pt>
                <c:pt idx="92">
                  <c:v>59.38</c:v>
                </c:pt>
                <c:pt idx="93">
                  <c:v>58.71</c:v>
                </c:pt>
                <c:pt idx="94">
                  <c:v>58.12</c:v>
                </c:pt>
                <c:pt idx="95">
                  <c:v>56.65</c:v>
                </c:pt>
                <c:pt idx="96">
                  <c:v>56.28</c:v>
                </c:pt>
                <c:pt idx="97">
                  <c:v>55.78</c:v>
                </c:pt>
                <c:pt idx="98">
                  <c:v>55.87</c:v>
                </c:pt>
                <c:pt idx="99">
                  <c:v>57.65</c:v>
                </c:pt>
                <c:pt idx="100">
                  <c:v>56.84</c:v>
                </c:pt>
                <c:pt idx="101">
                  <c:v>56.3</c:v>
                </c:pt>
                <c:pt idx="102">
                  <c:v>57.33</c:v>
                </c:pt>
                <c:pt idx="103">
                  <c:v>57.58</c:v>
                </c:pt>
                <c:pt idx="104">
                  <c:v>57.76</c:v>
                </c:pt>
                <c:pt idx="105">
                  <c:v>58</c:v>
                </c:pt>
                <c:pt idx="106">
                  <c:v>57.68</c:v>
                </c:pt>
                <c:pt idx="107">
                  <c:v>56.06</c:v>
                </c:pt>
                <c:pt idx="108">
                  <c:v>56.56</c:v>
                </c:pt>
                <c:pt idx="109">
                  <c:v>56.79</c:v>
                </c:pt>
                <c:pt idx="110">
                  <c:v>56.57</c:v>
                </c:pt>
                <c:pt idx="111">
                  <c:v>56.68</c:v>
                </c:pt>
                <c:pt idx="112">
                  <c:v>57.14</c:v>
                </c:pt>
                <c:pt idx="113">
                  <c:v>56.81</c:v>
                </c:pt>
                <c:pt idx="114">
                  <c:v>55.83</c:v>
                </c:pt>
                <c:pt idx="115">
                  <c:v>55.36</c:v>
                </c:pt>
                <c:pt idx="116">
                  <c:v>55.74</c:v>
                </c:pt>
                <c:pt idx="117">
                  <c:v>55.91</c:v>
                </c:pt>
                <c:pt idx="118">
                  <c:v>56.38</c:v>
                </c:pt>
                <c:pt idx="119">
                  <c:v>56.29</c:v>
                </c:pt>
                <c:pt idx="120">
                  <c:v>57.04</c:v>
                </c:pt>
                <c:pt idx="121">
                  <c:v>57.09</c:v>
                </c:pt>
                <c:pt idx="122">
                  <c:v>59.14</c:v>
                </c:pt>
                <c:pt idx="123">
                  <c:v>59.67</c:v>
                </c:pt>
                <c:pt idx="124">
                  <c:v>60.6</c:v>
                </c:pt>
                <c:pt idx="125">
                  <c:v>58.76</c:v>
                </c:pt>
                <c:pt idx="126">
                  <c:v>59.05</c:v>
                </c:pt>
                <c:pt idx="127">
                  <c:v>59.14</c:v>
                </c:pt>
                <c:pt idx="128">
                  <c:v>58.95</c:v>
                </c:pt>
                <c:pt idx="129">
                  <c:v>59.95</c:v>
                </c:pt>
                <c:pt idx="130">
                  <c:v>59.12</c:v>
                </c:pt>
                <c:pt idx="131">
                  <c:v>59.71</c:v>
                </c:pt>
                <c:pt idx="132">
                  <c:v>57.42</c:v>
                </c:pt>
                <c:pt idx="133">
                  <c:v>56.85</c:v>
                </c:pt>
                <c:pt idx="134">
                  <c:v>55.53</c:v>
                </c:pt>
                <c:pt idx="135">
                  <c:v>55.94</c:v>
                </c:pt>
                <c:pt idx="136">
                  <c:v>56.15</c:v>
                </c:pt>
                <c:pt idx="137">
                  <c:v>55.97</c:v>
                </c:pt>
                <c:pt idx="138">
                  <c:v>53.9</c:v>
                </c:pt>
                <c:pt idx="139">
                  <c:v>54.43</c:v>
                </c:pt>
                <c:pt idx="140">
                  <c:v>54.98</c:v>
                </c:pt>
                <c:pt idx="141">
                  <c:v>55.79</c:v>
                </c:pt>
                <c:pt idx="142">
                  <c:v>55.83</c:v>
                </c:pt>
                <c:pt idx="143">
                  <c:v>57.88</c:v>
                </c:pt>
                <c:pt idx="144">
                  <c:v>58.21</c:v>
                </c:pt>
                <c:pt idx="145">
                  <c:v>57.38</c:v>
                </c:pt>
                <c:pt idx="146">
                  <c:v>58.8</c:v>
                </c:pt>
                <c:pt idx="147">
                  <c:v>59.62</c:v>
                </c:pt>
                <c:pt idx="148">
                  <c:v>59.87</c:v>
                </c:pt>
                <c:pt idx="149">
                  <c:v>59.44</c:v>
                </c:pt>
                <c:pt idx="150">
                  <c:v>59.82</c:v>
                </c:pt>
                <c:pt idx="151">
                  <c:v>60.18</c:v>
                </c:pt>
                <c:pt idx="152">
                  <c:v>61.09</c:v>
                </c:pt>
                <c:pt idx="153">
                  <c:v>63.11</c:v>
                </c:pt>
                <c:pt idx="154">
                  <c:v>61.51</c:v>
                </c:pt>
                <c:pt idx="155">
                  <c:v>59.81</c:v>
                </c:pt>
                <c:pt idx="156">
                  <c:v>60.28</c:v>
                </c:pt>
                <c:pt idx="157">
                  <c:v>59.01</c:v>
                </c:pt>
                <c:pt idx="158">
                  <c:v>59.99</c:v>
                </c:pt>
                <c:pt idx="159">
                  <c:v>59.9</c:v>
                </c:pt>
                <c:pt idx="160">
                  <c:v>60.08</c:v>
                </c:pt>
                <c:pt idx="161">
                  <c:v>60.42</c:v>
                </c:pt>
                <c:pt idx="162">
                  <c:v>60.99</c:v>
                </c:pt>
                <c:pt idx="163">
                  <c:v>61.05</c:v>
                </c:pt>
                <c:pt idx="164">
                  <c:v>59.19</c:v>
                </c:pt>
                <c:pt idx="165">
                  <c:v>59.21</c:v>
                </c:pt>
                <c:pt idx="166">
                  <c:v>58.9</c:v>
                </c:pt>
                <c:pt idx="167">
                  <c:v>60.02</c:v>
                </c:pt>
                <c:pt idx="168">
                  <c:v>60.99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6-493F-9E80-C7410E30E2AE}"/>
            </c:ext>
          </c:extLst>
        </c:ser>
        <c:ser>
          <c:idx val="1"/>
          <c:order val="1"/>
          <c:tx>
            <c:strRef>
              <c:f>BB!$C$1</c:f>
              <c:strCache>
                <c:ptCount val="1"/>
                <c:pt idx="0">
                  <c:v>20 Day MA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BB!$A$21:$A$189</c:f>
              <c:numCache>
                <c:formatCode>m/d/yyyy</c:formatCode>
                <c:ptCount val="169"/>
                <c:pt idx="0">
                  <c:v>45502</c:v>
                </c:pt>
                <c:pt idx="1">
                  <c:v>45503</c:v>
                </c:pt>
                <c:pt idx="2">
                  <c:v>45504</c:v>
                </c:pt>
                <c:pt idx="3">
                  <c:v>45505</c:v>
                </c:pt>
                <c:pt idx="4">
                  <c:v>45506</c:v>
                </c:pt>
                <c:pt idx="5">
                  <c:v>45509</c:v>
                </c:pt>
                <c:pt idx="6">
                  <c:v>45510</c:v>
                </c:pt>
                <c:pt idx="7">
                  <c:v>45511</c:v>
                </c:pt>
                <c:pt idx="8">
                  <c:v>45512</c:v>
                </c:pt>
                <c:pt idx="9">
                  <c:v>45513</c:v>
                </c:pt>
                <c:pt idx="10">
                  <c:v>45516</c:v>
                </c:pt>
                <c:pt idx="11">
                  <c:v>45517</c:v>
                </c:pt>
                <c:pt idx="12">
                  <c:v>45518</c:v>
                </c:pt>
                <c:pt idx="13">
                  <c:v>45519</c:v>
                </c:pt>
                <c:pt idx="14">
                  <c:v>45520</c:v>
                </c:pt>
                <c:pt idx="15">
                  <c:v>45523</c:v>
                </c:pt>
                <c:pt idx="16">
                  <c:v>45524</c:v>
                </c:pt>
                <c:pt idx="17">
                  <c:v>45525</c:v>
                </c:pt>
                <c:pt idx="18">
                  <c:v>45526</c:v>
                </c:pt>
                <c:pt idx="19">
                  <c:v>45527</c:v>
                </c:pt>
                <c:pt idx="20">
                  <c:v>45530</c:v>
                </c:pt>
                <c:pt idx="21">
                  <c:v>45531</c:v>
                </c:pt>
                <c:pt idx="22">
                  <c:v>45532</c:v>
                </c:pt>
                <c:pt idx="23">
                  <c:v>45533</c:v>
                </c:pt>
                <c:pt idx="24">
                  <c:v>45534</c:v>
                </c:pt>
                <c:pt idx="25">
                  <c:v>45538</c:v>
                </c:pt>
                <c:pt idx="26">
                  <c:v>45539</c:v>
                </c:pt>
                <c:pt idx="27">
                  <c:v>45540</c:v>
                </c:pt>
                <c:pt idx="28">
                  <c:v>45541</c:v>
                </c:pt>
                <c:pt idx="29">
                  <c:v>45544</c:v>
                </c:pt>
                <c:pt idx="30">
                  <c:v>45545</c:v>
                </c:pt>
                <c:pt idx="31">
                  <c:v>45546</c:v>
                </c:pt>
                <c:pt idx="32">
                  <c:v>45547</c:v>
                </c:pt>
                <c:pt idx="33">
                  <c:v>45548</c:v>
                </c:pt>
                <c:pt idx="34">
                  <c:v>45551</c:v>
                </c:pt>
                <c:pt idx="35">
                  <c:v>45552</c:v>
                </c:pt>
                <c:pt idx="36">
                  <c:v>45553</c:v>
                </c:pt>
                <c:pt idx="37">
                  <c:v>45554</c:v>
                </c:pt>
                <c:pt idx="38">
                  <c:v>45555</c:v>
                </c:pt>
                <c:pt idx="39">
                  <c:v>45558</c:v>
                </c:pt>
                <c:pt idx="40">
                  <c:v>45559</c:v>
                </c:pt>
                <c:pt idx="41">
                  <c:v>45560</c:v>
                </c:pt>
                <c:pt idx="42">
                  <c:v>45561</c:v>
                </c:pt>
                <c:pt idx="43">
                  <c:v>45562</c:v>
                </c:pt>
                <c:pt idx="44">
                  <c:v>45565</c:v>
                </c:pt>
                <c:pt idx="45">
                  <c:v>45566</c:v>
                </c:pt>
                <c:pt idx="46">
                  <c:v>45567</c:v>
                </c:pt>
                <c:pt idx="47">
                  <c:v>45568</c:v>
                </c:pt>
                <c:pt idx="48">
                  <c:v>45569</c:v>
                </c:pt>
                <c:pt idx="49">
                  <c:v>45572</c:v>
                </c:pt>
                <c:pt idx="50">
                  <c:v>45573</c:v>
                </c:pt>
                <c:pt idx="51">
                  <c:v>45574</c:v>
                </c:pt>
                <c:pt idx="52">
                  <c:v>45575</c:v>
                </c:pt>
                <c:pt idx="53">
                  <c:v>45576</c:v>
                </c:pt>
                <c:pt idx="54">
                  <c:v>45579</c:v>
                </c:pt>
                <c:pt idx="55">
                  <c:v>45580</c:v>
                </c:pt>
                <c:pt idx="56">
                  <c:v>45581</c:v>
                </c:pt>
                <c:pt idx="57">
                  <c:v>45582</c:v>
                </c:pt>
                <c:pt idx="58">
                  <c:v>45583</c:v>
                </c:pt>
                <c:pt idx="59">
                  <c:v>45586</c:v>
                </c:pt>
                <c:pt idx="60">
                  <c:v>45587</c:v>
                </c:pt>
                <c:pt idx="61">
                  <c:v>45588</c:v>
                </c:pt>
                <c:pt idx="62">
                  <c:v>45589</c:v>
                </c:pt>
                <c:pt idx="63">
                  <c:v>45590</c:v>
                </c:pt>
                <c:pt idx="64">
                  <c:v>45593</c:v>
                </c:pt>
                <c:pt idx="65">
                  <c:v>45594</c:v>
                </c:pt>
                <c:pt idx="66">
                  <c:v>45595</c:v>
                </c:pt>
                <c:pt idx="67">
                  <c:v>45596</c:v>
                </c:pt>
                <c:pt idx="68">
                  <c:v>45597</c:v>
                </c:pt>
                <c:pt idx="69">
                  <c:v>45600</c:v>
                </c:pt>
                <c:pt idx="70">
                  <c:v>45601</c:v>
                </c:pt>
                <c:pt idx="71">
                  <c:v>45602</c:v>
                </c:pt>
                <c:pt idx="72">
                  <c:v>45603</c:v>
                </c:pt>
                <c:pt idx="73">
                  <c:v>45604</c:v>
                </c:pt>
                <c:pt idx="74">
                  <c:v>45607</c:v>
                </c:pt>
                <c:pt idx="75">
                  <c:v>45608</c:v>
                </c:pt>
                <c:pt idx="76">
                  <c:v>45609</c:v>
                </c:pt>
                <c:pt idx="77">
                  <c:v>45610</c:v>
                </c:pt>
                <c:pt idx="78">
                  <c:v>45611</c:v>
                </c:pt>
                <c:pt idx="79">
                  <c:v>45614</c:v>
                </c:pt>
                <c:pt idx="80">
                  <c:v>45615</c:v>
                </c:pt>
                <c:pt idx="81">
                  <c:v>45616</c:v>
                </c:pt>
                <c:pt idx="82">
                  <c:v>45617</c:v>
                </c:pt>
                <c:pt idx="83">
                  <c:v>45618</c:v>
                </c:pt>
                <c:pt idx="84">
                  <c:v>45621</c:v>
                </c:pt>
                <c:pt idx="85">
                  <c:v>45622</c:v>
                </c:pt>
                <c:pt idx="86">
                  <c:v>45623</c:v>
                </c:pt>
                <c:pt idx="87">
                  <c:v>45625</c:v>
                </c:pt>
                <c:pt idx="88">
                  <c:v>45628</c:v>
                </c:pt>
                <c:pt idx="89">
                  <c:v>45629</c:v>
                </c:pt>
                <c:pt idx="90">
                  <c:v>45630</c:v>
                </c:pt>
                <c:pt idx="91">
                  <c:v>45631</c:v>
                </c:pt>
                <c:pt idx="92">
                  <c:v>45632</c:v>
                </c:pt>
                <c:pt idx="93">
                  <c:v>45635</c:v>
                </c:pt>
                <c:pt idx="94">
                  <c:v>45636</c:v>
                </c:pt>
                <c:pt idx="95">
                  <c:v>45637</c:v>
                </c:pt>
                <c:pt idx="96">
                  <c:v>45638</c:v>
                </c:pt>
                <c:pt idx="97">
                  <c:v>45639</c:v>
                </c:pt>
                <c:pt idx="98">
                  <c:v>45642</c:v>
                </c:pt>
                <c:pt idx="99">
                  <c:v>45643</c:v>
                </c:pt>
                <c:pt idx="100">
                  <c:v>45644</c:v>
                </c:pt>
                <c:pt idx="101">
                  <c:v>45645</c:v>
                </c:pt>
                <c:pt idx="102">
                  <c:v>45646</c:v>
                </c:pt>
                <c:pt idx="103">
                  <c:v>45649</c:v>
                </c:pt>
                <c:pt idx="104">
                  <c:v>45650</c:v>
                </c:pt>
                <c:pt idx="105">
                  <c:v>45652</c:v>
                </c:pt>
                <c:pt idx="106">
                  <c:v>45653</c:v>
                </c:pt>
                <c:pt idx="107">
                  <c:v>45656</c:v>
                </c:pt>
                <c:pt idx="108">
                  <c:v>45657</c:v>
                </c:pt>
                <c:pt idx="109">
                  <c:v>45659</c:v>
                </c:pt>
                <c:pt idx="110">
                  <c:v>45660</c:v>
                </c:pt>
                <c:pt idx="111">
                  <c:v>45663</c:v>
                </c:pt>
                <c:pt idx="112">
                  <c:v>45664</c:v>
                </c:pt>
                <c:pt idx="113">
                  <c:v>45665</c:v>
                </c:pt>
                <c:pt idx="114">
                  <c:v>45667</c:v>
                </c:pt>
                <c:pt idx="115">
                  <c:v>45670</c:v>
                </c:pt>
                <c:pt idx="116">
                  <c:v>45671</c:v>
                </c:pt>
                <c:pt idx="117">
                  <c:v>45672</c:v>
                </c:pt>
                <c:pt idx="118">
                  <c:v>45673</c:v>
                </c:pt>
                <c:pt idx="119">
                  <c:v>45674</c:v>
                </c:pt>
                <c:pt idx="120">
                  <c:v>45678</c:v>
                </c:pt>
                <c:pt idx="121">
                  <c:v>45679</c:v>
                </c:pt>
                <c:pt idx="122">
                  <c:v>45680</c:v>
                </c:pt>
                <c:pt idx="123">
                  <c:v>45681</c:v>
                </c:pt>
                <c:pt idx="124">
                  <c:v>45684</c:v>
                </c:pt>
                <c:pt idx="125">
                  <c:v>45685</c:v>
                </c:pt>
                <c:pt idx="126">
                  <c:v>45686</c:v>
                </c:pt>
                <c:pt idx="127">
                  <c:v>45687</c:v>
                </c:pt>
                <c:pt idx="128">
                  <c:v>45688</c:v>
                </c:pt>
                <c:pt idx="129">
                  <c:v>45691</c:v>
                </c:pt>
                <c:pt idx="130">
                  <c:v>45692</c:v>
                </c:pt>
                <c:pt idx="131">
                  <c:v>45693</c:v>
                </c:pt>
                <c:pt idx="132">
                  <c:v>45694</c:v>
                </c:pt>
                <c:pt idx="133">
                  <c:v>45695</c:v>
                </c:pt>
                <c:pt idx="134">
                  <c:v>45698</c:v>
                </c:pt>
                <c:pt idx="135">
                  <c:v>45699</c:v>
                </c:pt>
                <c:pt idx="136">
                  <c:v>45700</c:v>
                </c:pt>
                <c:pt idx="137">
                  <c:v>45701</c:v>
                </c:pt>
                <c:pt idx="138">
                  <c:v>45702</c:v>
                </c:pt>
                <c:pt idx="139">
                  <c:v>45706</c:v>
                </c:pt>
                <c:pt idx="140">
                  <c:v>45707</c:v>
                </c:pt>
                <c:pt idx="141">
                  <c:v>45708</c:v>
                </c:pt>
                <c:pt idx="142">
                  <c:v>45709</c:v>
                </c:pt>
                <c:pt idx="143">
                  <c:v>45712</c:v>
                </c:pt>
                <c:pt idx="144">
                  <c:v>45713</c:v>
                </c:pt>
                <c:pt idx="145">
                  <c:v>45714</c:v>
                </c:pt>
                <c:pt idx="146">
                  <c:v>45715</c:v>
                </c:pt>
                <c:pt idx="147">
                  <c:v>45716</c:v>
                </c:pt>
                <c:pt idx="148">
                  <c:v>45719</c:v>
                </c:pt>
                <c:pt idx="149">
                  <c:v>45720</c:v>
                </c:pt>
                <c:pt idx="150">
                  <c:v>45721</c:v>
                </c:pt>
                <c:pt idx="151">
                  <c:v>45722</c:v>
                </c:pt>
                <c:pt idx="152">
                  <c:v>45723</c:v>
                </c:pt>
                <c:pt idx="153">
                  <c:v>45726</c:v>
                </c:pt>
                <c:pt idx="154">
                  <c:v>45727</c:v>
                </c:pt>
                <c:pt idx="155">
                  <c:v>45728</c:v>
                </c:pt>
                <c:pt idx="156">
                  <c:v>45729</c:v>
                </c:pt>
                <c:pt idx="157">
                  <c:v>45730</c:v>
                </c:pt>
                <c:pt idx="158">
                  <c:v>45733</c:v>
                </c:pt>
                <c:pt idx="159">
                  <c:v>45734</c:v>
                </c:pt>
                <c:pt idx="160">
                  <c:v>45735</c:v>
                </c:pt>
                <c:pt idx="161">
                  <c:v>45736</c:v>
                </c:pt>
                <c:pt idx="162">
                  <c:v>45737</c:v>
                </c:pt>
                <c:pt idx="163">
                  <c:v>45740</c:v>
                </c:pt>
                <c:pt idx="164">
                  <c:v>45741</c:v>
                </c:pt>
                <c:pt idx="165">
                  <c:v>45742</c:v>
                </c:pt>
                <c:pt idx="166">
                  <c:v>45743</c:v>
                </c:pt>
                <c:pt idx="167">
                  <c:v>45744</c:v>
                </c:pt>
                <c:pt idx="168">
                  <c:v>45747</c:v>
                </c:pt>
              </c:numCache>
            </c:numRef>
          </c:cat>
          <c:val>
            <c:numRef>
              <c:f>BB!$C$21:$C$189</c:f>
              <c:numCache>
                <c:formatCode>General</c:formatCode>
                <c:ptCount val="169"/>
                <c:pt idx="0">
                  <c:v>42.459499999999998</c:v>
                </c:pt>
                <c:pt idx="1">
                  <c:v>42.846999999999994</c:v>
                </c:pt>
                <c:pt idx="2">
                  <c:v>43.202500000000001</c:v>
                </c:pt>
                <c:pt idx="3">
                  <c:v>43.607999999999997</c:v>
                </c:pt>
                <c:pt idx="4">
                  <c:v>44.063499999999991</c:v>
                </c:pt>
                <c:pt idx="5">
                  <c:v>44.443499999999993</c:v>
                </c:pt>
                <c:pt idx="6">
                  <c:v>44.765999999999998</c:v>
                </c:pt>
                <c:pt idx="7">
                  <c:v>45.035000000000004</c:v>
                </c:pt>
                <c:pt idx="8">
                  <c:v>45.339999999999989</c:v>
                </c:pt>
                <c:pt idx="9">
                  <c:v>45.653000000000006</c:v>
                </c:pt>
                <c:pt idx="10">
                  <c:v>45.9985</c:v>
                </c:pt>
                <c:pt idx="11">
                  <c:v>46.391500000000008</c:v>
                </c:pt>
                <c:pt idx="12">
                  <c:v>46.654499999999999</c:v>
                </c:pt>
                <c:pt idx="13">
                  <c:v>46.990500000000011</c:v>
                </c:pt>
                <c:pt idx="14">
                  <c:v>47.326500000000003</c:v>
                </c:pt>
                <c:pt idx="15">
                  <c:v>47.658000000000001</c:v>
                </c:pt>
                <c:pt idx="16">
                  <c:v>47.957999999999998</c:v>
                </c:pt>
                <c:pt idx="17">
                  <c:v>48.146999999999991</c:v>
                </c:pt>
                <c:pt idx="18">
                  <c:v>48.264499999999991</c:v>
                </c:pt>
                <c:pt idx="19">
                  <c:v>48.147499999999994</c:v>
                </c:pt>
                <c:pt idx="20">
                  <c:v>48.110500000000002</c:v>
                </c:pt>
                <c:pt idx="21">
                  <c:v>48.064000000000007</c:v>
                </c:pt>
                <c:pt idx="22">
                  <c:v>48.138999999999996</c:v>
                </c:pt>
                <c:pt idx="23">
                  <c:v>48.216500000000011</c:v>
                </c:pt>
                <c:pt idx="24">
                  <c:v>48.275500000000008</c:v>
                </c:pt>
                <c:pt idx="25">
                  <c:v>48.422000000000004</c:v>
                </c:pt>
                <c:pt idx="26">
                  <c:v>48.554500000000004</c:v>
                </c:pt>
                <c:pt idx="27">
                  <c:v>48.719500000000004</c:v>
                </c:pt>
                <c:pt idx="28">
                  <c:v>48.812000000000012</c:v>
                </c:pt>
                <c:pt idx="29">
                  <c:v>48.90100000000001</c:v>
                </c:pt>
                <c:pt idx="30">
                  <c:v>49.012</c:v>
                </c:pt>
                <c:pt idx="31">
                  <c:v>48.988500000000002</c:v>
                </c:pt>
                <c:pt idx="32">
                  <c:v>48.980000000000004</c:v>
                </c:pt>
                <c:pt idx="33">
                  <c:v>48.981000000000009</c:v>
                </c:pt>
                <c:pt idx="34">
                  <c:v>49.012500000000003</c:v>
                </c:pt>
                <c:pt idx="35">
                  <c:v>49.021999999999998</c:v>
                </c:pt>
                <c:pt idx="36">
                  <c:v>49.06</c:v>
                </c:pt>
                <c:pt idx="37">
                  <c:v>49.088999999999999</c:v>
                </c:pt>
                <c:pt idx="38">
                  <c:v>49.1785</c:v>
                </c:pt>
                <c:pt idx="39">
                  <c:v>49.273499999999999</c:v>
                </c:pt>
                <c:pt idx="40">
                  <c:v>49.408500000000004</c:v>
                </c:pt>
                <c:pt idx="41">
                  <c:v>49.5</c:v>
                </c:pt>
                <c:pt idx="42">
                  <c:v>49.553000000000004</c:v>
                </c:pt>
                <c:pt idx="43">
                  <c:v>49.612499999999997</c:v>
                </c:pt>
                <c:pt idx="44">
                  <c:v>49.701999999999998</c:v>
                </c:pt>
                <c:pt idx="45">
                  <c:v>49.820999999999998</c:v>
                </c:pt>
                <c:pt idx="46">
                  <c:v>50.010999999999996</c:v>
                </c:pt>
                <c:pt idx="47">
                  <c:v>50.231000000000002</c:v>
                </c:pt>
                <c:pt idx="48">
                  <c:v>50.494</c:v>
                </c:pt>
                <c:pt idx="49">
                  <c:v>50.741</c:v>
                </c:pt>
                <c:pt idx="50">
                  <c:v>50.900999999999996</c:v>
                </c:pt>
                <c:pt idx="51">
                  <c:v>51.111499999999999</c:v>
                </c:pt>
                <c:pt idx="52">
                  <c:v>51.319500000000005</c:v>
                </c:pt>
                <c:pt idx="53">
                  <c:v>51.472999999999999</c:v>
                </c:pt>
                <c:pt idx="54">
                  <c:v>51.607000000000006</c:v>
                </c:pt>
                <c:pt idx="55">
                  <c:v>51.770500000000006</c:v>
                </c:pt>
                <c:pt idx="56">
                  <c:v>51.951999999999998</c:v>
                </c:pt>
                <c:pt idx="57">
                  <c:v>52.160000000000004</c:v>
                </c:pt>
                <c:pt idx="58">
                  <c:v>52.35049999999999</c:v>
                </c:pt>
                <c:pt idx="59">
                  <c:v>52.455999999999996</c:v>
                </c:pt>
                <c:pt idx="60">
                  <c:v>52.54699999999999</c:v>
                </c:pt>
                <c:pt idx="61">
                  <c:v>52.702500000000001</c:v>
                </c:pt>
                <c:pt idx="62">
                  <c:v>52.842500000000008</c:v>
                </c:pt>
                <c:pt idx="63">
                  <c:v>52.892999999999994</c:v>
                </c:pt>
                <c:pt idx="64">
                  <c:v>52.938000000000002</c:v>
                </c:pt>
                <c:pt idx="65">
                  <c:v>52.918000000000006</c:v>
                </c:pt>
                <c:pt idx="66">
                  <c:v>52.862999999999985</c:v>
                </c:pt>
                <c:pt idx="67">
                  <c:v>52.941499999999998</c:v>
                </c:pt>
                <c:pt idx="68">
                  <c:v>52.959499999999991</c:v>
                </c:pt>
                <c:pt idx="69">
                  <c:v>53.059999999999988</c:v>
                </c:pt>
                <c:pt idx="70">
                  <c:v>53.233499999999992</c:v>
                </c:pt>
                <c:pt idx="71">
                  <c:v>53.357500000000002</c:v>
                </c:pt>
                <c:pt idx="72">
                  <c:v>53.472999999999999</c:v>
                </c:pt>
                <c:pt idx="73">
                  <c:v>53.570000000000007</c:v>
                </c:pt>
                <c:pt idx="74">
                  <c:v>53.927500000000009</c:v>
                </c:pt>
                <c:pt idx="75">
                  <c:v>54.240500000000011</c:v>
                </c:pt>
                <c:pt idx="76">
                  <c:v>54.492500000000021</c:v>
                </c:pt>
                <c:pt idx="77">
                  <c:v>54.758500000000005</c:v>
                </c:pt>
                <c:pt idx="78">
                  <c:v>54.908500000000018</c:v>
                </c:pt>
                <c:pt idx="79">
                  <c:v>55.142499999999998</c:v>
                </c:pt>
                <c:pt idx="80">
                  <c:v>55.416000000000011</c:v>
                </c:pt>
                <c:pt idx="81">
                  <c:v>55.657000000000004</c:v>
                </c:pt>
                <c:pt idx="82">
                  <c:v>55.922499999999999</c:v>
                </c:pt>
                <c:pt idx="83">
                  <c:v>56.269999999999996</c:v>
                </c:pt>
                <c:pt idx="84">
                  <c:v>56.576999999999984</c:v>
                </c:pt>
                <c:pt idx="85">
                  <c:v>56.888999999999996</c:v>
                </c:pt>
                <c:pt idx="86">
                  <c:v>57.219499999999996</c:v>
                </c:pt>
                <c:pt idx="87">
                  <c:v>57.391999999999996</c:v>
                </c:pt>
                <c:pt idx="88">
                  <c:v>57.673000000000002</c:v>
                </c:pt>
                <c:pt idx="89">
                  <c:v>57.835000000000001</c:v>
                </c:pt>
                <c:pt idx="90">
                  <c:v>57.955999999999996</c:v>
                </c:pt>
                <c:pt idx="91">
                  <c:v>58.133999999999993</c:v>
                </c:pt>
                <c:pt idx="92">
                  <c:v>58.367500000000007</c:v>
                </c:pt>
                <c:pt idx="93">
                  <c:v>58.596000000000018</c:v>
                </c:pt>
                <c:pt idx="94">
                  <c:v>58.511000000000003</c:v>
                </c:pt>
                <c:pt idx="95">
                  <c:v>58.392500000000005</c:v>
                </c:pt>
                <c:pt idx="96">
                  <c:v>58.286000000000016</c:v>
                </c:pt>
                <c:pt idx="97">
                  <c:v>58.150000000000013</c:v>
                </c:pt>
                <c:pt idx="98">
                  <c:v>58.132500000000007</c:v>
                </c:pt>
                <c:pt idx="99">
                  <c:v>58.175000000000011</c:v>
                </c:pt>
                <c:pt idx="100">
                  <c:v>58.105499999999992</c:v>
                </c:pt>
                <c:pt idx="101">
                  <c:v>58.026499999999999</c:v>
                </c:pt>
                <c:pt idx="102">
                  <c:v>57.981499999999997</c:v>
                </c:pt>
                <c:pt idx="103">
                  <c:v>57.916999999999994</c:v>
                </c:pt>
                <c:pt idx="104">
                  <c:v>57.866</c:v>
                </c:pt>
                <c:pt idx="105">
                  <c:v>57.828999999999994</c:v>
                </c:pt>
                <c:pt idx="106">
                  <c:v>57.749499999999998</c:v>
                </c:pt>
                <c:pt idx="107">
                  <c:v>57.591500000000011</c:v>
                </c:pt>
                <c:pt idx="108">
                  <c:v>57.422499999999992</c:v>
                </c:pt>
                <c:pt idx="109">
                  <c:v>57.327500000000001</c:v>
                </c:pt>
                <c:pt idx="110">
                  <c:v>57.23749999999999</c:v>
                </c:pt>
                <c:pt idx="111">
                  <c:v>57.129499999999993</c:v>
                </c:pt>
                <c:pt idx="112">
                  <c:v>57.017499999999998</c:v>
                </c:pt>
                <c:pt idx="113">
                  <c:v>56.922499999999992</c:v>
                </c:pt>
                <c:pt idx="114">
                  <c:v>56.807999999999993</c:v>
                </c:pt>
                <c:pt idx="115">
                  <c:v>56.743499999999983</c:v>
                </c:pt>
                <c:pt idx="116">
                  <c:v>56.716499999999996</c:v>
                </c:pt>
                <c:pt idx="117">
                  <c:v>56.722999999999999</c:v>
                </c:pt>
                <c:pt idx="118">
                  <c:v>56.748500000000014</c:v>
                </c:pt>
                <c:pt idx="119">
                  <c:v>56.680499999999995</c:v>
                </c:pt>
                <c:pt idx="120">
                  <c:v>56.6905</c:v>
                </c:pt>
                <c:pt idx="121">
                  <c:v>56.73</c:v>
                </c:pt>
                <c:pt idx="122">
                  <c:v>56.820500000000003</c:v>
                </c:pt>
                <c:pt idx="123">
                  <c:v>56.924999999999997</c:v>
                </c:pt>
                <c:pt idx="124">
                  <c:v>57.066999999999993</c:v>
                </c:pt>
                <c:pt idx="125">
                  <c:v>57.104999999999997</c:v>
                </c:pt>
                <c:pt idx="126">
                  <c:v>57.17349999999999</c:v>
                </c:pt>
                <c:pt idx="127">
                  <c:v>57.327500000000001</c:v>
                </c:pt>
                <c:pt idx="128">
                  <c:v>57.447000000000003</c:v>
                </c:pt>
                <c:pt idx="129">
                  <c:v>57.604999999999997</c:v>
                </c:pt>
                <c:pt idx="130">
                  <c:v>57.732499999999995</c:v>
                </c:pt>
                <c:pt idx="131">
                  <c:v>57.883999999999993</c:v>
                </c:pt>
                <c:pt idx="132">
                  <c:v>57.898000000000003</c:v>
                </c:pt>
                <c:pt idx="133">
                  <c:v>57.9</c:v>
                </c:pt>
                <c:pt idx="134">
                  <c:v>57.885000000000005</c:v>
                </c:pt>
                <c:pt idx="135">
                  <c:v>57.914000000000001</c:v>
                </c:pt>
                <c:pt idx="136">
                  <c:v>57.934500000000014</c:v>
                </c:pt>
                <c:pt idx="137">
                  <c:v>57.937500000000014</c:v>
                </c:pt>
                <c:pt idx="138">
                  <c:v>57.813500000000019</c:v>
                </c:pt>
                <c:pt idx="139">
                  <c:v>57.720500000000001</c:v>
                </c:pt>
                <c:pt idx="140">
                  <c:v>57.617500000000007</c:v>
                </c:pt>
                <c:pt idx="141">
                  <c:v>57.552499999999995</c:v>
                </c:pt>
                <c:pt idx="142">
                  <c:v>57.386999999999979</c:v>
                </c:pt>
                <c:pt idx="143">
                  <c:v>57.297499999999999</c:v>
                </c:pt>
                <c:pt idx="144">
                  <c:v>57.177999999999997</c:v>
                </c:pt>
                <c:pt idx="145">
                  <c:v>57.109000000000016</c:v>
                </c:pt>
                <c:pt idx="146">
                  <c:v>57.096500000000006</c:v>
                </c:pt>
                <c:pt idx="147">
                  <c:v>57.120500000000007</c:v>
                </c:pt>
                <c:pt idx="148">
                  <c:v>57.166499999999985</c:v>
                </c:pt>
                <c:pt idx="149">
                  <c:v>57.140999999999998</c:v>
                </c:pt>
                <c:pt idx="150">
                  <c:v>57.175999999999988</c:v>
                </c:pt>
                <c:pt idx="151">
                  <c:v>57.1995</c:v>
                </c:pt>
                <c:pt idx="152">
                  <c:v>57.382999999999996</c:v>
                </c:pt>
                <c:pt idx="153">
                  <c:v>57.695999999999991</c:v>
                </c:pt>
                <c:pt idx="154">
                  <c:v>57.99499999999999</c:v>
                </c:pt>
                <c:pt idx="155">
                  <c:v>58.188499999999998</c:v>
                </c:pt>
                <c:pt idx="156">
                  <c:v>58.394999999999996</c:v>
                </c:pt>
                <c:pt idx="157">
                  <c:v>58.54699999999999</c:v>
                </c:pt>
                <c:pt idx="158">
                  <c:v>58.851500000000001</c:v>
                </c:pt>
                <c:pt idx="159">
                  <c:v>59.125</c:v>
                </c:pt>
                <c:pt idx="160">
                  <c:v>59.38000000000001</c:v>
                </c:pt>
                <c:pt idx="161">
                  <c:v>59.611499999999999</c:v>
                </c:pt>
                <c:pt idx="162">
                  <c:v>59.869500000000002</c:v>
                </c:pt>
                <c:pt idx="163">
                  <c:v>60.027999999999999</c:v>
                </c:pt>
                <c:pt idx="164">
                  <c:v>60.076999999999998</c:v>
                </c:pt>
                <c:pt idx="165">
                  <c:v>60.168500000000009</c:v>
                </c:pt>
                <c:pt idx="166">
                  <c:v>60.173500000000011</c:v>
                </c:pt>
                <c:pt idx="167">
                  <c:v>60.193500000000007</c:v>
                </c:pt>
                <c:pt idx="168">
                  <c:v>60.249499999999998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06-493F-9E80-C7410E30E2AE}"/>
            </c:ext>
          </c:extLst>
        </c:ser>
        <c:ser>
          <c:idx val="2"/>
          <c:order val="2"/>
          <c:tx>
            <c:strRef>
              <c:f>BB!$E$1</c:f>
              <c:strCache>
                <c:ptCount val="1"/>
                <c:pt idx="0">
                  <c:v>Upper Band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BB!$A$21:$A$189</c:f>
              <c:numCache>
                <c:formatCode>m/d/yyyy</c:formatCode>
                <c:ptCount val="169"/>
                <c:pt idx="0">
                  <c:v>45502</c:v>
                </c:pt>
                <c:pt idx="1">
                  <c:v>45503</c:v>
                </c:pt>
                <c:pt idx="2">
                  <c:v>45504</c:v>
                </c:pt>
                <c:pt idx="3">
                  <c:v>45505</c:v>
                </c:pt>
                <c:pt idx="4">
                  <c:v>45506</c:v>
                </c:pt>
                <c:pt idx="5">
                  <c:v>45509</c:v>
                </c:pt>
                <c:pt idx="6">
                  <c:v>45510</c:v>
                </c:pt>
                <c:pt idx="7">
                  <c:v>45511</c:v>
                </c:pt>
                <c:pt idx="8">
                  <c:v>45512</c:v>
                </c:pt>
                <c:pt idx="9">
                  <c:v>45513</c:v>
                </c:pt>
                <c:pt idx="10">
                  <c:v>45516</c:v>
                </c:pt>
                <c:pt idx="11">
                  <c:v>45517</c:v>
                </c:pt>
                <c:pt idx="12">
                  <c:v>45518</c:v>
                </c:pt>
                <c:pt idx="13">
                  <c:v>45519</c:v>
                </c:pt>
                <c:pt idx="14">
                  <c:v>45520</c:v>
                </c:pt>
                <c:pt idx="15">
                  <c:v>45523</c:v>
                </c:pt>
                <c:pt idx="16">
                  <c:v>45524</c:v>
                </c:pt>
                <c:pt idx="17">
                  <c:v>45525</c:v>
                </c:pt>
                <c:pt idx="18">
                  <c:v>45526</c:v>
                </c:pt>
                <c:pt idx="19">
                  <c:v>45527</c:v>
                </c:pt>
                <c:pt idx="20">
                  <c:v>45530</c:v>
                </c:pt>
                <c:pt idx="21">
                  <c:v>45531</c:v>
                </c:pt>
                <c:pt idx="22">
                  <c:v>45532</c:v>
                </c:pt>
                <c:pt idx="23">
                  <c:v>45533</c:v>
                </c:pt>
                <c:pt idx="24">
                  <c:v>45534</c:v>
                </c:pt>
                <c:pt idx="25">
                  <c:v>45538</c:v>
                </c:pt>
                <c:pt idx="26">
                  <c:v>45539</c:v>
                </c:pt>
                <c:pt idx="27">
                  <c:v>45540</c:v>
                </c:pt>
                <c:pt idx="28">
                  <c:v>45541</c:v>
                </c:pt>
                <c:pt idx="29">
                  <c:v>45544</c:v>
                </c:pt>
                <c:pt idx="30">
                  <c:v>45545</c:v>
                </c:pt>
                <c:pt idx="31">
                  <c:v>45546</c:v>
                </c:pt>
                <c:pt idx="32">
                  <c:v>45547</c:v>
                </c:pt>
                <c:pt idx="33">
                  <c:v>45548</c:v>
                </c:pt>
                <c:pt idx="34">
                  <c:v>45551</c:v>
                </c:pt>
                <c:pt idx="35">
                  <c:v>45552</c:v>
                </c:pt>
                <c:pt idx="36">
                  <c:v>45553</c:v>
                </c:pt>
                <c:pt idx="37">
                  <c:v>45554</c:v>
                </c:pt>
                <c:pt idx="38">
                  <c:v>45555</c:v>
                </c:pt>
                <c:pt idx="39">
                  <c:v>45558</c:v>
                </c:pt>
                <c:pt idx="40">
                  <c:v>45559</c:v>
                </c:pt>
                <c:pt idx="41">
                  <c:v>45560</c:v>
                </c:pt>
                <c:pt idx="42">
                  <c:v>45561</c:v>
                </c:pt>
                <c:pt idx="43">
                  <c:v>45562</c:v>
                </c:pt>
                <c:pt idx="44">
                  <c:v>45565</c:v>
                </c:pt>
                <c:pt idx="45">
                  <c:v>45566</c:v>
                </c:pt>
                <c:pt idx="46">
                  <c:v>45567</c:v>
                </c:pt>
                <c:pt idx="47">
                  <c:v>45568</c:v>
                </c:pt>
                <c:pt idx="48">
                  <c:v>45569</c:v>
                </c:pt>
                <c:pt idx="49">
                  <c:v>45572</c:v>
                </c:pt>
                <c:pt idx="50">
                  <c:v>45573</c:v>
                </c:pt>
                <c:pt idx="51">
                  <c:v>45574</c:v>
                </c:pt>
                <c:pt idx="52">
                  <c:v>45575</c:v>
                </c:pt>
                <c:pt idx="53">
                  <c:v>45576</c:v>
                </c:pt>
                <c:pt idx="54">
                  <c:v>45579</c:v>
                </c:pt>
                <c:pt idx="55">
                  <c:v>45580</c:v>
                </c:pt>
                <c:pt idx="56">
                  <c:v>45581</c:v>
                </c:pt>
                <c:pt idx="57">
                  <c:v>45582</c:v>
                </c:pt>
                <c:pt idx="58">
                  <c:v>45583</c:v>
                </c:pt>
                <c:pt idx="59">
                  <c:v>45586</c:v>
                </c:pt>
                <c:pt idx="60">
                  <c:v>45587</c:v>
                </c:pt>
                <c:pt idx="61">
                  <c:v>45588</c:v>
                </c:pt>
                <c:pt idx="62">
                  <c:v>45589</c:v>
                </c:pt>
                <c:pt idx="63">
                  <c:v>45590</c:v>
                </c:pt>
                <c:pt idx="64">
                  <c:v>45593</c:v>
                </c:pt>
                <c:pt idx="65">
                  <c:v>45594</c:v>
                </c:pt>
                <c:pt idx="66">
                  <c:v>45595</c:v>
                </c:pt>
                <c:pt idx="67">
                  <c:v>45596</c:v>
                </c:pt>
                <c:pt idx="68">
                  <c:v>45597</c:v>
                </c:pt>
                <c:pt idx="69">
                  <c:v>45600</c:v>
                </c:pt>
                <c:pt idx="70">
                  <c:v>45601</c:v>
                </c:pt>
                <c:pt idx="71">
                  <c:v>45602</c:v>
                </c:pt>
                <c:pt idx="72">
                  <c:v>45603</c:v>
                </c:pt>
                <c:pt idx="73">
                  <c:v>45604</c:v>
                </c:pt>
                <c:pt idx="74">
                  <c:v>45607</c:v>
                </c:pt>
                <c:pt idx="75">
                  <c:v>45608</c:v>
                </c:pt>
                <c:pt idx="76">
                  <c:v>45609</c:v>
                </c:pt>
                <c:pt idx="77">
                  <c:v>45610</c:v>
                </c:pt>
                <c:pt idx="78">
                  <c:v>45611</c:v>
                </c:pt>
                <c:pt idx="79">
                  <c:v>45614</c:v>
                </c:pt>
                <c:pt idx="80">
                  <c:v>45615</c:v>
                </c:pt>
                <c:pt idx="81">
                  <c:v>45616</c:v>
                </c:pt>
                <c:pt idx="82">
                  <c:v>45617</c:v>
                </c:pt>
                <c:pt idx="83">
                  <c:v>45618</c:v>
                </c:pt>
                <c:pt idx="84">
                  <c:v>45621</c:v>
                </c:pt>
                <c:pt idx="85">
                  <c:v>45622</c:v>
                </c:pt>
                <c:pt idx="86">
                  <c:v>45623</c:v>
                </c:pt>
                <c:pt idx="87">
                  <c:v>45625</c:v>
                </c:pt>
                <c:pt idx="88">
                  <c:v>45628</c:v>
                </c:pt>
                <c:pt idx="89">
                  <c:v>45629</c:v>
                </c:pt>
                <c:pt idx="90">
                  <c:v>45630</c:v>
                </c:pt>
                <c:pt idx="91">
                  <c:v>45631</c:v>
                </c:pt>
                <c:pt idx="92">
                  <c:v>45632</c:v>
                </c:pt>
                <c:pt idx="93">
                  <c:v>45635</c:v>
                </c:pt>
                <c:pt idx="94">
                  <c:v>45636</c:v>
                </c:pt>
                <c:pt idx="95">
                  <c:v>45637</c:v>
                </c:pt>
                <c:pt idx="96">
                  <c:v>45638</c:v>
                </c:pt>
                <c:pt idx="97">
                  <c:v>45639</c:v>
                </c:pt>
                <c:pt idx="98">
                  <c:v>45642</c:v>
                </c:pt>
                <c:pt idx="99">
                  <c:v>45643</c:v>
                </c:pt>
                <c:pt idx="100">
                  <c:v>45644</c:v>
                </c:pt>
                <c:pt idx="101">
                  <c:v>45645</c:v>
                </c:pt>
                <c:pt idx="102">
                  <c:v>45646</c:v>
                </c:pt>
                <c:pt idx="103">
                  <c:v>45649</c:v>
                </c:pt>
                <c:pt idx="104">
                  <c:v>45650</c:v>
                </c:pt>
                <c:pt idx="105">
                  <c:v>45652</c:v>
                </c:pt>
                <c:pt idx="106">
                  <c:v>45653</c:v>
                </c:pt>
                <c:pt idx="107">
                  <c:v>45656</c:v>
                </c:pt>
                <c:pt idx="108">
                  <c:v>45657</c:v>
                </c:pt>
                <c:pt idx="109">
                  <c:v>45659</c:v>
                </c:pt>
                <c:pt idx="110">
                  <c:v>45660</c:v>
                </c:pt>
                <c:pt idx="111">
                  <c:v>45663</c:v>
                </c:pt>
                <c:pt idx="112">
                  <c:v>45664</c:v>
                </c:pt>
                <c:pt idx="113">
                  <c:v>45665</c:v>
                </c:pt>
                <c:pt idx="114">
                  <c:v>45667</c:v>
                </c:pt>
                <c:pt idx="115">
                  <c:v>45670</c:v>
                </c:pt>
                <c:pt idx="116">
                  <c:v>45671</c:v>
                </c:pt>
                <c:pt idx="117">
                  <c:v>45672</c:v>
                </c:pt>
                <c:pt idx="118">
                  <c:v>45673</c:v>
                </c:pt>
                <c:pt idx="119">
                  <c:v>45674</c:v>
                </c:pt>
                <c:pt idx="120">
                  <c:v>45678</c:v>
                </c:pt>
                <c:pt idx="121">
                  <c:v>45679</c:v>
                </c:pt>
                <c:pt idx="122">
                  <c:v>45680</c:v>
                </c:pt>
                <c:pt idx="123">
                  <c:v>45681</c:v>
                </c:pt>
                <c:pt idx="124">
                  <c:v>45684</c:v>
                </c:pt>
                <c:pt idx="125">
                  <c:v>45685</c:v>
                </c:pt>
                <c:pt idx="126">
                  <c:v>45686</c:v>
                </c:pt>
                <c:pt idx="127">
                  <c:v>45687</c:v>
                </c:pt>
                <c:pt idx="128">
                  <c:v>45688</c:v>
                </c:pt>
                <c:pt idx="129">
                  <c:v>45691</c:v>
                </c:pt>
                <c:pt idx="130">
                  <c:v>45692</c:v>
                </c:pt>
                <c:pt idx="131">
                  <c:v>45693</c:v>
                </c:pt>
                <c:pt idx="132">
                  <c:v>45694</c:v>
                </c:pt>
                <c:pt idx="133">
                  <c:v>45695</c:v>
                </c:pt>
                <c:pt idx="134">
                  <c:v>45698</c:v>
                </c:pt>
                <c:pt idx="135">
                  <c:v>45699</c:v>
                </c:pt>
                <c:pt idx="136">
                  <c:v>45700</c:v>
                </c:pt>
                <c:pt idx="137">
                  <c:v>45701</c:v>
                </c:pt>
                <c:pt idx="138">
                  <c:v>45702</c:v>
                </c:pt>
                <c:pt idx="139">
                  <c:v>45706</c:v>
                </c:pt>
                <c:pt idx="140">
                  <c:v>45707</c:v>
                </c:pt>
                <c:pt idx="141">
                  <c:v>45708</c:v>
                </c:pt>
                <c:pt idx="142">
                  <c:v>45709</c:v>
                </c:pt>
                <c:pt idx="143">
                  <c:v>45712</c:v>
                </c:pt>
                <c:pt idx="144">
                  <c:v>45713</c:v>
                </c:pt>
                <c:pt idx="145">
                  <c:v>45714</c:v>
                </c:pt>
                <c:pt idx="146">
                  <c:v>45715</c:v>
                </c:pt>
                <c:pt idx="147">
                  <c:v>45716</c:v>
                </c:pt>
                <c:pt idx="148">
                  <c:v>45719</c:v>
                </c:pt>
                <c:pt idx="149">
                  <c:v>45720</c:v>
                </c:pt>
                <c:pt idx="150">
                  <c:v>45721</c:v>
                </c:pt>
                <c:pt idx="151">
                  <c:v>45722</c:v>
                </c:pt>
                <c:pt idx="152">
                  <c:v>45723</c:v>
                </c:pt>
                <c:pt idx="153">
                  <c:v>45726</c:v>
                </c:pt>
                <c:pt idx="154">
                  <c:v>45727</c:v>
                </c:pt>
                <c:pt idx="155">
                  <c:v>45728</c:v>
                </c:pt>
                <c:pt idx="156">
                  <c:v>45729</c:v>
                </c:pt>
                <c:pt idx="157">
                  <c:v>45730</c:v>
                </c:pt>
                <c:pt idx="158">
                  <c:v>45733</c:v>
                </c:pt>
                <c:pt idx="159">
                  <c:v>45734</c:v>
                </c:pt>
                <c:pt idx="160">
                  <c:v>45735</c:v>
                </c:pt>
                <c:pt idx="161">
                  <c:v>45736</c:v>
                </c:pt>
                <c:pt idx="162">
                  <c:v>45737</c:v>
                </c:pt>
                <c:pt idx="163">
                  <c:v>45740</c:v>
                </c:pt>
                <c:pt idx="164">
                  <c:v>45741</c:v>
                </c:pt>
                <c:pt idx="165">
                  <c:v>45742</c:v>
                </c:pt>
                <c:pt idx="166">
                  <c:v>45743</c:v>
                </c:pt>
                <c:pt idx="167">
                  <c:v>45744</c:v>
                </c:pt>
                <c:pt idx="168">
                  <c:v>45747</c:v>
                </c:pt>
              </c:numCache>
            </c:numRef>
          </c:cat>
          <c:val>
            <c:numRef>
              <c:f>BB!$E$21:$E$189</c:f>
              <c:numCache>
                <c:formatCode>General</c:formatCode>
                <c:ptCount val="169"/>
                <c:pt idx="0">
                  <c:v>48.321141498132718</c:v>
                </c:pt>
                <c:pt idx="1">
                  <c:v>49.372925947609588</c:v>
                </c:pt>
                <c:pt idx="2">
                  <c:v>49.94951922489129</c:v>
                </c:pt>
                <c:pt idx="3">
                  <c:v>50.532296202123128</c:v>
                </c:pt>
                <c:pt idx="4">
                  <c:v>51.092056114354605</c:v>
                </c:pt>
                <c:pt idx="5">
                  <c:v>51.365739598037003</c:v>
                </c:pt>
                <c:pt idx="6">
                  <c:v>51.585521205604117</c:v>
                </c:pt>
                <c:pt idx="7">
                  <c:v>51.670932489108068</c:v>
                </c:pt>
                <c:pt idx="8">
                  <c:v>51.701754144060708</c:v>
                </c:pt>
                <c:pt idx="9">
                  <c:v>51.606720110812638</c:v>
                </c:pt>
                <c:pt idx="10">
                  <c:v>51.382324799683232</c:v>
                </c:pt>
                <c:pt idx="11">
                  <c:v>51.437387434337005</c:v>
                </c:pt>
                <c:pt idx="12">
                  <c:v>51.534605585570439</c:v>
                </c:pt>
                <c:pt idx="13">
                  <c:v>51.549098468827907</c:v>
                </c:pt>
                <c:pt idx="14">
                  <c:v>51.510143715332617</c:v>
                </c:pt>
                <c:pt idx="15">
                  <c:v>51.304267594187387</c:v>
                </c:pt>
                <c:pt idx="16">
                  <c:v>50.903702311039446</c:v>
                </c:pt>
                <c:pt idx="17">
                  <c:v>50.654152715101745</c:v>
                </c:pt>
                <c:pt idx="18">
                  <c:v>50.396071942808497</c:v>
                </c:pt>
                <c:pt idx="19">
                  <c:v>50.014429649394813</c:v>
                </c:pt>
                <c:pt idx="20">
                  <c:v>49.936850689792422</c:v>
                </c:pt>
                <c:pt idx="21">
                  <c:v>49.836187467807129</c:v>
                </c:pt>
                <c:pt idx="22">
                  <c:v>49.947958991126924</c:v>
                </c:pt>
                <c:pt idx="23">
                  <c:v>50.158937697978075</c:v>
                </c:pt>
                <c:pt idx="24">
                  <c:v>50.355535171767414</c:v>
                </c:pt>
                <c:pt idx="25">
                  <c:v>50.701876266263966</c:v>
                </c:pt>
                <c:pt idx="26">
                  <c:v>50.870008128842755</c:v>
                </c:pt>
                <c:pt idx="27">
                  <c:v>50.883963954545408</c:v>
                </c:pt>
                <c:pt idx="28">
                  <c:v>50.790171404419546</c:v>
                </c:pt>
                <c:pt idx="29">
                  <c:v>50.626961516921732</c:v>
                </c:pt>
                <c:pt idx="30">
                  <c:v>50.509922772234589</c:v>
                </c:pt>
                <c:pt idx="31">
                  <c:v>50.497954763883484</c:v>
                </c:pt>
                <c:pt idx="32">
                  <c:v>50.505005608272697</c:v>
                </c:pt>
                <c:pt idx="33">
                  <c:v>50.50639071785077</c:v>
                </c:pt>
                <c:pt idx="34">
                  <c:v>50.595766111223057</c:v>
                </c:pt>
                <c:pt idx="35">
                  <c:v>50.614781083183551</c:v>
                </c:pt>
                <c:pt idx="36">
                  <c:v>50.684509642614465</c:v>
                </c:pt>
                <c:pt idx="37">
                  <c:v>50.687405784721633</c:v>
                </c:pt>
                <c:pt idx="38">
                  <c:v>50.623684745064942</c:v>
                </c:pt>
                <c:pt idx="39">
                  <c:v>50.671984518101084</c:v>
                </c:pt>
                <c:pt idx="40">
                  <c:v>50.904772913468314</c:v>
                </c:pt>
                <c:pt idx="41">
                  <c:v>50.88412046935381</c:v>
                </c:pt>
                <c:pt idx="42">
                  <c:v>50.94732081183485</c:v>
                </c:pt>
                <c:pt idx="43">
                  <c:v>51.132706010970047</c:v>
                </c:pt>
                <c:pt idx="44">
                  <c:v>51.492590611178919</c:v>
                </c:pt>
                <c:pt idx="45">
                  <c:v>52.092302895279545</c:v>
                </c:pt>
                <c:pt idx="46">
                  <c:v>52.886624600344284</c:v>
                </c:pt>
                <c:pt idx="47">
                  <c:v>53.658872748359741</c:v>
                </c:pt>
                <c:pt idx="48">
                  <c:v>54.221340804606442</c:v>
                </c:pt>
                <c:pt idx="49">
                  <c:v>54.565430607774729</c:v>
                </c:pt>
                <c:pt idx="50">
                  <c:v>54.735809540319607</c:v>
                </c:pt>
                <c:pt idx="51">
                  <c:v>54.873684555757322</c:v>
                </c:pt>
                <c:pt idx="52">
                  <c:v>54.867103935645936</c:v>
                </c:pt>
                <c:pt idx="53">
                  <c:v>54.884782062515903</c:v>
                </c:pt>
                <c:pt idx="54">
                  <c:v>54.983875541244103</c:v>
                </c:pt>
                <c:pt idx="55">
                  <c:v>55.030422343279142</c:v>
                </c:pt>
                <c:pt idx="56">
                  <c:v>55.139320934082747</c:v>
                </c:pt>
                <c:pt idx="57">
                  <c:v>55.072817409855602</c:v>
                </c:pt>
                <c:pt idx="58">
                  <c:v>54.991739541539054</c:v>
                </c:pt>
                <c:pt idx="59">
                  <c:v>54.86166349311479</c:v>
                </c:pt>
                <c:pt idx="60">
                  <c:v>54.846556936730011</c:v>
                </c:pt>
                <c:pt idx="61">
                  <c:v>54.657411493487217</c:v>
                </c:pt>
                <c:pt idx="62">
                  <c:v>54.373854749370985</c:v>
                </c:pt>
                <c:pt idx="63">
                  <c:v>54.207247433244383</c:v>
                </c:pt>
                <c:pt idx="64">
                  <c:v>54.143122400422463</c:v>
                </c:pt>
                <c:pt idx="65">
                  <c:v>54.138950449445026</c:v>
                </c:pt>
                <c:pt idx="66">
                  <c:v>54.021767039845173</c:v>
                </c:pt>
                <c:pt idx="67">
                  <c:v>54.590605339586475</c:v>
                </c:pt>
                <c:pt idx="68">
                  <c:v>54.662395058113489</c:v>
                </c:pt>
                <c:pt idx="69">
                  <c:v>55.088429519551873</c:v>
                </c:pt>
                <c:pt idx="70">
                  <c:v>55.615787931689546</c:v>
                </c:pt>
                <c:pt idx="71">
                  <c:v>55.89771859813596</c:v>
                </c:pt>
                <c:pt idx="72">
                  <c:v>56.039833806360221</c:v>
                </c:pt>
                <c:pt idx="73">
                  <c:v>56.080282013932646</c:v>
                </c:pt>
                <c:pt idx="74">
                  <c:v>57.644560949898889</c:v>
                </c:pt>
                <c:pt idx="75">
                  <c:v>58.550578641363401</c:v>
                </c:pt>
                <c:pt idx="76">
                  <c:v>59.16259692224456</c:v>
                </c:pt>
                <c:pt idx="77">
                  <c:v>59.711305797036459</c:v>
                </c:pt>
                <c:pt idx="78">
                  <c:v>59.846811132574118</c:v>
                </c:pt>
                <c:pt idx="79">
                  <c:v>59.966666685607606</c:v>
                </c:pt>
                <c:pt idx="80">
                  <c:v>60.291396448117411</c:v>
                </c:pt>
                <c:pt idx="81">
                  <c:v>60.518535819709221</c:v>
                </c:pt>
                <c:pt idx="82">
                  <c:v>60.734401363997613</c:v>
                </c:pt>
                <c:pt idx="83">
                  <c:v>60.863725698109718</c:v>
                </c:pt>
                <c:pt idx="84">
                  <c:v>60.9653630805023</c:v>
                </c:pt>
                <c:pt idx="85">
                  <c:v>60.930468727292613</c:v>
                </c:pt>
                <c:pt idx="86">
                  <c:v>60.866679010803018</c:v>
                </c:pt>
                <c:pt idx="87">
                  <c:v>61.076674376815113</c:v>
                </c:pt>
                <c:pt idx="88">
                  <c:v>61.226080798109543</c:v>
                </c:pt>
                <c:pt idx="89">
                  <c:v>61.254248917217744</c:v>
                </c:pt>
                <c:pt idx="90">
                  <c:v>61.263843310742061</c:v>
                </c:pt>
                <c:pt idx="91">
                  <c:v>61.210583203901088</c:v>
                </c:pt>
                <c:pt idx="92">
                  <c:v>61.031046310348003</c:v>
                </c:pt>
                <c:pt idx="93">
                  <c:v>60.367117993632405</c:v>
                </c:pt>
                <c:pt idx="94">
                  <c:v>60.195853890276233</c:v>
                </c:pt>
                <c:pt idx="95">
                  <c:v>60.251043572404569</c:v>
                </c:pt>
                <c:pt idx="96">
                  <c:v>60.370674908393219</c:v>
                </c:pt>
                <c:pt idx="97">
                  <c:v>60.512300395355084</c:v>
                </c:pt>
                <c:pt idx="98">
                  <c:v>60.559305350770096</c:v>
                </c:pt>
                <c:pt idx="99">
                  <c:v>60.532326764299825</c:v>
                </c:pt>
                <c:pt idx="100">
                  <c:v>60.53680006375189</c:v>
                </c:pt>
                <c:pt idx="101">
                  <c:v>60.587850589455741</c:v>
                </c:pt>
                <c:pt idx="102">
                  <c:v>60.559367539776154</c:v>
                </c:pt>
                <c:pt idx="103">
                  <c:v>60.465651655907074</c:v>
                </c:pt>
                <c:pt idx="104">
                  <c:v>60.382559054281103</c:v>
                </c:pt>
                <c:pt idx="105">
                  <c:v>60.313002712092761</c:v>
                </c:pt>
                <c:pt idx="106">
                  <c:v>60.13930708316316</c:v>
                </c:pt>
                <c:pt idx="107">
                  <c:v>59.989782499491767</c:v>
                </c:pt>
                <c:pt idx="108">
                  <c:v>59.589145478978715</c:v>
                </c:pt>
                <c:pt idx="109">
                  <c:v>59.425678407947942</c:v>
                </c:pt>
                <c:pt idx="110">
                  <c:v>59.301536668380919</c:v>
                </c:pt>
                <c:pt idx="111">
                  <c:v>59.062356898343396</c:v>
                </c:pt>
                <c:pt idx="112">
                  <c:v>58.635177021957233</c:v>
                </c:pt>
                <c:pt idx="113">
                  <c:v>58.331357319734117</c:v>
                </c:pt>
                <c:pt idx="114">
                  <c:v>58.178786942637416</c:v>
                </c:pt>
                <c:pt idx="115">
                  <c:v>58.2593152227345</c:v>
                </c:pt>
                <c:pt idx="116">
                  <c:v>58.285385289825733</c:v>
                </c:pt>
                <c:pt idx="117">
                  <c:v>58.276550771619647</c:v>
                </c:pt>
                <c:pt idx="118">
                  <c:v>58.259251294450628</c:v>
                </c:pt>
                <c:pt idx="119">
                  <c:v>58.142027319369411</c:v>
                </c:pt>
                <c:pt idx="120">
                  <c:v>58.159340932235523</c:v>
                </c:pt>
                <c:pt idx="121">
                  <c:v>58.197113169674232</c:v>
                </c:pt>
                <c:pt idx="122">
                  <c:v>58.627404593642488</c:v>
                </c:pt>
                <c:pt idx="123">
                  <c:v>59.117460766017558</c:v>
                </c:pt>
                <c:pt idx="124">
                  <c:v>59.790690221198545</c:v>
                </c:pt>
                <c:pt idx="125">
                  <c:v>59.903672617698007</c:v>
                </c:pt>
                <c:pt idx="126">
                  <c:v>60.095764983121633</c:v>
                </c:pt>
                <c:pt idx="127">
                  <c:v>60.32631292303612</c:v>
                </c:pt>
                <c:pt idx="128">
                  <c:v>60.50689404701329</c:v>
                </c:pt>
                <c:pt idx="129">
                  <c:v>60.843196379077966</c:v>
                </c:pt>
                <c:pt idx="130">
                  <c:v>60.999785208178025</c:v>
                </c:pt>
                <c:pt idx="131">
                  <c:v>61.225940186557246</c:v>
                </c:pt>
                <c:pt idx="132">
                  <c:v>61.229145527639979</c:v>
                </c:pt>
                <c:pt idx="133">
                  <c:v>61.22844202530095</c:v>
                </c:pt>
                <c:pt idx="134">
                  <c:v>61.255163200796076</c:v>
                </c:pt>
                <c:pt idx="135">
                  <c:v>61.201650897077222</c:v>
                </c:pt>
                <c:pt idx="136">
                  <c:v>61.16976928839334</c:v>
                </c:pt>
                <c:pt idx="137">
                  <c:v>61.164966824812183</c:v>
                </c:pt>
                <c:pt idx="138">
                  <c:v>61.456710122954775</c:v>
                </c:pt>
                <c:pt idx="139">
                  <c:v>61.613832897740906</c:v>
                </c:pt>
                <c:pt idx="140">
                  <c:v>61.691442226291137</c:v>
                </c:pt>
                <c:pt idx="141">
                  <c:v>61.702649648538369</c:v>
                </c:pt>
                <c:pt idx="142">
                  <c:v>61.534588265613223</c:v>
                </c:pt>
                <c:pt idx="143">
                  <c:v>61.312801653477742</c:v>
                </c:pt>
                <c:pt idx="144">
                  <c:v>60.911859862619941</c:v>
                </c:pt>
                <c:pt idx="145">
                  <c:v>60.770060530847097</c:v>
                </c:pt>
                <c:pt idx="146">
                  <c:v>60.731269376597737</c:v>
                </c:pt>
                <c:pt idx="147">
                  <c:v>60.817881577050962</c:v>
                </c:pt>
                <c:pt idx="148">
                  <c:v>60.980762845246964</c:v>
                </c:pt>
                <c:pt idx="149">
                  <c:v>60.883045036157576</c:v>
                </c:pt>
                <c:pt idx="150">
                  <c:v>61.007994945607024</c:v>
                </c:pt>
                <c:pt idx="151">
                  <c:v>61.102041547032627</c:v>
                </c:pt>
                <c:pt idx="152">
                  <c:v>61.656680036295597</c:v>
                </c:pt>
                <c:pt idx="153">
                  <c:v>62.665606147689957</c:v>
                </c:pt>
                <c:pt idx="154">
                  <c:v>63.13263615519412</c:v>
                </c:pt>
                <c:pt idx="155">
                  <c:v>63.29164773861244</c:v>
                </c:pt>
                <c:pt idx="156">
                  <c:v>63.485054285720231</c:v>
                </c:pt>
                <c:pt idx="157">
                  <c:v>63.5121759920046</c:v>
                </c:pt>
                <c:pt idx="158">
                  <c:v>63.340899326835327</c:v>
                </c:pt>
                <c:pt idx="159">
                  <c:v>63.119430332877336</c:v>
                </c:pt>
                <c:pt idx="160">
                  <c:v>62.880947240240481</c:v>
                </c:pt>
                <c:pt idx="161">
                  <c:v>62.701063246258535</c:v>
                </c:pt>
                <c:pt idx="162">
                  <c:v>62.44917337793801</c:v>
                </c:pt>
                <c:pt idx="163">
                  <c:v>62.47933347169937</c:v>
                </c:pt>
                <c:pt idx="164">
                  <c:v>62.411727302908709</c:v>
                </c:pt>
                <c:pt idx="165">
                  <c:v>62.179127291484726</c:v>
                </c:pt>
                <c:pt idx="166">
                  <c:v>62.170247618661811</c:v>
                </c:pt>
                <c:pt idx="167">
                  <c:v>62.174858120078255</c:v>
                </c:pt>
                <c:pt idx="168">
                  <c:v>62.255517001554651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06-493F-9E80-C7410E30E2AE}"/>
            </c:ext>
          </c:extLst>
        </c:ser>
        <c:ser>
          <c:idx val="3"/>
          <c:order val="3"/>
          <c:tx>
            <c:strRef>
              <c:f>BB!$F$1</c:f>
              <c:strCache>
                <c:ptCount val="1"/>
                <c:pt idx="0">
                  <c:v>Lower Band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BB!$A$21:$A$189</c:f>
              <c:numCache>
                <c:formatCode>m/d/yyyy</c:formatCode>
                <c:ptCount val="169"/>
                <c:pt idx="0">
                  <c:v>45502</c:v>
                </c:pt>
                <c:pt idx="1">
                  <c:v>45503</c:v>
                </c:pt>
                <c:pt idx="2">
                  <c:v>45504</c:v>
                </c:pt>
                <c:pt idx="3">
                  <c:v>45505</c:v>
                </c:pt>
                <c:pt idx="4">
                  <c:v>45506</c:v>
                </c:pt>
                <c:pt idx="5">
                  <c:v>45509</c:v>
                </c:pt>
                <c:pt idx="6">
                  <c:v>45510</c:v>
                </c:pt>
                <c:pt idx="7">
                  <c:v>45511</c:v>
                </c:pt>
                <c:pt idx="8">
                  <c:v>45512</c:v>
                </c:pt>
                <c:pt idx="9">
                  <c:v>45513</c:v>
                </c:pt>
                <c:pt idx="10">
                  <c:v>45516</c:v>
                </c:pt>
                <c:pt idx="11">
                  <c:v>45517</c:v>
                </c:pt>
                <c:pt idx="12">
                  <c:v>45518</c:v>
                </c:pt>
                <c:pt idx="13">
                  <c:v>45519</c:v>
                </c:pt>
                <c:pt idx="14">
                  <c:v>45520</c:v>
                </c:pt>
                <c:pt idx="15">
                  <c:v>45523</c:v>
                </c:pt>
                <c:pt idx="16">
                  <c:v>45524</c:v>
                </c:pt>
                <c:pt idx="17">
                  <c:v>45525</c:v>
                </c:pt>
                <c:pt idx="18">
                  <c:v>45526</c:v>
                </c:pt>
                <c:pt idx="19">
                  <c:v>45527</c:v>
                </c:pt>
                <c:pt idx="20">
                  <c:v>45530</c:v>
                </c:pt>
                <c:pt idx="21">
                  <c:v>45531</c:v>
                </c:pt>
                <c:pt idx="22">
                  <c:v>45532</c:v>
                </c:pt>
                <c:pt idx="23">
                  <c:v>45533</c:v>
                </c:pt>
                <c:pt idx="24">
                  <c:v>45534</c:v>
                </c:pt>
                <c:pt idx="25">
                  <c:v>45538</c:v>
                </c:pt>
                <c:pt idx="26">
                  <c:v>45539</c:v>
                </c:pt>
                <c:pt idx="27">
                  <c:v>45540</c:v>
                </c:pt>
                <c:pt idx="28">
                  <c:v>45541</c:v>
                </c:pt>
                <c:pt idx="29">
                  <c:v>45544</c:v>
                </c:pt>
                <c:pt idx="30">
                  <c:v>45545</c:v>
                </c:pt>
                <c:pt idx="31">
                  <c:v>45546</c:v>
                </c:pt>
                <c:pt idx="32">
                  <c:v>45547</c:v>
                </c:pt>
                <c:pt idx="33">
                  <c:v>45548</c:v>
                </c:pt>
                <c:pt idx="34">
                  <c:v>45551</c:v>
                </c:pt>
                <c:pt idx="35">
                  <c:v>45552</c:v>
                </c:pt>
                <c:pt idx="36">
                  <c:v>45553</c:v>
                </c:pt>
                <c:pt idx="37">
                  <c:v>45554</c:v>
                </c:pt>
                <c:pt idx="38">
                  <c:v>45555</c:v>
                </c:pt>
                <c:pt idx="39">
                  <c:v>45558</c:v>
                </c:pt>
                <c:pt idx="40">
                  <c:v>45559</c:v>
                </c:pt>
                <c:pt idx="41">
                  <c:v>45560</c:v>
                </c:pt>
                <c:pt idx="42">
                  <c:v>45561</c:v>
                </c:pt>
                <c:pt idx="43">
                  <c:v>45562</c:v>
                </c:pt>
                <c:pt idx="44">
                  <c:v>45565</c:v>
                </c:pt>
                <c:pt idx="45">
                  <c:v>45566</c:v>
                </c:pt>
                <c:pt idx="46">
                  <c:v>45567</c:v>
                </c:pt>
                <c:pt idx="47">
                  <c:v>45568</c:v>
                </c:pt>
                <c:pt idx="48">
                  <c:v>45569</c:v>
                </c:pt>
                <c:pt idx="49">
                  <c:v>45572</c:v>
                </c:pt>
                <c:pt idx="50">
                  <c:v>45573</c:v>
                </c:pt>
                <c:pt idx="51">
                  <c:v>45574</c:v>
                </c:pt>
                <c:pt idx="52">
                  <c:v>45575</c:v>
                </c:pt>
                <c:pt idx="53">
                  <c:v>45576</c:v>
                </c:pt>
                <c:pt idx="54">
                  <c:v>45579</c:v>
                </c:pt>
                <c:pt idx="55">
                  <c:v>45580</c:v>
                </c:pt>
                <c:pt idx="56">
                  <c:v>45581</c:v>
                </c:pt>
                <c:pt idx="57">
                  <c:v>45582</c:v>
                </c:pt>
                <c:pt idx="58">
                  <c:v>45583</c:v>
                </c:pt>
                <c:pt idx="59">
                  <c:v>45586</c:v>
                </c:pt>
                <c:pt idx="60">
                  <c:v>45587</c:v>
                </c:pt>
                <c:pt idx="61">
                  <c:v>45588</c:v>
                </c:pt>
                <c:pt idx="62">
                  <c:v>45589</c:v>
                </c:pt>
                <c:pt idx="63">
                  <c:v>45590</c:v>
                </c:pt>
                <c:pt idx="64">
                  <c:v>45593</c:v>
                </c:pt>
                <c:pt idx="65">
                  <c:v>45594</c:v>
                </c:pt>
                <c:pt idx="66">
                  <c:v>45595</c:v>
                </c:pt>
                <c:pt idx="67">
                  <c:v>45596</c:v>
                </c:pt>
                <c:pt idx="68">
                  <c:v>45597</c:v>
                </c:pt>
                <c:pt idx="69">
                  <c:v>45600</c:v>
                </c:pt>
                <c:pt idx="70">
                  <c:v>45601</c:v>
                </c:pt>
                <c:pt idx="71">
                  <c:v>45602</c:v>
                </c:pt>
                <c:pt idx="72">
                  <c:v>45603</c:v>
                </c:pt>
                <c:pt idx="73">
                  <c:v>45604</c:v>
                </c:pt>
                <c:pt idx="74">
                  <c:v>45607</c:v>
                </c:pt>
                <c:pt idx="75">
                  <c:v>45608</c:v>
                </c:pt>
                <c:pt idx="76">
                  <c:v>45609</c:v>
                </c:pt>
                <c:pt idx="77">
                  <c:v>45610</c:v>
                </c:pt>
                <c:pt idx="78">
                  <c:v>45611</c:v>
                </c:pt>
                <c:pt idx="79">
                  <c:v>45614</c:v>
                </c:pt>
                <c:pt idx="80">
                  <c:v>45615</c:v>
                </c:pt>
                <c:pt idx="81">
                  <c:v>45616</c:v>
                </c:pt>
                <c:pt idx="82">
                  <c:v>45617</c:v>
                </c:pt>
                <c:pt idx="83">
                  <c:v>45618</c:v>
                </c:pt>
                <c:pt idx="84">
                  <c:v>45621</c:v>
                </c:pt>
                <c:pt idx="85">
                  <c:v>45622</c:v>
                </c:pt>
                <c:pt idx="86">
                  <c:v>45623</c:v>
                </c:pt>
                <c:pt idx="87">
                  <c:v>45625</c:v>
                </c:pt>
                <c:pt idx="88">
                  <c:v>45628</c:v>
                </c:pt>
                <c:pt idx="89">
                  <c:v>45629</c:v>
                </c:pt>
                <c:pt idx="90">
                  <c:v>45630</c:v>
                </c:pt>
                <c:pt idx="91">
                  <c:v>45631</c:v>
                </c:pt>
                <c:pt idx="92">
                  <c:v>45632</c:v>
                </c:pt>
                <c:pt idx="93">
                  <c:v>45635</c:v>
                </c:pt>
                <c:pt idx="94">
                  <c:v>45636</c:v>
                </c:pt>
                <c:pt idx="95">
                  <c:v>45637</c:v>
                </c:pt>
                <c:pt idx="96">
                  <c:v>45638</c:v>
                </c:pt>
                <c:pt idx="97">
                  <c:v>45639</c:v>
                </c:pt>
                <c:pt idx="98">
                  <c:v>45642</c:v>
                </c:pt>
                <c:pt idx="99">
                  <c:v>45643</c:v>
                </c:pt>
                <c:pt idx="100">
                  <c:v>45644</c:v>
                </c:pt>
                <c:pt idx="101">
                  <c:v>45645</c:v>
                </c:pt>
                <c:pt idx="102">
                  <c:v>45646</c:v>
                </c:pt>
                <c:pt idx="103">
                  <c:v>45649</c:v>
                </c:pt>
                <c:pt idx="104">
                  <c:v>45650</c:v>
                </c:pt>
                <c:pt idx="105">
                  <c:v>45652</c:v>
                </c:pt>
                <c:pt idx="106">
                  <c:v>45653</c:v>
                </c:pt>
                <c:pt idx="107">
                  <c:v>45656</c:v>
                </c:pt>
                <c:pt idx="108">
                  <c:v>45657</c:v>
                </c:pt>
                <c:pt idx="109">
                  <c:v>45659</c:v>
                </c:pt>
                <c:pt idx="110">
                  <c:v>45660</c:v>
                </c:pt>
                <c:pt idx="111">
                  <c:v>45663</c:v>
                </c:pt>
                <c:pt idx="112">
                  <c:v>45664</c:v>
                </c:pt>
                <c:pt idx="113">
                  <c:v>45665</c:v>
                </c:pt>
                <c:pt idx="114">
                  <c:v>45667</c:v>
                </c:pt>
                <c:pt idx="115">
                  <c:v>45670</c:v>
                </c:pt>
                <c:pt idx="116">
                  <c:v>45671</c:v>
                </c:pt>
                <c:pt idx="117">
                  <c:v>45672</c:v>
                </c:pt>
                <c:pt idx="118">
                  <c:v>45673</c:v>
                </c:pt>
                <c:pt idx="119">
                  <c:v>45674</c:v>
                </c:pt>
                <c:pt idx="120">
                  <c:v>45678</c:v>
                </c:pt>
                <c:pt idx="121">
                  <c:v>45679</c:v>
                </c:pt>
                <c:pt idx="122">
                  <c:v>45680</c:v>
                </c:pt>
                <c:pt idx="123">
                  <c:v>45681</c:v>
                </c:pt>
                <c:pt idx="124">
                  <c:v>45684</c:v>
                </c:pt>
                <c:pt idx="125">
                  <c:v>45685</c:v>
                </c:pt>
                <c:pt idx="126">
                  <c:v>45686</c:v>
                </c:pt>
                <c:pt idx="127">
                  <c:v>45687</c:v>
                </c:pt>
                <c:pt idx="128">
                  <c:v>45688</c:v>
                </c:pt>
                <c:pt idx="129">
                  <c:v>45691</c:v>
                </c:pt>
                <c:pt idx="130">
                  <c:v>45692</c:v>
                </c:pt>
                <c:pt idx="131">
                  <c:v>45693</c:v>
                </c:pt>
                <c:pt idx="132">
                  <c:v>45694</c:v>
                </c:pt>
                <c:pt idx="133">
                  <c:v>45695</c:v>
                </c:pt>
                <c:pt idx="134">
                  <c:v>45698</c:v>
                </c:pt>
                <c:pt idx="135">
                  <c:v>45699</c:v>
                </c:pt>
                <c:pt idx="136">
                  <c:v>45700</c:v>
                </c:pt>
                <c:pt idx="137">
                  <c:v>45701</c:v>
                </c:pt>
                <c:pt idx="138">
                  <c:v>45702</c:v>
                </c:pt>
                <c:pt idx="139">
                  <c:v>45706</c:v>
                </c:pt>
                <c:pt idx="140">
                  <c:v>45707</c:v>
                </c:pt>
                <c:pt idx="141">
                  <c:v>45708</c:v>
                </c:pt>
                <c:pt idx="142">
                  <c:v>45709</c:v>
                </c:pt>
                <c:pt idx="143">
                  <c:v>45712</c:v>
                </c:pt>
                <c:pt idx="144">
                  <c:v>45713</c:v>
                </c:pt>
                <c:pt idx="145">
                  <c:v>45714</c:v>
                </c:pt>
                <c:pt idx="146">
                  <c:v>45715</c:v>
                </c:pt>
                <c:pt idx="147">
                  <c:v>45716</c:v>
                </c:pt>
                <c:pt idx="148">
                  <c:v>45719</c:v>
                </c:pt>
                <c:pt idx="149">
                  <c:v>45720</c:v>
                </c:pt>
                <c:pt idx="150">
                  <c:v>45721</c:v>
                </c:pt>
                <c:pt idx="151">
                  <c:v>45722</c:v>
                </c:pt>
                <c:pt idx="152">
                  <c:v>45723</c:v>
                </c:pt>
                <c:pt idx="153">
                  <c:v>45726</c:v>
                </c:pt>
                <c:pt idx="154">
                  <c:v>45727</c:v>
                </c:pt>
                <c:pt idx="155">
                  <c:v>45728</c:v>
                </c:pt>
                <c:pt idx="156">
                  <c:v>45729</c:v>
                </c:pt>
                <c:pt idx="157">
                  <c:v>45730</c:v>
                </c:pt>
                <c:pt idx="158">
                  <c:v>45733</c:v>
                </c:pt>
                <c:pt idx="159">
                  <c:v>45734</c:v>
                </c:pt>
                <c:pt idx="160">
                  <c:v>45735</c:v>
                </c:pt>
                <c:pt idx="161">
                  <c:v>45736</c:v>
                </c:pt>
                <c:pt idx="162">
                  <c:v>45737</c:v>
                </c:pt>
                <c:pt idx="163">
                  <c:v>45740</c:v>
                </c:pt>
                <c:pt idx="164">
                  <c:v>45741</c:v>
                </c:pt>
                <c:pt idx="165">
                  <c:v>45742</c:v>
                </c:pt>
                <c:pt idx="166">
                  <c:v>45743</c:v>
                </c:pt>
                <c:pt idx="167">
                  <c:v>45744</c:v>
                </c:pt>
                <c:pt idx="168">
                  <c:v>45747</c:v>
                </c:pt>
              </c:numCache>
            </c:numRef>
          </c:cat>
          <c:val>
            <c:numRef>
              <c:f>BB!$F$21:$F$189</c:f>
              <c:numCache>
                <c:formatCode>General</c:formatCode>
                <c:ptCount val="169"/>
                <c:pt idx="0">
                  <c:v>36.597858501867279</c:v>
                </c:pt>
                <c:pt idx="1">
                  <c:v>36.321074052390401</c:v>
                </c:pt>
                <c:pt idx="2">
                  <c:v>36.455480775108711</c:v>
                </c:pt>
                <c:pt idx="3">
                  <c:v>36.683703797876866</c:v>
                </c:pt>
                <c:pt idx="4">
                  <c:v>37.034943885645376</c:v>
                </c:pt>
                <c:pt idx="5">
                  <c:v>37.521260401962984</c:v>
                </c:pt>
                <c:pt idx="6">
                  <c:v>37.94647879439588</c:v>
                </c:pt>
                <c:pt idx="7">
                  <c:v>38.399067510891939</c:v>
                </c:pt>
                <c:pt idx="8">
                  <c:v>38.978245855939271</c:v>
                </c:pt>
                <c:pt idx="9">
                  <c:v>39.699279889187373</c:v>
                </c:pt>
                <c:pt idx="10">
                  <c:v>40.614675200316768</c:v>
                </c:pt>
                <c:pt idx="11">
                  <c:v>41.345612565663011</c:v>
                </c:pt>
                <c:pt idx="12">
                  <c:v>41.774394414429558</c:v>
                </c:pt>
                <c:pt idx="13">
                  <c:v>42.431901531172116</c:v>
                </c:pt>
                <c:pt idx="14">
                  <c:v>43.142856284667388</c:v>
                </c:pt>
                <c:pt idx="15">
                  <c:v>44.011732405812616</c:v>
                </c:pt>
                <c:pt idx="16">
                  <c:v>45.012297688960551</c:v>
                </c:pt>
                <c:pt idx="17">
                  <c:v>45.639847284898238</c:v>
                </c:pt>
                <c:pt idx="18">
                  <c:v>46.132928057191485</c:v>
                </c:pt>
                <c:pt idx="19">
                  <c:v>46.280570350605174</c:v>
                </c:pt>
                <c:pt idx="20">
                  <c:v>46.284149310207582</c:v>
                </c:pt>
                <c:pt idx="21">
                  <c:v>46.291812532192885</c:v>
                </c:pt>
                <c:pt idx="22">
                  <c:v>46.330041008873067</c:v>
                </c:pt>
                <c:pt idx="23">
                  <c:v>46.274062302021946</c:v>
                </c:pt>
                <c:pt idx="24">
                  <c:v>46.195464828232602</c:v>
                </c:pt>
                <c:pt idx="25">
                  <c:v>46.142123733736042</c:v>
                </c:pt>
                <c:pt idx="26">
                  <c:v>46.238991871157253</c:v>
                </c:pt>
                <c:pt idx="27">
                  <c:v>46.5550360454546</c:v>
                </c:pt>
                <c:pt idx="28">
                  <c:v>46.833828595580478</c:v>
                </c:pt>
                <c:pt idx="29">
                  <c:v>47.175038483078289</c:v>
                </c:pt>
                <c:pt idx="30">
                  <c:v>47.514077227765412</c:v>
                </c:pt>
                <c:pt idx="31">
                  <c:v>47.479045236116519</c:v>
                </c:pt>
                <c:pt idx="32">
                  <c:v>47.454994391727311</c:v>
                </c:pt>
                <c:pt idx="33">
                  <c:v>47.455609282149247</c:v>
                </c:pt>
                <c:pt idx="34">
                  <c:v>47.429233888776949</c:v>
                </c:pt>
                <c:pt idx="35">
                  <c:v>47.429218916816446</c:v>
                </c:pt>
                <c:pt idx="36">
                  <c:v>47.43549035738554</c:v>
                </c:pt>
                <c:pt idx="37">
                  <c:v>47.490594215278364</c:v>
                </c:pt>
                <c:pt idx="38">
                  <c:v>47.733315254935057</c:v>
                </c:pt>
                <c:pt idx="39">
                  <c:v>47.875015481898913</c:v>
                </c:pt>
                <c:pt idx="40">
                  <c:v>47.912227086531693</c:v>
                </c:pt>
                <c:pt idx="41">
                  <c:v>48.11587953064619</c:v>
                </c:pt>
                <c:pt idx="42">
                  <c:v>48.158679188165159</c:v>
                </c:pt>
                <c:pt idx="43">
                  <c:v>48.092293989029947</c:v>
                </c:pt>
                <c:pt idx="44">
                  <c:v>47.911409388821077</c:v>
                </c:pt>
                <c:pt idx="45">
                  <c:v>47.549697104720451</c:v>
                </c:pt>
                <c:pt idx="46">
                  <c:v>47.135375399655707</c:v>
                </c:pt>
                <c:pt idx="47">
                  <c:v>46.803127251640262</c:v>
                </c:pt>
                <c:pt idx="48">
                  <c:v>46.766659195393558</c:v>
                </c:pt>
                <c:pt idx="49">
                  <c:v>46.91656939222527</c:v>
                </c:pt>
                <c:pt idx="50">
                  <c:v>47.066190459680385</c:v>
                </c:pt>
                <c:pt idx="51">
                  <c:v>47.349315444242677</c:v>
                </c:pt>
                <c:pt idx="52">
                  <c:v>47.771896064354074</c:v>
                </c:pt>
                <c:pt idx="53">
                  <c:v>48.061217937484095</c:v>
                </c:pt>
                <c:pt idx="54">
                  <c:v>48.23012445875591</c:v>
                </c:pt>
                <c:pt idx="55">
                  <c:v>48.510577656720869</c:v>
                </c:pt>
                <c:pt idx="56">
                  <c:v>48.76467906591725</c:v>
                </c:pt>
                <c:pt idx="57">
                  <c:v>49.247182590144405</c:v>
                </c:pt>
                <c:pt idx="58">
                  <c:v>49.709260458460925</c:v>
                </c:pt>
                <c:pt idx="59">
                  <c:v>50.050336506885202</c:v>
                </c:pt>
                <c:pt idx="60">
                  <c:v>50.247443063269969</c:v>
                </c:pt>
                <c:pt idx="61">
                  <c:v>50.747588506512784</c:v>
                </c:pt>
                <c:pt idx="62">
                  <c:v>51.311145250629032</c:v>
                </c:pt>
                <c:pt idx="63">
                  <c:v>51.578752566755604</c:v>
                </c:pt>
                <c:pt idx="64">
                  <c:v>51.732877599577542</c:v>
                </c:pt>
                <c:pt idx="65">
                  <c:v>51.697049550554986</c:v>
                </c:pt>
                <c:pt idx="66">
                  <c:v>51.704232960154798</c:v>
                </c:pt>
                <c:pt idx="67">
                  <c:v>51.292394660413521</c:v>
                </c:pt>
                <c:pt idx="68">
                  <c:v>51.256604941886494</c:v>
                </c:pt>
                <c:pt idx="69">
                  <c:v>51.031570480448103</c:v>
                </c:pt>
                <c:pt idx="70">
                  <c:v>50.851212068310438</c:v>
                </c:pt>
                <c:pt idx="71">
                  <c:v>50.817281401864044</c:v>
                </c:pt>
                <c:pt idx="72">
                  <c:v>50.906166193639777</c:v>
                </c:pt>
                <c:pt idx="73">
                  <c:v>51.059717986067369</c:v>
                </c:pt>
                <c:pt idx="74">
                  <c:v>50.21043905010113</c:v>
                </c:pt>
                <c:pt idx="75">
                  <c:v>49.930421358636622</c:v>
                </c:pt>
                <c:pt idx="76">
                  <c:v>49.822403077755482</c:v>
                </c:pt>
                <c:pt idx="77">
                  <c:v>49.805694202963551</c:v>
                </c:pt>
                <c:pt idx="78">
                  <c:v>49.970188867425918</c:v>
                </c:pt>
                <c:pt idx="79">
                  <c:v>50.31833331439239</c:v>
                </c:pt>
                <c:pt idx="80">
                  <c:v>50.540603551882612</c:v>
                </c:pt>
                <c:pt idx="81">
                  <c:v>50.795464180290786</c:v>
                </c:pt>
                <c:pt idx="82">
                  <c:v>51.110598636002386</c:v>
                </c:pt>
                <c:pt idx="83">
                  <c:v>51.676274301890274</c:v>
                </c:pt>
                <c:pt idx="84">
                  <c:v>52.188636919497668</c:v>
                </c:pt>
                <c:pt idx="85">
                  <c:v>52.847531272707378</c:v>
                </c:pt>
                <c:pt idx="86">
                  <c:v>53.572320989196974</c:v>
                </c:pt>
                <c:pt idx="87">
                  <c:v>53.707325623184879</c:v>
                </c:pt>
                <c:pt idx="88">
                  <c:v>54.119919201890461</c:v>
                </c:pt>
                <c:pt idx="89">
                  <c:v>54.415751082782258</c:v>
                </c:pt>
                <c:pt idx="90">
                  <c:v>54.648156689257931</c:v>
                </c:pt>
                <c:pt idx="91">
                  <c:v>55.057416796098899</c:v>
                </c:pt>
                <c:pt idx="92">
                  <c:v>55.70395368965201</c:v>
                </c:pt>
                <c:pt idx="93">
                  <c:v>56.824882006367631</c:v>
                </c:pt>
                <c:pt idx="94">
                  <c:v>56.826146109723773</c:v>
                </c:pt>
                <c:pt idx="95">
                  <c:v>56.533956427595442</c:v>
                </c:pt>
                <c:pt idx="96">
                  <c:v>56.201325091606812</c:v>
                </c:pt>
                <c:pt idx="97">
                  <c:v>55.787699604644942</c:v>
                </c:pt>
                <c:pt idx="98">
                  <c:v>55.705694649229919</c:v>
                </c:pt>
                <c:pt idx="99">
                  <c:v>55.817673235700198</c:v>
                </c:pt>
                <c:pt idx="100">
                  <c:v>55.674199936248094</c:v>
                </c:pt>
                <c:pt idx="101">
                  <c:v>55.465149410544257</c:v>
                </c:pt>
                <c:pt idx="102">
                  <c:v>55.403632460223839</c:v>
                </c:pt>
                <c:pt idx="103">
                  <c:v>55.368348344092915</c:v>
                </c:pt>
                <c:pt idx="104">
                  <c:v>55.349440945718897</c:v>
                </c:pt>
                <c:pt idx="105">
                  <c:v>55.344997287907226</c:v>
                </c:pt>
                <c:pt idx="106">
                  <c:v>55.359692916836835</c:v>
                </c:pt>
                <c:pt idx="107">
                  <c:v>55.193217500508254</c:v>
                </c:pt>
                <c:pt idx="108">
                  <c:v>55.25585452102127</c:v>
                </c:pt>
                <c:pt idx="109">
                  <c:v>55.229321592052059</c:v>
                </c:pt>
                <c:pt idx="110">
                  <c:v>55.173463331619061</c:v>
                </c:pt>
                <c:pt idx="111">
                  <c:v>55.196643101656591</c:v>
                </c:pt>
                <c:pt idx="112">
                  <c:v>55.399822978042764</c:v>
                </c:pt>
                <c:pt idx="113">
                  <c:v>55.513642680265868</c:v>
                </c:pt>
                <c:pt idx="114">
                  <c:v>55.43721305736257</c:v>
                </c:pt>
                <c:pt idx="115">
                  <c:v>55.227684777265466</c:v>
                </c:pt>
                <c:pt idx="116">
                  <c:v>55.14761471017426</c:v>
                </c:pt>
                <c:pt idx="117">
                  <c:v>55.169449228380351</c:v>
                </c:pt>
                <c:pt idx="118">
                  <c:v>55.2377487055494</c:v>
                </c:pt>
                <c:pt idx="119">
                  <c:v>55.218972680630579</c:v>
                </c:pt>
                <c:pt idx="120">
                  <c:v>55.221659067764477</c:v>
                </c:pt>
                <c:pt idx="121">
                  <c:v>55.262886830325762</c:v>
                </c:pt>
                <c:pt idx="122">
                  <c:v>55.013595406357517</c:v>
                </c:pt>
                <c:pt idx="123">
                  <c:v>54.732539233982436</c:v>
                </c:pt>
                <c:pt idx="124">
                  <c:v>54.343309778801441</c:v>
                </c:pt>
                <c:pt idx="125">
                  <c:v>54.306327382301987</c:v>
                </c:pt>
                <c:pt idx="126">
                  <c:v>54.251235016878347</c:v>
                </c:pt>
                <c:pt idx="127">
                  <c:v>54.328687076963881</c:v>
                </c:pt>
                <c:pt idx="128">
                  <c:v>54.387105952986715</c:v>
                </c:pt>
                <c:pt idx="129">
                  <c:v>54.366803620922028</c:v>
                </c:pt>
                <c:pt idx="130">
                  <c:v>54.465214791821964</c:v>
                </c:pt>
                <c:pt idx="131">
                  <c:v>54.542059813442741</c:v>
                </c:pt>
                <c:pt idx="132">
                  <c:v>54.566854472360028</c:v>
                </c:pt>
                <c:pt idx="133">
                  <c:v>54.571557974699047</c:v>
                </c:pt>
                <c:pt idx="134">
                  <c:v>54.514836799203934</c:v>
                </c:pt>
                <c:pt idx="135">
                  <c:v>54.626349102922781</c:v>
                </c:pt>
                <c:pt idx="136">
                  <c:v>54.699230711606688</c:v>
                </c:pt>
                <c:pt idx="137">
                  <c:v>54.710033175187846</c:v>
                </c:pt>
                <c:pt idx="138">
                  <c:v>54.170289877045263</c:v>
                </c:pt>
                <c:pt idx="139">
                  <c:v>53.827167102259097</c:v>
                </c:pt>
                <c:pt idx="140">
                  <c:v>53.543557773708876</c:v>
                </c:pt>
                <c:pt idx="141">
                  <c:v>53.402350351461621</c:v>
                </c:pt>
                <c:pt idx="142">
                  <c:v>53.239411734386735</c:v>
                </c:pt>
                <c:pt idx="143">
                  <c:v>53.282198346522257</c:v>
                </c:pt>
                <c:pt idx="144">
                  <c:v>53.444140137380053</c:v>
                </c:pt>
                <c:pt idx="145">
                  <c:v>53.447939469152935</c:v>
                </c:pt>
                <c:pt idx="146">
                  <c:v>53.461730623402275</c:v>
                </c:pt>
                <c:pt idx="147">
                  <c:v>53.423118422949052</c:v>
                </c:pt>
                <c:pt idx="148">
                  <c:v>53.352237154753006</c:v>
                </c:pt>
                <c:pt idx="149">
                  <c:v>53.398954963842421</c:v>
                </c:pt>
                <c:pt idx="150">
                  <c:v>53.344005054392952</c:v>
                </c:pt>
                <c:pt idx="151">
                  <c:v>53.296958452967374</c:v>
                </c:pt>
                <c:pt idx="152">
                  <c:v>53.109319963704394</c:v>
                </c:pt>
                <c:pt idx="153">
                  <c:v>52.726393852310025</c:v>
                </c:pt>
                <c:pt idx="154">
                  <c:v>52.85736384480586</c:v>
                </c:pt>
                <c:pt idx="155">
                  <c:v>53.085352261387555</c:v>
                </c:pt>
                <c:pt idx="156">
                  <c:v>53.304945714279761</c:v>
                </c:pt>
                <c:pt idx="157">
                  <c:v>53.58182400799538</c:v>
                </c:pt>
                <c:pt idx="158">
                  <c:v>54.362100673164676</c:v>
                </c:pt>
                <c:pt idx="159">
                  <c:v>55.130569667122664</c:v>
                </c:pt>
                <c:pt idx="160">
                  <c:v>55.879052759759539</c:v>
                </c:pt>
                <c:pt idx="161">
                  <c:v>56.521936753741464</c:v>
                </c:pt>
                <c:pt idx="162">
                  <c:v>57.289826622061994</c:v>
                </c:pt>
                <c:pt idx="163">
                  <c:v>57.576666528300628</c:v>
                </c:pt>
                <c:pt idx="164">
                  <c:v>57.742272697091288</c:v>
                </c:pt>
                <c:pt idx="165">
                  <c:v>58.157872708515292</c:v>
                </c:pt>
                <c:pt idx="166">
                  <c:v>58.176752381338211</c:v>
                </c:pt>
                <c:pt idx="167">
                  <c:v>58.212141879921759</c:v>
                </c:pt>
                <c:pt idx="168">
                  <c:v>58.243482998445344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06-493F-9E80-C7410E30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4412223"/>
        <c:axId val="1314411743"/>
      </c:lineChart>
      <c:dateAx>
        <c:axId val="1314412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11743"/>
        <c:crosses val="autoZero"/>
        <c:auto val="1"/>
        <c:lblOffset val="100"/>
        <c:baseTimeUnit val="days"/>
      </c:dateAx>
      <c:valAx>
        <c:axId val="131441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1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780708536313801"/>
          <c:y val="0.90156469461587574"/>
          <c:w val="0.39874836427143462"/>
          <c:h val="5.968574874086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KD</a:t>
            </a:r>
            <a:r>
              <a:rPr lang="en-GB" baseline="0"/>
              <a:t> Oscillator for BMY UN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7.3133432626649675E-2"/>
          <c:y val="8.8944844124700245E-2"/>
          <c:w val="0.88090607603945992"/>
          <c:h val="0.75200645782586539"/>
        </c:manualLayout>
      </c:layout>
      <c:lineChart>
        <c:grouping val="standard"/>
        <c:varyColors val="0"/>
        <c:ser>
          <c:idx val="0"/>
          <c:order val="0"/>
          <c:tx>
            <c:strRef>
              <c:f>KD!$C$1</c:f>
              <c:strCache>
                <c:ptCount val="1"/>
                <c:pt idx="0">
                  <c:v>%K 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KD!$A$12:$A$189</c:f>
              <c:numCache>
                <c:formatCode>m/d/yyyy</c:formatCode>
                <c:ptCount val="178"/>
                <c:pt idx="0">
                  <c:v>45489</c:v>
                </c:pt>
                <c:pt idx="1">
                  <c:v>45490</c:v>
                </c:pt>
                <c:pt idx="2">
                  <c:v>45491</c:v>
                </c:pt>
                <c:pt idx="3">
                  <c:v>45492</c:v>
                </c:pt>
                <c:pt idx="4">
                  <c:v>45495</c:v>
                </c:pt>
                <c:pt idx="5">
                  <c:v>45496</c:v>
                </c:pt>
                <c:pt idx="6">
                  <c:v>45497</c:v>
                </c:pt>
                <c:pt idx="7">
                  <c:v>45498</c:v>
                </c:pt>
                <c:pt idx="8">
                  <c:v>45499</c:v>
                </c:pt>
                <c:pt idx="9">
                  <c:v>45502</c:v>
                </c:pt>
                <c:pt idx="10">
                  <c:v>45503</c:v>
                </c:pt>
                <c:pt idx="11">
                  <c:v>45504</c:v>
                </c:pt>
                <c:pt idx="12">
                  <c:v>45505</c:v>
                </c:pt>
                <c:pt idx="13">
                  <c:v>45506</c:v>
                </c:pt>
                <c:pt idx="14">
                  <c:v>45509</c:v>
                </c:pt>
                <c:pt idx="15">
                  <c:v>45510</c:v>
                </c:pt>
                <c:pt idx="16">
                  <c:v>45511</c:v>
                </c:pt>
                <c:pt idx="17">
                  <c:v>45512</c:v>
                </c:pt>
                <c:pt idx="18">
                  <c:v>45513</c:v>
                </c:pt>
                <c:pt idx="19">
                  <c:v>45516</c:v>
                </c:pt>
                <c:pt idx="20">
                  <c:v>45517</c:v>
                </c:pt>
                <c:pt idx="21">
                  <c:v>45518</c:v>
                </c:pt>
                <c:pt idx="22">
                  <c:v>45519</c:v>
                </c:pt>
                <c:pt idx="23">
                  <c:v>45520</c:v>
                </c:pt>
                <c:pt idx="24">
                  <c:v>45523</c:v>
                </c:pt>
                <c:pt idx="25">
                  <c:v>45524</c:v>
                </c:pt>
                <c:pt idx="26">
                  <c:v>45525</c:v>
                </c:pt>
                <c:pt idx="27">
                  <c:v>45526</c:v>
                </c:pt>
                <c:pt idx="28">
                  <c:v>45527</c:v>
                </c:pt>
                <c:pt idx="29">
                  <c:v>45530</c:v>
                </c:pt>
                <c:pt idx="30">
                  <c:v>45531</c:v>
                </c:pt>
                <c:pt idx="31">
                  <c:v>45532</c:v>
                </c:pt>
                <c:pt idx="32">
                  <c:v>45533</c:v>
                </c:pt>
                <c:pt idx="33">
                  <c:v>45534</c:v>
                </c:pt>
                <c:pt idx="34">
                  <c:v>45538</c:v>
                </c:pt>
                <c:pt idx="35">
                  <c:v>45539</c:v>
                </c:pt>
                <c:pt idx="36">
                  <c:v>45540</c:v>
                </c:pt>
                <c:pt idx="37">
                  <c:v>45541</c:v>
                </c:pt>
                <c:pt idx="38">
                  <c:v>45544</c:v>
                </c:pt>
                <c:pt idx="39">
                  <c:v>45545</c:v>
                </c:pt>
                <c:pt idx="40">
                  <c:v>45546</c:v>
                </c:pt>
                <c:pt idx="41">
                  <c:v>45547</c:v>
                </c:pt>
                <c:pt idx="42">
                  <c:v>45548</c:v>
                </c:pt>
                <c:pt idx="43">
                  <c:v>45551</c:v>
                </c:pt>
                <c:pt idx="44">
                  <c:v>45552</c:v>
                </c:pt>
                <c:pt idx="45">
                  <c:v>45553</c:v>
                </c:pt>
                <c:pt idx="46">
                  <c:v>45554</c:v>
                </c:pt>
                <c:pt idx="47">
                  <c:v>45555</c:v>
                </c:pt>
                <c:pt idx="48">
                  <c:v>45558</c:v>
                </c:pt>
                <c:pt idx="49">
                  <c:v>45559</c:v>
                </c:pt>
                <c:pt idx="50">
                  <c:v>45560</c:v>
                </c:pt>
                <c:pt idx="51">
                  <c:v>45561</c:v>
                </c:pt>
                <c:pt idx="52">
                  <c:v>45562</c:v>
                </c:pt>
                <c:pt idx="53">
                  <c:v>45565</c:v>
                </c:pt>
                <c:pt idx="54">
                  <c:v>45566</c:v>
                </c:pt>
                <c:pt idx="55">
                  <c:v>45567</c:v>
                </c:pt>
                <c:pt idx="56">
                  <c:v>45568</c:v>
                </c:pt>
                <c:pt idx="57">
                  <c:v>45569</c:v>
                </c:pt>
                <c:pt idx="58">
                  <c:v>45572</c:v>
                </c:pt>
                <c:pt idx="59">
                  <c:v>45573</c:v>
                </c:pt>
                <c:pt idx="60">
                  <c:v>45574</c:v>
                </c:pt>
                <c:pt idx="61">
                  <c:v>45575</c:v>
                </c:pt>
                <c:pt idx="62">
                  <c:v>45576</c:v>
                </c:pt>
                <c:pt idx="63">
                  <c:v>45579</c:v>
                </c:pt>
                <c:pt idx="64">
                  <c:v>45580</c:v>
                </c:pt>
                <c:pt idx="65">
                  <c:v>45581</c:v>
                </c:pt>
                <c:pt idx="66">
                  <c:v>45582</c:v>
                </c:pt>
                <c:pt idx="67">
                  <c:v>45583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45593</c:v>
                </c:pt>
                <c:pt idx="74">
                  <c:v>45594</c:v>
                </c:pt>
                <c:pt idx="75">
                  <c:v>45595</c:v>
                </c:pt>
                <c:pt idx="76">
                  <c:v>45596</c:v>
                </c:pt>
                <c:pt idx="77">
                  <c:v>45597</c:v>
                </c:pt>
                <c:pt idx="78">
                  <c:v>45600</c:v>
                </c:pt>
                <c:pt idx="79">
                  <c:v>45601</c:v>
                </c:pt>
                <c:pt idx="80">
                  <c:v>45602</c:v>
                </c:pt>
                <c:pt idx="81">
                  <c:v>45603</c:v>
                </c:pt>
                <c:pt idx="82">
                  <c:v>45604</c:v>
                </c:pt>
                <c:pt idx="83">
                  <c:v>45607</c:v>
                </c:pt>
                <c:pt idx="84">
                  <c:v>45608</c:v>
                </c:pt>
                <c:pt idx="85">
                  <c:v>45609</c:v>
                </c:pt>
                <c:pt idx="86">
                  <c:v>45610</c:v>
                </c:pt>
                <c:pt idx="87">
                  <c:v>45611</c:v>
                </c:pt>
                <c:pt idx="88">
                  <c:v>45614</c:v>
                </c:pt>
                <c:pt idx="89">
                  <c:v>45615</c:v>
                </c:pt>
                <c:pt idx="90">
                  <c:v>45616</c:v>
                </c:pt>
                <c:pt idx="91">
                  <c:v>45617</c:v>
                </c:pt>
                <c:pt idx="92">
                  <c:v>45618</c:v>
                </c:pt>
                <c:pt idx="93">
                  <c:v>45621</c:v>
                </c:pt>
                <c:pt idx="94">
                  <c:v>45622</c:v>
                </c:pt>
                <c:pt idx="95">
                  <c:v>45623</c:v>
                </c:pt>
                <c:pt idx="96">
                  <c:v>45625</c:v>
                </c:pt>
                <c:pt idx="97">
                  <c:v>45628</c:v>
                </c:pt>
                <c:pt idx="98">
                  <c:v>45629</c:v>
                </c:pt>
                <c:pt idx="99">
                  <c:v>45630</c:v>
                </c:pt>
                <c:pt idx="100">
                  <c:v>45631</c:v>
                </c:pt>
                <c:pt idx="101">
                  <c:v>45632</c:v>
                </c:pt>
                <c:pt idx="102">
                  <c:v>45635</c:v>
                </c:pt>
                <c:pt idx="103">
                  <c:v>45636</c:v>
                </c:pt>
                <c:pt idx="104">
                  <c:v>45637</c:v>
                </c:pt>
                <c:pt idx="105">
                  <c:v>45638</c:v>
                </c:pt>
                <c:pt idx="106">
                  <c:v>45639</c:v>
                </c:pt>
                <c:pt idx="107">
                  <c:v>45642</c:v>
                </c:pt>
                <c:pt idx="108">
                  <c:v>45643</c:v>
                </c:pt>
                <c:pt idx="109">
                  <c:v>45644</c:v>
                </c:pt>
                <c:pt idx="110">
                  <c:v>45645</c:v>
                </c:pt>
                <c:pt idx="111">
                  <c:v>45646</c:v>
                </c:pt>
                <c:pt idx="112">
                  <c:v>45649</c:v>
                </c:pt>
                <c:pt idx="113">
                  <c:v>45650</c:v>
                </c:pt>
                <c:pt idx="114">
                  <c:v>45652</c:v>
                </c:pt>
                <c:pt idx="115">
                  <c:v>45653</c:v>
                </c:pt>
                <c:pt idx="116">
                  <c:v>45656</c:v>
                </c:pt>
                <c:pt idx="117">
                  <c:v>45657</c:v>
                </c:pt>
                <c:pt idx="118">
                  <c:v>45659</c:v>
                </c:pt>
                <c:pt idx="119">
                  <c:v>45660</c:v>
                </c:pt>
                <c:pt idx="120">
                  <c:v>45663</c:v>
                </c:pt>
                <c:pt idx="121">
                  <c:v>45664</c:v>
                </c:pt>
                <c:pt idx="122">
                  <c:v>45665</c:v>
                </c:pt>
                <c:pt idx="123">
                  <c:v>45667</c:v>
                </c:pt>
                <c:pt idx="124">
                  <c:v>45670</c:v>
                </c:pt>
                <c:pt idx="125">
                  <c:v>45671</c:v>
                </c:pt>
                <c:pt idx="126">
                  <c:v>45672</c:v>
                </c:pt>
                <c:pt idx="127">
                  <c:v>45673</c:v>
                </c:pt>
                <c:pt idx="128">
                  <c:v>45674</c:v>
                </c:pt>
                <c:pt idx="129">
                  <c:v>45678</c:v>
                </c:pt>
                <c:pt idx="130">
                  <c:v>45679</c:v>
                </c:pt>
                <c:pt idx="131">
                  <c:v>45680</c:v>
                </c:pt>
                <c:pt idx="132">
                  <c:v>45681</c:v>
                </c:pt>
                <c:pt idx="133">
                  <c:v>45684</c:v>
                </c:pt>
                <c:pt idx="134">
                  <c:v>45685</c:v>
                </c:pt>
                <c:pt idx="135">
                  <c:v>45686</c:v>
                </c:pt>
                <c:pt idx="136">
                  <c:v>45687</c:v>
                </c:pt>
                <c:pt idx="137">
                  <c:v>45688</c:v>
                </c:pt>
                <c:pt idx="138">
                  <c:v>45691</c:v>
                </c:pt>
                <c:pt idx="139">
                  <c:v>45692</c:v>
                </c:pt>
                <c:pt idx="140">
                  <c:v>45693</c:v>
                </c:pt>
                <c:pt idx="141">
                  <c:v>45694</c:v>
                </c:pt>
                <c:pt idx="142">
                  <c:v>45695</c:v>
                </c:pt>
                <c:pt idx="143">
                  <c:v>45698</c:v>
                </c:pt>
                <c:pt idx="144">
                  <c:v>45699</c:v>
                </c:pt>
                <c:pt idx="145">
                  <c:v>45700</c:v>
                </c:pt>
                <c:pt idx="146">
                  <c:v>45701</c:v>
                </c:pt>
                <c:pt idx="147">
                  <c:v>45702</c:v>
                </c:pt>
                <c:pt idx="148">
                  <c:v>45706</c:v>
                </c:pt>
                <c:pt idx="149">
                  <c:v>45707</c:v>
                </c:pt>
                <c:pt idx="150">
                  <c:v>45708</c:v>
                </c:pt>
                <c:pt idx="151">
                  <c:v>45709</c:v>
                </c:pt>
                <c:pt idx="152">
                  <c:v>45712</c:v>
                </c:pt>
                <c:pt idx="153">
                  <c:v>45713</c:v>
                </c:pt>
                <c:pt idx="154">
                  <c:v>45714</c:v>
                </c:pt>
                <c:pt idx="155">
                  <c:v>45715</c:v>
                </c:pt>
                <c:pt idx="156">
                  <c:v>45716</c:v>
                </c:pt>
                <c:pt idx="157">
                  <c:v>45719</c:v>
                </c:pt>
                <c:pt idx="158">
                  <c:v>45720</c:v>
                </c:pt>
                <c:pt idx="159">
                  <c:v>45721</c:v>
                </c:pt>
                <c:pt idx="160">
                  <c:v>45722</c:v>
                </c:pt>
                <c:pt idx="161">
                  <c:v>45723</c:v>
                </c:pt>
                <c:pt idx="162">
                  <c:v>45726</c:v>
                </c:pt>
                <c:pt idx="163">
                  <c:v>45727</c:v>
                </c:pt>
                <c:pt idx="164">
                  <c:v>45728</c:v>
                </c:pt>
                <c:pt idx="165">
                  <c:v>45729</c:v>
                </c:pt>
                <c:pt idx="166">
                  <c:v>45730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45740</c:v>
                </c:pt>
                <c:pt idx="173">
                  <c:v>45741</c:v>
                </c:pt>
                <c:pt idx="174">
                  <c:v>45742</c:v>
                </c:pt>
                <c:pt idx="175">
                  <c:v>45743</c:v>
                </c:pt>
                <c:pt idx="176">
                  <c:v>45744</c:v>
                </c:pt>
                <c:pt idx="177">
                  <c:v>45747</c:v>
                </c:pt>
              </c:numCache>
            </c:numRef>
          </c:cat>
          <c:val>
            <c:numRef>
              <c:f>KD!$C$15:$C$189</c:f>
              <c:numCache>
                <c:formatCode>General</c:formatCode>
                <c:ptCount val="175"/>
                <c:pt idx="0">
                  <c:v>85.386819484240746</c:v>
                </c:pt>
                <c:pt idx="1">
                  <c:v>86.246418338108981</c:v>
                </c:pt>
                <c:pt idx="2">
                  <c:v>95.128939828080178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85.728155339805781</c:v>
                </c:pt>
                <c:pt idx="7">
                  <c:v>86.407766990291208</c:v>
                </c:pt>
                <c:pt idx="8">
                  <c:v>71.941747572815544</c:v>
                </c:pt>
                <c:pt idx="9">
                  <c:v>77.864077669902912</c:v>
                </c:pt>
                <c:pt idx="10">
                  <c:v>81.837837837837839</c:v>
                </c:pt>
                <c:pt idx="11">
                  <c:v>64.516129032258078</c:v>
                </c:pt>
                <c:pt idx="12">
                  <c:v>61.04218362282878</c:v>
                </c:pt>
                <c:pt idx="13">
                  <c:v>49.423815620998695</c:v>
                </c:pt>
                <c:pt idx="14">
                  <c:v>53.727506426735204</c:v>
                </c:pt>
                <c:pt idx="15">
                  <c:v>50.066934404283792</c:v>
                </c:pt>
                <c:pt idx="16">
                  <c:v>41.450777202072594</c:v>
                </c:pt>
                <c:pt idx="17">
                  <c:v>73.166023166023152</c:v>
                </c:pt>
                <c:pt idx="18">
                  <c:v>48.354430379746717</c:v>
                </c:pt>
                <c:pt idx="19">
                  <c:v>100</c:v>
                </c:pt>
                <c:pt idx="20">
                  <c:v>100</c:v>
                </c:pt>
                <c:pt idx="21">
                  <c:v>97.902097902097822</c:v>
                </c:pt>
                <c:pt idx="22">
                  <c:v>86.713286713286621</c:v>
                </c:pt>
                <c:pt idx="23">
                  <c:v>67.832167832167769</c:v>
                </c:pt>
                <c:pt idx="24">
                  <c:v>39.160839160839075</c:v>
                </c:pt>
                <c:pt idx="25">
                  <c:v>56.293706293706279</c:v>
                </c:pt>
                <c:pt idx="26">
                  <c:v>60.839160839160925</c:v>
                </c:pt>
                <c:pt idx="27">
                  <c:v>53.03030303030296</c:v>
                </c:pt>
                <c:pt idx="28">
                  <c:v>88.63636363636374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80.689655172413751</c:v>
                </c:pt>
                <c:pt idx="33">
                  <c:v>75.172413793103289</c:v>
                </c:pt>
                <c:pt idx="34">
                  <c:v>37.241379310344939</c:v>
                </c:pt>
                <c:pt idx="35">
                  <c:v>30.344827586206925</c:v>
                </c:pt>
                <c:pt idx="36">
                  <c:v>57.24137931034484</c:v>
                </c:pt>
                <c:pt idx="37">
                  <c:v>33.448275862069103</c:v>
                </c:pt>
                <c:pt idx="38">
                  <c:v>5.3941908713693927</c:v>
                </c:pt>
                <c:pt idx="39">
                  <c:v>42.083333333333442</c:v>
                </c:pt>
                <c:pt idx="40">
                  <c:v>77.916666666666671</c:v>
                </c:pt>
                <c:pt idx="41">
                  <c:v>54.824561403508746</c:v>
                </c:pt>
                <c:pt idx="42">
                  <c:v>65.789473684210492</c:v>
                </c:pt>
                <c:pt idx="43">
                  <c:v>34.210526315789508</c:v>
                </c:pt>
                <c:pt idx="44">
                  <c:v>51.315789473683949</c:v>
                </c:pt>
                <c:pt idx="45">
                  <c:v>100</c:v>
                </c:pt>
                <c:pt idx="46">
                  <c:v>100</c:v>
                </c:pt>
                <c:pt idx="47">
                  <c:v>63.333333333333464</c:v>
                </c:pt>
                <c:pt idx="48">
                  <c:v>69.629629629629576</c:v>
                </c:pt>
                <c:pt idx="49">
                  <c:v>98.888888888888843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95.36679536679533</c:v>
                </c:pt>
                <c:pt idx="55">
                  <c:v>85.328185328185228</c:v>
                </c:pt>
                <c:pt idx="56">
                  <c:v>66.795366795366675</c:v>
                </c:pt>
                <c:pt idx="57">
                  <c:v>70.772442588726435</c:v>
                </c:pt>
                <c:pt idx="58">
                  <c:v>57.647058823529306</c:v>
                </c:pt>
                <c:pt idx="59">
                  <c:v>52.941176470588239</c:v>
                </c:pt>
                <c:pt idx="60">
                  <c:v>63.999999999999972</c:v>
                </c:pt>
                <c:pt idx="61">
                  <c:v>64.705882352941103</c:v>
                </c:pt>
                <c:pt idx="62">
                  <c:v>74.772036474164011</c:v>
                </c:pt>
                <c:pt idx="63">
                  <c:v>58.536585365853547</c:v>
                </c:pt>
                <c:pt idx="64">
                  <c:v>50.999999999999801</c:v>
                </c:pt>
                <c:pt idx="65">
                  <c:v>0</c:v>
                </c:pt>
                <c:pt idx="66">
                  <c:v>30.769230769230717</c:v>
                </c:pt>
                <c:pt idx="67">
                  <c:v>51.086956521739303</c:v>
                </c:pt>
                <c:pt idx="68">
                  <c:v>60.606060606060922</c:v>
                </c:pt>
                <c:pt idx="69">
                  <c:v>0</c:v>
                </c:pt>
                <c:pt idx="70">
                  <c:v>49.655172413793167</c:v>
                </c:pt>
                <c:pt idx="71">
                  <c:v>40</c:v>
                </c:pt>
                <c:pt idx="72">
                  <c:v>51.034482758620491</c:v>
                </c:pt>
                <c:pt idx="73">
                  <c:v>100</c:v>
                </c:pt>
                <c:pt idx="74">
                  <c:v>62.33766233766228</c:v>
                </c:pt>
                <c:pt idx="75">
                  <c:v>91.688311688311686</c:v>
                </c:pt>
                <c:pt idx="76">
                  <c:v>100</c:v>
                </c:pt>
                <c:pt idx="77">
                  <c:v>83.374689826302699</c:v>
                </c:pt>
                <c:pt idx="78">
                  <c:v>69.230769230769184</c:v>
                </c:pt>
                <c:pt idx="79">
                  <c:v>55.086848635235683</c:v>
                </c:pt>
                <c:pt idx="80">
                  <c:v>100</c:v>
                </c:pt>
                <c:pt idx="81">
                  <c:v>89.873417721519019</c:v>
                </c:pt>
                <c:pt idx="82">
                  <c:v>82.151898734177166</c:v>
                </c:pt>
                <c:pt idx="83">
                  <c:v>81.967213114754102</c:v>
                </c:pt>
                <c:pt idx="84">
                  <c:v>50.81967213114752</c:v>
                </c:pt>
                <c:pt idx="85">
                  <c:v>57.821229050279314</c:v>
                </c:pt>
                <c:pt idx="86">
                  <c:v>72.007042253521064</c:v>
                </c:pt>
                <c:pt idx="87">
                  <c:v>65.845070422535244</c:v>
                </c:pt>
                <c:pt idx="88">
                  <c:v>72.007042253521064</c:v>
                </c:pt>
                <c:pt idx="89">
                  <c:v>83.274647887323894</c:v>
                </c:pt>
                <c:pt idx="90">
                  <c:v>81.690140845070431</c:v>
                </c:pt>
                <c:pt idx="91">
                  <c:v>80.985915492957773</c:v>
                </c:pt>
                <c:pt idx="92">
                  <c:v>90.316901408450761</c:v>
                </c:pt>
                <c:pt idx="93">
                  <c:v>83.3333333333333</c:v>
                </c:pt>
                <c:pt idx="94">
                  <c:v>100</c:v>
                </c:pt>
                <c:pt idx="95">
                  <c:v>66.397849462365571</c:v>
                </c:pt>
                <c:pt idx="96">
                  <c:v>57.795698924731163</c:v>
                </c:pt>
                <c:pt idx="97">
                  <c:v>70.430107526881869</c:v>
                </c:pt>
                <c:pt idx="98">
                  <c:v>82.165605095541565</c:v>
                </c:pt>
                <c:pt idx="99">
                  <c:v>40.291262135922338</c:v>
                </c:pt>
                <c:pt idx="100">
                  <c:v>11.650485436892982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2.1634615384614513</c:v>
                </c:pt>
                <c:pt idx="105">
                  <c:v>44.951923076923052</c:v>
                </c:pt>
                <c:pt idx="106">
                  <c:v>25.480769230769308</c:v>
                </c:pt>
                <c:pt idx="107">
                  <c:v>12.499999999999915</c:v>
                </c:pt>
                <c:pt idx="108">
                  <c:v>43.055555555555458</c:v>
                </c:pt>
                <c:pt idx="109">
                  <c:v>49.999999999999901</c:v>
                </c:pt>
                <c:pt idx="110">
                  <c:v>54.999999999999893</c:v>
                </c:pt>
                <c:pt idx="111">
                  <c:v>61.666666666666615</c:v>
                </c:pt>
                <c:pt idx="112">
                  <c:v>64.846416382252514</c:v>
                </c:pt>
                <c:pt idx="113">
                  <c:v>11.965811965812033</c:v>
                </c:pt>
                <c:pt idx="114">
                  <c:v>35.135135135135201</c:v>
                </c:pt>
                <c:pt idx="115">
                  <c:v>45.495495495495433</c:v>
                </c:pt>
                <c:pt idx="116">
                  <c:v>35.585585585585569</c:v>
                </c:pt>
                <c:pt idx="117">
                  <c:v>38.028169014084568</c:v>
                </c:pt>
                <c:pt idx="118">
                  <c:v>55.670103092783485</c:v>
                </c:pt>
                <c:pt idx="119">
                  <c:v>38.659793814433037</c:v>
                </c:pt>
                <c:pt idx="120">
                  <c:v>0</c:v>
                </c:pt>
                <c:pt idx="121">
                  <c:v>0</c:v>
                </c:pt>
                <c:pt idx="122">
                  <c:v>14.393939393939487</c:v>
                </c:pt>
                <c:pt idx="123">
                  <c:v>20.833333333333222</c:v>
                </c:pt>
                <c:pt idx="124">
                  <c:v>38.636363636363747</c:v>
                </c:pt>
                <c:pt idx="125">
                  <c:v>40.086206896551708</c:v>
                </c:pt>
                <c:pt idx="126">
                  <c:v>94.382022471910034</c:v>
                </c:pt>
                <c:pt idx="127">
                  <c:v>97.191011235955216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64.885496183206058</c:v>
                </c:pt>
                <c:pt idx="132">
                  <c:v>70.419847328244202</c:v>
                </c:pt>
                <c:pt idx="133">
                  <c:v>72.137404580152662</c:v>
                </c:pt>
                <c:pt idx="134">
                  <c:v>68.511450381679424</c:v>
                </c:pt>
                <c:pt idx="135">
                  <c:v>86.625514403292215</c:v>
                </c:pt>
                <c:pt idx="136">
                  <c:v>68.443496801705706</c:v>
                </c:pt>
                <c:pt idx="137">
                  <c:v>79.350348027842216</c:v>
                </c:pt>
                <c:pt idx="138">
                  <c:v>26.21809744779587</c:v>
                </c:pt>
                <c:pt idx="139">
                  <c:v>0</c:v>
                </c:pt>
                <c:pt idx="140">
                  <c:v>0</c:v>
                </c:pt>
                <c:pt idx="141">
                  <c:v>8.086785009861865</c:v>
                </c:pt>
                <c:pt idx="142">
                  <c:v>12.228796844181408</c:v>
                </c:pt>
                <c:pt idx="143">
                  <c:v>8.6785009861932476</c:v>
                </c:pt>
                <c:pt idx="144">
                  <c:v>0</c:v>
                </c:pt>
                <c:pt idx="145">
                  <c:v>8.7603305785124093</c:v>
                </c:pt>
                <c:pt idx="146">
                  <c:v>17.851239669421449</c:v>
                </c:pt>
                <c:pt idx="147">
                  <c:v>31.239669421487591</c:v>
                </c:pt>
                <c:pt idx="148">
                  <c:v>31.900826446280966</c:v>
                </c:pt>
                <c:pt idx="149">
                  <c:v>68.502581755593852</c:v>
                </c:pt>
                <c:pt idx="150">
                  <c:v>74.182444061962144</c:v>
                </c:pt>
                <c:pt idx="151">
                  <c:v>80.742459396751784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92.79731993299832</c:v>
                </c:pt>
                <c:pt idx="156">
                  <c:v>99.162479061976597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78.142076502732223</c:v>
                </c:pt>
                <c:pt idx="161">
                  <c:v>54.670329670329721</c:v>
                </c:pt>
                <c:pt idx="162">
                  <c:v>50.610820244328103</c:v>
                </c:pt>
                <c:pt idx="163">
                  <c:v>28.446771378708487</c:v>
                </c:pt>
                <c:pt idx="164">
                  <c:v>45.549738219895303</c:v>
                </c:pt>
                <c:pt idx="165">
                  <c:v>25.522041763341086</c:v>
                </c:pt>
                <c:pt idx="166">
                  <c:v>26.097560975609753</c:v>
                </c:pt>
                <c:pt idx="167">
                  <c:v>34.390243902439103</c:v>
                </c:pt>
                <c:pt idx="168">
                  <c:v>48.29268292682935</c:v>
                </c:pt>
                <c:pt idx="169">
                  <c:v>49.756097560975569</c:v>
                </c:pt>
                <c:pt idx="170">
                  <c:v>4.3902439024390159</c:v>
                </c:pt>
                <c:pt idx="171">
                  <c:v>4.8780487804878723</c:v>
                </c:pt>
                <c:pt idx="172">
                  <c:v>0</c:v>
                </c:pt>
                <c:pt idx="173">
                  <c:v>42.9118773946362</c:v>
                </c:pt>
                <c:pt idx="174">
                  <c:v>97.209302325581618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E4-410E-A3AA-84935BE88725}"/>
            </c:ext>
          </c:extLst>
        </c:ser>
        <c:ser>
          <c:idx val="1"/>
          <c:order val="1"/>
          <c:tx>
            <c:strRef>
              <c:f>KD!$D$1</c:f>
              <c:strCache>
                <c:ptCount val="1"/>
                <c:pt idx="0">
                  <c:v>%D 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KD!$A$12:$A$189</c:f>
              <c:numCache>
                <c:formatCode>m/d/yyyy</c:formatCode>
                <c:ptCount val="178"/>
                <c:pt idx="0">
                  <c:v>45489</c:v>
                </c:pt>
                <c:pt idx="1">
                  <c:v>45490</c:v>
                </c:pt>
                <c:pt idx="2">
                  <c:v>45491</c:v>
                </c:pt>
                <c:pt idx="3">
                  <c:v>45492</c:v>
                </c:pt>
                <c:pt idx="4">
                  <c:v>45495</c:v>
                </c:pt>
                <c:pt idx="5">
                  <c:v>45496</c:v>
                </c:pt>
                <c:pt idx="6">
                  <c:v>45497</c:v>
                </c:pt>
                <c:pt idx="7">
                  <c:v>45498</c:v>
                </c:pt>
                <c:pt idx="8">
                  <c:v>45499</c:v>
                </c:pt>
                <c:pt idx="9">
                  <c:v>45502</c:v>
                </c:pt>
                <c:pt idx="10">
                  <c:v>45503</c:v>
                </c:pt>
                <c:pt idx="11">
                  <c:v>45504</c:v>
                </c:pt>
                <c:pt idx="12">
                  <c:v>45505</c:v>
                </c:pt>
                <c:pt idx="13">
                  <c:v>45506</c:v>
                </c:pt>
                <c:pt idx="14">
                  <c:v>45509</c:v>
                </c:pt>
                <c:pt idx="15">
                  <c:v>45510</c:v>
                </c:pt>
                <c:pt idx="16">
                  <c:v>45511</c:v>
                </c:pt>
                <c:pt idx="17">
                  <c:v>45512</c:v>
                </c:pt>
                <c:pt idx="18">
                  <c:v>45513</c:v>
                </c:pt>
                <c:pt idx="19">
                  <c:v>45516</c:v>
                </c:pt>
                <c:pt idx="20">
                  <c:v>45517</c:v>
                </c:pt>
                <c:pt idx="21">
                  <c:v>45518</c:v>
                </c:pt>
                <c:pt idx="22">
                  <c:v>45519</c:v>
                </c:pt>
                <c:pt idx="23">
                  <c:v>45520</c:v>
                </c:pt>
                <c:pt idx="24">
                  <c:v>45523</c:v>
                </c:pt>
                <c:pt idx="25">
                  <c:v>45524</c:v>
                </c:pt>
                <c:pt idx="26">
                  <c:v>45525</c:v>
                </c:pt>
                <c:pt idx="27">
                  <c:v>45526</c:v>
                </c:pt>
                <c:pt idx="28">
                  <c:v>45527</c:v>
                </c:pt>
                <c:pt idx="29">
                  <c:v>45530</c:v>
                </c:pt>
                <c:pt idx="30">
                  <c:v>45531</c:v>
                </c:pt>
                <c:pt idx="31">
                  <c:v>45532</c:v>
                </c:pt>
                <c:pt idx="32">
                  <c:v>45533</c:v>
                </c:pt>
                <c:pt idx="33">
                  <c:v>45534</c:v>
                </c:pt>
                <c:pt idx="34">
                  <c:v>45538</c:v>
                </c:pt>
                <c:pt idx="35">
                  <c:v>45539</c:v>
                </c:pt>
                <c:pt idx="36">
                  <c:v>45540</c:v>
                </c:pt>
                <c:pt idx="37">
                  <c:v>45541</c:v>
                </c:pt>
                <c:pt idx="38">
                  <c:v>45544</c:v>
                </c:pt>
                <c:pt idx="39">
                  <c:v>45545</c:v>
                </c:pt>
                <c:pt idx="40">
                  <c:v>45546</c:v>
                </c:pt>
                <c:pt idx="41">
                  <c:v>45547</c:v>
                </c:pt>
                <c:pt idx="42">
                  <c:v>45548</c:v>
                </c:pt>
                <c:pt idx="43">
                  <c:v>45551</c:v>
                </c:pt>
                <c:pt idx="44">
                  <c:v>45552</c:v>
                </c:pt>
                <c:pt idx="45">
                  <c:v>45553</c:v>
                </c:pt>
                <c:pt idx="46">
                  <c:v>45554</c:v>
                </c:pt>
                <c:pt idx="47">
                  <c:v>45555</c:v>
                </c:pt>
                <c:pt idx="48">
                  <c:v>45558</c:v>
                </c:pt>
                <c:pt idx="49">
                  <c:v>45559</c:v>
                </c:pt>
                <c:pt idx="50">
                  <c:v>45560</c:v>
                </c:pt>
                <c:pt idx="51">
                  <c:v>45561</c:v>
                </c:pt>
                <c:pt idx="52">
                  <c:v>45562</c:v>
                </c:pt>
                <c:pt idx="53">
                  <c:v>45565</c:v>
                </c:pt>
                <c:pt idx="54">
                  <c:v>45566</c:v>
                </c:pt>
                <c:pt idx="55">
                  <c:v>45567</c:v>
                </c:pt>
                <c:pt idx="56">
                  <c:v>45568</c:v>
                </c:pt>
                <c:pt idx="57">
                  <c:v>45569</c:v>
                </c:pt>
                <c:pt idx="58">
                  <c:v>45572</c:v>
                </c:pt>
                <c:pt idx="59">
                  <c:v>45573</c:v>
                </c:pt>
                <c:pt idx="60">
                  <c:v>45574</c:v>
                </c:pt>
                <c:pt idx="61">
                  <c:v>45575</c:v>
                </c:pt>
                <c:pt idx="62">
                  <c:v>45576</c:v>
                </c:pt>
                <c:pt idx="63">
                  <c:v>45579</c:v>
                </c:pt>
                <c:pt idx="64">
                  <c:v>45580</c:v>
                </c:pt>
                <c:pt idx="65">
                  <c:v>45581</c:v>
                </c:pt>
                <c:pt idx="66">
                  <c:v>45582</c:v>
                </c:pt>
                <c:pt idx="67">
                  <c:v>45583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45593</c:v>
                </c:pt>
                <c:pt idx="74">
                  <c:v>45594</c:v>
                </c:pt>
                <c:pt idx="75">
                  <c:v>45595</c:v>
                </c:pt>
                <c:pt idx="76">
                  <c:v>45596</c:v>
                </c:pt>
                <c:pt idx="77">
                  <c:v>45597</c:v>
                </c:pt>
                <c:pt idx="78">
                  <c:v>45600</c:v>
                </c:pt>
                <c:pt idx="79">
                  <c:v>45601</c:v>
                </c:pt>
                <c:pt idx="80">
                  <c:v>45602</c:v>
                </c:pt>
                <c:pt idx="81">
                  <c:v>45603</c:v>
                </c:pt>
                <c:pt idx="82">
                  <c:v>45604</c:v>
                </c:pt>
                <c:pt idx="83">
                  <c:v>45607</c:v>
                </c:pt>
                <c:pt idx="84">
                  <c:v>45608</c:v>
                </c:pt>
                <c:pt idx="85">
                  <c:v>45609</c:v>
                </c:pt>
                <c:pt idx="86">
                  <c:v>45610</c:v>
                </c:pt>
                <c:pt idx="87">
                  <c:v>45611</c:v>
                </c:pt>
                <c:pt idx="88">
                  <c:v>45614</c:v>
                </c:pt>
                <c:pt idx="89">
                  <c:v>45615</c:v>
                </c:pt>
                <c:pt idx="90">
                  <c:v>45616</c:v>
                </c:pt>
                <c:pt idx="91">
                  <c:v>45617</c:v>
                </c:pt>
                <c:pt idx="92">
                  <c:v>45618</c:v>
                </c:pt>
                <c:pt idx="93">
                  <c:v>45621</c:v>
                </c:pt>
                <c:pt idx="94">
                  <c:v>45622</c:v>
                </c:pt>
                <c:pt idx="95">
                  <c:v>45623</c:v>
                </c:pt>
                <c:pt idx="96">
                  <c:v>45625</c:v>
                </c:pt>
                <c:pt idx="97">
                  <c:v>45628</c:v>
                </c:pt>
                <c:pt idx="98">
                  <c:v>45629</c:v>
                </c:pt>
                <c:pt idx="99">
                  <c:v>45630</c:v>
                </c:pt>
                <c:pt idx="100">
                  <c:v>45631</c:v>
                </c:pt>
                <c:pt idx="101">
                  <c:v>45632</c:v>
                </c:pt>
                <c:pt idx="102">
                  <c:v>45635</c:v>
                </c:pt>
                <c:pt idx="103">
                  <c:v>45636</c:v>
                </c:pt>
                <c:pt idx="104">
                  <c:v>45637</c:v>
                </c:pt>
                <c:pt idx="105">
                  <c:v>45638</c:v>
                </c:pt>
                <c:pt idx="106">
                  <c:v>45639</c:v>
                </c:pt>
                <c:pt idx="107">
                  <c:v>45642</c:v>
                </c:pt>
                <c:pt idx="108">
                  <c:v>45643</c:v>
                </c:pt>
                <c:pt idx="109">
                  <c:v>45644</c:v>
                </c:pt>
                <c:pt idx="110">
                  <c:v>45645</c:v>
                </c:pt>
                <c:pt idx="111">
                  <c:v>45646</c:v>
                </c:pt>
                <c:pt idx="112">
                  <c:v>45649</c:v>
                </c:pt>
                <c:pt idx="113">
                  <c:v>45650</c:v>
                </c:pt>
                <c:pt idx="114">
                  <c:v>45652</c:v>
                </c:pt>
                <c:pt idx="115">
                  <c:v>45653</c:v>
                </c:pt>
                <c:pt idx="116">
                  <c:v>45656</c:v>
                </c:pt>
                <c:pt idx="117">
                  <c:v>45657</c:v>
                </c:pt>
                <c:pt idx="118">
                  <c:v>45659</c:v>
                </c:pt>
                <c:pt idx="119">
                  <c:v>45660</c:v>
                </c:pt>
                <c:pt idx="120">
                  <c:v>45663</c:v>
                </c:pt>
                <c:pt idx="121">
                  <c:v>45664</c:v>
                </c:pt>
                <c:pt idx="122">
                  <c:v>45665</c:v>
                </c:pt>
                <c:pt idx="123">
                  <c:v>45667</c:v>
                </c:pt>
                <c:pt idx="124">
                  <c:v>45670</c:v>
                </c:pt>
                <c:pt idx="125">
                  <c:v>45671</c:v>
                </c:pt>
                <c:pt idx="126">
                  <c:v>45672</c:v>
                </c:pt>
                <c:pt idx="127">
                  <c:v>45673</c:v>
                </c:pt>
                <c:pt idx="128">
                  <c:v>45674</c:v>
                </c:pt>
                <c:pt idx="129">
                  <c:v>45678</c:v>
                </c:pt>
                <c:pt idx="130">
                  <c:v>45679</c:v>
                </c:pt>
                <c:pt idx="131">
                  <c:v>45680</c:v>
                </c:pt>
                <c:pt idx="132">
                  <c:v>45681</c:v>
                </c:pt>
                <c:pt idx="133">
                  <c:v>45684</c:v>
                </c:pt>
                <c:pt idx="134">
                  <c:v>45685</c:v>
                </c:pt>
                <c:pt idx="135">
                  <c:v>45686</c:v>
                </c:pt>
                <c:pt idx="136">
                  <c:v>45687</c:v>
                </c:pt>
                <c:pt idx="137">
                  <c:v>45688</c:v>
                </c:pt>
                <c:pt idx="138">
                  <c:v>45691</c:v>
                </c:pt>
                <c:pt idx="139">
                  <c:v>45692</c:v>
                </c:pt>
                <c:pt idx="140">
                  <c:v>45693</c:v>
                </c:pt>
                <c:pt idx="141">
                  <c:v>45694</c:v>
                </c:pt>
                <c:pt idx="142">
                  <c:v>45695</c:v>
                </c:pt>
                <c:pt idx="143">
                  <c:v>45698</c:v>
                </c:pt>
                <c:pt idx="144">
                  <c:v>45699</c:v>
                </c:pt>
                <c:pt idx="145">
                  <c:v>45700</c:v>
                </c:pt>
                <c:pt idx="146">
                  <c:v>45701</c:v>
                </c:pt>
                <c:pt idx="147">
                  <c:v>45702</c:v>
                </c:pt>
                <c:pt idx="148">
                  <c:v>45706</c:v>
                </c:pt>
                <c:pt idx="149">
                  <c:v>45707</c:v>
                </c:pt>
                <c:pt idx="150">
                  <c:v>45708</c:v>
                </c:pt>
                <c:pt idx="151">
                  <c:v>45709</c:v>
                </c:pt>
                <c:pt idx="152">
                  <c:v>45712</c:v>
                </c:pt>
                <c:pt idx="153">
                  <c:v>45713</c:v>
                </c:pt>
                <c:pt idx="154">
                  <c:v>45714</c:v>
                </c:pt>
                <c:pt idx="155">
                  <c:v>45715</c:v>
                </c:pt>
                <c:pt idx="156">
                  <c:v>45716</c:v>
                </c:pt>
                <c:pt idx="157">
                  <c:v>45719</c:v>
                </c:pt>
                <c:pt idx="158">
                  <c:v>45720</c:v>
                </c:pt>
                <c:pt idx="159">
                  <c:v>45721</c:v>
                </c:pt>
                <c:pt idx="160">
                  <c:v>45722</c:v>
                </c:pt>
                <c:pt idx="161">
                  <c:v>45723</c:v>
                </c:pt>
                <c:pt idx="162">
                  <c:v>45726</c:v>
                </c:pt>
                <c:pt idx="163">
                  <c:v>45727</c:v>
                </c:pt>
                <c:pt idx="164">
                  <c:v>45728</c:v>
                </c:pt>
                <c:pt idx="165">
                  <c:v>45729</c:v>
                </c:pt>
                <c:pt idx="166">
                  <c:v>45730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45740</c:v>
                </c:pt>
                <c:pt idx="173">
                  <c:v>45741</c:v>
                </c:pt>
                <c:pt idx="174">
                  <c:v>45742</c:v>
                </c:pt>
                <c:pt idx="175">
                  <c:v>45743</c:v>
                </c:pt>
                <c:pt idx="176">
                  <c:v>45744</c:v>
                </c:pt>
                <c:pt idx="177">
                  <c:v>45747</c:v>
                </c:pt>
              </c:numCache>
            </c:numRef>
          </c:cat>
          <c:val>
            <c:numRef>
              <c:f>KD!$D$12:$D$189</c:f>
              <c:numCache>
                <c:formatCode>General</c:formatCode>
                <c:ptCount val="178"/>
                <c:pt idx="5">
                  <c:v>88.920725883476621</c:v>
                </c:pt>
                <c:pt idx="6">
                  <c:v>93.791786055396372</c:v>
                </c:pt>
                <c:pt idx="7">
                  <c:v>98.376313276026735</c:v>
                </c:pt>
                <c:pt idx="8">
                  <c:v>100</c:v>
                </c:pt>
                <c:pt idx="9">
                  <c:v>95.242718446601927</c:v>
                </c:pt>
                <c:pt idx="10">
                  <c:v>90.711974110032315</c:v>
                </c:pt>
                <c:pt idx="11">
                  <c:v>81.359223300970839</c:v>
                </c:pt>
                <c:pt idx="12">
                  <c:v>78.737864077669897</c:v>
                </c:pt>
                <c:pt idx="13">
                  <c:v>77.214554360185431</c:v>
                </c:pt>
                <c:pt idx="14">
                  <c:v>74.73934817999961</c:v>
                </c:pt>
                <c:pt idx="15">
                  <c:v>69.132050164308239</c:v>
                </c:pt>
                <c:pt idx="16">
                  <c:v>58.327376092028523</c:v>
                </c:pt>
                <c:pt idx="17">
                  <c:v>54.731168556854222</c:v>
                </c:pt>
                <c:pt idx="18">
                  <c:v>51.072752150672564</c:v>
                </c:pt>
                <c:pt idx="19">
                  <c:v>48.415072677697196</c:v>
                </c:pt>
                <c:pt idx="20">
                  <c:v>54.894578257459841</c:v>
                </c:pt>
                <c:pt idx="21">
                  <c:v>54.323743582614156</c:v>
                </c:pt>
                <c:pt idx="22">
                  <c:v>73.840151181923289</c:v>
                </c:pt>
                <c:pt idx="23">
                  <c:v>82.784810126582229</c:v>
                </c:pt>
                <c:pt idx="24">
                  <c:v>99.300699300699264</c:v>
                </c:pt>
                <c:pt idx="25">
                  <c:v>94.871794871794805</c:v>
                </c:pt>
                <c:pt idx="26">
                  <c:v>84.149184149184066</c:v>
                </c:pt>
                <c:pt idx="27">
                  <c:v>64.568764568764493</c:v>
                </c:pt>
                <c:pt idx="28">
                  <c:v>54.428904428904367</c:v>
                </c:pt>
                <c:pt idx="29">
                  <c:v>52.0979020979021</c:v>
                </c:pt>
                <c:pt idx="30">
                  <c:v>56.721056721056719</c:v>
                </c:pt>
                <c:pt idx="31">
                  <c:v>67.501942501942537</c:v>
                </c:pt>
                <c:pt idx="32">
                  <c:v>80.555555555555557</c:v>
                </c:pt>
                <c:pt idx="33">
                  <c:v>96.212121212121247</c:v>
                </c:pt>
                <c:pt idx="34">
                  <c:v>100</c:v>
                </c:pt>
                <c:pt idx="35">
                  <c:v>93.563218390804579</c:v>
                </c:pt>
                <c:pt idx="36">
                  <c:v>85.287356321839013</c:v>
                </c:pt>
                <c:pt idx="37">
                  <c:v>64.367816091953998</c:v>
                </c:pt>
                <c:pt idx="38">
                  <c:v>47.586206896551715</c:v>
                </c:pt>
                <c:pt idx="39">
                  <c:v>41.609195402298901</c:v>
                </c:pt>
                <c:pt idx="40">
                  <c:v>40.344827586206954</c:v>
                </c:pt>
                <c:pt idx="41">
                  <c:v>32.027948681261115</c:v>
                </c:pt>
                <c:pt idx="42">
                  <c:v>26.97526668892398</c:v>
                </c:pt>
                <c:pt idx="43">
                  <c:v>41.798063623789837</c:v>
                </c:pt>
                <c:pt idx="44">
                  <c:v>58.27485380116962</c:v>
                </c:pt>
                <c:pt idx="45">
                  <c:v>66.176900584795305</c:v>
                </c:pt>
                <c:pt idx="46">
                  <c:v>51.608187134502913</c:v>
                </c:pt>
                <c:pt idx="47">
                  <c:v>50.438596491227976</c:v>
                </c:pt>
                <c:pt idx="48">
                  <c:v>61.842105263157826</c:v>
                </c:pt>
                <c:pt idx="49">
                  <c:v>83.771929824561312</c:v>
                </c:pt>
                <c:pt idx="50">
                  <c:v>87.777777777777828</c:v>
                </c:pt>
                <c:pt idx="51">
                  <c:v>77.654320987654344</c:v>
                </c:pt>
                <c:pt idx="52">
                  <c:v>77.283950617283963</c:v>
                </c:pt>
                <c:pt idx="53">
                  <c:v>89.506172839506135</c:v>
                </c:pt>
                <c:pt idx="54">
                  <c:v>99.629629629629619</c:v>
                </c:pt>
                <c:pt idx="55">
                  <c:v>100</c:v>
                </c:pt>
                <c:pt idx="56">
                  <c:v>100</c:v>
                </c:pt>
                <c:pt idx="57">
                  <c:v>98.455598455598434</c:v>
                </c:pt>
                <c:pt idx="58">
                  <c:v>93.564993564993514</c:v>
                </c:pt>
                <c:pt idx="59">
                  <c:v>82.496782496782416</c:v>
                </c:pt>
                <c:pt idx="60">
                  <c:v>74.298664904092789</c:v>
                </c:pt>
                <c:pt idx="61">
                  <c:v>65.071622735874129</c:v>
                </c:pt>
                <c:pt idx="62">
                  <c:v>60.45355929428132</c:v>
                </c:pt>
                <c:pt idx="63">
                  <c:v>58.196078431372506</c:v>
                </c:pt>
                <c:pt idx="64">
                  <c:v>60.5490196078431</c:v>
                </c:pt>
                <c:pt idx="65">
                  <c:v>67.825972942368367</c:v>
                </c:pt>
                <c:pt idx="66">
                  <c:v>66.004834730986218</c:v>
                </c:pt>
                <c:pt idx="67">
                  <c:v>61.436207280005789</c:v>
                </c:pt>
                <c:pt idx="68">
                  <c:v>36.512195121951116</c:v>
                </c:pt>
                <c:pt idx="69">
                  <c:v>27.256410256410174</c:v>
                </c:pt>
                <c:pt idx="70">
                  <c:v>27.28539576365667</c:v>
                </c:pt>
                <c:pt idx="71">
                  <c:v>47.487415965676973</c:v>
                </c:pt>
                <c:pt idx="72">
                  <c:v>37.231005709266746</c:v>
                </c:pt>
                <c:pt idx="73">
                  <c:v>36.753744339951361</c:v>
                </c:pt>
                <c:pt idx="74">
                  <c:v>29.885057471264389</c:v>
                </c:pt>
                <c:pt idx="75">
                  <c:v>46.896551724137886</c:v>
                </c:pt>
                <c:pt idx="76">
                  <c:v>63.678160919540169</c:v>
                </c:pt>
                <c:pt idx="77">
                  <c:v>71.124048365427598</c:v>
                </c:pt>
                <c:pt idx="78">
                  <c:v>84.675324675324646</c:v>
                </c:pt>
                <c:pt idx="79">
                  <c:v>84.67532467532466</c:v>
                </c:pt>
                <c:pt idx="80">
                  <c:v>91.687667171538124</c:v>
                </c:pt>
                <c:pt idx="81">
                  <c:v>84.201819685690623</c:v>
                </c:pt>
                <c:pt idx="82">
                  <c:v>69.230769230769184</c:v>
                </c:pt>
                <c:pt idx="83">
                  <c:v>74.772539288668284</c:v>
                </c:pt>
                <c:pt idx="84">
                  <c:v>81.653422118918243</c:v>
                </c:pt>
                <c:pt idx="85">
                  <c:v>90.675105485232052</c:v>
                </c:pt>
                <c:pt idx="86">
                  <c:v>84.664176523483434</c:v>
                </c:pt>
                <c:pt idx="87">
                  <c:v>71.646261326692922</c:v>
                </c:pt>
                <c:pt idx="88">
                  <c:v>63.536038098726976</c:v>
                </c:pt>
                <c:pt idx="89">
                  <c:v>60.215981144982635</c:v>
                </c:pt>
                <c:pt idx="90">
                  <c:v>65.224447242111864</c:v>
                </c:pt>
                <c:pt idx="91">
                  <c:v>69.953051643192467</c:v>
                </c:pt>
                <c:pt idx="92">
                  <c:v>73.70892018779341</c:v>
                </c:pt>
                <c:pt idx="93">
                  <c:v>78.990610328638454</c:v>
                </c:pt>
                <c:pt idx="94">
                  <c:v>81.983568075117361</c:v>
                </c:pt>
                <c:pt idx="95">
                  <c:v>84.330985915492988</c:v>
                </c:pt>
                <c:pt idx="96">
                  <c:v>84.878716744913945</c:v>
                </c:pt>
                <c:pt idx="97">
                  <c:v>91.216744913928025</c:v>
                </c:pt>
                <c:pt idx="98">
                  <c:v>83.243727598566295</c:v>
                </c:pt>
                <c:pt idx="99">
                  <c:v>74.731182795698913</c:v>
                </c:pt>
                <c:pt idx="100">
                  <c:v>64.874551971326198</c:v>
                </c:pt>
                <c:pt idx="101">
                  <c:v>70.130470515718201</c:v>
                </c:pt>
                <c:pt idx="102">
                  <c:v>64.295658252781934</c:v>
                </c:pt>
                <c:pt idx="103">
                  <c:v>44.702450889452301</c:v>
                </c:pt>
                <c:pt idx="104">
                  <c:v>17.313915857605107</c:v>
                </c:pt>
                <c:pt idx="105">
                  <c:v>3.8834951456309939</c:v>
                </c:pt>
                <c:pt idx="106">
                  <c:v>0</c:v>
                </c:pt>
                <c:pt idx="107">
                  <c:v>0.72115384615381706</c:v>
                </c:pt>
                <c:pt idx="108">
                  <c:v>15.705128205128167</c:v>
                </c:pt>
                <c:pt idx="109">
                  <c:v>24.198717948717938</c:v>
                </c:pt>
                <c:pt idx="110">
                  <c:v>27.644230769230759</c:v>
                </c:pt>
                <c:pt idx="111">
                  <c:v>27.012108262108228</c:v>
                </c:pt>
                <c:pt idx="112">
                  <c:v>35.185185185185091</c:v>
                </c:pt>
                <c:pt idx="113">
                  <c:v>49.351851851851755</c:v>
                </c:pt>
                <c:pt idx="114">
                  <c:v>55.555555555555465</c:v>
                </c:pt>
                <c:pt idx="115">
                  <c:v>60.504361016306348</c:v>
                </c:pt>
                <c:pt idx="116">
                  <c:v>46.159631671577053</c:v>
                </c:pt>
                <c:pt idx="117">
                  <c:v>37.315787827733253</c:v>
                </c:pt>
                <c:pt idx="118">
                  <c:v>30.86548086548089</c:v>
                </c:pt>
                <c:pt idx="119">
                  <c:v>38.738738738738732</c:v>
                </c:pt>
                <c:pt idx="120">
                  <c:v>39.703083365055193</c:v>
                </c:pt>
                <c:pt idx="121">
                  <c:v>43.094619230817869</c:v>
                </c:pt>
                <c:pt idx="122">
                  <c:v>44.119355307100363</c:v>
                </c:pt>
                <c:pt idx="123">
                  <c:v>31.443298969072174</c:v>
                </c:pt>
                <c:pt idx="124">
                  <c:v>12.886597938144346</c:v>
                </c:pt>
                <c:pt idx="125">
                  <c:v>4.7979797979798287</c:v>
                </c:pt>
                <c:pt idx="126">
                  <c:v>11.742424242424235</c:v>
                </c:pt>
                <c:pt idx="127">
                  <c:v>24.621212121212153</c:v>
                </c:pt>
                <c:pt idx="128">
                  <c:v>33.185301288749564</c:v>
                </c:pt>
                <c:pt idx="129">
                  <c:v>57.701531001608494</c:v>
                </c:pt>
                <c:pt idx="130">
                  <c:v>77.219746868138984</c:v>
                </c:pt>
                <c:pt idx="131">
                  <c:v>97.191011235955088</c:v>
                </c:pt>
                <c:pt idx="132">
                  <c:v>99.063670411985072</c:v>
                </c:pt>
                <c:pt idx="133">
                  <c:v>100</c:v>
                </c:pt>
                <c:pt idx="134">
                  <c:v>88.295165394402019</c:v>
                </c:pt>
                <c:pt idx="135">
                  <c:v>78.435114503816749</c:v>
                </c:pt>
                <c:pt idx="136">
                  <c:v>69.147582697200974</c:v>
                </c:pt>
                <c:pt idx="137">
                  <c:v>70.356234096692091</c:v>
                </c:pt>
                <c:pt idx="138">
                  <c:v>75.758123121708095</c:v>
                </c:pt>
                <c:pt idx="139">
                  <c:v>74.526820528892458</c:v>
                </c:pt>
                <c:pt idx="140">
                  <c:v>78.139786410946712</c:v>
                </c:pt>
                <c:pt idx="141">
                  <c:v>58.003980759114597</c:v>
                </c:pt>
                <c:pt idx="142">
                  <c:v>35.189481825212695</c:v>
                </c:pt>
                <c:pt idx="143">
                  <c:v>8.739365815931956</c:v>
                </c:pt>
                <c:pt idx="144">
                  <c:v>2.6955950032872882</c:v>
                </c:pt>
                <c:pt idx="145">
                  <c:v>6.7718606180144247</c:v>
                </c:pt>
                <c:pt idx="146">
                  <c:v>9.6646942800788409</c:v>
                </c:pt>
                <c:pt idx="147">
                  <c:v>6.9690992767915523</c:v>
                </c:pt>
                <c:pt idx="148">
                  <c:v>5.8129438549018859</c:v>
                </c:pt>
                <c:pt idx="149">
                  <c:v>8.8705234159779529</c:v>
                </c:pt>
                <c:pt idx="150">
                  <c:v>19.283746556473815</c:v>
                </c:pt>
                <c:pt idx="151">
                  <c:v>26.997245179063338</c:v>
                </c:pt>
                <c:pt idx="152">
                  <c:v>43.881025874454139</c:v>
                </c:pt>
                <c:pt idx="153">
                  <c:v>58.195284087945652</c:v>
                </c:pt>
                <c:pt idx="154">
                  <c:v>74.475828404769246</c:v>
                </c:pt>
                <c:pt idx="155">
                  <c:v>84.974967819571305</c:v>
                </c:pt>
                <c:pt idx="156">
                  <c:v>93.580819798917261</c:v>
                </c:pt>
                <c:pt idx="157">
                  <c:v>100</c:v>
                </c:pt>
                <c:pt idx="158">
                  <c:v>97.599106644332778</c:v>
                </c:pt>
                <c:pt idx="159">
                  <c:v>97.319932998324973</c:v>
                </c:pt>
                <c:pt idx="160">
                  <c:v>97.319932998324973</c:v>
                </c:pt>
                <c:pt idx="161">
                  <c:v>99.720826353992194</c:v>
                </c:pt>
                <c:pt idx="162">
                  <c:v>100</c:v>
                </c:pt>
                <c:pt idx="163">
                  <c:v>92.714025500910736</c:v>
                </c:pt>
                <c:pt idx="164">
                  <c:v>77.604135391020648</c:v>
                </c:pt>
                <c:pt idx="165">
                  <c:v>61.141075472463349</c:v>
                </c:pt>
                <c:pt idx="166">
                  <c:v>44.575973764455433</c:v>
                </c:pt>
                <c:pt idx="167">
                  <c:v>41.535776614310628</c:v>
                </c:pt>
                <c:pt idx="168">
                  <c:v>33.172850453981624</c:v>
                </c:pt>
                <c:pt idx="169">
                  <c:v>32.389780319615376</c:v>
                </c:pt>
                <c:pt idx="170">
                  <c:v>28.669948880463313</c:v>
                </c:pt>
                <c:pt idx="171">
                  <c:v>36.260162601626071</c:v>
                </c:pt>
                <c:pt idx="172">
                  <c:v>44.146341463414672</c:v>
                </c:pt>
                <c:pt idx="173">
                  <c:v>34.146341463414643</c:v>
                </c:pt>
                <c:pt idx="174">
                  <c:v>19.674796747967488</c:v>
                </c:pt>
                <c:pt idx="175">
                  <c:v>3.0894308943089626</c:v>
                </c:pt>
                <c:pt idx="176">
                  <c:v>15.929975391708025</c:v>
                </c:pt>
                <c:pt idx="177">
                  <c:v>46.707059906739268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E4-410E-A3AA-84935BE88725}"/>
            </c:ext>
          </c:extLst>
        </c:ser>
        <c:ser>
          <c:idx val="2"/>
          <c:order val="2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KD!$A$12:$A$189</c:f>
              <c:numCache>
                <c:formatCode>m/d/yyyy</c:formatCode>
                <c:ptCount val="178"/>
                <c:pt idx="0">
                  <c:v>45489</c:v>
                </c:pt>
                <c:pt idx="1">
                  <c:v>45490</c:v>
                </c:pt>
                <c:pt idx="2">
                  <c:v>45491</c:v>
                </c:pt>
                <c:pt idx="3">
                  <c:v>45492</c:v>
                </c:pt>
                <c:pt idx="4">
                  <c:v>45495</c:v>
                </c:pt>
                <c:pt idx="5">
                  <c:v>45496</c:v>
                </c:pt>
                <c:pt idx="6">
                  <c:v>45497</c:v>
                </c:pt>
                <c:pt idx="7">
                  <c:v>45498</c:v>
                </c:pt>
                <c:pt idx="8">
                  <c:v>45499</c:v>
                </c:pt>
                <c:pt idx="9">
                  <c:v>45502</c:v>
                </c:pt>
                <c:pt idx="10">
                  <c:v>45503</c:v>
                </c:pt>
                <c:pt idx="11">
                  <c:v>45504</c:v>
                </c:pt>
                <c:pt idx="12">
                  <c:v>45505</c:v>
                </c:pt>
                <c:pt idx="13">
                  <c:v>45506</c:v>
                </c:pt>
                <c:pt idx="14">
                  <c:v>45509</c:v>
                </c:pt>
                <c:pt idx="15">
                  <c:v>45510</c:v>
                </c:pt>
                <c:pt idx="16">
                  <c:v>45511</c:v>
                </c:pt>
                <c:pt idx="17">
                  <c:v>45512</c:v>
                </c:pt>
                <c:pt idx="18">
                  <c:v>45513</c:v>
                </c:pt>
                <c:pt idx="19">
                  <c:v>45516</c:v>
                </c:pt>
                <c:pt idx="20">
                  <c:v>45517</c:v>
                </c:pt>
                <c:pt idx="21">
                  <c:v>45518</c:v>
                </c:pt>
                <c:pt idx="22">
                  <c:v>45519</c:v>
                </c:pt>
                <c:pt idx="23">
                  <c:v>45520</c:v>
                </c:pt>
                <c:pt idx="24">
                  <c:v>45523</c:v>
                </c:pt>
                <c:pt idx="25">
                  <c:v>45524</c:v>
                </c:pt>
                <c:pt idx="26">
                  <c:v>45525</c:v>
                </c:pt>
                <c:pt idx="27">
                  <c:v>45526</c:v>
                </c:pt>
                <c:pt idx="28">
                  <c:v>45527</c:v>
                </c:pt>
                <c:pt idx="29">
                  <c:v>45530</c:v>
                </c:pt>
                <c:pt idx="30">
                  <c:v>45531</c:v>
                </c:pt>
                <c:pt idx="31">
                  <c:v>45532</c:v>
                </c:pt>
                <c:pt idx="32">
                  <c:v>45533</c:v>
                </c:pt>
                <c:pt idx="33">
                  <c:v>45534</c:v>
                </c:pt>
                <c:pt idx="34">
                  <c:v>45538</c:v>
                </c:pt>
                <c:pt idx="35">
                  <c:v>45539</c:v>
                </c:pt>
                <c:pt idx="36">
                  <c:v>45540</c:v>
                </c:pt>
                <c:pt idx="37">
                  <c:v>45541</c:v>
                </c:pt>
                <c:pt idx="38">
                  <c:v>45544</c:v>
                </c:pt>
                <c:pt idx="39">
                  <c:v>45545</c:v>
                </c:pt>
                <c:pt idx="40">
                  <c:v>45546</c:v>
                </c:pt>
                <c:pt idx="41">
                  <c:v>45547</c:v>
                </c:pt>
                <c:pt idx="42">
                  <c:v>45548</c:v>
                </c:pt>
                <c:pt idx="43">
                  <c:v>45551</c:v>
                </c:pt>
                <c:pt idx="44">
                  <c:v>45552</c:v>
                </c:pt>
                <c:pt idx="45">
                  <c:v>45553</c:v>
                </c:pt>
                <c:pt idx="46">
                  <c:v>45554</c:v>
                </c:pt>
                <c:pt idx="47">
                  <c:v>45555</c:v>
                </c:pt>
                <c:pt idx="48">
                  <c:v>45558</c:v>
                </c:pt>
                <c:pt idx="49">
                  <c:v>45559</c:v>
                </c:pt>
                <c:pt idx="50">
                  <c:v>45560</c:v>
                </c:pt>
                <c:pt idx="51">
                  <c:v>45561</c:v>
                </c:pt>
                <c:pt idx="52">
                  <c:v>45562</c:v>
                </c:pt>
                <c:pt idx="53">
                  <c:v>45565</c:v>
                </c:pt>
                <c:pt idx="54">
                  <c:v>45566</c:v>
                </c:pt>
                <c:pt idx="55">
                  <c:v>45567</c:v>
                </c:pt>
                <c:pt idx="56">
                  <c:v>45568</c:v>
                </c:pt>
                <c:pt idx="57">
                  <c:v>45569</c:v>
                </c:pt>
                <c:pt idx="58">
                  <c:v>45572</c:v>
                </c:pt>
                <c:pt idx="59">
                  <c:v>45573</c:v>
                </c:pt>
                <c:pt idx="60">
                  <c:v>45574</c:v>
                </c:pt>
                <c:pt idx="61">
                  <c:v>45575</c:v>
                </c:pt>
                <c:pt idx="62">
                  <c:v>45576</c:v>
                </c:pt>
                <c:pt idx="63">
                  <c:v>45579</c:v>
                </c:pt>
                <c:pt idx="64">
                  <c:v>45580</c:v>
                </c:pt>
                <c:pt idx="65">
                  <c:v>45581</c:v>
                </c:pt>
                <c:pt idx="66">
                  <c:v>45582</c:v>
                </c:pt>
                <c:pt idx="67">
                  <c:v>45583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45593</c:v>
                </c:pt>
                <c:pt idx="74">
                  <c:v>45594</c:v>
                </c:pt>
                <c:pt idx="75">
                  <c:v>45595</c:v>
                </c:pt>
                <c:pt idx="76">
                  <c:v>45596</c:v>
                </c:pt>
                <c:pt idx="77">
                  <c:v>45597</c:v>
                </c:pt>
                <c:pt idx="78">
                  <c:v>45600</c:v>
                </c:pt>
                <c:pt idx="79">
                  <c:v>45601</c:v>
                </c:pt>
                <c:pt idx="80">
                  <c:v>45602</c:v>
                </c:pt>
                <c:pt idx="81">
                  <c:v>45603</c:v>
                </c:pt>
                <c:pt idx="82">
                  <c:v>45604</c:v>
                </c:pt>
                <c:pt idx="83">
                  <c:v>45607</c:v>
                </c:pt>
                <c:pt idx="84">
                  <c:v>45608</c:v>
                </c:pt>
                <c:pt idx="85">
                  <c:v>45609</c:v>
                </c:pt>
                <c:pt idx="86">
                  <c:v>45610</c:v>
                </c:pt>
                <c:pt idx="87">
                  <c:v>45611</c:v>
                </c:pt>
                <c:pt idx="88">
                  <c:v>45614</c:v>
                </c:pt>
                <c:pt idx="89">
                  <c:v>45615</c:v>
                </c:pt>
                <c:pt idx="90">
                  <c:v>45616</c:v>
                </c:pt>
                <c:pt idx="91">
                  <c:v>45617</c:v>
                </c:pt>
                <c:pt idx="92">
                  <c:v>45618</c:v>
                </c:pt>
                <c:pt idx="93">
                  <c:v>45621</c:v>
                </c:pt>
                <c:pt idx="94">
                  <c:v>45622</c:v>
                </c:pt>
                <c:pt idx="95">
                  <c:v>45623</c:v>
                </c:pt>
                <c:pt idx="96">
                  <c:v>45625</c:v>
                </c:pt>
                <c:pt idx="97">
                  <c:v>45628</c:v>
                </c:pt>
                <c:pt idx="98">
                  <c:v>45629</c:v>
                </c:pt>
                <c:pt idx="99">
                  <c:v>45630</c:v>
                </c:pt>
                <c:pt idx="100">
                  <c:v>45631</c:v>
                </c:pt>
                <c:pt idx="101">
                  <c:v>45632</c:v>
                </c:pt>
                <c:pt idx="102">
                  <c:v>45635</c:v>
                </c:pt>
                <c:pt idx="103">
                  <c:v>45636</c:v>
                </c:pt>
                <c:pt idx="104">
                  <c:v>45637</c:v>
                </c:pt>
                <c:pt idx="105">
                  <c:v>45638</c:v>
                </c:pt>
                <c:pt idx="106">
                  <c:v>45639</c:v>
                </c:pt>
                <c:pt idx="107">
                  <c:v>45642</c:v>
                </c:pt>
                <c:pt idx="108">
                  <c:v>45643</c:v>
                </c:pt>
                <c:pt idx="109">
                  <c:v>45644</c:v>
                </c:pt>
                <c:pt idx="110">
                  <c:v>45645</c:v>
                </c:pt>
                <c:pt idx="111">
                  <c:v>45646</c:v>
                </c:pt>
                <c:pt idx="112">
                  <c:v>45649</c:v>
                </c:pt>
                <c:pt idx="113">
                  <c:v>45650</c:v>
                </c:pt>
                <c:pt idx="114">
                  <c:v>45652</c:v>
                </c:pt>
                <c:pt idx="115">
                  <c:v>45653</c:v>
                </c:pt>
                <c:pt idx="116">
                  <c:v>45656</c:v>
                </c:pt>
                <c:pt idx="117">
                  <c:v>45657</c:v>
                </c:pt>
                <c:pt idx="118">
                  <c:v>45659</c:v>
                </c:pt>
                <c:pt idx="119">
                  <c:v>45660</c:v>
                </c:pt>
                <c:pt idx="120">
                  <c:v>45663</c:v>
                </c:pt>
                <c:pt idx="121">
                  <c:v>45664</c:v>
                </c:pt>
                <c:pt idx="122">
                  <c:v>45665</c:v>
                </c:pt>
                <c:pt idx="123">
                  <c:v>45667</c:v>
                </c:pt>
                <c:pt idx="124">
                  <c:v>45670</c:v>
                </c:pt>
                <c:pt idx="125">
                  <c:v>45671</c:v>
                </c:pt>
                <c:pt idx="126">
                  <c:v>45672</c:v>
                </c:pt>
                <c:pt idx="127">
                  <c:v>45673</c:v>
                </c:pt>
                <c:pt idx="128">
                  <c:v>45674</c:v>
                </c:pt>
                <c:pt idx="129">
                  <c:v>45678</c:v>
                </c:pt>
                <c:pt idx="130">
                  <c:v>45679</c:v>
                </c:pt>
                <c:pt idx="131">
                  <c:v>45680</c:v>
                </c:pt>
                <c:pt idx="132">
                  <c:v>45681</c:v>
                </c:pt>
                <c:pt idx="133">
                  <c:v>45684</c:v>
                </c:pt>
                <c:pt idx="134">
                  <c:v>45685</c:v>
                </c:pt>
                <c:pt idx="135">
                  <c:v>45686</c:v>
                </c:pt>
                <c:pt idx="136">
                  <c:v>45687</c:v>
                </c:pt>
                <c:pt idx="137">
                  <c:v>45688</c:v>
                </c:pt>
                <c:pt idx="138">
                  <c:v>45691</c:v>
                </c:pt>
                <c:pt idx="139">
                  <c:v>45692</c:v>
                </c:pt>
                <c:pt idx="140">
                  <c:v>45693</c:v>
                </c:pt>
                <c:pt idx="141">
                  <c:v>45694</c:v>
                </c:pt>
                <c:pt idx="142">
                  <c:v>45695</c:v>
                </c:pt>
                <c:pt idx="143">
                  <c:v>45698</c:v>
                </c:pt>
                <c:pt idx="144">
                  <c:v>45699</c:v>
                </c:pt>
                <c:pt idx="145">
                  <c:v>45700</c:v>
                </c:pt>
                <c:pt idx="146">
                  <c:v>45701</c:v>
                </c:pt>
                <c:pt idx="147">
                  <c:v>45702</c:v>
                </c:pt>
                <c:pt idx="148">
                  <c:v>45706</c:v>
                </c:pt>
                <c:pt idx="149">
                  <c:v>45707</c:v>
                </c:pt>
                <c:pt idx="150">
                  <c:v>45708</c:v>
                </c:pt>
                <c:pt idx="151">
                  <c:v>45709</c:v>
                </c:pt>
                <c:pt idx="152">
                  <c:v>45712</c:v>
                </c:pt>
                <c:pt idx="153">
                  <c:v>45713</c:v>
                </c:pt>
                <c:pt idx="154">
                  <c:v>45714</c:v>
                </c:pt>
                <c:pt idx="155">
                  <c:v>45715</c:v>
                </c:pt>
                <c:pt idx="156">
                  <c:v>45716</c:v>
                </c:pt>
                <c:pt idx="157">
                  <c:v>45719</c:v>
                </c:pt>
                <c:pt idx="158">
                  <c:v>45720</c:v>
                </c:pt>
                <c:pt idx="159">
                  <c:v>45721</c:v>
                </c:pt>
                <c:pt idx="160">
                  <c:v>45722</c:v>
                </c:pt>
                <c:pt idx="161">
                  <c:v>45723</c:v>
                </c:pt>
                <c:pt idx="162">
                  <c:v>45726</c:v>
                </c:pt>
                <c:pt idx="163">
                  <c:v>45727</c:v>
                </c:pt>
                <c:pt idx="164">
                  <c:v>45728</c:v>
                </c:pt>
                <c:pt idx="165">
                  <c:v>45729</c:v>
                </c:pt>
                <c:pt idx="166">
                  <c:v>45730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45740</c:v>
                </c:pt>
                <c:pt idx="173">
                  <c:v>45741</c:v>
                </c:pt>
                <c:pt idx="174">
                  <c:v>45742</c:v>
                </c:pt>
                <c:pt idx="175">
                  <c:v>45743</c:v>
                </c:pt>
                <c:pt idx="176">
                  <c:v>45744</c:v>
                </c:pt>
                <c:pt idx="177">
                  <c:v>45747</c:v>
                </c:pt>
              </c:numCache>
            </c:numRef>
          </c:cat>
          <c:val>
            <c:numRef>
              <c:f>KD!$E$12:$E$189</c:f>
              <c:numCache>
                <c:formatCode>General</c:formatCode>
                <c:ptCount val="178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80</c:v>
                </c:pt>
                <c:pt idx="70">
                  <c:v>80</c:v>
                </c:pt>
                <c:pt idx="71">
                  <c:v>80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  <c:pt idx="75">
                  <c:v>80</c:v>
                </c:pt>
                <c:pt idx="76">
                  <c:v>80</c:v>
                </c:pt>
                <c:pt idx="77">
                  <c:v>80</c:v>
                </c:pt>
                <c:pt idx="78">
                  <c:v>80</c:v>
                </c:pt>
                <c:pt idx="79">
                  <c:v>80</c:v>
                </c:pt>
                <c:pt idx="80">
                  <c:v>80</c:v>
                </c:pt>
                <c:pt idx="81">
                  <c:v>80</c:v>
                </c:pt>
                <c:pt idx="82">
                  <c:v>80</c:v>
                </c:pt>
                <c:pt idx="83">
                  <c:v>80</c:v>
                </c:pt>
                <c:pt idx="84">
                  <c:v>80</c:v>
                </c:pt>
                <c:pt idx="85">
                  <c:v>80</c:v>
                </c:pt>
                <c:pt idx="86">
                  <c:v>80</c:v>
                </c:pt>
                <c:pt idx="87">
                  <c:v>80</c:v>
                </c:pt>
                <c:pt idx="88">
                  <c:v>80</c:v>
                </c:pt>
                <c:pt idx="89">
                  <c:v>80</c:v>
                </c:pt>
                <c:pt idx="90">
                  <c:v>80</c:v>
                </c:pt>
                <c:pt idx="91">
                  <c:v>80</c:v>
                </c:pt>
                <c:pt idx="92">
                  <c:v>80</c:v>
                </c:pt>
                <c:pt idx="93">
                  <c:v>80</c:v>
                </c:pt>
                <c:pt idx="94">
                  <c:v>80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80</c:v>
                </c:pt>
                <c:pt idx="99">
                  <c:v>80</c:v>
                </c:pt>
                <c:pt idx="100">
                  <c:v>80</c:v>
                </c:pt>
                <c:pt idx="101">
                  <c:v>80</c:v>
                </c:pt>
                <c:pt idx="102">
                  <c:v>80</c:v>
                </c:pt>
                <c:pt idx="103">
                  <c:v>80</c:v>
                </c:pt>
                <c:pt idx="104">
                  <c:v>80</c:v>
                </c:pt>
                <c:pt idx="105">
                  <c:v>80</c:v>
                </c:pt>
                <c:pt idx="106">
                  <c:v>80</c:v>
                </c:pt>
                <c:pt idx="107">
                  <c:v>80</c:v>
                </c:pt>
                <c:pt idx="108">
                  <c:v>80</c:v>
                </c:pt>
                <c:pt idx="109">
                  <c:v>80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80</c:v>
                </c:pt>
                <c:pt idx="123">
                  <c:v>80</c:v>
                </c:pt>
                <c:pt idx="124">
                  <c:v>80</c:v>
                </c:pt>
                <c:pt idx="125">
                  <c:v>80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80</c:v>
                </c:pt>
                <c:pt idx="137">
                  <c:v>80</c:v>
                </c:pt>
                <c:pt idx="138">
                  <c:v>80</c:v>
                </c:pt>
                <c:pt idx="139">
                  <c:v>80</c:v>
                </c:pt>
                <c:pt idx="140">
                  <c:v>80</c:v>
                </c:pt>
                <c:pt idx="141">
                  <c:v>80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80</c:v>
                </c:pt>
                <c:pt idx="150">
                  <c:v>80</c:v>
                </c:pt>
                <c:pt idx="151">
                  <c:v>80</c:v>
                </c:pt>
                <c:pt idx="152">
                  <c:v>80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80</c:v>
                </c:pt>
                <c:pt idx="158">
                  <c:v>80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80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80</c:v>
                </c:pt>
                <c:pt idx="170">
                  <c:v>80</c:v>
                </c:pt>
                <c:pt idx="171">
                  <c:v>80</c:v>
                </c:pt>
                <c:pt idx="172">
                  <c:v>80</c:v>
                </c:pt>
                <c:pt idx="173">
                  <c:v>80</c:v>
                </c:pt>
                <c:pt idx="174">
                  <c:v>80</c:v>
                </c:pt>
                <c:pt idx="175">
                  <c:v>80</c:v>
                </c:pt>
                <c:pt idx="176">
                  <c:v>80</c:v>
                </c:pt>
                <c:pt idx="17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E4-410E-A3AA-84935BE88725}"/>
            </c:ext>
          </c:extLst>
        </c:ser>
        <c:ser>
          <c:idx val="3"/>
          <c:order val="3"/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KD!$A$12:$A$189</c:f>
              <c:numCache>
                <c:formatCode>m/d/yyyy</c:formatCode>
                <c:ptCount val="178"/>
                <c:pt idx="0">
                  <c:v>45489</c:v>
                </c:pt>
                <c:pt idx="1">
                  <c:v>45490</c:v>
                </c:pt>
                <c:pt idx="2">
                  <c:v>45491</c:v>
                </c:pt>
                <c:pt idx="3">
                  <c:v>45492</c:v>
                </c:pt>
                <c:pt idx="4">
                  <c:v>45495</c:v>
                </c:pt>
                <c:pt idx="5">
                  <c:v>45496</c:v>
                </c:pt>
                <c:pt idx="6">
                  <c:v>45497</c:v>
                </c:pt>
                <c:pt idx="7">
                  <c:v>45498</c:v>
                </c:pt>
                <c:pt idx="8">
                  <c:v>45499</c:v>
                </c:pt>
                <c:pt idx="9">
                  <c:v>45502</c:v>
                </c:pt>
                <c:pt idx="10">
                  <c:v>45503</c:v>
                </c:pt>
                <c:pt idx="11">
                  <c:v>45504</c:v>
                </c:pt>
                <c:pt idx="12">
                  <c:v>45505</c:v>
                </c:pt>
                <c:pt idx="13">
                  <c:v>45506</c:v>
                </c:pt>
                <c:pt idx="14">
                  <c:v>45509</c:v>
                </c:pt>
                <c:pt idx="15">
                  <c:v>45510</c:v>
                </c:pt>
                <c:pt idx="16">
                  <c:v>45511</c:v>
                </c:pt>
                <c:pt idx="17">
                  <c:v>45512</c:v>
                </c:pt>
                <c:pt idx="18">
                  <c:v>45513</c:v>
                </c:pt>
                <c:pt idx="19">
                  <c:v>45516</c:v>
                </c:pt>
                <c:pt idx="20">
                  <c:v>45517</c:v>
                </c:pt>
                <c:pt idx="21">
                  <c:v>45518</c:v>
                </c:pt>
                <c:pt idx="22">
                  <c:v>45519</c:v>
                </c:pt>
                <c:pt idx="23">
                  <c:v>45520</c:v>
                </c:pt>
                <c:pt idx="24">
                  <c:v>45523</c:v>
                </c:pt>
                <c:pt idx="25">
                  <c:v>45524</c:v>
                </c:pt>
                <c:pt idx="26">
                  <c:v>45525</c:v>
                </c:pt>
                <c:pt idx="27">
                  <c:v>45526</c:v>
                </c:pt>
                <c:pt idx="28">
                  <c:v>45527</c:v>
                </c:pt>
                <c:pt idx="29">
                  <c:v>45530</c:v>
                </c:pt>
                <c:pt idx="30">
                  <c:v>45531</c:v>
                </c:pt>
                <c:pt idx="31">
                  <c:v>45532</c:v>
                </c:pt>
                <c:pt idx="32">
                  <c:v>45533</c:v>
                </c:pt>
                <c:pt idx="33">
                  <c:v>45534</c:v>
                </c:pt>
                <c:pt idx="34">
                  <c:v>45538</c:v>
                </c:pt>
                <c:pt idx="35">
                  <c:v>45539</c:v>
                </c:pt>
                <c:pt idx="36">
                  <c:v>45540</c:v>
                </c:pt>
                <c:pt idx="37">
                  <c:v>45541</c:v>
                </c:pt>
                <c:pt idx="38">
                  <c:v>45544</c:v>
                </c:pt>
                <c:pt idx="39">
                  <c:v>45545</c:v>
                </c:pt>
                <c:pt idx="40">
                  <c:v>45546</c:v>
                </c:pt>
                <c:pt idx="41">
                  <c:v>45547</c:v>
                </c:pt>
                <c:pt idx="42">
                  <c:v>45548</c:v>
                </c:pt>
                <c:pt idx="43">
                  <c:v>45551</c:v>
                </c:pt>
                <c:pt idx="44">
                  <c:v>45552</c:v>
                </c:pt>
                <c:pt idx="45">
                  <c:v>45553</c:v>
                </c:pt>
                <c:pt idx="46">
                  <c:v>45554</c:v>
                </c:pt>
                <c:pt idx="47">
                  <c:v>45555</c:v>
                </c:pt>
                <c:pt idx="48">
                  <c:v>45558</c:v>
                </c:pt>
                <c:pt idx="49">
                  <c:v>45559</c:v>
                </c:pt>
                <c:pt idx="50">
                  <c:v>45560</c:v>
                </c:pt>
                <c:pt idx="51">
                  <c:v>45561</c:v>
                </c:pt>
                <c:pt idx="52">
                  <c:v>45562</c:v>
                </c:pt>
                <c:pt idx="53">
                  <c:v>45565</c:v>
                </c:pt>
                <c:pt idx="54">
                  <c:v>45566</c:v>
                </c:pt>
                <c:pt idx="55">
                  <c:v>45567</c:v>
                </c:pt>
                <c:pt idx="56">
                  <c:v>45568</c:v>
                </c:pt>
                <c:pt idx="57">
                  <c:v>45569</c:v>
                </c:pt>
                <c:pt idx="58">
                  <c:v>45572</c:v>
                </c:pt>
                <c:pt idx="59">
                  <c:v>45573</c:v>
                </c:pt>
                <c:pt idx="60">
                  <c:v>45574</c:v>
                </c:pt>
                <c:pt idx="61">
                  <c:v>45575</c:v>
                </c:pt>
                <c:pt idx="62">
                  <c:v>45576</c:v>
                </c:pt>
                <c:pt idx="63">
                  <c:v>45579</c:v>
                </c:pt>
                <c:pt idx="64">
                  <c:v>45580</c:v>
                </c:pt>
                <c:pt idx="65">
                  <c:v>45581</c:v>
                </c:pt>
                <c:pt idx="66">
                  <c:v>45582</c:v>
                </c:pt>
                <c:pt idx="67">
                  <c:v>45583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45593</c:v>
                </c:pt>
                <c:pt idx="74">
                  <c:v>45594</c:v>
                </c:pt>
                <c:pt idx="75">
                  <c:v>45595</c:v>
                </c:pt>
                <c:pt idx="76">
                  <c:v>45596</c:v>
                </c:pt>
                <c:pt idx="77">
                  <c:v>45597</c:v>
                </c:pt>
                <c:pt idx="78">
                  <c:v>45600</c:v>
                </c:pt>
                <c:pt idx="79">
                  <c:v>45601</c:v>
                </c:pt>
                <c:pt idx="80">
                  <c:v>45602</c:v>
                </c:pt>
                <c:pt idx="81">
                  <c:v>45603</c:v>
                </c:pt>
                <c:pt idx="82">
                  <c:v>45604</c:v>
                </c:pt>
                <c:pt idx="83">
                  <c:v>45607</c:v>
                </c:pt>
                <c:pt idx="84">
                  <c:v>45608</c:v>
                </c:pt>
                <c:pt idx="85">
                  <c:v>45609</c:v>
                </c:pt>
                <c:pt idx="86">
                  <c:v>45610</c:v>
                </c:pt>
                <c:pt idx="87">
                  <c:v>45611</c:v>
                </c:pt>
                <c:pt idx="88">
                  <c:v>45614</c:v>
                </c:pt>
                <c:pt idx="89">
                  <c:v>45615</c:v>
                </c:pt>
                <c:pt idx="90">
                  <c:v>45616</c:v>
                </c:pt>
                <c:pt idx="91">
                  <c:v>45617</c:v>
                </c:pt>
                <c:pt idx="92">
                  <c:v>45618</c:v>
                </c:pt>
                <c:pt idx="93">
                  <c:v>45621</c:v>
                </c:pt>
                <c:pt idx="94">
                  <c:v>45622</c:v>
                </c:pt>
                <c:pt idx="95">
                  <c:v>45623</c:v>
                </c:pt>
                <c:pt idx="96">
                  <c:v>45625</c:v>
                </c:pt>
                <c:pt idx="97">
                  <c:v>45628</c:v>
                </c:pt>
                <c:pt idx="98">
                  <c:v>45629</c:v>
                </c:pt>
                <c:pt idx="99">
                  <c:v>45630</c:v>
                </c:pt>
                <c:pt idx="100">
                  <c:v>45631</c:v>
                </c:pt>
                <c:pt idx="101">
                  <c:v>45632</c:v>
                </c:pt>
                <c:pt idx="102">
                  <c:v>45635</c:v>
                </c:pt>
                <c:pt idx="103">
                  <c:v>45636</c:v>
                </c:pt>
                <c:pt idx="104">
                  <c:v>45637</c:v>
                </c:pt>
                <c:pt idx="105">
                  <c:v>45638</c:v>
                </c:pt>
                <c:pt idx="106">
                  <c:v>45639</c:v>
                </c:pt>
                <c:pt idx="107">
                  <c:v>45642</c:v>
                </c:pt>
                <c:pt idx="108">
                  <c:v>45643</c:v>
                </c:pt>
                <c:pt idx="109">
                  <c:v>45644</c:v>
                </c:pt>
                <c:pt idx="110">
                  <c:v>45645</c:v>
                </c:pt>
                <c:pt idx="111">
                  <c:v>45646</c:v>
                </c:pt>
                <c:pt idx="112">
                  <c:v>45649</c:v>
                </c:pt>
                <c:pt idx="113">
                  <c:v>45650</c:v>
                </c:pt>
                <c:pt idx="114">
                  <c:v>45652</c:v>
                </c:pt>
                <c:pt idx="115">
                  <c:v>45653</c:v>
                </c:pt>
                <c:pt idx="116">
                  <c:v>45656</c:v>
                </c:pt>
                <c:pt idx="117">
                  <c:v>45657</c:v>
                </c:pt>
                <c:pt idx="118">
                  <c:v>45659</c:v>
                </c:pt>
                <c:pt idx="119">
                  <c:v>45660</c:v>
                </c:pt>
                <c:pt idx="120">
                  <c:v>45663</c:v>
                </c:pt>
                <c:pt idx="121">
                  <c:v>45664</c:v>
                </c:pt>
                <c:pt idx="122">
                  <c:v>45665</c:v>
                </c:pt>
                <c:pt idx="123">
                  <c:v>45667</c:v>
                </c:pt>
                <c:pt idx="124">
                  <c:v>45670</c:v>
                </c:pt>
                <c:pt idx="125">
                  <c:v>45671</c:v>
                </c:pt>
                <c:pt idx="126">
                  <c:v>45672</c:v>
                </c:pt>
                <c:pt idx="127">
                  <c:v>45673</c:v>
                </c:pt>
                <c:pt idx="128">
                  <c:v>45674</c:v>
                </c:pt>
                <c:pt idx="129">
                  <c:v>45678</c:v>
                </c:pt>
                <c:pt idx="130">
                  <c:v>45679</c:v>
                </c:pt>
                <c:pt idx="131">
                  <c:v>45680</c:v>
                </c:pt>
                <c:pt idx="132">
                  <c:v>45681</c:v>
                </c:pt>
                <c:pt idx="133">
                  <c:v>45684</c:v>
                </c:pt>
                <c:pt idx="134">
                  <c:v>45685</c:v>
                </c:pt>
                <c:pt idx="135">
                  <c:v>45686</c:v>
                </c:pt>
                <c:pt idx="136">
                  <c:v>45687</c:v>
                </c:pt>
                <c:pt idx="137">
                  <c:v>45688</c:v>
                </c:pt>
                <c:pt idx="138">
                  <c:v>45691</c:v>
                </c:pt>
                <c:pt idx="139">
                  <c:v>45692</c:v>
                </c:pt>
                <c:pt idx="140">
                  <c:v>45693</c:v>
                </c:pt>
                <c:pt idx="141">
                  <c:v>45694</c:v>
                </c:pt>
                <c:pt idx="142">
                  <c:v>45695</c:v>
                </c:pt>
                <c:pt idx="143">
                  <c:v>45698</c:v>
                </c:pt>
                <c:pt idx="144">
                  <c:v>45699</c:v>
                </c:pt>
                <c:pt idx="145">
                  <c:v>45700</c:v>
                </c:pt>
                <c:pt idx="146">
                  <c:v>45701</c:v>
                </c:pt>
                <c:pt idx="147">
                  <c:v>45702</c:v>
                </c:pt>
                <c:pt idx="148">
                  <c:v>45706</c:v>
                </c:pt>
                <c:pt idx="149">
                  <c:v>45707</c:v>
                </c:pt>
                <c:pt idx="150">
                  <c:v>45708</c:v>
                </c:pt>
                <c:pt idx="151">
                  <c:v>45709</c:v>
                </c:pt>
                <c:pt idx="152">
                  <c:v>45712</c:v>
                </c:pt>
                <c:pt idx="153">
                  <c:v>45713</c:v>
                </c:pt>
                <c:pt idx="154">
                  <c:v>45714</c:v>
                </c:pt>
                <c:pt idx="155">
                  <c:v>45715</c:v>
                </c:pt>
                <c:pt idx="156">
                  <c:v>45716</c:v>
                </c:pt>
                <c:pt idx="157">
                  <c:v>45719</c:v>
                </c:pt>
                <c:pt idx="158">
                  <c:v>45720</c:v>
                </c:pt>
                <c:pt idx="159">
                  <c:v>45721</c:v>
                </c:pt>
                <c:pt idx="160">
                  <c:v>45722</c:v>
                </c:pt>
                <c:pt idx="161">
                  <c:v>45723</c:v>
                </c:pt>
                <c:pt idx="162">
                  <c:v>45726</c:v>
                </c:pt>
                <c:pt idx="163">
                  <c:v>45727</c:v>
                </c:pt>
                <c:pt idx="164">
                  <c:v>45728</c:v>
                </c:pt>
                <c:pt idx="165">
                  <c:v>45729</c:v>
                </c:pt>
                <c:pt idx="166">
                  <c:v>45730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45740</c:v>
                </c:pt>
                <c:pt idx="173">
                  <c:v>45741</c:v>
                </c:pt>
                <c:pt idx="174">
                  <c:v>45742</c:v>
                </c:pt>
                <c:pt idx="175">
                  <c:v>45743</c:v>
                </c:pt>
                <c:pt idx="176">
                  <c:v>45744</c:v>
                </c:pt>
                <c:pt idx="177">
                  <c:v>45747</c:v>
                </c:pt>
              </c:numCache>
            </c:numRef>
          </c:cat>
          <c:val>
            <c:numRef>
              <c:f>KD!$F$12:$F$189</c:f>
              <c:numCache>
                <c:formatCode>General</c:formatCode>
                <c:ptCount val="17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E4-410E-A3AA-84935BE88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685344"/>
        <c:axId val="413682464"/>
      </c:lineChart>
      <c:dateAx>
        <c:axId val="41368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82464"/>
        <c:crosses val="autoZero"/>
        <c:auto val="1"/>
        <c:lblOffset val="100"/>
        <c:baseTimeUnit val="days"/>
      </c:dateAx>
      <c:valAx>
        <c:axId val="41368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8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41687989467940245"/>
          <c:y val="0.91527540172586341"/>
          <c:w val="0.20048585974102545"/>
          <c:h val="8.0935818274514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Monte</a:t>
            </a:r>
            <a:r>
              <a:rPr lang="en-GB" baseline="0"/>
              <a:t> Carlo Simulation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'Monte Carlo'!$F$2:$BN$2</c:f>
              <c:numCache>
                <c:formatCode>General</c:formatCode>
                <c:ptCount val="61"/>
                <c:pt idx="0">
                  <c:v>60.99</c:v>
                </c:pt>
                <c:pt idx="1">
                  <c:v>60.075981557691186</c:v>
                </c:pt>
                <c:pt idx="2">
                  <c:v>58.47517793681547</c:v>
                </c:pt>
                <c:pt idx="3">
                  <c:v>59.235366260603875</c:v>
                </c:pt>
                <c:pt idx="4">
                  <c:v>58.474787780752067</c:v>
                </c:pt>
                <c:pt idx="5">
                  <c:v>60.291062266323458</c:v>
                </c:pt>
                <c:pt idx="6">
                  <c:v>59.905694149597714</c:v>
                </c:pt>
                <c:pt idx="7">
                  <c:v>61.579735643492079</c:v>
                </c:pt>
                <c:pt idx="8">
                  <c:v>61.271833698950928</c:v>
                </c:pt>
                <c:pt idx="9">
                  <c:v>61.526175804636047</c:v>
                </c:pt>
                <c:pt idx="10">
                  <c:v>61.58604614304712</c:v>
                </c:pt>
                <c:pt idx="11">
                  <c:v>62.273764315886119</c:v>
                </c:pt>
                <c:pt idx="12">
                  <c:v>63.544695435202563</c:v>
                </c:pt>
                <c:pt idx="13">
                  <c:v>63.874454219381263</c:v>
                </c:pt>
                <c:pt idx="14">
                  <c:v>64.776400224551097</c:v>
                </c:pt>
                <c:pt idx="15">
                  <c:v>65.391441885237029</c:v>
                </c:pt>
                <c:pt idx="16">
                  <c:v>65.864442395727394</c:v>
                </c:pt>
                <c:pt idx="17">
                  <c:v>66.441448116675957</c:v>
                </c:pt>
                <c:pt idx="18">
                  <c:v>66.389422803441377</c:v>
                </c:pt>
                <c:pt idx="19">
                  <c:v>65.317631649860047</c:v>
                </c:pt>
                <c:pt idx="20">
                  <c:v>65.705062312859823</c:v>
                </c:pt>
                <c:pt idx="21">
                  <c:v>65.039337159988364</c:v>
                </c:pt>
                <c:pt idx="22">
                  <c:v>66.048522771251186</c:v>
                </c:pt>
                <c:pt idx="23">
                  <c:v>64.182268617603768</c:v>
                </c:pt>
                <c:pt idx="24">
                  <c:v>62.143768676239191</c:v>
                </c:pt>
                <c:pt idx="25">
                  <c:v>62.543805303020008</c:v>
                </c:pt>
                <c:pt idx="26">
                  <c:v>63.029340414447958</c:v>
                </c:pt>
                <c:pt idx="27">
                  <c:v>63.167645095486719</c:v>
                </c:pt>
                <c:pt idx="28">
                  <c:v>62.45832652280135</c:v>
                </c:pt>
                <c:pt idx="29">
                  <c:v>62.583276885863548</c:v>
                </c:pt>
                <c:pt idx="30">
                  <c:v>63.755638119712593</c:v>
                </c:pt>
                <c:pt idx="31">
                  <c:v>63.228647542862909</c:v>
                </c:pt>
                <c:pt idx="32">
                  <c:v>63.022587789919811</c:v>
                </c:pt>
                <c:pt idx="33">
                  <c:v>63.937520689293436</c:v>
                </c:pt>
                <c:pt idx="34">
                  <c:v>64.920116358479532</c:v>
                </c:pt>
                <c:pt idx="35">
                  <c:v>64.968950109008802</c:v>
                </c:pt>
                <c:pt idx="36">
                  <c:v>64.881616671584496</c:v>
                </c:pt>
                <c:pt idx="37">
                  <c:v>66.527217215339817</c:v>
                </c:pt>
                <c:pt idx="38">
                  <c:v>67.918304642971606</c:v>
                </c:pt>
                <c:pt idx="39">
                  <c:v>67.582182778532882</c:v>
                </c:pt>
                <c:pt idx="40">
                  <c:v>70.130795698017579</c:v>
                </c:pt>
                <c:pt idx="41">
                  <c:v>69.543694830264386</c:v>
                </c:pt>
                <c:pt idx="42">
                  <c:v>70.390205110465388</c:v>
                </c:pt>
                <c:pt idx="43">
                  <c:v>69.914370889982308</c:v>
                </c:pt>
                <c:pt idx="44">
                  <c:v>70.335109665093668</c:v>
                </c:pt>
                <c:pt idx="45">
                  <c:v>71.107293333971057</c:v>
                </c:pt>
                <c:pt idx="46">
                  <c:v>70.711896455865656</c:v>
                </c:pt>
                <c:pt idx="47">
                  <c:v>70.901580285339293</c:v>
                </c:pt>
                <c:pt idx="48">
                  <c:v>70.977597446086193</c:v>
                </c:pt>
                <c:pt idx="49">
                  <c:v>71.978036098392451</c:v>
                </c:pt>
                <c:pt idx="50">
                  <c:v>72.605969002887363</c:v>
                </c:pt>
                <c:pt idx="51">
                  <c:v>71.792295389723449</c:v>
                </c:pt>
                <c:pt idx="52">
                  <c:v>72.991691525171106</c:v>
                </c:pt>
                <c:pt idx="53">
                  <c:v>71.500402701245562</c:v>
                </c:pt>
                <c:pt idx="54">
                  <c:v>68.888368982567087</c:v>
                </c:pt>
                <c:pt idx="55">
                  <c:v>67.231359258882165</c:v>
                </c:pt>
                <c:pt idx="56">
                  <c:v>68.452286949400005</c:v>
                </c:pt>
                <c:pt idx="57">
                  <c:v>68.061872059902342</c:v>
                </c:pt>
                <c:pt idx="58">
                  <c:v>71.509821487272816</c:v>
                </c:pt>
                <c:pt idx="59">
                  <c:v>72.091034438159809</c:v>
                </c:pt>
                <c:pt idx="60">
                  <c:v>71.330851515151522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EA-417D-9FEF-816D9F694639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'Monte Carlo'!$E$3:$BN$3</c:f>
              <c:numCache>
                <c:formatCode>General</c:formatCode>
                <c:ptCount val="62"/>
                <c:pt idx="1">
                  <c:v>60.99</c:v>
                </c:pt>
                <c:pt idx="2">
                  <c:v>61.87426580247552</c:v>
                </c:pt>
                <c:pt idx="3">
                  <c:v>62.943900873318881</c:v>
                </c:pt>
                <c:pt idx="4">
                  <c:v>64.214774433922884</c:v>
                </c:pt>
                <c:pt idx="5">
                  <c:v>63.129485500727483</c:v>
                </c:pt>
                <c:pt idx="6">
                  <c:v>63.214505546690809</c:v>
                </c:pt>
                <c:pt idx="7">
                  <c:v>64.779548810595472</c:v>
                </c:pt>
                <c:pt idx="8">
                  <c:v>65.40718310731279</c:v>
                </c:pt>
                <c:pt idx="9">
                  <c:v>64.657074917536747</c:v>
                </c:pt>
                <c:pt idx="10">
                  <c:v>63.743891262584569</c:v>
                </c:pt>
                <c:pt idx="11">
                  <c:v>63.238270272308284</c:v>
                </c:pt>
                <c:pt idx="12">
                  <c:v>65.783293733480789</c:v>
                </c:pt>
                <c:pt idx="13">
                  <c:v>65.500591299336932</c:v>
                </c:pt>
                <c:pt idx="14">
                  <c:v>64.733482128410216</c:v>
                </c:pt>
                <c:pt idx="15">
                  <c:v>64.306645580897595</c:v>
                </c:pt>
                <c:pt idx="16">
                  <c:v>63.686204206601296</c:v>
                </c:pt>
                <c:pt idx="17">
                  <c:v>63.751608136632548</c:v>
                </c:pt>
                <c:pt idx="18">
                  <c:v>62.823024885455098</c:v>
                </c:pt>
                <c:pt idx="19">
                  <c:v>64.618574924514107</c:v>
                </c:pt>
                <c:pt idx="20">
                  <c:v>63.387566130013816</c:v>
                </c:pt>
                <c:pt idx="21">
                  <c:v>63.192658625386358</c:v>
                </c:pt>
                <c:pt idx="22">
                  <c:v>64.132714380638632</c:v>
                </c:pt>
                <c:pt idx="23">
                  <c:v>64.959806453361452</c:v>
                </c:pt>
                <c:pt idx="24">
                  <c:v>64.919167479971236</c:v>
                </c:pt>
                <c:pt idx="25">
                  <c:v>65.759303784743494</c:v>
                </c:pt>
                <c:pt idx="26">
                  <c:v>66.567132597918317</c:v>
                </c:pt>
                <c:pt idx="27">
                  <c:v>67.862172915259308</c:v>
                </c:pt>
                <c:pt idx="28">
                  <c:v>66.362819258221023</c:v>
                </c:pt>
                <c:pt idx="29">
                  <c:v>64.677008173880765</c:v>
                </c:pt>
                <c:pt idx="30">
                  <c:v>63.485666584173323</c:v>
                </c:pt>
                <c:pt idx="31">
                  <c:v>63.874330235367424</c:v>
                </c:pt>
                <c:pt idx="32">
                  <c:v>65.187944135193547</c:v>
                </c:pt>
                <c:pt idx="33">
                  <c:v>65.520995340941852</c:v>
                </c:pt>
                <c:pt idx="34">
                  <c:v>64.597413304767642</c:v>
                </c:pt>
                <c:pt idx="35">
                  <c:v>65.034407248684502</c:v>
                </c:pt>
                <c:pt idx="36">
                  <c:v>65.989984180354028</c:v>
                </c:pt>
                <c:pt idx="37">
                  <c:v>68.653204872486086</c:v>
                </c:pt>
                <c:pt idx="38">
                  <c:v>69.609853758565819</c:v>
                </c:pt>
                <c:pt idx="39">
                  <c:v>68.955891440691531</c:v>
                </c:pt>
                <c:pt idx="40">
                  <c:v>70.352558463779616</c:v>
                </c:pt>
                <c:pt idx="41">
                  <c:v>73.069480111152203</c:v>
                </c:pt>
                <c:pt idx="42">
                  <c:v>72.2249562517991</c:v>
                </c:pt>
                <c:pt idx="43">
                  <c:v>72.751995297381683</c:v>
                </c:pt>
                <c:pt idx="44">
                  <c:v>73.369956414634657</c:v>
                </c:pt>
                <c:pt idx="45">
                  <c:v>73.422608837749863</c:v>
                </c:pt>
                <c:pt idx="46">
                  <c:v>73.85625500767992</c:v>
                </c:pt>
                <c:pt idx="47">
                  <c:v>73.794438411505553</c:v>
                </c:pt>
                <c:pt idx="48">
                  <c:v>74.772088559550497</c:v>
                </c:pt>
                <c:pt idx="49">
                  <c:v>72.815423652342432</c:v>
                </c:pt>
                <c:pt idx="50">
                  <c:v>72.635296314966553</c:v>
                </c:pt>
                <c:pt idx="51">
                  <c:v>75.167567069119627</c:v>
                </c:pt>
                <c:pt idx="52">
                  <c:v>74.994659210060462</c:v>
                </c:pt>
                <c:pt idx="53">
                  <c:v>74.024593372099218</c:v>
                </c:pt>
                <c:pt idx="54">
                  <c:v>76.270342688685162</c:v>
                </c:pt>
                <c:pt idx="55">
                  <c:v>76.248131137531956</c:v>
                </c:pt>
                <c:pt idx="56">
                  <c:v>76.272172537673413</c:v>
                </c:pt>
                <c:pt idx="57">
                  <c:v>74.476095067132121</c:v>
                </c:pt>
                <c:pt idx="58">
                  <c:v>76.404003668771892</c:v>
                </c:pt>
                <c:pt idx="59">
                  <c:v>77.293348317465757</c:v>
                </c:pt>
                <c:pt idx="60">
                  <c:v>77.810091341572829</c:v>
                </c:pt>
                <c:pt idx="61">
                  <c:v>79.134556974019731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EA-417D-9FEF-816D9F694639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'Monte Carlo'!$E$4:$BN$4</c:f>
              <c:numCache>
                <c:formatCode>General</c:formatCode>
                <c:ptCount val="62"/>
                <c:pt idx="1">
                  <c:v>60.99</c:v>
                </c:pt>
                <c:pt idx="2">
                  <c:v>62.311629568902774</c:v>
                </c:pt>
                <c:pt idx="3">
                  <c:v>62.762838283178155</c:v>
                </c:pt>
                <c:pt idx="4">
                  <c:v>62.197496026627157</c:v>
                </c:pt>
                <c:pt idx="5">
                  <c:v>62.693641997500265</c:v>
                </c:pt>
                <c:pt idx="6">
                  <c:v>61.749782663999888</c:v>
                </c:pt>
                <c:pt idx="7">
                  <c:v>60.553310523128353</c:v>
                </c:pt>
                <c:pt idx="8">
                  <c:v>61.079714689809336</c:v>
                </c:pt>
                <c:pt idx="9">
                  <c:v>62.11208024565731</c:v>
                </c:pt>
                <c:pt idx="10">
                  <c:v>61.468001746285204</c:v>
                </c:pt>
                <c:pt idx="11">
                  <c:v>61.85222348040724</c:v>
                </c:pt>
                <c:pt idx="12">
                  <c:v>61.749165530120671</c:v>
                </c:pt>
                <c:pt idx="13">
                  <c:v>61.817894240736784</c:v>
                </c:pt>
                <c:pt idx="14">
                  <c:v>62.460263194594496</c:v>
                </c:pt>
                <c:pt idx="15">
                  <c:v>62.443518451043005</c:v>
                </c:pt>
                <c:pt idx="16">
                  <c:v>61.778856698648816</c:v>
                </c:pt>
                <c:pt idx="17">
                  <c:v>60.616046046088158</c:v>
                </c:pt>
                <c:pt idx="18">
                  <c:v>59.828207083631582</c:v>
                </c:pt>
                <c:pt idx="19">
                  <c:v>60.829412874313334</c:v>
                </c:pt>
                <c:pt idx="20">
                  <c:v>61.345660154267691</c:v>
                </c:pt>
                <c:pt idx="21">
                  <c:v>59.976336887326831</c:v>
                </c:pt>
                <c:pt idx="22">
                  <c:v>62.278717560210971</c:v>
                </c:pt>
                <c:pt idx="23">
                  <c:v>63.001587844947927</c:v>
                </c:pt>
                <c:pt idx="24">
                  <c:v>63.147676358403096</c:v>
                </c:pt>
                <c:pt idx="25">
                  <c:v>64.300035704590513</c:v>
                </c:pt>
                <c:pt idx="26">
                  <c:v>64.066595596366909</c:v>
                </c:pt>
                <c:pt idx="27">
                  <c:v>66.571447067609469</c:v>
                </c:pt>
                <c:pt idx="28">
                  <c:v>67.94055094556802</c:v>
                </c:pt>
                <c:pt idx="29">
                  <c:v>66.137703066297107</c:v>
                </c:pt>
                <c:pt idx="30">
                  <c:v>64.00918393966289</c:v>
                </c:pt>
                <c:pt idx="31">
                  <c:v>63.39142155314498</c:v>
                </c:pt>
                <c:pt idx="32">
                  <c:v>63.82563765359869</c:v>
                </c:pt>
                <c:pt idx="33">
                  <c:v>64.80273973257826</c:v>
                </c:pt>
                <c:pt idx="34">
                  <c:v>65.198438128116123</c:v>
                </c:pt>
                <c:pt idx="35">
                  <c:v>63.711265644583243</c:v>
                </c:pt>
                <c:pt idx="36">
                  <c:v>63.109380724113819</c:v>
                </c:pt>
                <c:pt idx="37">
                  <c:v>64.454847104854466</c:v>
                </c:pt>
                <c:pt idx="38">
                  <c:v>60.861961599135313</c:v>
                </c:pt>
                <c:pt idx="39">
                  <c:v>59.797388682843263</c:v>
                </c:pt>
                <c:pt idx="40">
                  <c:v>60.525892832265598</c:v>
                </c:pt>
                <c:pt idx="41">
                  <c:v>60.2576604089315</c:v>
                </c:pt>
                <c:pt idx="42">
                  <c:v>59.779903543030208</c:v>
                </c:pt>
                <c:pt idx="43">
                  <c:v>58.364866320001887</c:v>
                </c:pt>
                <c:pt idx="44">
                  <c:v>57.154102976729575</c:v>
                </c:pt>
                <c:pt idx="45">
                  <c:v>57.793045713040073</c:v>
                </c:pt>
                <c:pt idx="46">
                  <c:v>59.262414172026077</c:v>
                </c:pt>
                <c:pt idx="47">
                  <c:v>59.42611870900074</c:v>
                </c:pt>
                <c:pt idx="48">
                  <c:v>60.306290114398173</c:v>
                </c:pt>
                <c:pt idx="49">
                  <c:v>62.600536581153499</c:v>
                </c:pt>
                <c:pt idx="50">
                  <c:v>61.117647167471169</c:v>
                </c:pt>
                <c:pt idx="51">
                  <c:v>60.635219654477211</c:v>
                </c:pt>
                <c:pt idx="52">
                  <c:v>62.211936974309324</c:v>
                </c:pt>
                <c:pt idx="53">
                  <c:v>61.703506665103205</c:v>
                </c:pt>
                <c:pt idx="54">
                  <c:v>60.274057868160554</c:v>
                </c:pt>
                <c:pt idx="55">
                  <c:v>60.698194312171687</c:v>
                </c:pt>
                <c:pt idx="56">
                  <c:v>58.186644528440105</c:v>
                </c:pt>
                <c:pt idx="57">
                  <c:v>56.819837516339142</c:v>
                </c:pt>
                <c:pt idx="58">
                  <c:v>57.191093564733691</c:v>
                </c:pt>
                <c:pt idx="59">
                  <c:v>57.735631337767742</c:v>
                </c:pt>
                <c:pt idx="60">
                  <c:v>57.926131989410116</c:v>
                </c:pt>
                <c:pt idx="61">
                  <c:v>58.098778734746453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EA-417D-9FEF-816D9F694639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'Monte Carlo'!$E$5:$BN$5</c:f>
              <c:numCache>
                <c:formatCode>General</c:formatCode>
                <c:ptCount val="62"/>
                <c:pt idx="1">
                  <c:v>60.99</c:v>
                </c:pt>
                <c:pt idx="2">
                  <c:v>61.197821126268565</c:v>
                </c:pt>
                <c:pt idx="3">
                  <c:v>63.242002007904368</c:v>
                </c:pt>
                <c:pt idx="4">
                  <c:v>62.672965331588031</c:v>
                </c:pt>
                <c:pt idx="5">
                  <c:v>62.257874271589706</c:v>
                </c:pt>
                <c:pt idx="6">
                  <c:v>62.075638444111142</c:v>
                </c:pt>
                <c:pt idx="7">
                  <c:v>58.613432636117594</c:v>
                </c:pt>
                <c:pt idx="8">
                  <c:v>57.54647455292325</c:v>
                </c:pt>
                <c:pt idx="9">
                  <c:v>57.436551873075317</c:v>
                </c:pt>
                <c:pt idx="10">
                  <c:v>57.170451623267084</c:v>
                </c:pt>
                <c:pt idx="11">
                  <c:v>56.179813723368518</c:v>
                </c:pt>
                <c:pt idx="12">
                  <c:v>56.669449198707611</c:v>
                </c:pt>
                <c:pt idx="13">
                  <c:v>56.487390945164002</c:v>
                </c:pt>
                <c:pt idx="14">
                  <c:v>55.239222299930567</c:v>
                </c:pt>
                <c:pt idx="15">
                  <c:v>56.001933204329262</c:v>
                </c:pt>
                <c:pt idx="16">
                  <c:v>58.451445757397131</c:v>
                </c:pt>
                <c:pt idx="17">
                  <c:v>61.381849267371436</c:v>
                </c:pt>
                <c:pt idx="18">
                  <c:v>61.747439668360073</c:v>
                </c:pt>
                <c:pt idx="19">
                  <c:v>61.609858607545895</c:v>
                </c:pt>
                <c:pt idx="20">
                  <c:v>59.485807346333935</c:v>
                </c:pt>
                <c:pt idx="21">
                  <c:v>59.520213957189974</c:v>
                </c:pt>
                <c:pt idx="22">
                  <c:v>59.824268422570064</c:v>
                </c:pt>
                <c:pt idx="23">
                  <c:v>60.155316124290749</c:v>
                </c:pt>
                <c:pt idx="24">
                  <c:v>60.063569923198877</c:v>
                </c:pt>
                <c:pt idx="25">
                  <c:v>60.820913359594122</c:v>
                </c:pt>
                <c:pt idx="26">
                  <c:v>60.271845877416474</c:v>
                </c:pt>
                <c:pt idx="27">
                  <c:v>59.540991796151211</c:v>
                </c:pt>
                <c:pt idx="28">
                  <c:v>59.940930155598004</c:v>
                </c:pt>
                <c:pt idx="29">
                  <c:v>60.691828486612913</c:v>
                </c:pt>
                <c:pt idx="30">
                  <c:v>60.932890087551733</c:v>
                </c:pt>
                <c:pt idx="31">
                  <c:v>62.370902109759655</c:v>
                </c:pt>
                <c:pt idx="32">
                  <c:v>63.810759709759814</c:v>
                </c:pt>
                <c:pt idx="33">
                  <c:v>64.239640578782314</c:v>
                </c:pt>
                <c:pt idx="34">
                  <c:v>63.650564532000921</c:v>
                </c:pt>
                <c:pt idx="35">
                  <c:v>62.537147774659417</c:v>
                </c:pt>
                <c:pt idx="36">
                  <c:v>62.102975647125469</c:v>
                </c:pt>
                <c:pt idx="37">
                  <c:v>63.24832273067662</c:v>
                </c:pt>
                <c:pt idx="38">
                  <c:v>65.742390467451401</c:v>
                </c:pt>
                <c:pt idx="39">
                  <c:v>65.881651024334232</c:v>
                </c:pt>
                <c:pt idx="40">
                  <c:v>66.405234667392676</c:v>
                </c:pt>
                <c:pt idx="41">
                  <c:v>67.093058617481702</c:v>
                </c:pt>
                <c:pt idx="42">
                  <c:v>66.207077644898817</c:v>
                </c:pt>
                <c:pt idx="43">
                  <c:v>63.67937854440413</c:v>
                </c:pt>
                <c:pt idx="44">
                  <c:v>66.695246273559334</c:v>
                </c:pt>
                <c:pt idx="45">
                  <c:v>66.125504698247724</c:v>
                </c:pt>
                <c:pt idx="46">
                  <c:v>65.041550517311038</c:v>
                </c:pt>
                <c:pt idx="47">
                  <c:v>62.514556757186668</c:v>
                </c:pt>
                <c:pt idx="48">
                  <c:v>60.7874454998136</c:v>
                </c:pt>
                <c:pt idx="49">
                  <c:v>63.05321039913413</c:v>
                </c:pt>
                <c:pt idx="50">
                  <c:v>64.58161340872698</c:v>
                </c:pt>
                <c:pt idx="51">
                  <c:v>64.112706062532595</c:v>
                </c:pt>
                <c:pt idx="52">
                  <c:v>64.507949557447461</c:v>
                </c:pt>
                <c:pt idx="53">
                  <c:v>63.423744779903657</c:v>
                </c:pt>
                <c:pt idx="54">
                  <c:v>63.925284144714141</c:v>
                </c:pt>
                <c:pt idx="55">
                  <c:v>66.479623479749122</c:v>
                </c:pt>
                <c:pt idx="56">
                  <c:v>67.138272209209802</c:v>
                </c:pt>
                <c:pt idx="57">
                  <c:v>66.545072728079987</c:v>
                </c:pt>
                <c:pt idx="58">
                  <c:v>65.33671938027382</c:v>
                </c:pt>
                <c:pt idx="59">
                  <c:v>65.961442561379883</c:v>
                </c:pt>
                <c:pt idx="60">
                  <c:v>64.573291458119527</c:v>
                </c:pt>
                <c:pt idx="61">
                  <c:v>64.774673719266147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EA-417D-9FEF-816D9F694639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'Monte Carlo'!$E$6:$BN$6</c:f>
              <c:numCache>
                <c:formatCode>General</c:formatCode>
                <c:ptCount val="62"/>
                <c:pt idx="1">
                  <c:v>60.99</c:v>
                </c:pt>
                <c:pt idx="2">
                  <c:v>61.105522835899329</c:v>
                </c:pt>
                <c:pt idx="3">
                  <c:v>60.709408921034651</c:v>
                </c:pt>
                <c:pt idx="4">
                  <c:v>60.920322935225151</c:v>
                </c:pt>
                <c:pt idx="5">
                  <c:v>61.148131198766912</c:v>
                </c:pt>
                <c:pt idx="6">
                  <c:v>61.40279133561792</c:v>
                </c:pt>
                <c:pt idx="7">
                  <c:v>61.491754846462861</c:v>
                </c:pt>
                <c:pt idx="8">
                  <c:v>60.242333667361336</c:v>
                </c:pt>
                <c:pt idx="9">
                  <c:v>61.910551350309035</c:v>
                </c:pt>
                <c:pt idx="10">
                  <c:v>63.033186088363081</c:v>
                </c:pt>
                <c:pt idx="11">
                  <c:v>63.460481710257064</c:v>
                </c:pt>
                <c:pt idx="12">
                  <c:v>62.626204312765687</c:v>
                </c:pt>
                <c:pt idx="13">
                  <c:v>64.649790621649942</c:v>
                </c:pt>
                <c:pt idx="14">
                  <c:v>62.26530542586007</c:v>
                </c:pt>
                <c:pt idx="15">
                  <c:v>62.152644880364001</c:v>
                </c:pt>
                <c:pt idx="16">
                  <c:v>63.587411902387409</c:v>
                </c:pt>
                <c:pt idx="17">
                  <c:v>64.917859370632897</c:v>
                </c:pt>
                <c:pt idx="18">
                  <c:v>65.112041493602504</c:v>
                </c:pt>
                <c:pt idx="19">
                  <c:v>64.390266506296157</c:v>
                </c:pt>
                <c:pt idx="20">
                  <c:v>64.043113843197446</c:v>
                </c:pt>
                <c:pt idx="21">
                  <c:v>64.795103459585789</c:v>
                </c:pt>
                <c:pt idx="22">
                  <c:v>65.954492634485234</c:v>
                </c:pt>
                <c:pt idx="23">
                  <c:v>67.083983824868497</c:v>
                </c:pt>
                <c:pt idx="24">
                  <c:v>66.79423835285769</c:v>
                </c:pt>
                <c:pt idx="25">
                  <c:v>67.569794045128305</c:v>
                </c:pt>
                <c:pt idx="26">
                  <c:v>68.184165400052166</c:v>
                </c:pt>
                <c:pt idx="27">
                  <c:v>67.930587281987954</c:v>
                </c:pt>
                <c:pt idx="28">
                  <c:v>68.07539700870619</c:v>
                </c:pt>
                <c:pt idx="29">
                  <c:v>68.651846253755039</c:v>
                </c:pt>
                <c:pt idx="30">
                  <c:v>69.297656770437953</c:v>
                </c:pt>
                <c:pt idx="31">
                  <c:v>70.197939279882917</c:v>
                </c:pt>
                <c:pt idx="32">
                  <c:v>69.204421067792254</c:v>
                </c:pt>
                <c:pt idx="33">
                  <c:v>69.835652078581148</c:v>
                </c:pt>
                <c:pt idx="34">
                  <c:v>72.312558230420905</c:v>
                </c:pt>
                <c:pt idx="35">
                  <c:v>70.466032652207971</c:v>
                </c:pt>
                <c:pt idx="36">
                  <c:v>72.280272069213765</c:v>
                </c:pt>
                <c:pt idx="37">
                  <c:v>71.905913621364988</c:v>
                </c:pt>
                <c:pt idx="38">
                  <c:v>70.446440008424148</c:v>
                </c:pt>
                <c:pt idx="39">
                  <c:v>71.75035436282252</c:v>
                </c:pt>
                <c:pt idx="40">
                  <c:v>73.037590822934419</c:v>
                </c:pt>
                <c:pt idx="41">
                  <c:v>70.913468410543203</c:v>
                </c:pt>
                <c:pt idx="42">
                  <c:v>71.033303823748952</c:v>
                </c:pt>
                <c:pt idx="43">
                  <c:v>69.670316666052614</c:v>
                </c:pt>
                <c:pt idx="44">
                  <c:v>70.613857585248013</c:v>
                </c:pt>
                <c:pt idx="45">
                  <c:v>70.028544001104734</c:v>
                </c:pt>
                <c:pt idx="46">
                  <c:v>70.312806561077323</c:v>
                </c:pt>
                <c:pt idx="47">
                  <c:v>72.288124745938774</c:v>
                </c:pt>
                <c:pt idx="48">
                  <c:v>71.4957048139687</c:v>
                </c:pt>
                <c:pt idx="49">
                  <c:v>71.818239606458661</c:v>
                </c:pt>
                <c:pt idx="50">
                  <c:v>74.70329326149681</c:v>
                </c:pt>
                <c:pt idx="51">
                  <c:v>75.916808957677873</c:v>
                </c:pt>
                <c:pt idx="52">
                  <c:v>73.578141221064627</c:v>
                </c:pt>
                <c:pt idx="53">
                  <c:v>71.553277137779034</c:v>
                </c:pt>
                <c:pt idx="54">
                  <c:v>69.033634570221153</c:v>
                </c:pt>
                <c:pt idx="55">
                  <c:v>70.34153228738522</c:v>
                </c:pt>
                <c:pt idx="56">
                  <c:v>69.175957256360675</c:v>
                </c:pt>
                <c:pt idx="57">
                  <c:v>68.603061941364743</c:v>
                </c:pt>
                <c:pt idx="58">
                  <c:v>68.195578439196311</c:v>
                </c:pt>
                <c:pt idx="59">
                  <c:v>68.54772319214743</c:v>
                </c:pt>
                <c:pt idx="60">
                  <c:v>68.374371132219437</c:v>
                </c:pt>
                <c:pt idx="61">
                  <c:v>68.443738418858459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4EA-417D-9FEF-816D9F694639}"/>
            </c:ext>
          </c:extLst>
        </c:ser>
        <c:ser>
          <c:idx val="6"/>
          <c:order val="5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Carlo'!$E$7:$BN$7</c:f>
              <c:numCache>
                <c:formatCode>General</c:formatCode>
                <c:ptCount val="62"/>
                <c:pt idx="1">
                  <c:v>60.99</c:v>
                </c:pt>
                <c:pt idx="2">
                  <c:v>60.949589194310924</c:v>
                </c:pt>
                <c:pt idx="3">
                  <c:v>58.134669214498921</c:v>
                </c:pt>
                <c:pt idx="4">
                  <c:v>57.612933177678102</c:v>
                </c:pt>
                <c:pt idx="5">
                  <c:v>57.839916578190753</c:v>
                </c:pt>
                <c:pt idx="6">
                  <c:v>57.074758114541581</c:v>
                </c:pt>
                <c:pt idx="7">
                  <c:v>56.802230001790925</c:v>
                </c:pt>
                <c:pt idx="8">
                  <c:v>58.441867955983369</c:v>
                </c:pt>
                <c:pt idx="9">
                  <c:v>58.222285428040728</c:v>
                </c:pt>
                <c:pt idx="10">
                  <c:v>59.544885110702985</c:v>
                </c:pt>
                <c:pt idx="11">
                  <c:v>57.592078274093026</c:v>
                </c:pt>
                <c:pt idx="12">
                  <c:v>57.467780523885096</c:v>
                </c:pt>
                <c:pt idx="13">
                  <c:v>57.075317799633389</c:v>
                </c:pt>
                <c:pt idx="14">
                  <c:v>56.493684736387472</c:v>
                </c:pt>
                <c:pt idx="15">
                  <c:v>56.664306993590088</c:v>
                </c:pt>
                <c:pt idx="16">
                  <c:v>54.622139386346184</c:v>
                </c:pt>
                <c:pt idx="17">
                  <c:v>54.838330858649215</c:v>
                </c:pt>
                <c:pt idx="18">
                  <c:v>53.239557853302671</c:v>
                </c:pt>
                <c:pt idx="19">
                  <c:v>53.423374154463325</c:v>
                </c:pt>
                <c:pt idx="20">
                  <c:v>53.169325336409123</c:v>
                </c:pt>
                <c:pt idx="21">
                  <c:v>53.506593177743476</c:v>
                </c:pt>
                <c:pt idx="22">
                  <c:v>52.947276912666347</c:v>
                </c:pt>
                <c:pt idx="23">
                  <c:v>52.907486652151896</c:v>
                </c:pt>
                <c:pt idx="24">
                  <c:v>52.629861124265666</c:v>
                </c:pt>
                <c:pt idx="25">
                  <c:v>52.501709841465839</c:v>
                </c:pt>
                <c:pt idx="26">
                  <c:v>52.800169250529962</c:v>
                </c:pt>
                <c:pt idx="27">
                  <c:v>53.168642365698354</c:v>
                </c:pt>
                <c:pt idx="28">
                  <c:v>52.544745861795462</c:v>
                </c:pt>
                <c:pt idx="29">
                  <c:v>53.008354255304589</c:v>
                </c:pt>
                <c:pt idx="30">
                  <c:v>53.379117074695728</c:v>
                </c:pt>
                <c:pt idx="31">
                  <c:v>54.375853960334616</c:v>
                </c:pt>
                <c:pt idx="32">
                  <c:v>53.057263422446589</c:v>
                </c:pt>
                <c:pt idx="33">
                  <c:v>53.132434123253198</c:v>
                </c:pt>
                <c:pt idx="34">
                  <c:v>54.363828882139664</c:v>
                </c:pt>
                <c:pt idx="35">
                  <c:v>54.527006659868576</c:v>
                </c:pt>
                <c:pt idx="36">
                  <c:v>55.500123797771721</c:v>
                </c:pt>
                <c:pt idx="37">
                  <c:v>55.843702202746314</c:v>
                </c:pt>
                <c:pt idx="38">
                  <c:v>54.924444398949831</c:v>
                </c:pt>
                <c:pt idx="39">
                  <c:v>54.606579394643987</c:v>
                </c:pt>
                <c:pt idx="40">
                  <c:v>53.221019444225533</c:v>
                </c:pt>
                <c:pt idx="41">
                  <c:v>53.767155127628712</c:v>
                </c:pt>
                <c:pt idx="42">
                  <c:v>52.886569591848072</c:v>
                </c:pt>
                <c:pt idx="43">
                  <c:v>53.220529550513994</c:v>
                </c:pt>
                <c:pt idx="44">
                  <c:v>53.51231059514059</c:v>
                </c:pt>
                <c:pt idx="45">
                  <c:v>53.826945676153578</c:v>
                </c:pt>
                <c:pt idx="46">
                  <c:v>53.826632294678426</c:v>
                </c:pt>
                <c:pt idx="47">
                  <c:v>52.224111011219314</c:v>
                </c:pt>
                <c:pt idx="48">
                  <c:v>51.064780183778872</c:v>
                </c:pt>
                <c:pt idx="49">
                  <c:v>50.188738483069834</c:v>
                </c:pt>
                <c:pt idx="50">
                  <c:v>50.638519000987721</c:v>
                </c:pt>
                <c:pt idx="51">
                  <c:v>48.610728115589694</c:v>
                </c:pt>
                <c:pt idx="52">
                  <c:v>47.899567793251798</c:v>
                </c:pt>
                <c:pt idx="53">
                  <c:v>48.891427175118018</c:v>
                </c:pt>
                <c:pt idx="54">
                  <c:v>48.790112842864595</c:v>
                </c:pt>
                <c:pt idx="55">
                  <c:v>50.397335704728484</c:v>
                </c:pt>
                <c:pt idx="56">
                  <c:v>51.512994279229702</c:v>
                </c:pt>
                <c:pt idx="57">
                  <c:v>51.75486940990529</c:v>
                </c:pt>
                <c:pt idx="58">
                  <c:v>52.906792382384943</c:v>
                </c:pt>
                <c:pt idx="59">
                  <c:v>52.233494974309146</c:v>
                </c:pt>
                <c:pt idx="60">
                  <c:v>52.668215078621962</c:v>
                </c:pt>
                <c:pt idx="61">
                  <c:v>53.019089260339662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EA-417D-9FEF-816D9F694639}"/>
            </c:ext>
          </c:extLst>
        </c:ser>
        <c:ser>
          <c:idx val="7"/>
          <c:order val="6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Carlo'!$E$8:$BN$8</c:f>
              <c:numCache>
                <c:formatCode>General</c:formatCode>
                <c:ptCount val="62"/>
                <c:pt idx="1">
                  <c:v>60.99</c:v>
                </c:pt>
                <c:pt idx="2">
                  <c:v>63.039002198972959</c:v>
                </c:pt>
                <c:pt idx="3">
                  <c:v>63.770438808984132</c:v>
                </c:pt>
                <c:pt idx="4">
                  <c:v>63.173057494577392</c:v>
                </c:pt>
                <c:pt idx="5">
                  <c:v>64.4289959490538</c:v>
                </c:pt>
                <c:pt idx="6">
                  <c:v>62.515743173770943</c:v>
                </c:pt>
                <c:pt idx="7">
                  <c:v>61.939909815067097</c:v>
                </c:pt>
                <c:pt idx="8">
                  <c:v>60.950835052489779</c:v>
                </c:pt>
                <c:pt idx="9">
                  <c:v>61.99465097058247</c:v>
                </c:pt>
                <c:pt idx="10">
                  <c:v>61.759522130834846</c:v>
                </c:pt>
                <c:pt idx="11">
                  <c:v>60.741757038514535</c:v>
                </c:pt>
                <c:pt idx="12">
                  <c:v>60.320960074572611</c:v>
                </c:pt>
                <c:pt idx="13">
                  <c:v>59.112950209823687</c:v>
                </c:pt>
                <c:pt idx="14">
                  <c:v>57.613133762393602</c:v>
                </c:pt>
                <c:pt idx="15">
                  <c:v>58.175113876486421</c:v>
                </c:pt>
                <c:pt idx="16">
                  <c:v>59.441171406531417</c:v>
                </c:pt>
                <c:pt idx="17">
                  <c:v>61.421821849900617</c:v>
                </c:pt>
                <c:pt idx="18">
                  <c:v>63.827120346691068</c:v>
                </c:pt>
                <c:pt idx="19">
                  <c:v>65.20029082245172</c:v>
                </c:pt>
                <c:pt idx="20">
                  <c:v>66.165975579778234</c:v>
                </c:pt>
                <c:pt idx="21">
                  <c:v>66.130318885215274</c:v>
                </c:pt>
                <c:pt idx="22">
                  <c:v>66.502156770126376</c:v>
                </c:pt>
                <c:pt idx="23">
                  <c:v>66.816191857583959</c:v>
                </c:pt>
                <c:pt idx="24">
                  <c:v>65.609083883613948</c:v>
                </c:pt>
                <c:pt idx="25">
                  <c:v>65.872257776516207</c:v>
                </c:pt>
                <c:pt idx="26">
                  <c:v>64.835757315127495</c:v>
                </c:pt>
                <c:pt idx="27">
                  <c:v>66.43238764146362</c:v>
                </c:pt>
                <c:pt idx="28">
                  <c:v>67.190115024709655</c:v>
                </c:pt>
                <c:pt idx="29">
                  <c:v>69.197512413602837</c:v>
                </c:pt>
                <c:pt idx="30">
                  <c:v>69.507147442635286</c:v>
                </c:pt>
                <c:pt idx="31">
                  <c:v>68.161112043630638</c:v>
                </c:pt>
                <c:pt idx="32">
                  <c:v>68.277415108390443</c:v>
                </c:pt>
                <c:pt idx="33">
                  <c:v>67.659373892185926</c:v>
                </c:pt>
                <c:pt idx="34">
                  <c:v>67.669431564974104</c:v>
                </c:pt>
                <c:pt idx="35">
                  <c:v>68.285037137133017</c:v>
                </c:pt>
                <c:pt idx="36">
                  <c:v>68.982903973031554</c:v>
                </c:pt>
                <c:pt idx="37">
                  <c:v>66.471349922044013</c:v>
                </c:pt>
                <c:pt idx="38">
                  <c:v>67.419548702336144</c:v>
                </c:pt>
                <c:pt idx="39">
                  <c:v>68.089637667859165</c:v>
                </c:pt>
                <c:pt idx="40">
                  <c:v>68.073750308621541</c:v>
                </c:pt>
                <c:pt idx="41">
                  <c:v>68.831071975993439</c:v>
                </c:pt>
                <c:pt idx="42">
                  <c:v>70.897220712663824</c:v>
                </c:pt>
                <c:pt idx="43">
                  <c:v>71.72536221535708</c:v>
                </c:pt>
                <c:pt idx="44">
                  <c:v>71.347900152918172</c:v>
                </c:pt>
                <c:pt idx="45">
                  <c:v>68.490480613188623</c:v>
                </c:pt>
                <c:pt idx="46">
                  <c:v>67.645377891764952</c:v>
                </c:pt>
                <c:pt idx="47">
                  <c:v>67.880346883915607</c:v>
                </c:pt>
                <c:pt idx="48">
                  <c:v>66.297423697286575</c:v>
                </c:pt>
                <c:pt idx="49">
                  <c:v>66.402160843180766</c:v>
                </c:pt>
                <c:pt idx="50">
                  <c:v>65.411200720148059</c:v>
                </c:pt>
                <c:pt idx="51">
                  <c:v>64.902623440863607</c:v>
                </c:pt>
                <c:pt idx="52">
                  <c:v>64.198109122316438</c:v>
                </c:pt>
                <c:pt idx="53">
                  <c:v>63.436378505356437</c:v>
                </c:pt>
                <c:pt idx="54">
                  <c:v>65.497243214463509</c:v>
                </c:pt>
                <c:pt idx="55">
                  <c:v>64.760315990610621</c:v>
                </c:pt>
                <c:pt idx="56">
                  <c:v>65.9310724548927</c:v>
                </c:pt>
                <c:pt idx="57">
                  <c:v>65.867432256348465</c:v>
                </c:pt>
                <c:pt idx="58">
                  <c:v>67.293239267740006</c:v>
                </c:pt>
                <c:pt idx="59">
                  <c:v>69.067035440275532</c:v>
                </c:pt>
                <c:pt idx="60">
                  <c:v>70.161921647164164</c:v>
                </c:pt>
                <c:pt idx="61">
                  <c:v>70.074430617790838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4EA-417D-9FEF-816D9F694639}"/>
            </c:ext>
          </c:extLst>
        </c:ser>
        <c:ser>
          <c:idx val="8"/>
          <c:order val="7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Carlo'!$E$9:$BN$9</c:f>
              <c:numCache>
                <c:formatCode>General</c:formatCode>
                <c:ptCount val="62"/>
                <c:pt idx="1">
                  <c:v>60.99</c:v>
                </c:pt>
                <c:pt idx="2">
                  <c:v>60.045447998957719</c:v>
                </c:pt>
                <c:pt idx="3">
                  <c:v>59.271336466290897</c:v>
                </c:pt>
                <c:pt idx="4">
                  <c:v>59.292402514783106</c:v>
                </c:pt>
                <c:pt idx="5">
                  <c:v>60.989687964101662</c:v>
                </c:pt>
                <c:pt idx="6">
                  <c:v>60.341718635128423</c:v>
                </c:pt>
                <c:pt idx="7">
                  <c:v>60.172254324925696</c:v>
                </c:pt>
                <c:pt idx="8">
                  <c:v>60.267495042319773</c:v>
                </c:pt>
                <c:pt idx="9">
                  <c:v>60.435466030440658</c:v>
                </c:pt>
                <c:pt idx="10">
                  <c:v>60.364705338421075</c:v>
                </c:pt>
                <c:pt idx="11">
                  <c:v>60.316198494327331</c:v>
                </c:pt>
                <c:pt idx="12">
                  <c:v>62.257382566706269</c:v>
                </c:pt>
                <c:pt idx="13">
                  <c:v>61.123624407854308</c:v>
                </c:pt>
                <c:pt idx="14">
                  <c:v>61.593254820061389</c:v>
                </c:pt>
                <c:pt idx="15">
                  <c:v>60.722399278964488</c:v>
                </c:pt>
                <c:pt idx="16">
                  <c:v>61.035580441968023</c:v>
                </c:pt>
                <c:pt idx="17">
                  <c:v>62.189531338329786</c:v>
                </c:pt>
                <c:pt idx="18">
                  <c:v>61.640613363214548</c:v>
                </c:pt>
                <c:pt idx="19">
                  <c:v>61.634825352988521</c:v>
                </c:pt>
                <c:pt idx="20">
                  <c:v>62.632865897456412</c:v>
                </c:pt>
                <c:pt idx="21">
                  <c:v>63.302345626497818</c:v>
                </c:pt>
                <c:pt idx="22">
                  <c:v>64.199395100860656</c:v>
                </c:pt>
                <c:pt idx="23">
                  <c:v>65.145282751911537</c:v>
                </c:pt>
                <c:pt idx="24">
                  <c:v>63.678307838418363</c:v>
                </c:pt>
                <c:pt idx="25">
                  <c:v>63.904233198680032</c:v>
                </c:pt>
                <c:pt idx="26">
                  <c:v>64.809579009762572</c:v>
                </c:pt>
                <c:pt idx="27">
                  <c:v>64.814215898555375</c:v>
                </c:pt>
                <c:pt idx="28">
                  <c:v>64.59396873310898</c:v>
                </c:pt>
                <c:pt idx="29">
                  <c:v>64.514638666186954</c:v>
                </c:pt>
                <c:pt idx="30">
                  <c:v>63.852234981855219</c:v>
                </c:pt>
                <c:pt idx="31">
                  <c:v>63.530961574459354</c:v>
                </c:pt>
                <c:pt idx="32">
                  <c:v>62.42782937088954</c:v>
                </c:pt>
                <c:pt idx="33">
                  <c:v>63.563641550568207</c:v>
                </c:pt>
                <c:pt idx="34">
                  <c:v>63.673512892633148</c:v>
                </c:pt>
                <c:pt idx="35">
                  <c:v>63.609259659253503</c:v>
                </c:pt>
                <c:pt idx="36">
                  <c:v>63.727322613379123</c:v>
                </c:pt>
                <c:pt idx="37">
                  <c:v>65.156997314137541</c:v>
                </c:pt>
                <c:pt idx="38">
                  <c:v>63.967542185592549</c:v>
                </c:pt>
                <c:pt idx="39">
                  <c:v>65.517372104108716</c:v>
                </c:pt>
                <c:pt idx="40">
                  <c:v>67.44561052392153</c:v>
                </c:pt>
                <c:pt idx="41">
                  <c:v>68.511688817955346</c:v>
                </c:pt>
                <c:pt idx="42">
                  <c:v>66.533446891069161</c:v>
                </c:pt>
                <c:pt idx="43">
                  <c:v>65.015273119580755</c:v>
                </c:pt>
                <c:pt idx="44">
                  <c:v>66.773944258672472</c:v>
                </c:pt>
                <c:pt idx="45">
                  <c:v>68.125478213581147</c:v>
                </c:pt>
                <c:pt idx="46">
                  <c:v>69.200921424788461</c:v>
                </c:pt>
                <c:pt idx="47">
                  <c:v>70.830199782446186</c:v>
                </c:pt>
                <c:pt idx="48">
                  <c:v>70.402200456482035</c:v>
                </c:pt>
                <c:pt idx="49">
                  <c:v>69.208421755967933</c:v>
                </c:pt>
                <c:pt idx="50">
                  <c:v>67.686665706029558</c:v>
                </c:pt>
                <c:pt idx="51">
                  <c:v>66.820861366846941</c:v>
                </c:pt>
                <c:pt idx="52">
                  <c:v>65.993592409329921</c:v>
                </c:pt>
                <c:pt idx="53">
                  <c:v>63.792195484260453</c:v>
                </c:pt>
                <c:pt idx="54">
                  <c:v>64.411035104678234</c:v>
                </c:pt>
                <c:pt idx="55">
                  <c:v>62.376455334969222</c:v>
                </c:pt>
                <c:pt idx="56">
                  <c:v>63.327794201098577</c:v>
                </c:pt>
                <c:pt idx="57">
                  <c:v>64.549962553214172</c:v>
                </c:pt>
                <c:pt idx="58">
                  <c:v>65.190355951275478</c:v>
                </c:pt>
                <c:pt idx="59">
                  <c:v>65.268242741832651</c:v>
                </c:pt>
                <c:pt idx="60">
                  <c:v>65.148589652712047</c:v>
                </c:pt>
                <c:pt idx="61">
                  <c:v>66.132180367506507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EA-417D-9FEF-816D9F694639}"/>
            </c:ext>
          </c:extLst>
        </c:ser>
        <c:ser>
          <c:idx val="9"/>
          <c:order val="8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Carlo'!$E$10:$BN$10</c:f>
              <c:numCache>
                <c:formatCode>General</c:formatCode>
                <c:ptCount val="62"/>
                <c:pt idx="1">
                  <c:v>60.99</c:v>
                </c:pt>
                <c:pt idx="2">
                  <c:v>62.173425254505858</c:v>
                </c:pt>
                <c:pt idx="3">
                  <c:v>59.852706844899629</c:v>
                </c:pt>
                <c:pt idx="4">
                  <c:v>56.718947455971069</c:v>
                </c:pt>
                <c:pt idx="5">
                  <c:v>58.462993393430338</c:v>
                </c:pt>
                <c:pt idx="6">
                  <c:v>59.353423672858547</c:v>
                </c:pt>
                <c:pt idx="7">
                  <c:v>61.199473965036098</c:v>
                </c:pt>
                <c:pt idx="8">
                  <c:v>60.627952331757498</c:v>
                </c:pt>
                <c:pt idx="9">
                  <c:v>62.314681320020739</c:v>
                </c:pt>
                <c:pt idx="10">
                  <c:v>63.2239186363797</c:v>
                </c:pt>
                <c:pt idx="11">
                  <c:v>63.393139202044303</c:v>
                </c:pt>
                <c:pt idx="12">
                  <c:v>63.483878717598039</c:v>
                </c:pt>
                <c:pt idx="13">
                  <c:v>63.013504563767547</c:v>
                </c:pt>
                <c:pt idx="14">
                  <c:v>63.683626906005564</c:v>
                </c:pt>
                <c:pt idx="15">
                  <c:v>62.677119089882417</c:v>
                </c:pt>
                <c:pt idx="16">
                  <c:v>64.840836569289138</c:v>
                </c:pt>
                <c:pt idx="17">
                  <c:v>64.851418548078101</c:v>
                </c:pt>
                <c:pt idx="18">
                  <c:v>67.482878898910158</c:v>
                </c:pt>
                <c:pt idx="19">
                  <c:v>67.9975615813903</c:v>
                </c:pt>
                <c:pt idx="20">
                  <c:v>68.16871636328284</c:v>
                </c:pt>
                <c:pt idx="21">
                  <c:v>68.647307003027805</c:v>
                </c:pt>
                <c:pt idx="22">
                  <c:v>67.643785276486327</c:v>
                </c:pt>
                <c:pt idx="23">
                  <c:v>68.146652402025438</c:v>
                </c:pt>
                <c:pt idx="24">
                  <c:v>70.846677010777711</c:v>
                </c:pt>
                <c:pt idx="25">
                  <c:v>71.414257386361555</c:v>
                </c:pt>
                <c:pt idx="26">
                  <c:v>71.453281402400265</c:v>
                </c:pt>
                <c:pt idx="27">
                  <c:v>70.350154413856657</c:v>
                </c:pt>
                <c:pt idx="28">
                  <c:v>69.388196176232938</c:v>
                </c:pt>
                <c:pt idx="29">
                  <c:v>70.13517098459107</c:v>
                </c:pt>
                <c:pt idx="30">
                  <c:v>70.601405998784841</c:v>
                </c:pt>
                <c:pt idx="31">
                  <c:v>70.610671853637442</c:v>
                </c:pt>
                <c:pt idx="32">
                  <c:v>71.980696530171628</c:v>
                </c:pt>
                <c:pt idx="33">
                  <c:v>72.78331402241983</c:v>
                </c:pt>
                <c:pt idx="34">
                  <c:v>71.588798272866413</c:v>
                </c:pt>
                <c:pt idx="35">
                  <c:v>73.450684744069633</c:v>
                </c:pt>
                <c:pt idx="36">
                  <c:v>72.210635169832713</c:v>
                </c:pt>
                <c:pt idx="37">
                  <c:v>74.581576584640359</c:v>
                </c:pt>
                <c:pt idx="38">
                  <c:v>76.660083792296291</c:v>
                </c:pt>
                <c:pt idx="39">
                  <c:v>76.44932431300407</c:v>
                </c:pt>
                <c:pt idx="40">
                  <c:v>77.011443434729088</c:v>
                </c:pt>
                <c:pt idx="41">
                  <c:v>78.42791697565346</c:v>
                </c:pt>
                <c:pt idx="42">
                  <c:v>78.873742213410409</c:v>
                </c:pt>
                <c:pt idx="43">
                  <c:v>78.585786565222506</c:v>
                </c:pt>
                <c:pt idx="44">
                  <c:v>80.561549803211278</c:v>
                </c:pt>
                <c:pt idx="45">
                  <c:v>81.355694619860259</c:v>
                </c:pt>
                <c:pt idx="46">
                  <c:v>81.319400618233473</c:v>
                </c:pt>
                <c:pt idx="47">
                  <c:v>81.281468670997185</c:v>
                </c:pt>
                <c:pt idx="48">
                  <c:v>80.695224438603475</c:v>
                </c:pt>
                <c:pt idx="49">
                  <c:v>81.578766765432732</c:v>
                </c:pt>
                <c:pt idx="50">
                  <c:v>83.302854337219145</c:v>
                </c:pt>
                <c:pt idx="51">
                  <c:v>84.151573003798646</c:v>
                </c:pt>
                <c:pt idx="52">
                  <c:v>81.521643451712563</c:v>
                </c:pt>
                <c:pt idx="53">
                  <c:v>80.477089284828921</c:v>
                </c:pt>
                <c:pt idx="54">
                  <c:v>82.452036548920205</c:v>
                </c:pt>
                <c:pt idx="55">
                  <c:v>80.846988144000264</c:v>
                </c:pt>
                <c:pt idx="56">
                  <c:v>78.294020462698725</c:v>
                </c:pt>
                <c:pt idx="57">
                  <c:v>76.149029812903152</c:v>
                </c:pt>
                <c:pt idx="58">
                  <c:v>77.44312296268572</c:v>
                </c:pt>
                <c:pt idx="59">
                  <c:v>76.628434153509033</c:v>
                </c:pt>
                <c:pt idx="60">
                  <c:v>78.488766002109969</c:v>
                </c:pt>
                <c:pt idx="61">
                  <c:v>81.322813410470062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4EA-417D-9FEF-816D9F694639}"/>
            </c:ext>
          </c:extLst>
        </c:ser>
        <c:ser>
          <c:idx val="10"/>
          <c:order val="9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Carlo'!$E$11:$BN$11</c:f>
              <c:numCache>
                <c:formatCode>General</c:formatCode>
                <c:ptCount val="62"/>
                <c:pt idx="1">
                  <c:v>60.99</c:v>
                </c:pt>
                <c:pt idx="2">
                  <c:v>61.211705985027407</c:v>
                </c:pt>
                <c:pt idx="3">
                  <c:v>60.121263308057436</c:v>
                </c:pt>
                <c:pt idx="4">
                  <c:v>59.349731099738555</c:v>
                </c:pt>
                <c:pt idx="5">
                  <c:v>59.996869838726589</c:v>
                </c:pt>
                <c:pt idx="6">
                  <c:v>60.081004749017325</c:v>
                </c:pt>
                <c:pt idx="7">
                  <c:v>60.488696290918917</c:v>
                </c:pt>
                <c:pt idx="8">
                  <c:v>60.795734285337169</c:v>
                </c:pt>
                <c:pt idx="9">
                  <c:v>62.494168270612839</c:v>
                </c:pt>
                <c:pt idx="10">
                  <c:v>63.817129197064254</c:v>
                </c:pt>
                <c:pt idx="11">
                  <c:v>63.75713541618105</c:v>
                </c:pt>
                <c:pt idx="12">
                  <c:v>62.488112387279642</c:v>
                </c:pt>
                <c:pt idx="13">
                  <c:v>63.225757902233326</c:v>
                </c:pt>
                <c:pt idx="14">
                  <c:v>61.501292840899971</c:v>
                </c:pt>
                <c:pt idx="15">
                  <c:v>59.741912415919657</c:v>
                </c:pt>
                <c:pt idx="16">
                  <c:v>58.418469843710881</c:v>
                </c:pt>
                <c:pt idx="17">
                  <c:v>59.508391711140767</c:v>
                </c:pt>
                <c:pt idx="18">
                  <c:v>60.124258294977572</c:v>
                </c:pt>
                <c:pt idx="19">
                  <c:v>59.762858673219611</c:v>
                </c:pt>
                <c:pt idx="20">
                  <c:v>61.183335893206021</c:v>
                </c:pt>
                <c:pt idx="21">
                  <c:v>61.599198462127283</c:v>
                </c:pt>
                <c:pt idx="22">
                  <c:v>62.651413475207285</c:v>
                </c:pt>
                <c:pt idx="23">
                  <c:v>63.380748830380789</c:v>
                </c:pt>
                <c:pt idx="24">
                  <c:v>63.461631627888451</c:v>
                </c:pt>
                <c:pt idx="25">
                  <c:v>64.45023738001909</c:v>
                </c:pt>
                <c:pt idx="26">
                  <c:v>65.444963214355127</c:v>
                </c:pt>
                <c:pt idx="27">
                  <c:v>63.383154562714275</c:v>
                </c:pt>
                <c:pt idx="28">
                  <c:v>62.502775240673067</c:v>
                </c:pt>
                <c:pt idx="29">
                  <c:v>64.038435922367299</c:v>
                </c:pt>
                <c:pt idx="30">
                  <c:v>63.69746911377203</c:v>
                </c:pt>
                <c:pt idx="31">
                  <c:v>65.794828205141059</c:v>
                </c:pt>
                <c:pt idx="32">
                  <c:v>65.53847762782604</c:v>
                </c:pt>
                <c:pt idx="33">
                  <c:v>65.292998377078561</c:v>
                </c:pt>
                <c:pt idx="34">
                  <c:v>66.553967683298893</c:v>
                </c:pt>
                <c:pt idx="35">
                  <c:v>66.548944304438294</c:v>
                </c:pt>
                <c:pt idx="36">
                  <c:v>68.266614150342932</c:v>
                </c:pt>
                <c:pt idx="37">
                  <c:v>66.869108272706882</c:v>
                </c:pt>
                <c:pt idx="38">
                  <c:v>66.324237154940107</c:v>
                </c:pt>
                <c:pt idx="39">
                  <c:v>63.990802510733303</c:v>
                </c:pt>
                <c:pt idx="40">
                  <c:v>61.677804299773847</c:v>
                </c:pt>
                <c:pt idx="41">
                  <c:v>63.522984600714047</c:v>
                </c:pt>
                <c:pt idx="42">
                  <c:v>62.427119120439599</c:v>
                </c:pt>
                <c:pt idx="43">
                  <c:v>61.797474678729358</c:v>
                </c:pt>
                <c:pt idx="44">
                  <c:v>61.23713628156419</c:v>
                </c:pt>
                <c:pt idx="45">
                  <c:v>62.039334554734424</c:v>
                </c:pt>
                <c:pt idx="46">
                  <c:v>63.277612756561588</c:v>
                </c:pt>
                <c:pt idx="47">
                  <c:v>64.531133813713609</c:v>
                </c:pt>
                <c:pt idx="48">
                  <c:v>66.903915154018861</c:v>
                </c:pt>
                <c:pt idx="49">
                  <c:v>68.574143236292187</c:v>
                </c:pt>
                <c:pt idx="50">
                  <c:v>70.096558988402535</c:v>
                </c:pt>
                <c:pt idx="51">
                  <c:v>70.936719794884056</c:v>
                </c:pt>
                <c:pt idx="52">
                  <c:v>71.180027034687981</c:v>
                </c:pt>
                <c:pt idx="53">
                  <c:v>71.945406815349514</c:v>
                </c:pt>
                <c:pt idx="54">
                  <c:v>72.042089542688487</c:v>
                </c:pt>
                <c:pt idx="55">
                  <c:v>71.812282561672319</c:v>
                </c:pt>
                <c:pt idx="56">
                  <c:v>72.570893389014117</c:v>
                </c:pt>
                <c:pt idx="57">
                  <c:v>72.557327054193081</c:v>
                </c:pt>
                <c:pt idx="58">
                  <c:v>74.638123522837063</c:v>
                </c:pt>
                <c:pt idx="59">
                  <c:v>73.419521410137676</c:v>
                </c:pt>
                <c:pt idx="60">
                  <c:v>73.936307066401994</c:v>
                </c:pt>
                <c:pt idx="61">
                  <c:v>74.762871271510818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4EA-417D-9FEF-816D9F694639}"/>
            </c:ext>
          </c:extLst>
        </c:ser>
        <c:ser>
          <c:idx val="11"/>
          <c:order val="10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Carlo'!$E$12:$BN$12</c:f>
              <c:numCache>
                <c:formatCode>General</c:formatCode>
                <c:ptCount val="62"/>
                <c:pt idx="1">
                  <c:v>60.99</c:v>
                </c:pt>
                <c:pt idx="2">
                  <c:v>59.604040551887962</c:v>
                </c:pt>
                <c:pt idx="3">
                  <c:v>59.426933430266175</c:v>
                </c:pt>
                <c:pt idx="4">
                  <c:v>60.144164815813731</c:v>
                </c:pt>
                <c:pt idx="5">
                  <c:v>60.94615563082008</c:v>
                </c:pt>
                <c:pt idx="6">
                  <c:v>61.633805356905043</c:v>
                </c:pt>
                <c:pt idx="7">
                  <c:v>61.614136772962034</c:v>
                </c:pt>
                <c:pt idx="8">
                  <c:v>62.814467390582031</c:v>
                </c:pt>
                <c:pt idx="9">
                  <c:v>63.076736256086654</c:v>
                </c:pt>
                <c:pt idx="10">
                  <c:v>61.277662730471157</c:v>
                </c:pt>
                <c:pt idx="11">
                  <c:v>61.857610528398595</c:v>
                </c:pt>
                <c:pt idx="12">
                  <c:v>62.737503001085393</c:v>
                </c:pt>
                <c:pt idx="13">
                  <c:v>62.843996366446731</c:v>
                </c:pt>
                <c:pt idx="14">
                  <c:v>64.447899453590779</c:v>
                </c:pt>
                <c:pt idx="15">
                  <c:v>62.916834796101789</c:v>
                </c:pt>
                <c:pt idx="16">
                  <c:v>62.817021836304235</c:v>
                </c:pt>
                <c:pt idx="17">
                  <c:v>63.333941193397145</c:v>
                </c:pt>
                <c:pt idx="18">
                  <c:v>64.963882461232004</c:v>
                </c:pt>
                <c:pt idx="19">
                  <c:v>64.422888047085777</c:v>
                </c:pt>
                <c:pt idx="20">
                  <c:v>64.48490397299355</c:v>
                </c:pt>
                <c:pt idx="21">
                  <c:v>65.689328559024759</c:v>
                </c:pt>
                <c:pt idx="22">
                  <c:v>66.055266524723038</c:v>
                </c:pt>
                <c:pt idx="23">
                  <c:v>66.585449624935578</c:v>
                </c:pt>
                <c:pt idx="24">
                  <c:v>68.185772585926287</c:v>
                </c:pt>
                <c:pt idx="25">
                  <c:v>67.724108654297083</c:v>
                </c:pt>
                <c:pt idx="26">
                  <c:v>67.338780711616636</c:v>
                </c:pt>
                <c:pt idx="27">
                  <c:v>66.211281739363272</c:v>
                </c:pt>
                <c:pt idx="28">
                  <c:v>67.547572651595615</c:v>
                </c:pt>
                <c:pt idx="29">
                  <c:v>66.553340081250454</c:v>
                </c:pt>
                <c:pt idx="30">
                  <c:v>67.980963433643581</c:v>
                </c:pt>
                <c:pt idx="31">
                  <c:v>68.674733155200897</c:v>
                </c:pt>
                <c:pt idx="32">
                  <c:v>69.087041136570676</c:v>
                </c:pt>
                <c:pt idx="33">
                  <c:v>71.491506448603459</c:v>
                </c:pt>
                <c:pt idx="34">
                  <c:v>71.119668161133731</c:v>
                </c:pt>
                <c:pt idx="35">
                  <c:v>72.46224853796798</c:v>
                </c:pt>
                <c:pt idx="36">
                  <c:v>72.826596595567707</c:v>
                </c:pt>
                <c:pt idx="37">
                  <c:v>74.503208125884953</c:v>
                </c:pt>
                <c:pt idx="38">
                  <c:v>73.825061654650469</c:v>
                </c:pt>
                <c:pt idx="39">
                  <c:v>77.126393981807624</c:v>
                </c:pt>
                <c:pt idx="40">
                  <c:v>78.306837932950231</c:v>
                </c:pt>
                <c:pt idx="41">
                  <c:v>76.29307617294468</c:v>
                </c:pt>
                <c:pt idx="42">
                  <c:v>75.267864312148276</c:v>
                </c:pt>
                <c:pt idx="43">
                  <c:v>75.799785400072025</c:v>
                </c:pt>
                <c:pt idx="44">
                  <c:v>76.204012618597105</c:v>
                </c:pt>
                <c:pt idx="45">
                  <c:v>74.76298224412001</c:v>
                </c:pt>
                <c:pt idx="46">
                  <c:v>78.439596508385122</c:v>
                </c:pt>
                <c:pt idx="47">
                  <c:v>79.038525494047491</c:v>
                </c:pt>
                <c:pt idx="48">
                  <c:v>80.563226705379421</c:v>
                </c:pt>
                <c:pt idx="49">
                  <c:v>80.28768967459483</c:v>
                </c:pt>
                <c:pt idx="50">
                  <c:v>80.8940073814843</c:v>
                </c:pt>
                <c:pt idx="51">
                  <c:v>81.386827989203439</c:v>
                </c:pt>
                <c:pt idx="52">
                  <c:v>81.839674797403774</c:v>
                </c:pt>
                <c:pt idx="53">
                  <c:v>83.805933164355665</c:v>
                </c:pt>
                <c:pt idx="54">
                  <c:v>84.750931091786711</c:v>
                </c:pt>
                <c:pt idx="55">
                  <c:v>84.63336882226784</c:v>
                </c:pt>
                <c:pt idx="56">
                  <c:v>84.753201465608896</c:v>
                </c:pt>
                <c:pt idx="57">
                  <c:v>83.220065651311941</c:v>
                </c:pt>
                <c:pt idx="58">
                  <c:v>83.806997370089377</c:v>
                </c:pt>
                <c:pt idx="59">
                  <c:v>84.444539244975303</c:v>
                </c:pt>
                <c:pt idx="60">
                  <c:v>84.642943264260907</c:v>
                </c:pt>
                <c:pt idx="61">
                  <c:v>87.371786983063402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4EA-417D-9FEF-816D9F694639}"/>
            </c:ext>
          </c:extLst>
        </c:ser>
        <c:ser>
          <c:idx val="12"/>
          <c:order val="11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Carlo'!$E$13:$BN$13</c:f>
              <c:numCache>
                <c:formatCode>General</c:formatCode>
                <c:ptCount val="62"/>
                <c:pt idx="1">
                  <c:v>60.99</c:v>
                </c:pt>
                <c:pt idx="2">
                  <c:v>63.971752364609571</c:v>
                </c:pt>
                <c:pt idx="3">
                  <c:v>63.665314784724089</c:v>
                </c:pt>
                <c:pt idx="4">
                  <c:v>65.561554796469409</c:v>
                </c:pt>
                <c:pt idx="5">
                  <c:v>63.846160078878064</c:v>
                </c:pt>
                <c:pt idx="6">
                  <c:v>66.224581422480028</c:v>
                </c:pt>
                <c:pt idx="7">
                  <c:v>64.97089948800037</c:v>
                </c:pt>
                <c:pt idx="8">
                  <c:v>66.041362665391546</c:v>
                </c:pt>
                <c:pt idx="9">
                  <c:v>63.634844664003715</c:v>
                </c:pt>
                <c:pt idx="10">
                  <c:v>64.8861261101124</c:v>
                </c:pt>
                <c:pt idx="11">
                  <c:v>64.099989725343789</c:v>
                </c:pt>
                <c:pt idx="12">
                  <c:v>64.319159335680212</c:v>
                </c:pt>
                <c:pt idx="13">
                  <c:v>62.58006644036913</c:v>
                </c:pt>
                <c:pt idx="14">
                  <c:v>63.393589990093218</c:v>
                </c:pt>
                <c:pt idx="15">
                  <c:v>62.194474148000374</c:v>
                </c:pt>
                <c:pt idx="16">
                  <c:v>60.914505026277745</c:v>
                </c:pt>
                <c:pt idx="17">
                  <c:v>60.391907535098106</c:v>
                </c:pt>
                <c:pt idx="18">
                  <c:v>62.215567499908715</c:v>
                </c:pt>
                <c:pt idx="19">
                  <c:v>62.736061062624593</c:v>
                </c:pt>
                <c:pt idx="20">
                  <c:v>63.84568458861046</c:v>
                </c:pt>
                <c:pt idx="21">
                  <c:v>63.925401275895631</c:v>
                </c:pt>
                <c:pt idx="22">
                  <c:v>65.184780826520921</c:v>
                </c:pt>
                <c:pt idx="23">
                  <c:v>64.52213534155625</c:v>
                </c:pt>
                <c:pt idx="24">
                  <c:v>65.798133092494112</c:v>
                </c:pt>
                <c:pt idx="25">
                  <c:v>66.660939582638932</c:v>
                </c:pt>
                <c:pt idx="26">
                  <c:v>67.004254556456615</c:v>
                </c:pt>
                <c:pt idx="27">
                  <c:v>69.514073711825134</c:v>
                </c:pt>
                <c:pt idx="28">
                  <c:v>69.447207370880747</c:v>
                </c:pt>
                <c:pt idx="29">
                  <c:v>69.140829795461926</c:v>
                </c:pt>
                <c:pt idx="30">
                  <c:v>67.414739393001994</c:v>
                </c:pt>
                <c:pt idx="31">
                  <c:v>68.444079050851826</c:v>
                </c:pt>
                <c:pt idx="32">
                  <c:v>68.908711545201541</c:v>
                </c:pt>
                <c:pt idx="33">
                  <c:v>67.341062043935921</c:v>
                </c:pt>
                <c:pt idx="34">
                  <c:v>66.383950136960451</c:v>
                </c:pt>
                <c:pt idx="35">
                  <c:v>66.376271086035587</c:v>
                </c:pt>
                <c:pt idx="36">
                  <c:v>63.652264252702167</c:v>
                </c:pt>
                <c:pt idx="37">
                  <c:v>63.494900951432349</c:v>
                </c:pt>
                <c:pt idx="38">
                  <c:v>63.863415913444364</c:v>
                </c:pt>
                <c:pt idx="39">
                  <c:v>64.397966947452161</c:v>
                </c:pt>
                <c:pt idx="40">
                  <c:v>64.261443314630498</c:v>
                </c:pt>
                <c:pt idx="41">
                  <c:v>65.928181971153009</c:v>
                </c:pt>
                <c:pt idx="42">
                  <c:v>65.220741455249282</c:v>
                </c:pt>
                <c:pt idx="43">
                  <c:v>63.736728236717632</c:v>
                </c:pt>
                <c:pt idx="44">
                  <c:v>63.362016846098143</c:v>
                </c:pt>
                <c:pt idx="45">
                  <c:v>63.782385557654315</c:v>
                </c:pt>
                <c:pt idx="46">
                  <c:v>63.308149238737123</c:v>
                </c:pt>
                <c:pt idx="47">
                  <c:v>63.878583029164631</c:v>
                </c:pt>
                <c:pt idx="48">
                  <c:v>67.698474803766842</c:v>
                </c:pt>
                <c:pt idx="49">
                  <c:v>69.089866544112652</c:v>
                </c:pt>
                <c:pt idx="50">
                  <c:v>71.540418191432877</c:v>
                </c:pt>
                <c:pt idx="51">
                  <c:v>72.113597987454924</c:v>
                </c:pt>
                <c:pt idx="52">
                  <c:v>71.875820216176649</c:v>
                </c:pt>
                <c:pt idx="53">
                  <c:v>71.628821511613793</c:v>
                </c:pt>
                <c:pt idx="54">
                  <c:v>71.73425775754059</c:v>
                </c:pt>
                <c:pt idx="55">
                  <c:v>72.198442216956323</c:v>
                </c:pt>
                <c:pt idx="56">
                  <c:v>72.710539170361614</c:v>
                </c:pt>
                <c:pt idx="57">
                  <c:v>75.315947420566772</c:v>
                </c:pt>
                <c:pt idx="58">
                  <c:v>76.217790643162076</c:v>
                </c:pt>
                <c:pt idx="59">
                  <c:v>76.852450909361693</c:v>
                </c:pt>
                <c:pt idx="60">
                  <c:v>74.331018312097214</c:v>
                </c:pt>
                <c:pt idx="61">
                  <c:v>73.652711982390727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4EA-417D-9FEF-816D9F694639}"/>
            </c:ext>
          </c:extLst>
        </c:ser>
        <c:ser>
          <c:idx val="13"/>
          <c:order val="12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Carlo'!$E$14:$BN$14</c:f>
              <c:numCache>
                <c:formatCode>General</c:formatCode>
                <c:ptCount val="62"/>
                <c:pt idx="1">
                  <c:v>60.99</c:v>
                </c:pt>
                <c:pt idx="2">
                  <c:v>61.994204393534694</c:v>
                </c:pt>
                <c:pt idx="3">
                  <c:v>61.425523928064678</c:v>
                </c:pt>
                <c:pt idx="4">
                  <c:v>60.848574302473551</c:v>
                </c:pt>
                <c:pt idx="5">
                  <c:v>60.525155452403169</c:v>
                </c:pt>
                <c:pt idx="6">
                  <c:v>59.108818850804717</c:v>
                </c:pt>
                <c:pt idx="7">
                  <c:v>58.173578293467841</c:v>
                </c:pt>
                <c:pt idx="8">
                  <c:v>56.377055425263009</c:v>
                </c:pt>
                <c:pt idx="9">
                  <c:v>54.704736542894224</c:v>
                </c:pt>
                <c:pt idx="10">
                  <c:v>54.778171503468634</c:v>
                </c:pt>
                <c:pt idx="11">
                  <c:v>54.735187545764823</c:v>
                </c:pt>
                <c:pt idx="12">
                  <c:v>54.215358094924092</c:v>
                </c:pt>
                <c:pt idx="13">
                  <c:v>54.687654155756057</c:v>
                </c:pt>
                <c:pt idx="14">
                  <c:v>53.799258312548773</c:v>
                </c:pt>
                <c:pt idx="15">
                  <c:v>53.322586901965558</c:v>
                </c:pt>
                <c:pt idx="16">
                  <c:v>52.290197980550978</c:v>
                </c:pt>
                <c:pt idx="17">
                  <c:v>54.386953237340229</c:v>
                </c:pt>
                <c:pt idx="18">
                  <c:v>53.782898896999377</c:v>
                </c:pt>
                <c:pt idx="19">
                  <c:v>53.353062995684461</c:v>
                </c:pt>
                <c:pt idx="20">
                  <c:v>54.41604848230191</c:v>
                </c:pt>
                <c:pt idx="21">
                  <c:v>54.777280965573212</c:v>
                </c:pt>
                <c:pt idx="22">
                  <c:v>54.931974964017797</c:v>
                </c:pt>
                <c:pt idx="23">
                  <c:v>54.751665767828243</c:v>
                </c:pt>
                <c:pt idx="24">
                  <c:v>54.226308181614186</c:v>
                </c:pt>
                <c:pt idx="25">
                  <c:v>53.671719582884577</c:v>
                </c:pt>
                <c:pt idx="26">
                  <c:v>53.100512939456742</c:v>
                </c:pt>
                <c:pt idx="27">
                  <c:v>54.554416590630886</c:v>
                </c:pt>
                <c:pt idx="28">
                  <c:v>55.16377399064929</c:v>
                </c:pt>
                <c:pt idx="29">
                  <c:v>55.097241325413549</c:v>
                </c:pt>
                <c:pt idx="30">
                  <c:v>54.417990762244159</c:v>
                </c:pt>
                <c:pt idx="31">
                  <c:v>53.890383022464363</c:v>
                </c:pt>
                <c:pt idx="32">
                  <c:v>51.759704901110418</c:v>
                </c:pt>
                <c:pt idx="33">
                  <c:v>52.70964110472093</c:v>
                </c:pt>
                <c:pt idx="34">
                  <c:v>54.393986203491174</c:v>
                </c:pt>
                <c:pt idx="35">
                  <c:v>52.594593229455128</c:v>
                </c:pt>
                <c:pt idx="36">
                  <c:v>53.511021558332672</c:v>
                </c:pt>
                <c:pt idx="37">
                  <c:v>54.241433892727798</c:v>
                </c:pt>
                <c:pt idx="38">
                  <c:v>55.6062939585699</c:v>
                </c:pt>
                <c:pt idx="39">
                  <c:v>55.81310422893069</c:v>
                </c:pt>
                <c:pt idx="40">
                  <c:v>59.034597626064546</c:v>
                </c:pt>
                <c:pt idx="41">
                  <c:v>59.766115444440793</c:v>
                </c:pt>
                <c:pt idx="42">
                  <c:v>57.797488885025942</c:v>
                </c:pt>
                <c:pt idx="43">
                  <c:v>57.811780722055815</c:v>
                </c:pt>
                <c:pt idx="44">
                  <c:v>58.290346442124125</c:v>
                </c:pt>
                <c:pt idx="45">
                  <c:v>58.007370117555425</c:v>
                </c:pt>
                <c:pt idx="46">
                  <c:v>58.603696779908262</c:v>
                </c:pt>
                <c:pt idx="47">
                  <c:v>57.620455619982287</c:v>
                </c:pt>
                <c:pt idx="48">
                  <c:v>58.438219848139831</c:v>
                </c:pt>
                <c:pt idx="49">
                  <c:v>58.520433134100983</c:v>
                </c:pt>
                <c:pt idx="50">
                  <c:v>57.663223358803428</c:v>
                </c:pt>
                <c:pt idx="51">
                  <c:v>58.519075353175872</c:v>
                </c:pt>
                <c:pt idx="52">
                  <c:v>60.394721590486782</c:v>
                </c:pt>
                <c:pt idx="53">
                  <c:v>61.09166244835621</c:v>
                </c:pt>
                <c:pt idx="54">
                  <c:v>60.37617265145559</c:v>
                </c:pt>
                <c:pt idx="55">
                  <c:v>60.387995629179606</c:v>
                </c:pt>
                <c:pt idx="56">
                  <c:v>61.174391144017953</c:v>
                </c:pt>
                <c:pt idx="57">
                  <c:v>59.401870690637232</c:v>
                </c:pt>
                <c:pt idx="58">
                  <c:v>59.428461183107615</c:v>
                </c:pt>
                <c:pt idx="59">
                  <c:v>59.714788270515946</c:v>
                </c:pt>
                <c:pt idx="60">
                  <c:v>60.629914288898668</c:v>
                </c:pt>
                <c:pt idx="61">
                  <c:v>60.387157017026468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4EA-417D-9FEF-816D9F694639}"/>
            </c:ext>
          </c:extLst>
        </c:ser>
        <c:ser>
          <c:idx val="14"/>
          <c:order val="13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Carlo'!$E$15:$BN$15</c:f>
              <c:numCache>
                <c:formatCode>General</c:formatCode>
                <c:ptCount val="62"/>
                <c:pt idx="1">
                  <c:v>60.99</c:v>
                </c:pt>
                <c:pt idx="2">
                  <c:v>60.787563585437169</c:v>
                </c:pt>
                <c:pt idx="3">
                  <c:v>62.740053138374556</c:v>
                </c:pt>
                <c:pt idx="4">
                  <c:v>60.370451316669943</c:v>
                </c:pt>
                <c:pt idx="5">
                  <c:v>60.499432289214539</c:v>
                </c:pt>
                <c:pt idx="6">
                  <c:v>62.045030916775303</c:v>
                </c:pt>
                <c:pt idx="7">
                  <c:v>62.381122700483935</c:v>
                </c:pt>
                <c:pt idx="8">
                  <c:v>62.181061172979973</c:v>
                </c:pt>
                <c:pt idx="9">
                  <c:v>62.740817998125678</c:v>
                </c:pt>
                <c:pt idx="10">
                  <c:v>62.457117018720403</c:v>
                </c:pt>
                <c:pt idx="11">
                  <c:v>61.908042416296141</c:v>
                </c:pt>
                <c:pt idx="12">
                  <c:v>61.695097215635172</c:v>
                </c:pt>
                <c:pt idx="13">
                  <c:v>61.564595927456786</c:v>
                </c:pt>
                <c:pt idx="14">
                  <c:v>60.604799717675931</c:v>
                </c:pt>
                <c:pt idx="15">
                  <c:v>58.56407883768442</c:v>
                </c:pt>
                <c:pt idx="16">
                  <c:v>58.111667496480408</c:v>
                </c:pt>
                <c:pt idx="17">
                  <c:v>58.722811063007107</c:v>
                </c:pt>
                <c:pt idx="18">
                  <c:v>58.412593564560169</c:v>
                </c:pt>
                <c:pt idx="19">
                  <c:v>56.439253827575584</c:v>
                </c:pt>
                <c:pt idx="20">
                  <c:v>57.399464329621196</c:v>
                </c:pt>
                <c:pt idx="21">
                  <c:v>58.376648764857975</c:v>
                </c:pt>
                <c:pt idx="22">
                  <c:v>59.162538529347223</c:v>
                </c:pt>
                <c:pt idx="23">
                  <c:v>57.713168348791925</c:v>
                </c:pt>
                <c:pt idx="24">
                  <c:v>59.390391158743959</c:v>
                </c:pt>
                <c:pt idx="25">
                  <c:v>60.962725923147595</c:v>
                </c:pt>
                <c:pt idx="26">
                  <c:v>60.901674933735912</c:v>
                </c:pt>
                <c:pt idx="27">
                  <c:v>59.000575995966713</c:v>
                </c:pt>
                <c:pt idx="28">
                  <c:v>57.768029085709081</c:v>
                </c:pt>
                <c:pt idx="29">
                  <c:v>59.188609344386435</c:v>
                </c:pt>
                <c:pt idx="30">
                  <c:v>59.743633706237866</c:v>
                </c:pt>
                <c:pt idx="31">
                  <c:v>60.841927787338221</c:v>
                </c:pt>
                <c:pt idx="32">
                  <c:v>61.015418537004997</c:v>
                </c:pt>
                <c:pt idx="33">
                  <c:v>60.943779132899834</c:v>
                </c:pt>
                <c:pt idx="34">
                  <c:v>61.619868693701157</c:v>
                </c:pt>
                <c:pt idx="35">
                  <c:v>60.823894740884725</c:v>
                </c:pt>
                <c:pt idx="36">
                  <c:v>62.409004662424984</c:v>
                </c:pt>
                <c:pt idx="37">
                  <c:v>62.42593451278718</c:v>
                </c:pt>
                <c:pt idx="38">
                  <c:v>61.551569372222239</c:v>
                </c:pt>
                <c:pt idx="39">
                  <c:v>63.310731335125773</c:v>
                </c:pt>
                <c:pt idx="40">
                  <c:v>63.327828553942638</c:v>
                </c:pt>
                <c:pt idx="41">
                  <c:v>63.148911698377191</c:v>
                </c:pt>
                <c:pt idx="42">
                  <c:v>65.538017610311655</c:v>
                </c:pt>
                <c:pt idx="43">
                  <c:v>64.690846184014731</c:v>
                </c:pt>
                <c:pt idx="44">
                  <c:v>66.686760491060568</c:v>
                </c:pt>
                <c:pt idx="45">
                  <c:v>66.70490423396059</c:v>
                </c:pt>
                <c:pt idx="46">
                  <c:v>65.771637255707148</c:v>
                </c:pt>
                <c:pt idx="47">
                  <c:v>64.457561144113782</c:v>
                </c:pt>
                <c:pt idx="48">
                  <c:v>64.762801466021315</c:v>
                </c:pt>
                <c:pt idx="49">
                  <c:v>64.263364118219926</c:v>
                </c:pt>
                <c:pt idx="50">
                  <c:v>65.383718527632809</c:v>
                </c:pt>
                <c:pt idx="51">
                  <c:v>67.444194063752576</c:v>
                </c:pt>
                <c:pt idx="52">
                  <c:v>66.24543796901385</c:v>
                </c:pt>
                <c:pt idx="53">
                  <c:v>66.177702773375756</c:v>
                </c:pt>
                <c:pt idx="54">
                  <c:v>65.47438261057485</c:v>
                </c:pt>
                <c:pt idx="55">
                  <c:v>67.207849429729634</c:v>
                </c:pt>
                <c:pt idx="56">
                  <c:v>66.412020222350279</c:v>
                </c:pt>
                <c:pt idx="57">
                  <c:v>63.944131987971033</c:v>
                </c:pt>
                <c:pt idx="58">
                  <c:v>65.053791283626367</c:v>
                </c:pt>
                <c:pt idx="59">
                  <c:v>65.691803290991544</c:v>
                </c:pt>
                <c:pt idx="60">
                  <c:v>65.899012861242056</c:v>
                </c:pt>
                <c:pt idx="61">
                  <c:v>65.61711002172386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4EA-417D-9FEF-816D9F694639}"/>
            </c:ext>
          </c:extLst>
        </c:ser>
        <c:ser>
          <c:idx val="15"/>
          <c:order val="14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Carlo'!$E$16:$BN$16</c:f>
              <c:numCache>
                <c:formatCode>General</c:formatCode>
                <c:ptCount val="62"/>
                <c:pt idx="1">
                  <c:v>60.99</c:v>
                </c:pt>
                <c:pt idx="2">
                  <c:v>61.405120979608256</c:v>
                </c:pt>
                <c:pt idx="3">
                  <c:v>62.89035910499183</c:v>
                </c:pt>
                <c:pt idx="4">
                  <c:v>61.876185326101115</c:v>
                </c:pt>
                <c:pt idx="5">
                  <c:v>63.324197408917421</c:v>
                </c:pt>
                <c:pt idx="6">
                  <c:v>64.240839152402344</c:v>
                </c:pt>
                <c:pt idx="7">
                  <c:v>64.216773362318307</c:v>
                </c:pt>
                <c:pt idx="8">
                  <c:v>64.258377278784252</c:v>
                </c:pt>
                <c:pt idx="9">
                  <c:v>66.775688909715115</c:v>
                </c:pt>
                <c:pt idx="10">
                  <c:v>66.014197115804507</c:v>
                </c:pt>
                <c:pt idx="11">
                  <c:v>66.368073360318419</c:v>
                </c:pt>
                <c:pt idx="12">
                  <c:v>67.479385320897023</c:v>
                </c:pt>
                <c:pt idx="13">
                  <c:v>70.05757195066586</c:v>
                </c:pt>
                <c:pt idx="14">
                  <c:v>70.449979712069393</c:v>
                </c:pt>
                <c:pt idx="15">
                  <c:v>70.032400220628887</c:v>
                </c:pt>
                <c:pt idx="16">
                  <c:v>68.17857368227213</c:v>
                </c:pt>
                <c:pt idx="17">
                  <c:v>67.487885505290791</c:v>
                </c:pt>
                <c:pt idx="18">
                  <c:v>68.000077559762218</c:v>
                </c:pt>
                <c:pt idx="19">
                  <c:v>68.053084071347982</c:v>
                </c:pt>
                <c:pt idx="20">
                  <c:v>69.455050345751602</c:v>
                </c:pt>
                <c:pt idx="21">
                  <c:v>70.335863963970951</c:v>
                </c:pt>
                <c:pt idx="22">
                  <c:v>70.224706813355454</c:v>
                </c:pt>
                <c:pt idx="23">
                  <c:v>71.199384522124717</c:v>
                </c:pt>
                <c:pt idx="24">
                  <c:v>71.730656719533812</c:v>
                </c:pt>
                <c:pt idx="25">
                  <c:v>71.608224058036413</c:v>
                </c:pt>
                <c:pt idx="26">
                  <c:v>72.98486820140414</c:v>
                </c:pt>
                <c:pt idx="27">
                  <c:v>75.092713443788639</c:v>
                </c:pt>
                <c:pt idx="28">
                  <c:v>75.301266977250066</c:v>
                </c:pt>
                <c:pt idx="29">
                  <c:v>76.291865149110635</c:v>
                </c:pt>
                <c:pt idx="30">
                  <c:v>79.117519957351831</c:v>
                </c:pt>
                <c:pt idx="31">
                  <c:v>79.959377368812738</c:v>
                </c:pt>
                <c:pt idx="32">
                  <c:v>81.057945182734031</c:v>
                </c:pt>
                <c:pt idx="33">
                  <c:v>81.310987985403727</c:v>
                </c:pt>
                <c:pt idx="34">
                  <c:v>82.137310484953957</c:v>
                </c:pt>
                <c:pt idx="35">
                  <c:v>80.896965796251294</c:v>
                </c:pt>
                <c:pt idx="36">
                  <c:v>82.785862774941535</c:v>
                </c:pt>
                <c:pt idx="37">
                  <c:v>81.411660283822116</c:v>
                </c:pt>
                <c:pt idx="38">
                  <c:v>81.326728439506368</c:v>
                </c:pt>
                <c:pt idx="39">
                  <c:v>83.982937062160246</c:v>
                </c:pt>
                <c:pt idx="40">
                  <c:v>82.828304066021445</c:v>
                </c:pt>
                <c:pt idx="41">
                  <c:v>81.194351733261911</c:v>
                </c:pt>
                <c:pt idx="42">
                  <c:v>80.030318909648955</c:v>
                </c:pt>
                <c:pt idx="43">
                  <c:v>82.805073201030424</c:v>
                </c:pt>
                <c:pt idx="44">
                  <c:v>81.678678116898141</c:v>
                </c:pt>
                <c:pt idx="45">
                  <c:v>82.194935129423527</c:v>
                </c:pt>
                <c:pt idx="46">
                  <c:v>82.243891482381585</c:v>
                </c:pt>
                <c:pt idx="47">
                  <c:v>81.880219773367116</c:v>
                </c:pt>
                <c:pt idx="48">
                  <c:v>79.910621978988758</c:v>
                </c:pt>
                <c:pt idx="49">
                  <c:v>79.580316325935698</c:v>
                </c:pt>
                <c:pt idx="50">
                  <c:v>79.475440678302789</c:v>
                </c:pt>
                <c:pt idx="51">
                  <c:v>79.114128141807868</c:v>
                </c:pt>
                <c:pt idx="52">
                  <c:v>81.047684631324813</c:v>
                </c:pt>
                <c:pt idx="53">
                  <c:v>83.702535476690173</c:v>
                </c:pt>
                <c:pt idx="54">
                  <c:v>82.413268612409453</c:v>
                </c:pt>
                <c:pt idx="55">
                  <c:v>83.493014427545731</c:v>
                </c:pt>
                <c:pt idx="56">
                  <c:v>81.758808218884155</c:v>
                </c:pt>
                <c:pt idx="57">
                  <c:v>82.318060622361116</c:v>
                </c:pt>
                <c:pt idx="58">
                  <c:v>84.046592067877526</c:v>
                </c:pt>
                <c:pt idx="59">
                  <c:v>84.824126078268122</c:v>
                </c:pt>
                <c:pt idx="60">
                  <c:v>83.489915747041479</c:v>
                </c:pt>
                <c:pt idx="61">
                  <c:v>83.180677222015476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4EA-417D-9FEF-816D9F694639}"/>
            </c:ext>
          </c:extLst>
        </c:ser>
        <c:ser>
          <c:idx val="16"/>
          <c:order val="15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Carlo'!$E$17:$BN$17</c:f>
              <c:numCache>
                <c:formatCode>General</c:formatCode>
                <c:ptCount val="62"/>
                <c:pt idx="1">
                  <c:v>60.99</c:v>
                </c:pt>
                <c:pt idx="2">
                  <c:v>61.479738083943609</c:v>
                </c:pt>
                <c:pt idx="3">
                  <c:v>61.640317160683061</c:v>
                </c:pt>
                <c:pt idx="4">
                  <c:v>60.836232676924297</c:v>
                </c:pt>
                <c:pt idx="5">
                  <c:v>61.39072914547917</c:v>
                </c:pt>
                <c:pt idx="6">
                  <c:v>60.364314654798164</c:v>
                </c:pt>
                <c:pt idx="7">
                  <c:v>58.868098482574986</c:v>
                </c:pt>
                <c:pt idx="8">
                  <c:v>58.3766501162482</c:v>
                </c:pt>
                <c:pt idx="9">
                  <c:v>56.746543694552081</c:v>
                </c:pt>
                <c:pt idx="10">
                  <c:v>56.588127006369064</c:v>
                </c:pt>
                <c:pt idx="11">
                  <c:v>56.591016291133741</c:v>
                </c:pt>
                <c:pt idx="12">
                  <c:v>56.891711733898184</c:v>
                </c:pt>
                <c:pt idx="13">
                  <c:v>57.205432687446852</c:v>
                </c:pt>
                <c:pt idx="14">
                  <c:v>57.602319590411916</c:v>
                </c:pt>
                <c:pt idx="15">
                  <c:v>56.912234782516258</c:v>
                </c:pt>
                <c:pt idx="16">
                  <c:v>59.042603989969457</c:v>
                </c:pt>
                <c:pt idx="17">
                  <c:v>59.182322927065094</c:v>
                </c:pt>
                <c:pt idx="18">
                  <c:v>60.291328458516944</c:v>
                </c:pt>
                <c:pt idx="19">
                  <c:v>60.445609093326617</c:v>
                </c:pt>
                <c:pt idx="20">
                  <c:v>58.863825173073501</c:v>
                </c:pt>
                <c:pt idx="21">
                  <c:v>60.898401723172398</c:v>
                </c:pt>
                <c:pt idx="22">
                  <c:v>58.701083512317226</c:v>
                </c:pt>
                <c:pt idx="23">
                  <c:v>57.772358458527499</c:v>
                </c:pt>
                <c:pt idx="24">
                  <c:v>59.247016066478174</c:v>
                </c:pt>
                <c:pt idx="25">
                  <c:v>60.401543375715377</c:v>
                </c:pt>
                <c:pt idx="26">
                  <c:v>59.20414564323486</c:v>
                </c:pt>
                <c:pt idx="27">
                  <c:v>59.539720332241032</c:v>
                </c:pt>
                <c:pt idx="28">
                  <c:v>59.218725524470877</c:v>
                </c:pt>
                <c:pt idx="29">
                  <c:v>56.877685547202972</c:v>
                </c:pt>
                <c:pt idx="30">
                  <c:v>56.450720017567626</c:v>
                </c:pt>
                <c:pt idx="31">
                  <c:v>55.403989846702757</c:v>
                </c:pt>
                <c:pt idx="32">
                  <c:v>54.771714740432692</c:v>
                </c:pt>
                <c:pt idx="33">
                  <c:v>52.160101232291517</c:v>
                </c:pt>
                <c:pt idx="34">
                  <c:v>52.232794030746746</c:v>
                </c:pt>
                <c:pt idx="35">
                  <c:v>51.433874072788278</c:v>
                </c:pt>
                <c:pt idx="36">
                  <c:v>50.483837570503852</c:v>
                </c:pt>
                <c:pt idx="37">
                  <c:v>52.298357388101117</c:v>
                </c:pt>
                <c:pt idx="38">
                  <c:v>52.884864728032596</c:v>
                </c:pt>
                <c:pt idx="39">
                  <c:v>52.858722788077984</c:v>
                </c:pt>
                <c:pt idx="40">
                  <c:v>51.958711021809307</c:v>
                </c:pt>
                <c:pt idx="41">
                  <c:v>51.874065641168471</c:v>
                </c:pt>
                <c:pt idx="42">
                  <c:v>53.049999564523247</c:v>
                </c:pt>
                <c:pt idx="43">
                  <c:v>53.141625859203891</c:v>
                </c:pt>
                <c:pt idx="44">
                  <c:v>51.957313074263318</c:v>
                </c:pt>
                <c:pt idx="45">
                  <c:v>52.506235684885453</c:v>
                </c:pt>
                <c:pt idx="46">
                  <c:v>53.231169961421152</c:v>
                </c:pt>
                <c:pt idx="47">
                  <c:v>51.880698587657648</c:v>
                </c:pt>
                <c:pt idx="48">
                  <c:v>52.169959767015925</c:v>
                </c:pt>
                <c:pt idx="49">
                  <c:v>52.270023063234198</c:v>
                </c:pt>
                <c:pt idx="50">
                  <c:v>53.828634544830635</c:v>
                </c:pt>
                <c:pt idx="51">
                  <c:v>52.513519564761296</c:v>
                </c:pt>
                <c:pt idx="52">
                  <c:v>52.712217536840264</c:v>
                </c:pt>
                <c:pt idx="53">
                  <c:v>52.168238943889435</c:v>
                </c:pt>
                <c:pt idx="54">
                  <c:v>53.28015531078843</c:v>
                </c:pt>
                <c:pt idx="55">
                  <c:v>54.778956500671953</c:v>
                </c:pt>
                <c:pt idx="56">
                  <c:v>55.283657475514218</c:v>
                </c:pt>
                <c:pt idx="57">
                  <c:v>56.047425122146507</c:v>
                </c:pt>
                <c:pt idx="58">
                  <c:v>57.550194380009422</c:v>
                </c:pt>
                <c:pt idx="59">
                  <c:v>55.078156675934444</c:v>
                </c:pt>
                <c:pt idx="60">
                  <c:v>54.565139341061823</c:v>
                </c:pt>
                <c:pt idx="61">
                  <c:v>53.498058125890203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4EA-417D-9FEF-816D9F694639}"/>
            </c:ext>
          </c:extLst>
        </c:ser>
        <c:ser>
          <c:idx val="17"/>
          <c:order val="16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Carlo'!$E$18:$BN$18</c:f>
              <c:numCache>
                <c:formatCode>General</c:formatCode>
                <c:ptCount val="62"/>
                <c:pt idx="1">
                  <c:v>60.99</c:v>
                </c:pt>
                <c:pt idx="2">
                  <c:v>61.289304212609466</c:v>
                </c:pt>
                <c:pt idx="3">
                  <c:v>62.652611456793046</c:v>
                </c:pt>
                <c:pt idx="4">
                  <c:v>65.129427056202516</c:v>
                </c:pt>
                <c:pt idx="5">
                  <c:v>64.769187441187199</c:v>
                </c:pt>
                <c:pt idx="6">
                  <c:v>64.682605468352861</c:v>
                </c:pt>
                <c:pt idx="7">
                  <c:v>63.773754163478472</c:v>
                </c:pt>
                <c:pt idx="8">
                  <c:v>62.663100994902528</c:v>
                </c:pt>
                <c:pt idx="9">
                  <c:v>61.059724945566892</c:v>
                </c:pt>
                <c:pt idx="10">
                  <c:v>59.62904213952384</c:v>
                </c:pt>
                <c:pt idx="11">
                  <c:v>60.007983717269042</c:v>
                </c:pt>
                <c:pt idx="12">
                  <c:v>61.090595480932535</c:v>
                </c:pt>
                <c:pt idx="13">
                  <c:v>59.751682416319838</c:v>
                </c:pt>
                <c:pt idx="14">
                  <c:v>57.168477872037741</c:v>
                </c:pt>
                <c:pt idx="15">
                  <c:v>56.661856443991553</c:v>
                </c:pt>
                <c:pt idx="16">
                  <c:v>59.812363856278331</c:v>
                </c:pt>
                <c:pt idx="17">
                  <c:v>59.118378556063284</c:v>
                </c:pt>
                <c:pt idx="18">
                  <c:v>60.441097653282029</c:v>
                </c:pt>
                <c:pt idx="19">
                  <c:v>61.841562290315274</c:v>
                </c:pt>
                <c:pt idx="20">
                  <c:v>63.082497312801813</c:v>
                </c:pt>
                <c:pt idx="21">
                  <c:v>62.482235153213388</c:v>
                </c:pt>
                <c:pt idx="22">
                  <c:v>62.848560917666425</c:v>
                </c:pt>
                <c:pt idx="23">
                  <c:v>62.352920894567156</c:v>
                </c:pt>
                <c:pt idx="24">
                  <c:v>61.850718013868921</c:v>
                </c:pt>
                <c:pt idx="25">
                  <c:v>60.585291228573901</c:v>
                </c:pt>
                <c:pt idx="26">
                  <c:v>60.0596975129641</c:v>
                </c:pt>
                <c:pt idx="27">
                  <c:v>61.611337821259177</c:v>
                </c:pt>
                <c:pt idx="28">
                  <c:v>63.713102597300846</c:v>
                </c:pt>
                <c:pt idx="29">
                  <c:v>64.240215464545003</c:v>
                </c:pt>
                <c:pt idx="30">
                  <c:v>65.749782689376914</c:v>
                </c:pt>
                <c:pt idx="31">
                  <c:v>65.399744959987913</c:v>
                </c:pt>
                <c:pt idx="32">
                  <c:v>65.679173399146677</c:v>
                </c:pt>
                <c:pt idx="33">
                  <c:v>67.161055110144829</c:v>
                </c:pt>
                <c:pt idx="34">
                  <c:v>66.131521929827031</c:v>
                </c:pt>
                <c:pt idx="35">
                  <c:v>66.497185948067553</c:v>
                </c:pt>
                <c:pt idx="36">
                  <c:v>67.598013353222797</c:v>
                </c:pt>
                <c:pt idx="37">
                  <c:v>67.402662268226024</c:v>
                </c:pt>
                <c:pt idx="38">
                  <c:v>66.495885727817637</c:v>
                </c:pt>
                <c:pt idx="39">
                  <c:v>67.04687975023127</c:v>
                </c:pt>
                <c:pt idx="40">
                  <c:v>68.819850724211264</c:v>
                </c:pt>
                <c:pt idx="41">
                  <c:v>69.331062462663667</c:v>
                </c:pt>
                <c:pt idx="42">
                  <c:v>69.091342518635315</c:v>
                </c:pt>
                <c:pt idx="43">
                  <c:v>71.375780875011472</c:v>
                </c:pt>
                <c:pt idx="44">
                  <c:v>69.418555149941156</c:v>
                </c:pt>
                <c:pt idx="45">
                  <c:v>69.513266310211606</c:v>
                </c:pt>
                <c:pt idx="46">
                  <c:v>68.92688937255619</c:v>
                </c:pt>
                <c:pt idx="47">
                  <c:v>70.973412920444673</c:v>
                </c:pt>
                <c:pt idx="48">
                  <c:v>71.305796600042498</c:v>
                </c:pt>
                <c:pt idx="49">
                  <c:v>71.991859608440748</c:v>
                </c:pt>
                <c:pt idx="50">
                  <c:v>71.302559504798339</c:v>
                </c:pt>
                <c:pt idx="51">
                  <c:v>71.626990453427965</c:v>
                </c:pt>
                <c:pt idx="52">
                  <c:v>69.85368087934296</c:v>
                </c:pt>
                <c:pt idx="53">
                  <c:v>69.706351110694499</c:v>
                </c:pt>
                <c:pt idx="54">
                  <c:v>68.957191593031297</c:v>
                </c:pt>
                <c:pt idx="55">
                  <c:v>69.666382488137643</c:v>
                </c:pt>
                <c:pt idx="56">
                  <c:v>68.03232805540955</c:v>
                </c:pt>
                <c:pt idx="57">
                  <c:v>69.276235470649425</c:v>
                </c:pt>
                <c:pt idx="58">
                  <c:v>70.344631898576495</c:v>
                </c:pt>
                <c:pt idx="59">
                  <c:v>71.069861116337066</c:v>
                </c:pt>
                <c:pt idx="60">
                  <c:v>70.675800162038996</c:v>
                </c:pt>
                <c:pt idx="61">
                  <c:v>70.015049124465293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4EA-417D-9FEF-816D9F694639}"/>
            </c:ext>
          </c:extLst>
        </c:ser>
        <c:ser>
          <c:idx val="18"/>
          <c:order val="17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Carlo'!$E$19:$BN$19</c:f>
              <c:numCache>
                <c:formatCode>General</c:formatCode>
                <c:ptCount val="62"/>
                <c:pt idx="1">
                  <c:v>60.99</c:v>
                </c:pt>
                <c:pt idx="2">
                  <c:v>61.255800153261589</c:v>
                </c:pt>
                <c:pt idx="3">
                  <c:v>63.798442643616944</c:v>
                </c:pt>
                <c:pt idx="4">
                  <c:v>63.13987682565358</c:v>
                </c:pt>
                <c:pt idx="5">
                  <c:v>62.110245382937542</c:v>
                </c:pt>
                <c:pt idx="6">
                  <c:v>62.707957195002002</c:v>
                </c:pt>
                <c:pt idx="7">
                  <c:v>61.370682160508252</c:v>
                </c:pt>
                <c:pt idx="8">
                  <c:v>61.943679162481317</c:v>
                </c:pt>
                <c:pt idx="9">
                  <c:v>61.835126393198706</c:v>
                </c:pt>
                <c:pt idx="10">
                  <c:v>63.037576004582554</c:v>
                </c:pt>
                <c:pt idx="11">
                  <c:v>62.624489132756544</c:v>
                </c:pt>
                <c:pt idx="12">
                  <c:v>62.023105783160112</c:v>
                </c:pt>
                <c:pt idx="13">
                  <c:v>61.599041128249901</c:v>
                </c:pt>
                <c:pt idx="14">
                  <c:v>58.728200760639623</c:v>
                </c:pt>
                <c:pt idx="15">
                  <c:v>58.134466178503068</c:v>
                </c:pt>
                <c:pt idx="16">
                  <c:v>57.877080619216507</c:v>
                </c:pt>
                <c:pt idx="17">
                  <c:v>56.404051912396866</c:v>
                </c:pt>
                <c:pt idx="18">
                  <c:v>56.215022279552123</c:v>
                </c:pt>
                <c:pt idx="19">
                  <c:v>55.945761100774291</c:v>
                </c:pt>
                <c:pt idx="20">
                  <c:v>55.286874629846011</c:v>
                </c:pt>
                <c:pt idx="21">
                  <c:v>55.561501616501189</c:v>
                </c:pt>
                <c:pt idx="22">
                  <c:v>55.484074661379708</c:v>
                </c:pt>
                <c:pt idx="23">
                  <c:v>55.073489205757461</c:v>
                </c:pt>
                <c:pt idx="24">
                  <c:v>57.068417298844423</c:v>
                </c:pt>
                <c:pt idx="25">
                  <c:v>56.923022731306133</c:v>
                </c:pt>
                <c:pt idx="26">
                  <c:v>55.967970322023348</c:v>
                </c:pt>
                <c:pt idx="27">
                  <c:v>56.86774192649974</c:v>
                </c:pt>
                <c:pt idx="28">
                  <c:v>58.86750859860679</c:v>
                </c:pt>
                <c:pt idx="29">
                  <c:v>57.733228330193853</c:v>
                </c:pt>
                <c:pt idx="30">
                  <c:v>58.09431655685831</c:v>
                </c:pt>
                <c:pt idx="31">
                  <c:v>57.287233410735148</c:v>
                </c:pt>
                <c:pt idx="32">
                  <c:v>56.833698248836072</c:v>
                </c:pt>
                <c:pt idx="33">
                  <c:v>56.553883710366144</c:v>
                </c:pt>
                <c:pt idx="34">
                  <c:v>56.426776085897735</c:v>
                </c:pt>
                <c:pt idx="35">
                  <c:v>57.888722046293381</c:v>
                </c:pt>
                <c:pt idx="36">
                  <c:v>57.871278585943315</c:v>
                </c:pt>
                <c:pt idx="37">
                  <c:v>57.522854876676668</c:v>
                </c:pt>
                <c:pt idx="38">
                  <c:v>57.722673319066473</c:v>
                </c:pt>
                <c:pt idx="39">
                  <c:v>55.654571431300546</c:v>
                </c:pt>
                <c:pt idx="40">
                  <c:v>55.101693841528252</c:v>
                </c:pt>
                <c:pt idx="41">
                  <c:v>55.879051819254634</c:v>
                </c:pt>
                <c:pt idx="42">
                  <c:v>56.007464633274985</c:v>
                </c:pt>
                <c:pt idx="43">
                  <c:v>57.185351542084078</c:v>
                </c:pt>
                <c:pt idx="44">
                  <c:v>58.35517809078771</c:v>
                </c:pt>
                <c:pt idx="45">
                  <c:v>57.878405413284113</c:v>
                </c:pt>
                <c:pt idx="46">
                  <c:v>57.475114935140297</c:v>
                </c:pt>
                <c:pt idx="47">
                  <c:v>56.328762533433633</c:v>
                </c:pt>
                <c:pt idx="48">
                  <c:v>56.943375511738104</c:v>
                </c:pt>
                <c:pt idx="49">
                  <c:v>56.061856178802529</c:v>
                </c:pt>
                <c:pt idx="50">
                  <c:v>56.634978051584113</c:v>
                </c:pt>
                <c:pt idx="51">
                  <c:v>54.567588804033107</c:v>
                </c:pt>
                <c:pt idx="52">
                  <c:v>55.265889212310555</c:v>
                </c:pt>
                <c:pt idx="53">
                  <c:v>55.893794390271822</c:v>
                </c:pt>
                <c:pt idx="54">
                  <c:v>56.994799383370719</c:v>
                </c:pt>
                <c:pt idx="55">
                  <c:v>55.630999758657104</c:v>
                </c:pt>
                <c:pt idx="56">
                  <c:v>58.395867251415467</c:v>
                </c:pt>
                <c:pt idx="57">
                  <c:v>59.990812106038454</c:v>
                </c:pt>
                <c:pt idx="58">
                  <c:v>59.560056577877127</c:v>
                </c:pt>
                <c:pt idx="59">
                  <c:v>59.364224190840346</c:v>
                </c:pt>
                <c:pt idx="60">
                  <c:v>60.642183963939935</c:v>
                </c:pt>
                <c:pt idx="61">
                  <c:v>62.638465430212115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4EA-417D-9FEF-816D9F694639}"/>
            </c:ext>
          </c:extLst>
        </c:ser>
        <c:ser>
          <c:idx val="19"/>
          <c:order val="18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Carlo'!$E$20:$BN$20</c:f>
              <c:numCache>
                <c:formatCode>General</c:formatCode>
                <c:ptCount val="62"/>
                <c:pt idx="1">
                  <c:v>60.99</c:v>
                </c:pt>
                <c:pt idx="2">
                  <c:v>61.484098738777945</c:v>
                </c:pt>
                <c:pt idx="3">
                  <c:v>60.604856254721859</c:v>
                </c:pt>
                <c:pt idx="4">
                  <c:v>60.779561419759851</c:v>
                </c:pt>
                <c:pt idx="5">
                  <c:v>61.306552108733165</c:v>
                </c:pt>
                <c:pt idx="6">
                  <c:v>62.187532600822557</c:v>
                </c:pt>
                <c:pt idx="7">
                  <c:v>64.208634572087789</c:v>
                </c:pt>
                <c:pt idx="8">
                  <c:v>65.376099712379713</c:v>
                </c:pt>
                <c:pt idx="9">
                  <c:v>65.152643700776665</c:v>
                </c:pt>
                <c:pt idx="10">
                  <c:v>65.603891064005992</c:v>
                </c:pt>
                <c:pt idx="11">
                  <c:v>65.010287808378749</c:v>
                </c:pt>
                <c:pt idx="12">
                  <c:v>65.887113011379881</c:v>
                </c:pt>
                <c:pt idx="13">
                  <c:v>68.458591110475737</c:v>
                </c:pt>
                <c:pt idx="14">
                  <c:v>69.736129818490383</c:v>
                </c:pt>
                <c:pt idx="15">
                  <c:v>70.822321807079618</c:v>
                </c:pt>
                <c:pt idx="16">
                  <c:v>70.489505175350914</c:v>
                </c:pt>
                <c:pt idx="17">
                  <c:v>72.622340923617287</c:v>
                </c:pt>
                <c:pt idx="18">
                  <c:v>74.622085348386349</c:v>
                </c:pt>
                <c:pt idx="19">
                  <c:v>74.578666589862806</c:v>
                </c:pt>
                <c:pt idx="20">
                  <c:v>76.068418365458669</c:v>
                </c:pt>
                <c:pt idx="21">
                  <c:v>77.676785057513754</c:v>
                </c:pt>
                <c:pt idx="22">
                  <c:v>76.427379837797517</c:v>
                </c:pt>
                <c:pt idx="23">
                  <c:v>77.972923645890219</c:v>
                </c:pt>
                <c:pt idx="24">
                  <c:v>78.387285236278316</c:v>
                </c:pt>
                <c:pt idx="25">
                  <c:v>77.504524901419103</c:v>
                </c:pt>
                <c:pt idx="26">
                  <c:v>76.125414377031774</c:v>
                </c:pt>
                <c:pt idx="27">
                  <c:v>75.253244420491598</c:v>
                </c:pt>
                <c:pt idx="28">
                  <c:v>77.509995703526243</c:v>
                </c:pt>
                <c:pt idx="29">
                  <c:v>76.842658097062582</c:v>
                </c:pt>
                <c:pt idx="30">
                  <c:v>75.243341757055006</c:v>
                </c:pt>
                <c:pt idx="31">
                  <c:v>76.835961941236832</c:v>
                </c:pt>
                <c:pt idx="32">
                  <c:v>78.846053038835976</c:v>
                </c:pt>
                <c:pt idx="33">
                  <c:v>77.533448086888498</c:v>
                </c:pt>
                <c:pt idx="34">
                  <c:v>73.956772902172375</c:v>
                </c:pt>
                <c:pt idx="35">
                  <c:v>73.646889701627046</c:v>
                </c:pt>
                <c:pt idx="36">
                  <c:v>74.578967888352281</c:v>
                </c:pt>
                <c:pt idx="37">
                  <c:v>73.802336862638953</c:v>
                </c:pt>
                <c:pt idx="38">
                  <c:v>75.253935967836213</c:v>
                </c:pt>
                <c:pt idx="39">
                  <c:v>74.216537111901488</c:v>
                </c:pt>
                <c:pt idx="40">
                  <c:v>72.869503202493988</c:v>
                </c:pt>
                <c:pt idx="41">
                  <c:v>75.832283929764529</c:v>
                </c:pt>
                <c:pt idx="42">
                  <c:v>76.319471012786678</c:v>
                </c:pt>
                <c:pt idx="43">
                  <c:v>78.741593883453817</c:v>
                </c:pt>
                <c:pt idx="44">
                  <c:v>80.516038848316015</c:v>
                </c:pt>
                <c:pt idx="45">
                  <c:v>81.406831410446316</c:v>
                </c:pt>
                <c:pt idx="46">
                  <c:v>83.142676311833256</c:v>
                </c:pt>
                <c:pt idx="47">
                  <c:v>83.321520033452856</c:v>
                </c:pt>
                <c:pt idx="48">
                  <c:v>82.413841933132687</c:v>
                </c:pt>
                <c:pt idx="49">
                  <c:v>82.018350229292722</c:v>
                </c:pt>
                <c:pt idx="50">
                  <c:v>82.215870272060457</c:v>
                </c:pt>
                <c:pt idx="51">
                  <c:v>82.607366578553481</c:v>
                </c:pt>
                <c:pt idx="52">
                  <c:v>82.694722971416681</c:v>
                </c:pt>
                <c:pt idx="53">
                  <c:v>79.825729379249552</c:v>
                </c:pt>
                <c:pt idx="54">
                  <c:v>81.310953413848637</c:v>
                </c:pt>
                <c:pt idx="55">
                  <c:v>82.863761873541648</c:v>
                </c:pt>
                <c:pt idx="56">
                  <c:v>85.004090574621117</c:v>
                </c:pt>
                <c:pt idx="57">
                  <c:v>86.089674303381699</c:v>
                </c:pt>
                <c:pt idx="58">
                  <c:v>86.195507346577131</c:v>
                </c:pt>
                <c:pt idx="59">
                  <c:v>88.438563401557118</c:v>
                </c:pt>
                <c:pt idx="60">
                  <c:v>89.888590012525356</c:v>
                </c:pt>
                <c:pt idx="61">
                  <c:v>88.423886358529586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4EA-417D-9FEF-816D9F694639}"/>
            </c:ext>
          </c:extLst>
        </c:ser>
        <c:ser>
          <c:idx val="20"/>
          <c:order val="19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Carlo'!$E$21:$BN$21</c:f>
              <c:numCache>
                <c:formatCode>General</c:formatCode>
                <c:ptCount val="62"/>
                <c:pt idx="1">
                  <c:v>60.99</c:v>
                </c:pt>
                <c:pt idx="2">
                  <c:v>62.957024277841839</c:v>
                </c:pt>
                <c:pt idx="3">
                  <c:v>62.516102747796722</c:v>
                </c:pt>
                <c:pt idx="4">
                  <c:v>63.472897460960382</c:v>
                </c:pt>
                <c:pt idx="5">
                  <c:v>64.037911916070186</c:v>
                </c:pt>
                <c:pt idx="6">
                  <c:v>63.174055584548299</c:v>
                </c:pt>
                <c:pt idx="7">
                  <c:v>62.905166574139315</c:v>
                </c:pt>
                <c:pt idx="8">
                  <c:v>62.810580487942111</c:v>
                </c:pt>
                <c:pt idx="9">
                  <c:v>62.896350067161301</c:v>
                </c:pt>
                <c:pt idx="10">
                  <c:v>64.768150983820576</c:v>
                </c:pt>
                <c:pt idx="11">
                  <c:v>65.685148481652817</c:v>
                </c:pt>
                <c:pt idx="12">
                  <c:v>65.91227450491435</c:v>
                </c:pt>
                <c:pt idx="13">
                  <c:v>68.04051767140723</c:v>
                </c:pt>
                <c:pt idx="14">
                  <c:v>66.425107424884118</c:v>
                </c:pt>
                <c:pt idx="15">
                  <c:v>66.24214955188809</c:v>
                </c:pt>
                <c:pt idx="16">
                  <c:v>67.342567430957345</c:v>
                </c:pt>
                <c:pt idx="17">
                  <c:v>68.006674150845711</c:v>
                </c:pt>
                <c:pt idx="18">
                  <c:v>67.878440592784344</c:v>
                </c:pt>
                <c:pt idx="19">
                  <c:v>69.324906247530848</c:v>
                </c:pt>
                <c:pt idx="20">
                  <c:v>69.738018555412367</c:v>
                </c:pt>
                <c:pt idx="21">
                  <c:v>71.42036206841226</c:v>
                </c:pt>
                <c:pt idx="22">
                  <c:v>70.952274302362966</c:v>
                </c:pt>
                <c:pt idx="23">
                  <c:v>70.863816511650867</c:v>
                </c:pt>
                <c:pt idx="24">
                  <c:v>71.7661036617029</c:v>
                </c:pt>
                <c:pt idx="25">
                  <c:v>72.952639760535888</c:v>
                </c:pt>
                <c:pt idx="26">
                  <c:v>73.81760964410401</c:v>
                </c:pt>
                <c:pt idx="27">
                  <c:v>75.662155069234203</c:v>
                </c:pt>
                <c:pt idx="28">
                  <c:v>75.490585346857983</c:v>
                </c:pt>
                <c:pt idx="29">
                  <c:v>75.355821803085036</c:v>
                </c:pt>
                <c:pt idx="30">
                  <c:v>76.10554487241464</c:v>
                </c:pt>
                <c:pt idx="31">
                  <c:v>75.501593364310608</c:v>
                </c:pt>
                <c:pt idx="32">
                  <c:v>75.653178525568336</c:v>
                </c:pt>
                <c:pt idx="33">
                  <c:v>75.178663015784409</c:v>
                </c:pt>
                <c:pt idx="34">
                  <c:v>75.695908741998807</c:v>
                </c:pt>
                <c:pt idx="35">
                  <c:v>75.637988459500818</c:v>
                </c:pt>
                <c:pt idx="36">
                  <c:v>76.240946089286453</c:v>
                </c:pt>
                <c:pt idx="37">
                  <c:v>77.138197887852698</c:v>
                </c:pt>
                <c:pt idx="38">
                  <c:v>75.865639938966368</c:v>
                </c:pt>
                <c:pt idx="39">
                  <c:v>75.207738393387203</c:v>
                </c:pt>
                <c:pt idx="40">
                  <c:v>77.506571321365399</c:v>
                </c:pt>
                <c:pt idx="41">
                  <c:v>78.794492995341898</c:v>
                </c:pt>
                <c:pt idx="42">
                  <c:v>80.841548533909105</c:v>
                </c:pt>
                <c:pt idx="43">
                  <c:v>82.795692829768299</c:v>
                </c:pt>
                <c:pt idx="44">
                  <c:v>83.366919994392433</c:v>
                </c:pt>
                <c:pt idx="45">
                  <c:v>86.311308776031723</c:v>
                </c:pt>
                <c:pt idx="46">
                  <c:v>87.437126774242643</c:v>
                </c:pt>
                <c:pt idx="47">
                  <c:v>88.734621530483835</c:v>
                </c:pt>
                <c:pt idx="48">
                  <c:v>88.702101392418925</c:v>
                </c:pt>
                <c:pt idx="49">
                  <c:v>91.92031692264456</c:v>
                </c:pt>
                <c:pt idx="50">
                  <c:v>90.7256125573536</c:v>
                </c:pt>
                <c:pt idx="51">
                  <c:v>93.230480756222931</c:v>
                </c:pt>
                <c:pt idx="52">
                  <c:v>93.5690671284502</c:v>
                </c:pt>
                <c:pt idx="53">
                  <c:v>93.604818617672933</c:v>
                </c:pt>
                <c:pt idx="54">
                  <c:v>93.316584920315805</c:v>
                </c:pt>
                <c:pt idx="55">
                  <c:v>97.154159044833747</c:v>
                </c:pt>
                <c:pt idx="56">
                  <c:v>97.251505019947714</c:v>
                </c:pt>
                <c:pt idx="57">
                  <c:v>97.652482644035445</c:v>
                </c:pt>
                <c:pt idx="58">
                  <c:v>101.38226645046318</c:v>
                </c:pt>
                <c:pt idx="59">
                  <c:v>103.3911494506527</c:v>
                </c:pt>
                <c:pt idx="60">
                  <c:v>104.73754548524977</c:v>
                </c:pt>
                <c:pt idx="61">
                  <c:v>104.20290713777409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4EA-417D-9FEF-816D9F694639}"/>
            </c:ext>
          </c:extLst>
        </c:ser>
        <c:ser>
          <c:idx val="21"/>
          <c:order val="20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Carlo'!$E$22:$BN$22</c:f>
              <c:numCache>
                <c:formatCode>General</c:formatCode>
                <c:ptCount val="62"/>
                <c:pt idx="1">
                  <c:v>60.99</c:v>
                </c:pt>
                <c:pt idx="2">
                  <c:v>62.709625327103986</c:v>
                </c:pt>
                <c:pt idx="3">
                  <c:v>62.0847918379391</c:v>
                </c:pt>
                <c:pt idx="4">
                  <c:v>65.285085254505574</c:v>
                </c:pt>
                <c:pt idx="5">
                  <c:v>65.077439222589376</c:v>
                </c:pt>
                <c:pt idx="6">
                  <c:v>63.688945823546391</c:v>
                </c:pt>
                <c:pt idx="7">
                  <c:v>64.558453645495646</c:v>
                </c:pt>
                <c:pt idx="8">
                  <c:v>63.407028577711323</c:v>
                </c:pt>
                <c:pt idx="9">
                  <c:v>62.832848998858815</c:v>
                </c:pt>
                <c:pt idx="10">
                  <c:v>60.506656779860165</c:v>
                </c:pt>
                <c:pt idx="11">
                  <c:v>61.409965677909739</c:v>
                </c:pt>
                <c:pt idx="12">
                  <c:v>60.979486882767084</c:v>
                </c:pt>
                <c:pt idx="13">
                  <c:v>62.100671003380818</c:v>
                </c:pt>
                <c:pt idx="14">
                  <c:v>59.779961881741094</c:v>
                </c:pt>
                <c:pt idx="15">
                  <c:v>61.206884112461978</c:v>
                </c:pt>
                <c:pt idx="16">
                  <c:v>62.794507018217843</c:v>
                </c:pt>
                <c:pt idx="17">
                  <c:v>64.186237920419373</c:v>
                </c:pt>
                <c:pt idx="18">
                  <c:v>65.399253280784492</c:v>
                </c:pt>
                <c:pt idx="19">
                  <c:v>66.513938202235494</c:v>
                </c:pt>
                <c:pt idx="20">
                  <c:v>69.018570845380552</c:v>
                </c:pt>
                <c:pt idx="21">
                  <c:v>69.050538140508309</c:v>
                </c:pt>
                <c:pt idx="22">
                  <c:v>69.021931178718191</c:v>
                </c:pt>
                <c:pt idx="23">
                  <c:v>68.262176903428298</c:v>
                </c:pt>
                <c:pt idx="24">
                  <c:v>66.780956696762843</c:v>
                </c:pt>
                <c:pt idx="25">
                  <c:v>68.025986232984877</c:v>
                </c:pt>
                <c:pt idx="26">
                  <c:v>67.95042764528273</c:v>
                </c:pt>
                <c:pt idx="27">
                  <c:v>64.589146329787837</c:v>
                </c:pt>
                <c:pt idx="28">
                  <c:v>64.912340915082069</c:v>
                </c:pt>
                <c:pt idx="29">
                  <c:v>63.376264269660851</c:v>
                </c:pt>
                <c:pt idx="30">
                  <c:v>61.060142085809105</c:v>
                </c:pt>
                <c:pt idx="31">
                  <c:v>60.783639424980926</c:v>
                </c:pt>
                <c:pt idx="32">
                  <c:v>57.095387091756734</c:v>
                </c:pt>
                <c:pt idx="33">
                  <c:v>56.719090031978169</c:v>
                </c:pt>
                <c:pt idx="34">
                  <c:v>56.032829360553954</c:v>
                </c:pt>
                <c:pt idx="35">
                  <c:v>56.640260100010735</c:v>
                </c:pt>
                <c:pt idx="36">
                  <c:v>55.533189810985782</c:v>
                </c:pt>
                <c:pt idx="37">
                  <c:v>57.379605756849593</c:v>
                </c:pt>
                <c:pt idx="38">
                  <c:v>59.158052896669375</c:v>
                </c:pt>
                <c:pt idx="39">
                  <c:v>61.569426563362278</c:v>
                </c:pt>
                <c:pt idx="40">
                  <c:v>62.364693235335345</c:v>
                </c:pt>
                <c:pt idx="41">
                  <c:v>62.968732281613846</c:v>
                </c:pt>
                <c:pt idx="42">
                  <c:v>61.723334076187058</c:v>
                </c:pt>
                <c:pt idx="43">
                  <c:v>59.807355570611783</c:v>
                </c:pt>
                <c:pt idx="44">
                  <c:v>60.77611062325429</c:v>
                </c:pt>
                <c:pt idx="45">
                  <c:v>60.977259260462134</c:v>
                </c:pt>
                <c:pt idx="46">
                  <c:v>61.102311377657941</c:v>
                </c:pt>
                <c:pt idx="47">
                  <c:v>61.764025757460089</c:v>
                </c:pt>
                <c:pt idx="48">
                  <c:v>62.125108721659046</c:v>
                </c:pt>
                <c:pt idx="49">
                  <c:v>59.828401830331295</c:v>
                </c:pt>
                <c:pt idx="50">
                  <c:v>59.494171158467175</c:v>
                </c:pt>
                <c:pt idx="51">
                  <c:v>59.986944714531703</c:v>
                </c:pt>
                <c:pt idx="52">
                  <c:v>62.151646196559966</c:v>
                </c:pt>
                <c:pt idx="53">
                  <c:v>62.797553591397474</c:v>
                </c:pt>
                <c:pt idx="54">
                  <c:v>62.385017178802904</c:v>
                </c:pt>
                <c:pt idx="55">
                  <c:v>61.602487708217915</c:v>
                </c:pt>
                <c:pt idx="56">
                  <c:v>62.405936192494245</c:v>
                </c:pt>
                <c:pt idx="57">
                  <c:v>63.498693132551004</c:v>
                </c:pt>
                <c:pt idx="58">
                  <c:v>62.25966994679672</c:v>
                </c:pt>
                <c:pt idx="59">
                  <c:v>62.927506586030582</c:v>
                </c:pt>
                <c:pt idx="60">
                  <c:v>63.487341343904426</c:v>
                </c:pt>
                <c:pt idx="61">
                  <c:v>64.543001901443262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4EA-417D-9FEF-816D9F694639}"/>
            </c:ext>
          </c:extLst>
        </c:ser>
        <c:ser>
          <c:idx val="22"/>
          <c:order val="21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Carlo'!$E$23:$BN$23</c:f>
              <c:numCache>
                <c:formatCode>General</c:formatCode>
                <c:ptCount val="62"/>
                <c:pt idx="1">
                  <c:v>60.99</c:v>
                </c:pt>
                <c:pt idx="2">
                  <c:v>60.347739069995725</c:v>
                </c:pt>
                <c:pt idx="3">
                  <c:v>60.005809848213893</c:v>
                </c:pt>
                <c:pt idx="4">
                  <c:v>60.390692456281826</c:v>
                </c:pt>
                <c:pt idx="5">
                  <c:v>61.457641247826899</c:v>
                </c:pt>
                <c:pt idx="6">
                  <c:v>61.492909548345473</c:v>
                </c:pt>
                <c:pt idx="7">
                  <c:v>62.837993542184101</c:v>
                </c:pt>
                <c:pt idx="8">
                  <c:v>62.88168078117581</c:v>
                </c:pt>
                <c:pt idx="9">
                  <c:v>61.656611726175697</c:v>
                </c:pt>
                <c:pt idx="10">
                  <c:v>63.493119797208017</c:v>
                </c:pt>
                <c:pt idx="11">
                  <c:v>64.188041976560001</c:v>
                </c:pt>
                <c:pt idx="12">
                  <c:v>65.684181237455974</c:v>
                </c:pt>
                <c:pt idx="13">
                  <c:v>67.592682052892258</c:v>
                </c:pt>
                <c:pt idx="14">
                  <c:v>67.264832769754932</c:v>
                </c:pt>
                <c:pt idx="15">
                  <c:v>66.184304282701788</c:v>
                </c:pt>
                <c:pt idx="16">
                  <c:v>65.652165329959644</c:v>
                </c:pt>
                <c:pt idx="17">
                  <c:v>66.076301835130494</c:v>
                </c:pt>
                <c:pt idx="18">
                  <c:v>65.295204123617509</c:v>
                </c:pt>
                <c:pt idx="19">
                  <c:v>66.139032368659855</c:v>
                </c:pt>
                <c:pt idx="20">
                  <c:v>65.354924974245463</c:v>
                </c:pt>
                <c:pt idx="21">
                  <c:v>64.188145648624911</c:v>
                </c:pt>
                <c:pt idx="22">
                  <c:v>63.181464967934886</c:v>
                </c:pt>
                <c:pt idx="23">
                  <c:v>62.166461111924043</c:v>
                </c:pt>
                <c:pt idx="24">
                  <c:v>61.822860378635177</c:v>
                </c:pt>
                <c:pt idx="25">
                  <c:v>61.399190888011788</c:v>
                </c:pt>
                <c:pt idx="26">
                  <c:v>60.50843910012015</c:v>
                </c:pt>
                <c:pt idx="27">
                  <c:v>60.352658983378291</c:v>
                </c:pt>
                <c:pt idx="28">
                  <c:v>61.242576711285643</c:v>
                </c:pt>
                <c:pt idx="29">
                  <c:v>62.6479384311845</c:v>
                </c:pt>
                <c:pt idx="30">
                  <c:v>62.364418842163758</c:v>
                </c:pt>
                <c:pt idx="31">
                  <c:v>62.458199788715213</c:v>
                </c:pt>
                <c:pt idx="32">
                  <c:v>61.826525933078976</c:v>
                </c:pt>
                <c:pt idx="33">
                  <c:v>64.762706392216316</c:v>
                </c:pt>
                <c:pt idx="34">
                  <c:v>65.726390992122489</c:v>
                </c:pt>
                <c:pt idx="35">
                  <c:v>67.92790179490207</c:v>
                </c:pt>
                <c:pt idx="36">
                  <c:v>66.888073344717782</c:v>
                </c:pt>
                <c:pt idx="37">
                  <c:v>67.09261625487585</c:v>
                </c:pt>
                <c:pt idx="38">
                  <c:v>66.739493843240467</c:v>
                </c:pt>
                <c:pt idx="39">
                  <c:v>66.752060601435673</c:v>
                </c:pt>
                <c:pt idx="40">
                  <c:v>67.659472090199571</c:v>
                </c:pt>
                <c:pt idx="41">
                  <c:v>67.053079589168661</c:v>
                </c:pt>
                <c:pt idx="42">
                  <c:v>67.262172290415208</c:v>
                </c:pt>
                <c:pt idx="43">
                  <c:v>68.957033046815468</c:v>
                </c:pt>
                <c:pt idx="44">
                  <c:v>71.017208296993289</c:v>
                </c:pt>
                <c:pt idx="45">
                  <c:v>69.276214376099404</c:v>
                </c:pt>
                <c:pt idx="46">
                  <c:v>68.993521014660786</c:v>
                </c:pt>
                <c:pt idx="47">
                  <c:v>69.617028276661358</c:v>
                </c:pt>
                <c:pt idx="48">
                  <c:v>70.408403760674105</c:v>
                </c:pt>
                <c:pt idx="49">
                  <c:v>68.831590637634136</c:v>
                </c:pt>
                <c:pt idx="50">
                  <c:v>70.181893691925623</c:v>
                </c:pt>
                <c:pt idx="51">
                  <c:v>70.366628273353669</c:v>
                </c:pt>
                <c:pt idx="52">
                  <c:v>70.450400132259091</c:v>
                </c:pt>
                <c:pt idx="53">
                  <c:v>70.245171125175133</c:v>
                </c:pt>
                <c:pt idx="54">
                  <c:v>69.066781567235608</c:v>
                </c:pt>
                <c:pt idx="55">
                  <c:v>67.566751261423747</c:v>
                </c:pt>
                <c:pt idx="56">
                  <c:v>68.445720903661737</c:v>
                </c:pt>
                <c:pt idx="57">
                  <c:v>68.422537515850507</c:v>
                </c:pt>
                <c:pt idx="58">
                  <c:v>67.685714362945674</c:v>
                </c:pt>
                <c:pt idx="59">
                  <c:v>67.326107426399801</c:v>
                </c:pt>
                <c:pt idx="60">
                  <c:v>66.648096477061088</c:v>
                </c:pt>
                <c:pt idx="61">
                  <c:v>70.033950955963817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4EA-417D-9FEF-816D9F694639}"/>
            </c:ext>
          </c:extLst>
        </c:ser>
        <c:ser>
          <c:idx val="23"/>
          <c:order val="22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Carlo'!$E$24:$BN$24</c:f>
              <c:numCache>
                <c:formatCode>General</c:formatCode>
                <c:ptCount val="62"/>
                <c:pt idx="1">
                  <c:v>60.99</c:v>
                </c:pt>
                <c:pt idx="2">
                  <c:v>59.942059753749753</c:v>
                </c:pt>
                <c:pt idx="3">
                  <c:v>60.099895142602442</c:v>
                </c:pt>
                <c:pt idx="4">
                  <c:v>59.71185535026833</c:v>
                </c:pt>
                <c:pt idx="5">
                  <c:v>60.659737521733412</c:v>
                </c:pt>
                <c:pt idx="6">
                  <c:v>62.702337978252828</c:v>
                </c:pt>
                <c:pt idx="7">
                  <c:v>63.259406442174928</c:v>
                </c:pt>
                <c:pt idx="8">
                  <c:v>62.438255103690103</c:v>
                </c:pt>
                <c:pt idx="9">
                  <c:v>62.996177642284827</c:v>
                </c:pt>
                <c:pt idx="10">
                  <c:v>63.545634915594086</c:v>
                </c:pt>
                <c:pt idx="11">
                  <c:v>62.759746536432559</c:v>
                </c:pt>
                <c:pt idx="12">
                  <c:v>63.14009346499229</c:v>
                </c:pt>
                <c:pt idx="13">
                  <c:v>61.583762657147425</c:v>
                </c:pt>
                <c:pt idx="14">
                  <c:v>63.49583501623534</c:v>
                </c:pt>
                <c:pt idx="15">
                  <c:v>62.514218496154875</c:v>
                </c:pt>
                <c:pt idx="16">
                  <c:v>61.927504109235798</c:v>
                </c:pt>
                <c:pt idx="17">
                  <c:v>61.89836018312797</c:v>
                </c:pt>
                <c:pt idx="18">
                  <c:v>63.820884970014198</c:v>
                </c:pt>
                <c:pt idx="19">
                  <c:v>62.274521614057342</c:v>
                </c:pt>
                <c:pt idx="20">
                  <c:v>62.527798399628459</c:v>
                </c:pt>
                <c:pt idx="21">
                  <c:v>65.611933010180039</c:v>
                </c:pt>
                <c:pt idx="22">
                  <c:v>65.501560688044179</c:v>
                </c:pt>
                <c:pt idx="23">
                  <c:v>66.11796278451996</c:v>
                </c:pt>
                <c:pt idx="24">
                  <c:v>67.216687857244139</c:v>
                </c:pt>
                <c:pt idx="25">
                  <c:v>66.699768346719395</c:v>
                </c:pt>
                <c:pt idx="26">
                  <c:v>68.043065114463161</c:v>
                </c:pt>
                <c:pt idx="27">
                  <c:v>69.826634520700566</c:v>
                </c:pt>
                <c:pt idx="28">
                  <c:v>70.392491724412068</c:v>
                </c:pt>
                <c:pt idx="29">
                  <c:v>69.798860731947073</c:v>
                </c:pt>
                <c:pt idx="30">
                  <c:v>69.106328368226684</c:v>
                </c:pt>
                <c:pt idx="31">
                  <c:v>71.20227568584518</c:v>
                </c:pt>
                <c:pt idx="32">
                  <c:v>69.445894043078184</c:v>
                </c:pt>
                <c:pt idx="33">
                  <c:v>68.594058239800404</c:v>
                </c:pt>
                <c:pt idx="34">
                  <c:v>69.370247868282391</c:v>
                </c:pt>
                <c:pt idx="35">
                  <c:v>70.145532820607713</c:v>
                </c:pt>
                <c:pt idx="36">
                  <c:v>70.936963842301168</c:v>
                </c:pt>
                <c:pt idx="37">
                  <c:v>69.184864314589817</c:v>
                </c:pt>
                <c:pt idx="38">
                  <c:v>70.529703177744537</c:v>
                </c:pt>
                <c:pt idx="39">
                  <c:v>69.419150422619452</c:v>
                </c:pt>
                <c:pt idx="40">
                  <c:v>69.921645892087383</c:v>
                </c:pt>
                <c:pt idx="41">
                  <c:v>70.080059880002167</c:v>
                </c:pt>
                <c:pt idx="42">
                  <c:v>70.76071515857646</c:v>
                </c:pt>
                <c:pt idx="43">
                  <c:v>71.700077214450829</c:v>
                </c:pt>
                <c:pt idx="44">
                  <c:v>70.60280211506236</c:v>
                </c:pt>
                <c:pt idx="45">
                  <c:v>70.359781999200152</c:v>
                </c:pt>
                <c:pt idx="46">
                  <c:v>70.966107300741655</c:v>
                </c:pt>
                <c:pt idx="47">
                  <c:v>72.036136885770532</c:v>
                </c:pt>
                <c:pt idx="48">
                  <c:v>72.298573504737732</c:v>
                </c:pt>
                <c:pt idx="49">
                  <c:v>76.399056091811985</c:v>
                </c:pt>
                <c:pt idx="50">
                  <c:v>76.81283288902867</c:v>
                </c:pt>
                <c:pt idx="51">
                  <c:v>75.457492644422175</c:v>
                </c:pt>
                <c:pt idx="52">
                  <c:v>74.637034468336054</c:v>
                </c:pt>
                <c:pt idx="53">
                  <c:v>77.517261432711194</c:v>
                </c:pt>
                <c:pt idx="54">
                  <c:v>77.920825368857479</c:v>
                </c:pt>
                <c:pt idx="55">
                  <c:v>77.157621506370063</c:v>
                </c:pt>
                <c:pt idx="56">
                  <c:v>76.561728975039898</c:v>
                </c:pt>
                <c:pt idx="57">
                  <c:v>75.737843401978182</c:v>
                </c:pt>
                <c:pt idx="58">
                  <c:v>76.005746932254056</c:v>
                </c:pt>
                <c:pt idx="59">
                  <c:v>75.76043345402762</c:v>
                </c:pt>
                <c:pt idx="60">
                  <c:v>75.549891650212572</c:v>
                </c:pt>
                <c:pt idx="61">
                  <c:v>76.228055386473002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4EA-417D-9FEF-816D9F694639}"/>
            </c:ext>
          </c:extLst>
        </c:ser>
        <c:ser>
          <c:idx val="24"/>
          <c:order val="23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Carlo'!$E$25:$BN$25</c:f>
              <c:numCache>
                <c:formatCode>General</c:formatCode>
                <c:ptCount val="62"/>
                <c:pt idx="1">
                  <c:v>60.99</c:v>
                </c:pt>
                <c:pt idx="2">
                  <c:v>61.766295034151597</c:v>
                </c:pt>
                <c:pt idx="3">
                  <c:v>63.264612166381795</c:v>
                </c:pt>
                <c:pt idx="4">
                  <c:v>64.087455279096773</c:v>
                </c:pt>
                <c:pt idx="5">
                  <c:v>63.426737737375838</c:v>
                </c:pt>
                <c:pt idx="6">
                  <c:v>61.062961371834767</c:v>
                </c:pt>
                <c:pt idx="7">
                  <c:v>63.896025099531087</c:v>
                </c:pt>
                <c:pt idx="8">
                  <c:v>65.959538199173693</c:v>
                </c:pt>
                <c:pt idx="9">
                  <c:v>66.560997113058932</c:v>
                </c:pt>
                <c:pt idx="10">
                  <c:v>66.435206145837341</c:v>
                </c:pt>
                <c:pt idx="11">
                  <c:v>66.309497672288302</c:v>
                </c:pt>
                <c:pt idx="12">
                  <c:v>66.311584342154561</c:v>
                </c:pt>
                <c:pt idx="13">
                  <c:v>65.582638936112062</c:v>
                </c:pt>
                <c:pt idx="14">
                  <c:v>64.919306098002892</c:v>
                </c:pt>
                <c:pt idx="15">
                  <c:v>64.828873951980739</c:v>
                </c:pt>
                <c:pt idx="16">
                  <c:v>67.373478441243449</c:v>
                </c:pt>
                <c:pt idx="17">
                  <c:v>67.994548243144081</c:v>
                </c:pt>
                <c:pt idx="18">
                  <c:v>69.977569127583621</c:v>
                </c:pt>
                <c:pt idx="19">
                  <c:v>70.84785440945349</c:v>
                </c:pt>
                <c:pt idx="20">
                  <c:v>68.06393202834613</c:v>
                </c:pt>
                <c:pt idx="21">
                  <c:v>67.161871984137605</c:v>
                </c:pt>
                <c:pt idx="22">
                  <c:v>67.479904186095467</c:v>
                </c:pt>
                <c:pt idx="23">
                  <c:v>69.513079203964935</c:v>
                </c:pt>
                <c:pt idx="24">
                  <c:v>68.199003388229741</c:v>
                </c:pt>
                <c:pt idx="25">
                  <c:v>67.62630042671924</c:v>
                </c:pt>
                <c:pt idx="26">
                  <c:v>68.687357131608451</c:v>
                </c:pt>
                <c:pt idx="27">
                  <c:v>69.549665463809191</c:v>
                </c:pt>
                <c:pt idx="28">
                  <c:v>70.386475395621446</c:v>
                </c:pt>
                <c:pt idx="29">
                  <c:v>68.223355664387185</c:v>
                </c:pt>
                <c:pt idx="30">
                  <c:v>68.766858154770446</c:v>
                </c:pt>
                <c:pt idx="31">
                  <c:v>68.040080527079652</c:v>
                </c:pt>
                <c:pt idx="32">
                  <c:v>66.861097054815545</c:v>
                </c:pt>
                <c:pt idx="33">
                  <c:v>65.996507636101839</c:v>
                </c:pt>
                <c:pt idx="34">
                  <c:v>67.646750982500023</c:v>
                </c:pt>
                <c:pt idx="35">
                  <c:v>67.164270390862868</c:v>
                </c:pt>
                <c:pt idx="36">
                  <c:v>70.977807600028441</c:v>
                </c:pt>
                <c:pt idx="37">
                  <c:v>70.187429335462596</c:v>
                </c:pt>
                <c:pt idx="38">
                  <c:v>69.959602471948202</c:v>
                </c:pt>
                <c:pt idx="39">
                  <c:v>71.149998975071583</c:v>
                </c:pt>
                <c:pt idx="40">
                  <c:v>71.526740272388309</c:v>
                </c:pt>
                <c:pt idx="41">
                  <c:v>69.763214504360761</c:v>
                </c:pt>
                <c:pt idx="42">
                  <c:v>70.515319314741305</c:v>
                </c:pt>
                <c:pt idx="43">
                  <c:v>68.900649611719828</c:v>
                </c:pt>
                <c:pt idx="44">
                  <c:v>68.228911437853711</c:v>
                </c:pt>
                <c:pt idx="45">
                  <c:v>66.568341129634348</c:v>
                </c:pt>
                <c:pt idx="46">
                  <c:v>65.957933138812507</c:v>
                </c:pt>
                <c:pt idx="47">
                  <c:v>66.046885859430873</c:v>
                </c:pt>
                <c:pt idx="48">
                  <c:v>63.573003763621386</c:v>
                </c:pt>
                <c:pt idx="49">
                  <c:v>62.756153275025206</c:v>
                </c:pt>
                <c:pt idx="50">
                  <c:v>63.115496806482774</c:v>
                </c:pt>
                <c:pt idx="51">
                  <c:v>64.307384027059115</c:v>
                </c:pt>
                <c:pt idx="52">
                  <c:v>64.085368305507131</c:v>
                </c:pt>
                <c:pt idx="53">
                  <c:v>63.657597932501019</c:v>
                </c:pt>
                <c:pt idx="54">
                  <c:v>65.689199089228239</c:v>
                </c:pt>
                <c:pt idx="55">
                  <c:v>65.068519015085556</c:v>
                </c:pt>
                <c:pt idx="56">
                  <c:v>65.145496205334638</c:v>
                </c:pt>
                <c:pt idx="57">
                  <c:v>64.91089119596424</c:v>
                </c:pt>
                <c:pt idx="58">
                  <c:v>66.146170840635961</c:v>
                </c:pt>
                <c:pt idx="59">
                  <c:v>66.075116549576435</c:v>
                </c:pt>
                <c:pt idx="60">
                  <c:v>65.641340014980344</c:v>
                </c:pt>
                <c:pt idx="61">
                  <c:v>64.151231867903903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4EA-417D-9FEF-816D9F694639}"/>
            </c:ext>
          </c:extLst>
        </c:ser>
        <c:ser>
          <c:idx val="25"/>
          <c:order val="24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Carlo'!$E$26:$BN$26</c:f>
              <c:numCache>
                <c:formatCode>General</c:formatCode>
                <c:ptCount val="62"/>
                <c:pt idx="1">
                  <c:v>60.99</c:v>
                </c:pt>
                <c:pt idx="2">
                  <c:v>61.658213118693801</c:v>
                </c:pt>
                <c:pt idx="3">
                  <c:v>61.740697869529313</c:v>
                </c:pt>
                <c:pt idx="4">
                  <c:v>62.024243571086792</c:v>
                </c:pt>
                <c:pt idx="5">
                  <c:v>62.189495326270752</c:v>
                </c:pt>
                <c:pt idx="6">
                  <c:v>64.017344953811033</c:v>
                </c:pt>
                <c:pt idx="7">
                  <c:v>64.480400182065083</c:v>
                </c:pt>
                <c:pt idx="8">
                  <c:v>64.459596885906805</c:v>
                </c:pt>
                <c:pt idx="9">
                  <c:v>63.09048796770341</c:v>
                </c:pt>
                <c:pt idx="10">
                  <c:v>63.174439371229234</c:v>
                </c:pt>
                <c:pt idx="11">
                  <c:v>62.125161064409831</c:v>
                </c:pt>
                <c:pt idx="12">
                  <c:v>62.468516213671556</c:v>
                </c:pt>
                <c:pt idx="13">
                  <c:v>62.213731457424146</c:v>
                </c:pt>
                <c:pt idx="14">
                  <c:v>61.379975832134441</c:v>
                </c:pt>
                <c:pt idx="15">
                  <c:v>61.699194085993597</c:v>
                </c:pt>
                <c:pt idx="16">
                  <c:v>61.5436111452603</c:v>
                </c:pt>
                <c:pt idx="17">
                  <c:v>63.61906297530669</c:v>
                </c:pt>
                <c:pt idx="18">
                  <c:v>62.938920179755783</c:v>
                </c:pt>
                <c:pt idx="19">
                  <c:v>61.134154707888342</c:v>
                </c:pt>
                <c:pt idx="20">
                  <c:v>61.82523313057068</c:v>
                </c:pt>
                <c:pt idx="21">
                  <c:v>62.287102907630654</c:v>
                </c:pt>
                <c:pt idx="22">
                  <c:v>62.039584606947564</c:v>
                </c:pt>
                <c:pt idx="23">
                  <c:v>60.870292540145712</c:v>
                </c:pt>
                <c:pt idx="24">
                  <c:v>62.168322554288068</c:v>
                </c:pt>
                <c:pt idx="25">
                  <c:v>62.263618533400091</c:v>
                </c:pt>
                <c:pt idx="26">
                  <c:v>60.922525376857159</c:v>
                </c:pt>
                <c:pt idx="27">
                  <c:v>60.074407565345645</c:v>
                </c:pt>
                <c:pt idx="28">
                  <c:v>61.584232419149842</c:v>
                </c:pt>
                <c:pt idx="29">
                  <c:v>64.361256441471753</c:v>
                </c:pt>
                <c:pt idx="30">
                  <c:v>63.832531977578405</c:v>
                </c:pt>
                <c:pt idx="31">
                  <c:v>61.245630084836037</c:v>
                </c:pt>
                <c:pt idx="32">
                  <c:v>61.19003643107331</c:v>
                </c:pt>
                <c:pt idx="33">
                  <c:v>59.400277471712215</c:v>
                </c:pt>
                <c:pt idx="34">
                  <c:v>59.492451771917544</c:v>
                </c:pt>
                <c:pt idx="35">
                  <c:v>60.105819147089377</c:v>
                </c:pt>
                <c:pt idx="36">
                  <c:v>61.312903549545531</c:v>
                </c:pt>
                <c:pt idx="37">
                  <c:v>61.926562376979689</c:v>
                </c:pt>
                <c:pt idx="38">
                  <c:v>62.328958289183355</c:v>
                </c:pt>
                <c:pt idx="39">
                  <c:v>63.803804401339619</c:v>
                </c:pt>
                <c:pt idx="40">
                  <c:v>61.976593957737812</c:v>
                </c:pt>
                <c:pt idx="41">
                  <c:v>61.578422149358609</c:v>
                </c:pt>
                <c:pt idx="42">
                  <c:v>63.367949806459777</c:v>
                </c:pt>
                <c:pt idx="43">
                  <c:v>62.12892735966733</c:v>
                </c:pt>
                <c:pt idx="44">
                  <c:v>62.321491603154975</c:v>
                </c:pt>
                <c:pt idx="45">
                  <c:v>62.361424825702613</c:v>
                </c:pt>
                <c:pt idx="46">
                  <c:v>62.925347814905258</c:v>
                </c:pt>
                <c:pt idx="47">
                  <c:v>60.546689605690212</c:v>
                </c:pt>
                <c:pt idx="48">
                  <c:v>61.745252411702857</c:v>
                </c:pt>
                <c:pt idx="49">
                  <c:v>62.750344551570777</c:v>
                </c:pt>
                <c:pt idx="50">
                  <c:v>63.592996771420076</c:v>
                </c:pt>
                <c:pt idx="51">
                  <c:v>64.004525401848014</c:v>
                </c:pt>
                <c:pt idx="52">
                  <c:v>66.283304715745075</c:v>
                </c:pt>
                <c:pt idx="53">
                  <c:v>67.42095544031578</c:v>
                </c:pt>
                <c:pt idx="54">
                  <c:v>67.020896993604183</c:v>
                </c:pt>
                <c:pt idx="55">
                  <c:v>68.13145769828138</c:v>
                </c:pt>
                <c:pt idx="56">
                  <c:v>69.015780648454665</c:v>
                </c:pt>
                <c:pt idx="57">
                  <c:v>69.811136901024881</c:v>
                </c:pt>
                <c:pt idx="58">
                  <c:v>70.940322463995187</c:v>
                </c:pt>
                <c:pt idx="59">
                  <c:v>71.775399083302673</c:v>
                </c:pt>
                <c:pt idx="60">
                  <c:v>72.784877448631818</c:v>
                </c:pt>
                <c:pt idx="61">
                  <c:v>71.509226377542007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4EA-417D-9FEF-816D9F694639}"/>
            </c:ext>
          </c:extLst>
        </c:ser>
        <c:ser>
          <c:idx val="26"/>
          <c:order val="25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Carlo'!$E$27:$BN$27</c:f>
              <c:numCache>
                <c:formatCode>General</c:formatCode>
                <c:ptCount val="62"/>
                <c:pt idx="1">
                  <c:v>60.99</c:v>
                </c:pt>
                <c:pt idx="2">
                  <c:v>60.741605589329879</c:v>
                </c:pt>
                <c:pt idx="3">
                  <c:v>60.92168868837814</c:v>
                </c:pt>
                <c:pt idx="4">
                  <c:v>60.494002697398287</c:v>
                </c:pt>
                <c:pt idx="5">
                  <c:v>61.570508700950285</c:v>
                </c:pt>
                <c:pt idx="6">
                  <c:v>61.80040089040282</c:v>
                </c:pt>
                <c:pt idx="7">
                  <c:v>63.51333884283865</c:v>
                </c:pt>
                <c:pt idx="8">
                  <c:v>60.9920991277938</c:v>
                </c:pt>
                <c:pt idx="9">
                  <c:v>61.566624479557206</c:v>
                </c:pt>
                <c:pt idx="10">
                  <c:v>62.26287692952652</c:v>
                </c:pt>
                <c:pt idx="11">
                  <c:v>61.735127329812521</c:v>
                </c:pt>
                <c:pt idx="12">
                  <c:v>62.047876574079403</c:v>
                </c:pt>
                <c:pt idx="13">
                  <c:v>60.443866934689339</c:v>
                </c:pt>
                <c:pt idx="14">
                  <c:v>61.811117376889932</c:v>
                </c:pt>
                <c:pt idx="15">
                  <c:v>61.055899493000965</c:v>
                </c:pt>
                <c:pt idx="16">
                  <c:v>60.423887055112402</c:v>
                </c:pt>
                <c:pt idx="17">
                  <c:v>58.421339465876372</c:v>
                </c:pt>
                <c:pt idx="18">
                  <c:v>59.465678466447535</c:v>
                </c:pt>
                <c:pt idx="19">
                  <c:v>59.869190533347037</c:v>
                </c:pt>
                <c:pt idx="20">
                  <c:v>61.159774467757074</c:v>
                </c:pt>
                <c:pt idx="21">
                  <c:v>61.472667686207352</c:v>
                </c:pt>
                <c:pt idx="22">
                  <c:v>63.113417391063209</c:v>
                </c:pt>
                <c:pt idx="23">
                  <c:v>63.117187751782893</c:v>
                </c:pt>
                <c:pt idx="24">
                  <c:v>65.171568331806114</c:v>
                </c:pt>
                <c:pt idx="25">
                  <c:v>63.609035281248623</c:v>
                </c:pt>
                <c:pt idx="26">
                  <c:v>63.954159430074533</c:v>
                </c:pt>
                <c:pt idx="27">
                  <c:v>63.417560366390887</c:v>
                </c:pt>
                <c:pt idx="28">
                  <c:v>64.0357558014327</c:v>
                </c:pt>
                <c:pt idx="29">
                  <c:v>64.322143167304603</c:v>
                </c:pt>
                <c:pt idx="30">
                  <c:v>64.967766044508707</c:v>
                </c:pt>
                <c:pt idx="31">
                  <c:v>64.260529844026948</c:v>
                </c:pt>
                <c:pt idx="32">
                  <c:v>62.026545132307604</c:v>
                </c:pt>
                <c:pt idx="33">
                  <c:v>62.907099272013895</c:v>
                </c:pt>
                <c:pt idx="34">
                  <c:v>63.803343137510211</c:v>
                </c:pt>
                <c:pt idx="35">
                  <c:v>64.359610207482959</c:v>
                </c:pt>
                <c:pt idx="36">
                  <c:v>63.905220069735712</c:v>
                </c:pt>
                <c:pt idx="37">
                  <c:v>64.464178440043796</c:v>
                </c:pt>
                <c:pt idx="38">
                  <c:v>62.922919632556059</c:v>
                </c:pt>
                <c:pt idx="39">
                  <c:v>62.463529124971124</c:v>
                </c:pt>
                <c:pt idx="40">
                  <c:v>63.338349802560423</c:v>
                </c:pt>
                <c:pt idx="41">
                  <c:v>61.715469899119064</c:v>
                </c:pt>
                <c:pt idx="42">
                  <c:v>63.488732496490648</c:v>
                </c:pt>
                <c:pt idx="43">
                  <c:v>65.28786683035564</c:v>
                </c:pt>
                <c:pt idx="44">
                  <c:v>65.980298422465225</c:v>
                </c:pt>
                <c:pt idx="45">
                  <c:v>66.331930516752109</c:v>
                </c:pt>
                <c:pt idx="46">
                  <c:v>68.275353942242035</c:v>
                </c:pt>
                <c:pt idx="47">
                  <c:v>67.311411454373115</c:v>
                </c:pt>
                <c:pt idx="48">
                  <c:v>67.055037550403426</c:v>
                </c:pt>
                <c:pt idx="49">
                  <c:v>65.342308940361434</c:v>
                </c:pt>
                <c:pt idx="50">
                  <c:v>65.186727325727944</c:v>
                </c:pt>
                <c:pt idx="51">
                  <c:v>65.244952202356885</c:v>
                </c:pt>
                <c:pt idx="52">
                  <c:v>65.031837054717585</c:v>
                </c:pt>
                <c:pt idx="53">
                  <c:v>66.650615469531502</c:v>
                </c:pt>
                <c:pt idx="54">
                  <c:v>65.076104775151066</c:v>
                </c:pt>
                <c:pt idx="55">
                  <c:v>65.393840624020683</c:v>
                </c:pt>
                <c:pt idx="56">
                  <c:v>65.586075341906039</c:v>
                </c:pt>
                <c:pt idx="57">
                  <c:v>66.592782580304515</c:v>
                </c:pt>
                <c:pt idx="58">
                  <c:v>65.584352606472564</c:v>
                </c:pt>
                <c:pt idx="59">
                  <c:v>64.750222742526518</c:v>
                </c:pt>
                <c:pt idx="60">
                  <c:v>65.015740344119564</c:v>
                </c:pt>
                <c:pt idx="61">
                  <c:v>64.381838936235468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4EA-417D-9FEF-816D9F694639}"/>
            </c:ext>
          </c:extLst>
        </c:ser>
        <c:ser>
          <c:idx val="27"/>
          <c:order val="26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Carlo'!$E$28:$BN$28</c:f>
              <c:numCache>
                <c:formatCode>General</c:formatCode>
                <c:ptCount val="62"/>
                <c:pt idx="1">
                  <c:v>60.99</c:v>
                </c:pt>
                <c:pt idx="2">
                  <c:v>62.420353197537949</c:v>
                </c:pt>
                <c:pt idx="3">
                  <c:v>63.839321362432692</c:v>
                </c:pt>
                <c:pt idx="4">
                  <c:v>63.800629750514567</c:v>
                </c:pt>
                <c:pt idx="5">
                  <c:v>66.544206861590027</c:v>
                </c:pt>
                <c:pt idx="6">
                  <c:v>66.430926290600937</c:v>
                </c:pt>
                <c:pt idx="7">
                  <c:v>65.079431937197725</c:v>
                </c:pt>
                <c:pt idx="8">
                  <c:v>63.900672393189168</c:v>
                </c:pt>
                <c:pt idx="9">
                  <c:v>61.597084830981849</c:v>
                </c:pt>
                <c:pt idx="10">
                  <c:v>63.435451693294866</c:v>
                </c:pt>
                <c:pt idx="11">
                  <c:v>64.135039332609807</c:v>
                </c:pt>
                <c:pt idx="12">
                  <c:v>64.251225533162739</c:v>
                </c:pt>
                <c:pt idx="13">
                  <c:v>64.041279280021016</c:v>
                </c:pt>
                <c:pt idx="14">
                  <c:v>63.512367087146252</c:v>
                </c:pt>
                <c:pt idx="15">
                  <c:v>64.558562907526394</c:v>
                </c:pt>
                <c:pt idx="16">
                  <c:v>66.147998546550639</c:v>
                </c:pt>
                <c:pt idx="17">
                  <c:v>66.523287361568293</c:v>
                </c:pt>
                <c:pt idx="18">
                  <c:v>65.197449928961916</c:v>
                </c:pt>
                <c:pt idx="19">
                  <c:v>66.157233372748294</c:v>
                </c:pt>
                <c:pt idx="20">
                  <c:v>67.899456504511335</c:v>
                </c:pt>
                <c:pt idx="21">
                  <c:v>67.028996901656868</c:v>
                </c:pt>
                <c:pt idx="22">
                  <c:v>67.857073682281253</c:v>
                </c:pt>
                <c:pt idx="23">
                  <c:v>66.392852771915727</c:v>
                </c:pt>
                <c:pt idx="24">
                  <c:v>68.652822069688568</c:v>
                </c:pt>
                <c:pt idx="25">
                  <c:v>69.648363538648738</c:v>
                </c:pt>
                <c:pt idx="26">
                  <c:v>68.692097066821631</c:v>
                </c:pt>
                <c:pt idx="27">
                  <c:v>71.310777041794694</c:v>
                </c:pt>
                <c:pt idx="28">
                  <c:v>72.074006654976273</c:v>
                </c:pt>
                <c:pt idx="29">
                  <c:v>73.244284662840684</c:v>
                </c:pt>
                <c:pt idx="30">
                  <c:v>74.598348769728901</c:v>
                </c:pt>
                <c:pt idx="31">
                  <c:v>75.635137399451722</c:v>
                </c:pt>
                <c:pt idx="32">
                  <c:v>78.758183850803391</c:v>
                </c:pt>
                <c:pt idx="33">
                  <c:v>79.621861800418472</c:v>
                </c:pt>
                <c:pt idx="34">
                  <c:v>79.604378587072731</c:v>
                </c:pt>
                <c:pt idx="35">
                  <c:v>79.972331236231724</c:v>
                </c:pt>
                <c:pt idx="36">
                  <c:v>78.251186575830999</c:v>
                </c:pt>
                <c:pt idx="37">
                  <c:v>77.962270508353001</c:v>
                </c:pt>
                <c:pt idx="38">
                  <c:v>80.585062562152672</c:v>
                </c:pt>
                <c:pt idx="39">
                  <c:v>79.209673443966111</c:v>
                </c:pt>
                <c:pt idx="40">
                  <c:v>78.209925581429317</c:v>
                </c:pt>
                <c:pt idx="41">
                  <c:v>79.006126519377773</c:v>
                </c:pt>
                <c:pt idx="42">
                  <c:v>79.796878498070413</c:v>
                </c:pt>
                <c:pt idx="43">
                  <c:v>81.603074910369429</c:v>
                </c:pt>
                <c:pt idx="44">
                  <c:v>81.374992170936395</c:v>
                </c:pt>
                <c:pt idx="45">
                  <c:v>79.719927688845559</c:v>
                </c:pt>
                <c:pt idx="46">
                  <c:v>78.929513505582989</c:v>
                </c:pt>
                <c:pt idx="47">
                  <c:v>79.147006434670089</c:v>
                </c:pt>
                <c:pt idx="48">
                  <c:v>80.272524711828765</c:v>
                </c:pt>
                <c:pt idx="49">
                  <c:v>79.573668097274464</c:v>
                </c:pt>
                <c:pt idx="50">
                  <c:v>79.202213679432603</c:v>
                </c:pt>
                <c:pt idx="51">
                  <c:v>78.403890149832748</c:v>
                </c:pt>
                <c:pt idx="52">
                  <c:v>80.581342596402422</c:v>
                </c:pt>
                <c:pt idx="53">
                  <c:v>81.533365522073709</c:v>
                </c:pt>
                <c:pt idx="54">
                  <c:v>80.760004763567295</c:v>
                </c:pt>
                <c:pt idx="55">
                  <c:v>81.296695064549382</c:v>
                </c:pt>
                <c:pt idx="56">
                  <c:v>81.001599013615262</c:v>
                </c:pt>
                <c:pt idx="57">
                  <c:v>82.888290034956128</c:v>
                </c:pt>
                <c:pt idx="58">
                  <c:v>82.874418169539553</c:v>
                </c:pt>
                <c:pt idx="59">
                  <c:v>82.208266541866422</c:v>
                </c:pt>
                <c:pt idx="60">
                  <c:v>81.406981687915035</c:v>
                </c:pt>
                <c:pt idx="61">
                  <c:v>80.659748508165563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4EA-417D-9FEF-816D9F694639}"/>
            </c:ext>
          </c:extLst>
        </c:ser>
        <c:ser>
          <c:idx val="28"/>
          <c:order val="27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Carlo'!$E$29:$BN$29</c:f>
              <c:numCache>
                <c:formatCode>General</c:formatCode>
                <c:ptCount val="62"/>
                <c:pt idx="1">
                  <c:v>60.99</c:v>
                </c:pt>
                <c:pt idx="2">
                  <c:v>62.799259743585324</c:v>
                </c:pt>
                <c:pt idx="3">
                  <c:v>62.278466686505034</c:v>
                </c:pt>
                <c:pt idx="4">
                  <c:v>61.333463700584616</c:v>
                </c:pt>
                <c:pt idx="5">
                  <c:v>61.890731418353376</c:v>
                </c:pt>
                <c:pt idx="6">
                  <c:v>62.746238778566543</c:v>
                </c:pt>
                <c:pt idx="7">
                  <c:v>60.635459883375589</c:v>
                </c:pt>
                <c:pt idx="8">
                  <c:v>60.503856542039003</c:v>
                </c:pt>
                <c:pt idx="9">
                  <c:v>60.060522575795041</c:v>
                </c:pt>
                <c:pt idx="10">
                  <c:v>61.690806856372461</c:v>
                </c:pt>
                <c:pt idx="11">
                  <c:v>63.056165821454449</c:v>
                </c:pt>
                <c:pt idx="12">
                  <c:v>63.617666693623896</c:v>
                </c:pt>
                <c:pt idx="13">
                  <c:v>62.464986395021292</c:v>
                </c:pt>
                <c:pt idx="14">
                  <c:v>62.517238455744142</c:v>
                </c:pt>
                <c:pt idx="15">
                  <c:v>60.457428222858802</c:v>
                </c:pt>
                <c:pt idx="16">
                  <c:v>60.878016811316414</c:v>
                </c:pt>
                <c:pt idx="17">
                  <c:v>61.358455009391754</c:v>
                </c:pt>
                <c:pt idx="18">
                  <c:v>60.998093924360901</c:v>
                </c:pt>
                <c:pt idx="19">
                  <c:v>61.581326054157024</c:v>
                </c:pt>
                <c:pt idx="20">
                  <c:v>60.874228846289896</c:v>
                </c:pt>
                <c:pt idx="21">
                  <c:v>60.483733837040717</c:v>
                </c:pt>
                <c:pt idx="22">
                  <c:v>60.31080029978876</c:v>
                </c:pt>
                <c:pt idx="23">
                  <c:v>61.236999292141348</c:v>
                </c:pt>
                <c:pt idx="24">
                  <c:v>58.369010431820648</c:v>
                </c:pt>
                <c:pt idx="25">
                  <c:v>57.652800688203207</c:v>
                </c:pt>
                <c:pt idx="26">
                  <c:v>56.022247838232857</c:v>
                </c:pt>
                <c:pt idx="27">
                  <c:v>55.585431937854679</c:v>
                </c:pt>
                <c:pt idx="28">
                  <c:v>54.33570863609831</c:v>
                </c:pt>
                <c:pt idx="29">
                  <c:v>52.789530986551839</c:v>
                </c:pt>
                <c:pt idx="30">
                  <c:v>54.135328351288315</c:v>
                </c:pt>
                <c:pt idx="31">
                  <c:v>55.414261437463296</c:v>
                </c:pt>
                <c:pt idx="32">
                  <c:v>55.512682345214508</c:v>
                </c:pt>
                <c:pt idx="33">
                  <c:v>55.387119931855814</c:v>
                </c:pt>
                <c:pt idx="34">
                  <c:v>54.499127674335945</c:v>
                </c:pt>
                <c:pt idx="35">
                  <c:v>54.876596226958554</c:v>
                </c:pt>
                <c:pt idx="36">
                  <c:v>53.522418075409753</c:v>
                </c:pt>
                <c:pt idx="37">
                  <c:v>54.062521024114986</c:v>
                </c:pt>
                <c:pt idx="38">
                  <c:v>54.525677417353293</c:v>
                </c:pt>
                <c:pt idx="39">
                  <c:v>53.710238098310207</c:v>
                </c:pt>
                <c:pt idx="40">
                  <c:v>53.856599650702222</c:v>
                </c:pt>
                <c:pt idx="41">
                  <c:v>54.855505753973759</c:v>
                </c:pt>
                <c:pt idx="42">
                  <c:v>55.513292686157634</c:v>
                </c:pt>
                <c:pt idx="43">
                  <c:v>55.58943245060977</c:v>
                </c:pt>
                <c:pt idx="44">
                  <c:v>56.763404937186301</c:v>
                </c:pt>
                <c:pt idx="45">
                  <c:v>57.523772700950303</c:v>
                </c:pt>
                <c:pt idx="46">
                  <c:v>56.859041548927145</c:v>
                </c:pt>
                <c:pt idx="47">
                  <c:v>56.081305195498054</c:v>
                </c:pt>
                <c:pt idx="48">
                  <c:v>56.055377752695307</c:v>
                </c:pt>
                <c:pt idx="49">
                  <c:v>55.545284782023536</c:v>
                </c:pt>
                <c:pt idx="50">
                  <c:v>53.680568975816989</c:v>
                </c:pt>
                <c:pt idx="51">
                  <c:v>54.66032530913747</c:v>
                </c:pt>
                <c:pt idx="52">
                  <c:v>55.0370544064751</c:v>
                </c:pt>
                <c:pt idx="53">
                  <c:v>54.490603282549316</c:v>
                </c:pt>
                <c:pt idx="54">
                  <c:v>53.987127271275249</c:v>
                </c:pt>
                <c:pt idx="55">
                  <c:v>52.764971565779064</c:v>
                </c:pt>
                <c:pt idx="56">
                  <c:v>51.971642337738992</c:v>
                </c:pt>
                <c:pt idx="57">
                  <c:v>51.971314011529508</c:v>
                </c:pt>
                <c:pt idx="58">
                  <c:v>52.345862995614134</c:v>
                </c:pt>
                <c:pt idx="59">
                  <c:v>51.127922963561943</c:v>
                </c:pt>
                <c:pt idx="60">
                  <c:v>51.676167155313891</c:v>
                </c:pt>
                <c:pt idx="61">
                  <c:v>49.859556154186592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4EA-417D-9FEF-816D9F694639}"/>
            </c:ext>
          </c:extLst>
        </c:ser>
        <c:ser>
          <c:idx val="29"/>
          <c:order val="28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Carlo'!$E$30:$BN$30</c:f>
              <c:numCache>
                <c:formatCode>General</c:formatCode>
                <c:ptCount val="62"/>
                <c:pt idx="1">
                  <c:v>60.99</c:v>
                </c:pt>
                <c:pt idx="2">
                  <c:v>59.699986192298141</c:v>
                </c:pt>
                <c:pt idx="3">
                  <c:v>60.638006965108424</c:v>
                </c:pt>
                <c:pt idx="4">
                  <c:v>61.871366870950325</c:v>
                </c:pt>
                <c:pt idx="5">
                  <c:v>64.099989280206941</c:v>
                </c:pt>
                <c:pt idx="6">
                  <c:v>62.024552387766128</c:v>
                </c:pt>
                <c:pt idx="7">
                  <c:v>62.282281881226588</c:v>
                </c:pt>
                <c:pt idx="8">
                  <c:v>62.430032100044457</c:v>
                </c:pt>
                <c:pt idx="9">
                  <c:v>62.921098063024623</c:v>
                </c:pt>
                <c:pt idx="10">
                  <c:v>64.352335006014542</c:v>
                </c:pt>
                <c:pt idx="11">
                  <c:v>63.906955905202636</c:v>
                </c:pt>
                <c:pt idx="12">
                  <c:v>63.538708205039612</c:v>
                </c:pt>
                <c:pt idx="13">
                  <c:v>65.1967091495669</c:v>
                </c:pt>
                <c:pt idx="14">
                  <c:v>65.159666038497008</c:v>
                </c:pt>
                <c:pt idx="15">
                  <c:v>65.115589349864848</c:v>
                </c:pt>
                <c:pt idx="16">
                  <c:v>64.944341558218454</c:v>
                </c:pt>
                <c:pt idx="17">
                  <c:v>63.609364884596083</c:v>
                </c:pt>
                <c:pt idx="18">
                  <c:v>63.680349714813538</c:v>
                </c:pt>
                <c:pt idx="19">
                  <c:v>64.072994997566624</c:v>
                </c:pt>
                <c:pt idx="20">
                  <c:v>64.771791903979008</c:v>
                </c:pt>
                <c:pt idx="21">
                  <c:v>64.644121846315045</c:v>
                </c:pt>
                <c:pt idx="22">
                  <c:v>66.64837738160908</c:v>
                </c:pt>
                <c:pt idx="23">
                  <c:v>68.415984044902103</c:v>
                </c:pt>
                <c:pt idx="24">
                  <c:v>67.772561622399621</c:v>
                </c:pt>
                <c:pt idx="25">
                  <c:v>66.792784175845242</c:v>
                </c:pt>
                <c:pt idx="26">
                  <c:v>69.813964814214785</c:v>
                </c:pt>
                <c:pt idx="27">
                  <c:v>68.748879491861103</c:v>
                </c:pt>
                <c:pt idx="28">
                  <c:v>70.500950279046918</c:v>
                </c:pt>
                <c:pt idx="29">
                  <c:v>69.368378065472967</c:v>
                </c:pt>
                <c:pt idx="30">
                  <c:v>70.572448382925188</c:v>
                </c:pt>
                <c:pt idx="31">
                  <c:v>70.681160435907401</c:v>
                </c:pt>
                <c:pt idx="32">
                  <c:v>70.662241472002776</c:v>
                </c:pt>
                <c:pt idx="33">
                  <c:v>71.923135423575857</c:v>
                </c:pt>
                <c:pt idx="34">
                  <c:v>72.371337879656778</c:v>
                </c:pt>
                <c:pt idx="35">
                  <c:v>72.091789916219</c:v>
                </c:pt>
                <c:pt idx="36">
                  <c:v>69.273249258546045</c:v>
                </c:pt>
                <c:pt idx="37">
                  <c:v>69.476446026306206</c:v>
                </c:pt>
                <c:pt idx="38">
                  <c:v>69.104393392735147</c:v>
                </c:pt>
                <c:pt idx="39">
                  <c:v>68.239078285446581</c:v>
                </c:pt>
                <c:pt idx="40">
                  <c:v>68.318363356617482</c:v>
                </c:pt>
                <c:pt idx="41">
                  <c:v>69.529367481859865</c:v>
                </c:pt>
                <c:pt idx="42">
                  <c:v>69.597472564913033</c:v>
                </c:pt>
                <c:pt idx="43">
                  <c:v>67.387611628849271</c:v>
                </c:pt>
                <c:pt idx="44">
                  <c:v>66.274362524877418</c:v>
                </c:pt>
                <c:pt idx="45">
                  <c:v>67.622794161060241</c:v>
                </c:pt>
                <c:pt idx="46">
                  <c:v>67.887030228272536</c:v>
                </c:pt>
                <c:pt idx="47">
                  <c:v>69.579593362195013</c:v>
                </c:pt>
                <c:pt idx="48">
                  <c:v>70.362026425860591</c:v>
                </c:pt>
                <c:pt idx="49">
                  <c:v>71.055750640090466</c:v>
                </c:pt>
                <c:pt idx="50">
                  <c:v>71.680273910039148</c:v>
                </c:pt>
                <c:pt idx="51">
                  <c:v>72.693748715263908</c:v>
                </c:pt>
                <c:pt idx="52">
                  <c:v>74.2580044943697</c:v>
                </c:pt>
                <c:pt idx="53">
                  <c:v>75.28292969587153</c:v>
                </c:pt>
                <c:pt idx="54">
                  <c:v>75.372445191086499</c:v>
                </c:pt>
                <c:pt idx="55">
                  <c:v>76.003715646017895</c:v>
                </c:pt>
                <c:pt idx="56">
                  <c:v>77.257772979595373</c:v>
                </c:pt>
                <c:pt idx="57">
                  <c:v>76.842267130075342</c:v>
                </c:pt>
                <c:pt idx="58">
                  <c:v>77.892071333231954</c:v>
                </c:pt>
                <c:pt idx="59">
                  <c:v>78.702543616830681</c:v>
                </c:pt>
                <c:pt idx="60">
                  <c:v>79.01663888580525</c:v>
                </c:pt>
                <c:pt idx="61">
                  <c:v>78.372208446416906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4EA-417D-9FEF-816D9F694639}"/>
            </c:ext>
          </c:extLst>
        </c:ser>
        <c:ser>
          <c:idx val="30"/>
          <c:order val="29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Carlo'!$E$31:$BN$31</c:f>
              <c:numCache>
                <c:formatCode>General</c:formatCode>
                <c:ptCount val="62"/>
                <c:pt idx="1">
                  <c:v>60.99</c:v>
                </c:pt>
                <c:pt idx="2">
                  <c:v>60.09445329426557</c:v>
                </c:pt>
                <c:pt idx="3">
                  <c:v>61.43063900302446</c:v>
                </c:pt>
                <c:pt idx="4">
                  <c:v>60.617991556361581</c:v>
                </c:pt>
                <c:pt idx="5">
                  <c:v>61.06076337462828</c:v>
                </c:pt>
                <c:pt idx="6">
                  <c:v>63.27256675002365</c:v>
                </c:pt>
                <c:pt idx="7">
                  <c:v>64.076393350379519</c:v>
                </c:pt>
                <c:pt idx="8">
                  <c:v>62.684468588214671</c:v>
                </c:pt>
                <c:pt idx="9">
                  <c:v>62.699387626691646</c:v>
                </c:pt>
                <c:pt idx="10">
                  <c:v>62.519971458901111</c:v>
                </c:pt>
                <c:pt idx="11">
                  <c:v>63.963086157496534</c:v>
                </c:pt>
                <c:pt idx="12">
                  <c:v>65.175074001866236</c:v>
                </c:pt>
                <c:pt idx="13">
                  <c:v>66.294568235077207</c:v>
                </c:pt>
                <c:pt idx="14">
                  <c:v>63.586545321228641</c:v>
                </c:pt>
                <c:pt idx="15">
                  <c:v>65.120471209276801</c:v>
                </c:pt>
                <c:pt idx="16">
                  <c:v>65.838414106676098</c:v>
                </c:pt>
                <c:pt idx="17">
                  <c:v>67.366575688077987</c:v>
                </c:pt>
                <c:pt idx="18">
                  <c:v>66.513479993834792</c:v>
                </c:pt>
                <c:pt idx="19">
                  <c:v>64.689725423084013</c:v>
                </c:pt>
                <c:pt idx="20">
                  <c:v>64.809809245372008</c:v>
                </c:pt>
                <c:pt idx="21">
                  <c:v>66.26291703423631</c:v>
                </c:pt>
                <c:pt idx="22">
                  <c:v>64.873496497904853</c:v>
                </c:pt>
                <c:pt idx="23">
                  <c:v>65.114210914173768</c:v>
                </c:pt>
                <c:pt idx="24">
                  <c:v>64.149559136584173</c:v>
                </c:pt>
                <c:pt idx="25">
                  <c:v>64.689847268263108</c:v>
                </c:pt>
                <c:pt idx="26">
                  <c:v>66.491150230016871</c:v>
                </c:pt>
                <c:pt idx="27">
                  <c:v>66.564121550029128</c:v>
                </c:pt>
                <c:pt idx="28">
                  <c:v>65.813614370316316</c:v>
                </c:pt>
                <c:pt idx="29">
                  <c:v>65.685887240778001</c:v>
                </c:pt>
                <c:pt idx="30">
                  <c:v>67.232654029403363</c:v>
                </c:pt>
                <c:pt idx="31">
                  <c:v>68.143881760160085</c:v>
                </c:pt>
                <c:pt idx="32">
                  <c:v>67.775737619339964</c:v>
                </c:pt>
                <c:pt idx="33">
                  <c:v>69.223403191363161</c:v>
                </c:pt>
                <c:pt idx="34">
                  <c:v>69.574053200993902</c:v>
                </c:pt>
                <c:pt idx="35">
                  <c:v>68.807147015716779</c:v>
                </c:pt>
                <c:pt idx="36">
                  <c:v>69.588149678964513</c:v>
                </c:pt>
                <c:pt idx="37">
                  <c:v>66.835268627299584</c:v>
                </c:pt>
                <c:pt idx="38">
                  <c:v>69.154583348284234</c:v>
                </c:pt>
                <c:pt idx="39">
                  <c:v>71.377447457204212</c:v>
                </c:pt>
                <c:pt idx="40">
                  <c:v>71.597153145465839</c:v>
                </c:pt>
                <c:pt idx="41">
                  <c:v>71.61853611371815</c:v>
                </c:pt>
                <c:pt idx="42">
                  <c:v>73.796089801169728</c:v>
                </c:pt>
                <c:pt idx="43">
                  <c:v>74.177804030835503</c:v>
                </c:pt>
                <c:pt idx="44">
                  <c:v>73.324037470660187</c:v>
                </c:pt>
                <c:pt idx="45">
                  <c:v>74.695375546842129</c:v>
                </c:pt>
                <c:pt idx="46">
                  <c:v>73.144203145306008</c:v>
                </c:pt>
                <c:pt idx="47">
                  <c:v>71.640953281812159</c:v>
                </c:pt>
                <c:pt idx="48">
                  <c:v>71.466564011627099</c:v>
                </c:pt>
                <c:pt idx="49">
                  <c:v>72.011402204057106</c:v>
                </c:pt>
                <c:pt idx="50">
                  <c:v>72.482316702125303</c:v>
                </c:pt>
                <c:pt idx="51">
                  <c:v>75.508522957505505</c:v>
                </c:pt>
                <c:pt idx="52">
                  <c:v>72.689858218573136</c:v>
                </c:pt>
                <c:pt idx="53">
                  <c:v>71.586561460986644</c:v>
                </c:pt>
                <c:pt idx="54">
                  <c:v>69.21109405044939</c:v>
                </c:pt>
                <c:pt idx="55">
                  <c:v>70.795145492309103</c:v>
                </c:pt>
                <c:pt idx="56">
                  <c:v>71.612147552988219</c:v>
                </c:pt>
                <c:pt idx="57">
                  <c:v>70.999699295172562</c:v>
                </c:pt>
                <c:pt idx="58">
                  <c:v>71.957825498331516</c:v>
                </c:pt>
                <c:pt idx="59">
                  <c:v>72.123878222584509</c:v>
                </c:pt>
                <c:pt idx="60">
                  <c:v>69.865302271953553</c:v>
                </c:pt>
                <c:pt idx="61">
                  <c:v>71.013797136166858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4EA-417D-9FEF-816D9F694639}"/>
            </c:ext>
          </c:extLst>
        </c:ser>
        <c:ser>
          <c:idx val="31"/>
          <c:order val="30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Carlo'!$E$32:$BN$32</c:f>
              <c:numCache>
                <c:formatCode>General</c:formatCode>
                <c:ptCount val="62"/>
                <c:pt idx="1">
                  <c:v>60.99</c:v>
                </c:pt>
                <c:pt idx="2">
                  <c:v>61.029094403912715</c:v>
                </c:pt>
                <c:pt idx="3">
                  <c:v>61.222870601361116</c:v>
                </c:pt>
                <c:pt idx="4">
                  <c:v>61.602079272882428</c:v>
                </c:pt>
                <c:pt idx="5">
                  <c:v>61.351351824910651</c:v>
                </c:pt>
                <c:pt idx="6">
                  <c:v>62.855775899929831</c:v>
                </c:pt>
                <c:pt idx="7">
                  <c:v>63.817577636283701</c:v>
                </c:pt>
                <c:pt idx="8">
                  <c:v>64.583961104694509</c:v>
                </c:pt>
                <c:pt idx="9">
                  <c:v>64.913355121145869</c:v>
                </c:pt>
                <c:pt idx="10">
                  <c:v>63.137865960702037</c:v>
                </c:pt>
                <c:pt idx="11">
                  <c:v>62.736209170086113</c:v>
                </c:pt>
                <c:pt idx="12">
                  <c:v>63.850313280042506</c:v>
                </c:pt>
                <c:pt idx="13">
                  <c:v>65.621817565517986</c:v>
                </c:pt>
                <c:pt idx="14">
                  <c:v>64.88707419581668</c:v>
                </c:pt>
                <c:pt idx="15">
                  <c:v>65.573314779868767</c:v>
                </c:pt>
                <c:pt idx="16">
                  <c:v>64.674327443075356</c:v>
                </c:pt>
                <c:pt idx="17">
                  <c:v>63.659596252958998</c:v>
                </c:pt>
                <c:pt idx="18">
                  <c:v>63.267484129045435</c:v>
                </c:pt>
                <c:pt idx="19">
                  <c:v>61.642508044144549</c:v>
                </c:pt>
                <c:pt idx="20">
                  <c:v>61.967959881991106</c:v>
                </c:pt>
                <c:pt idx="21">
                  <c:v>61.040831270081817</c:v>
                </c:pt>
                <c:pt idx="22">
                  <c:v>62.466135164547453</c:v>
                </c:pt>
                <c:pt idx="23">
                  <c:v>60.69179728375174</c:v>
                </c:pt>
                <c:pt idx="24">
                  <c:v>59.858005385070058</c:v>
                </c:pt>
                <c:pt idx="25">
                  <c:v>60.833738002037343</c:v>
                </c:pt>
                <c:pt idx="26">
                  <c:v>59.850779107585012</c:v>
                </c:pt>
                <c:pt idx="27">
                  <c:v>61.575098158162696</c:v>
                </c:pt>
                <c:pt idx="28">
                  <c:v>62.105861628363996</c:v>
                </c:pt>
                <c:pt idx="29">
                  <c:v>62.469404442261826</c:v>
                </c:pt>
                <c:pt idx="30">
                  <c:v>59.014874235584806</c:v>
                </c:pt>
                <c:pt idx="31">
                  <c:v>61.890890733135677</c:v>
                </c:pt>
                <c:pt idx="32">
                  <c:v>63.012571112828795</c:v>
                </c:pt>
                <c:pt idx="33">
                  <c:v>63.877838592794475</c:v>
                </c:pt>
                <c:pt idx="34">
                  <c:v>63.161155265262941</c:v>
                </c:pt>
                <c:pt idx="35">
                  <c:v>62.355465412230203</c:v>
                </c:pt>
                <c:pt idx="36">
                  <c:v>65.632235170367125</c:v>
                </c:pt>
                <c:pt idx="37">
                  <c:v>67.014296429212976</c:v>
                </c:pt>
                <c:pt idx="38">
                  <c:v>67.46460687514967</c:v>
                </c:pt>
                <c:pt idx="39">
                  <c:v>66.52778147326417</c:v>
                </c:pt>
                <c:pt idx="40">
                  <c:v>65.531529453680818</c:v>
                </c:pt>
                <c:pt idx="41">
                  <c:v>63.584172417818117</c:v>
                </c:pt>
                <c:pt idx="42">
                  <c:v>62.676260055583754</c:v>
                </c:pt>
                <c:pt idx="43">
                  <c:v>63.808222278179429</c:v>
                </c:pt>
                <c:pt idx="44">
                  <c:v>66.505364938668023</c:v>
                </c:pt>
                <c:pt idx="45">
                  <c:v>66.307054410304346</c:v>
                </c:pt>
                <c:pt idx="46">
                  <c:v>66.403162256366969</c:v>
                </c:pt>
                <c:pt idx="47">
                  <c:v>66.789246119561852</c:v>
                </c:pt>
                <c:pt idx="48">
                  <c:v>66.935871495317571</c:v>
                </c:pt>
                <c:pt idx="49">
                  <c:v>67.616080367935282</c:v>
                </c:pt>
                <c:pt idx="50">
                  <c:v>68.652648232992689</c:v>
                </c:pt>
                <c:pt idx="51">
                  <c:v>69.263688489641282</c:v>
                </c:pt>
                <c:pt idx="52">
                  <c:v>68.565075840601438</c:v>
                </c:pt>
                <c:pt idx="53">
                  <c:v>69.301870212505278</c:v>
                </c:pt>
                <c:pt idx="54">
                  <c:v>68.82103677346727</c:v>
                </c:pt>
                <c:pt idx="55">
                  <c:v>67.620706450987754</c:v>
                </c:pt>
                <c:pt idx="56">
                  <c:v>69.390934331854837</c:v>
                </c:pt>
                <c:pt idx="57">
                  <c:v>69.698353379889724</c:v>
                </c:pt>
                <c:pt idx="58">
                  <c:v>70.261544895984457</c:v>
                </c:pt>
                <c:pt idx="59">
                  <c:v>70.058176167285851</c:v>
                </c:pt>
                <c:pt idx="60">
                  <c:v>68.484264242497304</c:v>
                </c:pt>
                <c:pt idx="61">
                  <c:v>68.784646687727246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4EA-417D-9FEF-816D9F694639}"/>
            </c:ext>
          </c:extLst>
        </c:ser>
        <c:ser>
          <c:idx val="32"/>
          <c:order val="31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Carlo'!$E$33:$BN$33</c:f>
              <c:numCache>
                <c:formatCode>General</c:formatCode>
                <c:ptCount val="62"/>
                <c:pt idx="1">
                  <c:v>60.99</c:v>
                </c:pt>
                <c:pt idx="2">
                  <c:v>61.788827118179022</c:v>
                </c:pt>
                <c:pt idx="3">
                  <c:v>60.607483976334343</c:v>
                </c:pt>
                <c:pt idx="4">
                  <c:v>60.418840665967103</c:v>
                </c:pt>
                <c:pt idx="5">
                  <c:v>61.782535483042068</c:v>
                </c:pt>
                <c:pt idx="6">
                  <c:v>63.316390423256905</c:v>
                </c:pt>
                <c:pt idx="7">
                  <c:v>63.561438970980021</c:v>
                </c:pt>
                <c:pt idx="8">
                  <c:v>63.273443943903096</c:v>
                </c:pt>
                <c:pt idx="9">
                  <c:v>64.566563539258524</c:v>
                </c:pt>
                <c:pt idx="10">
                  <c:v>64.584957170692761</c:v>
                </c:pt>
                <c:pt idx="11">
                  <c:v>63.732214162493008</c:v>
                </c:pt>
                <c:pt idx="12">
                  <c:v>61.386079799092016</c:v>
                </c:pt>
                <c:pt idx="13">
                  <c:v>61.619456637149767</c:v>
                </c:pt>
                <c:pt idx="14">
                  <c:v>61.44723608561177</c:v>
                </c:pt>
                <c:pt idx="15">
                  <c:v>62.414812018909664</c:v>
                </c:pt>
                <c:pt idx="16">
                  <c:v>62.990646759699494</c:v>
                </c:pt>
                <c:pt idx="17">
                  <c:v>62.20392350017746</c:v>
                </c:pt>
                <c:pt idx="18">
                  <c:v>61.695038212097614</c:v>
                </c:pt>
                <c:pt idx="19">
                  <c:v>60.20797765960954</c:v>
                </c:pt>
                <c:pt idx="20">
                  <c:v>59.41639186564759</c:v>
                </c:pt>
                <c:pt idx="21">
                  <c:v>58.328354428053601</c:v>
                </c:pt>
                <c:pt idx="22">
                  <c:v>57.209832165608766</c:v>
                </c:pt>
                <c:pt idx="23">
                  <c:v>55.677373914208175</c:v>
                </c:pt>
                <c:pt idx="24">
                  <c:v>54.920022280511745</c:v>
                </c:pt>
                <c:pt idx="25">
                  <c:v>53.737348647621388</c:v>
                </c:pt>
                <c:pt idx="26">
                  <c:v>54.577107449738904</c:v>
                </c:pt>
                <c:pt idx="27">
                  <c:v>55.181440173992463</c:v>
                </c:pt>
                <c:pt idx="28">
                  <c:v>56.152114291150582</c:v>
                </c:pt>
                <c:pt idx="29">
                  <c:v>57.493449706818105</c:v>
                </c:pt>
                <c:pt idx="30">
                  <c:v>58.178795153606337</c:v>
                </c:pt>
                <c:pt idx="31">
                  <c:v>58.229243380570267</c:v>
                </c:pt>
                <c:pt idx="32">
                  <c:v>59.934353666158053</c:v>
                </c:pt>
                <c:pt idx="33">
                  <c:v>60.250788798828602</c:v>
                </c:pt>
                <c:pt idx="34">
                  <c:v>61.254225890238175</c:v>
                </c:pt>
                <c:pt idx="35">
                  <c:v>63.250274057181322</c:v>
                </c:pt>
                <c:pt idx="36">
                  <c:v>62.553414733049664</c:v>
                </c:pt>
                <c:pt idx="37">
                  <c:v>61.116969116215856</c:v>
                </c:pt>
                <c:pt idx="38">
                  <c:v>62.718167637800079</c:v>
                </c:pt>
                <c:pt idx="39">
                  <c:v>63.381079726195424</c:v>
                </c:pt>
                <c:pt idx="40">
                  <c:v>63.677448946680904</c:v>
                </c:pt>
                <c:pt idx="41">
                  <c:v>64.620618395274136</c:v>
                </c:pt>
                <c:pt idx="42">
                  <c:v>64.792266469785119</c:v>
                </c:pt>
                <c:pt idx="43">
                  <c:v>65.682611683254621</c:v>
                </c:pt>
                <c:pt idx="44">
                  <c:v>65.247916982142016</c:v>
                </c:pt>
                <c:pt idx="45">
                  <c:v>63.971093116271909</c:v>
                </c:pt>
                <c:pt idx="46">
                  <c:v>63.230377627769649</c:v>
                </c:pt>
                <c:pt idx="47">
                  <c:v>62.092843739520085</c:v>
                </c:pt>
                <c:pt idx="48">
                  <c:v>63.888200863836055</c:v>
                </c:pt>
                <c:pt idx="49">
                  <c:v>63.538340677402658</c:v>
                </c:pt>
                <c:pt idx="50">
                  <c:v>63.758085740273117</c:v>
                </c:pt>
                <c:pt idx="51">
                  <c:v>65.035739199825329</c:v>
                </c:pt>
                <c:pt idx="52">
                  <c:v>65.115472875669084</c:v>
                </c:pt>
                <c:pt idx="53">
                  <c:v>62.168200794650495</c:v>
                </c:pt>
                <c:pt idx="54">
                  <c:v>61.657142351011217</c:v>
                </c:pt>
                <c:pt idx="55">
                  <c:v>60.352790887145076</c:v>
                </c:pt>
                <c:pt idx="56">
                  <c:v>60.495862033781577</c:v>
                </c:pt>
                <c:pt idx="57">
                  <c:v>60.73674157804809</c:v>
                </c:pt>
                <c:pt idx="58">
                  <c:v>60.513288205656664</c:v>
                </c:pt>
                <c:pt idx="59">
                  <c:v>61.55023470004349</c:v>
                </c:pt>
                <c:pt idx="60">
                  <c:v>60.934200385299754</c:v>
                </c:pt>
                <c:pt idx="61">
                  <c:v>63.030261570517332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4EA-417D-9FEF-816D9F694639}"/>
            </c:ext>
          </c:extLst>
        </c:ser>
        <c:ser>
          <c:idx val="33"/>
          <c:order val="32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Carlo'!$E$34:$BN$34</c:f>
              <c:numCache>
                <c:formatCode>General</c:formatCode>
                <c:ptCount val="62"/>
                <c:pt idx="1">
                  <c:v>60.99</c:v>
                </c:pt>
                <c:pt idx="2">
                  <c:v>61.19072634173483</c:v>
                </c:pt>
                <c:pt idx="3">
                  <c:v>64.884694245634975</c:v>
                </c:pt>
                <c:pt idx="4">
                  <c:v>66.182365679047876</c:v>
                </c:pt>
                <c:pt idx="5">
                  <c:v>64.553727485342804</c:v>
                </c:pt>
                <c:pt idx="6">
                  <c:v>65.180489704251684</c:v>
                </c:pt>
                <c:pt idx="7">
                  <c:v>64.895299951101066</c:v>
                </c:pt>
                <c:pt idx="8">
                  <c:v>66.99698196934564</c:v>
                </c:pt>
                <c:pt idx="9">
                  <c:v>67.518504920258977</c:v>
                </c:pt>
                <c:pt idx="10">
                  <c:v>65.872274112555502</c:v>
                </c:pt>
                <c:pt idx="11">
                  <c:v>65.145855410062353</c:v>
                </c:pt>
                <c:pt idx="12">
                  <c:v>65.996008024478144</c:v>
                </c:pt>
                <c:pt idx="13">
                  <c:v>66.561590232912224</c:v>
                </c:pt>
                <c:pt idx="14">
                  <c:v>67.598824242356869</c:v>
                </c:pt>
                <c:pt idx="15">
                  <c:v>66.676768440619355</c:v>
                </c:pt>
                <c:pt idx="16">
                  <c:v>67.099453514617423</c:v>
                </c:pt>
                <c:pt idx="17">
                  <c:v>67.5070081231069</c:v>
                </c:pt>
                <c:pt idx="18">
                  <c:v>65.736855136628719</c:v>
                </c:pt>
                <c:pt idx="19">
                  <c:v>61.745957523234168</c:v>
                </c:pt>
                <c:pt idx="20">
                  <c:v>63.715804602191056</c:v>
                </c:pt>
                <c:pt idx="21">
                  <c:v>64.824460839019665</c:v>
                </c:pt>
                <c:pt idx="22">
                  <c:v>65.157742901047925</c:v>
                </c:pt>
                <c:pt idx="23">
                  <c:v>65.306756279059357</c:v>
                </c:pt>
                <c:pt idx="24">
                  <c:v>63.577349686671482</c:v>
                </c:pt>
                <c:pt idx="25">
                  <c:v>63.486354705796408</c:v>
                </c:pt>
                <c:pt idx="26">
                  <c:v>63.869325182893007</c:v>
                </c:pt>
                <c:pt idx="27">
                  <c:v>62.70220376332712</c:v>
                </c:pt>
                <c:pt idx="28">
                  <c:v>64.562124367678919</c:v>
                </c:pt>
                <c:pt idx="29">
                  <c:v>63.973841607760811</c:v>
                </c:pt>
                <c:pt idx="30">
                  <c:v>64.040883880685485</c:v>
                </c:pt>
                <c:pt idx="31">
                  <c:v>64.112251677628578</c:v>
                </c:pt>
                <c:pt idx="32">
                  <c:v>63.212203166212724</c:v>
                </c:pt>
                <c:pt idx="33">
                  <c:v>61.023358715243013</c:v>
                </c:pt>
                <c:pt idx="34">
                  <c:v>63.108537941095811</c:v>
                </c:pt>
                <c:pt idx="35">
                  <c:v>62.383947758896902</c:v>
                </c:pt>
                <c:pt idx="36">
                  <c:v>60.822212040342862</c:v>
                </c:pt>
                <c:pt idx="37">
                  <c:v>61.708884078520484</c:v>
                </c:pt>
                <c:pt idx="38">
                  <c:v>60.773040361022417</c:v>
                </c:pt>
                <c:pt idx="39">
                  <c:v>61.040823430647556</c:v>
                </c:pt>
                <c:pt idx="40">
                  <c:v>63.014812595398226</c:v>
                </c:pt>
                <c:pt idx="41">
                  <c:v>64.40532012056876</c:v>
                </c:pt>
                <c:pt idx="42">
                  <c:v>63.763461478963606</c:v>
                </c:pt>
                <c:pt idx="43">
                  <c:v>63.446675960956831</c:v>
                </c:pt>
                <c:pt idx="44">
                  <c:v>64.719613744887525</c:v>
                </c:pt>
                <c:pt idx="45">
                  <c:v>64.725782794518807</c:v>
                </c:pt>
                <c:pt idx="46">
                  <c:v>64.726560391371166</c:v>
                </c:pt>
                <c:pt idx="47">
                  <c:v>63.1097454342815</c:v>
                </c:pt>
                <c:pt idx="48">
                  <c:v>62.523812280947915</c:v>
                </c:pt>
                <c:pt idx="49">
                  <c:v>63.486636449234815</c:v>
                </c:pt>
                <c:pt idx="50">
                  <c:v>64.128461921539895</c:v>
                </c:pt>
                <c:pt idx="51">
                  <c:v>64.339736663182947</c:v>
                </c:pt>
                <c:pt idx="52">
                  <c:v>63.236601497868165</c:v>
                </c:pt>
                <c:pt idx="53">
                  <c:v>63.276670910082935</c:v>
                </c:pt>
                <c:pt idx="54">
                  <c:v>62.111456141284251</c:v>
                </c:pt>
                <c:pt idx="55">
                  <c:v>61.081197566612509</c:v>
                </c:pt>
                <c:pt idx="56">
                  <c:v>60.144425649624495</c:v>
                </c:pt>
                <c:pt idx="57">
                  <c:v>58.894812097695031</c:v>
                </c:pt>
                <c:pt idx="58">
                  <c:v>59.630450209496694</c:v>
                </c:pt>
                <c:pt idx="59">
                  <c:v>59.453117860956738</c:v>
                </c:pt>
                <c:pt idx="60">
                  <c:v>59.356541152217865</c:v>
                </c:pt>
                <c:pt idx="61">
                  <c:v>59.547576120095663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4EA-417D-9FEF-816D9F694639}"/>
            </c:ext>
          </c:extLst>
        </c:ser>
        <c:ser>
          <c:idx val="34"/>
          <c:order val="33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Carlo'!$E$35:$BN$35</c:f>
              <c:numCache>
                <c:formatCode>General</c:formatCode>
                <c:ptCount val="62"/>
                <c:pt idx="1">
                  <c:v>60.99</c:v>
                </c:pt>
                <c:pt idx="2">
                  <c:v>62.073977684882244</c:v>
                </c:pt>
                <c:pt idx="3">
                  <c:v>63.9815517068863</c:v>
                </c:pt>
                <c:pt idx="4">
                  <c:v>62.70639174999954</c:v>
                </c:pt>
                <c:pt idx="5">
                  <c:v>62.323608676165421</c:v>
                </c:pt>
                <c:pt idx="6">
                  <c:v>61.883659313948428</c:v>
                </c:pt>
                <c:pt idx="7">
                  <c:v>62.321645000161745</c:v>
                </c:pt>
                <c:pt idx="8">
                  <c:v>63.613423830408983</c:v>
                </c:pt>
                <c:pt idx="9">
                  <c:v>63.040641503946254</c:v>
                </c:pt>
                <c:pt idx="10">
                  <c:v>63.73832714869323</c:v>
                </c:pt>
                <c:pt idx="11">
                  <c:v>64.805785020094845</c:v>
                </c:pt>
                <c:pt idx="12">
                  <c:v>63.76758265284095</c:v>
                </c:pt>
                <c:pt idx="13">
                  <c:v>64.22168755950959</c:v>
                </c:pt>
                <c:pt idx="14">
                  <c:v>63.029741190164536</c:v>
                </c:pt>
                <c:pt idx="15">
                  <c:v>63.381207171874031</c:v>
                </c:pt>
                <c:pt idx="16">
                  <c:v>65.453505865545409</c:v>
                </c:pt>
                <c:pt idx="17">
                  <c:v>64.029280881362311</c:v>
                </c:pt>
                <c:pt idx="18">
                  <c:v>61.782732746384085</c:v>
                </c:pt>
                <c:pt idx="19">
                  <c:v>62.93814447614092</c:v>
                </c:pt>
                <c:pt idx="20">
                  <c:v>63.899957531705937</c:v>
                </c:pt>
                <c:pt idx="21">
                  <c:v>62.104466658536559</c:v>
                </c:pt>
                <c:pt idx="22">
                  <c:v>59.495464925930179</c:v>
                </c:pt>
                <c:pt idx="23">
                  <c:v>60.766313439212446</c:v>
                </c:pt>
                <c:pt idx="24">
                  <c:v>59.624357188141744</c:v>
                </c:pt>
                <c:pt idx="25">
                  <c:v>59.615874211265378</c:v>
                </c:pt>
                <c:pt idx="26">
                  <c:v>59.12682764373038</c:v>
                </c:pt>
                <c:pt idx="27">
                  <c:v>60.130944826499089</c:v>
                </c:pt>
                <c:pt idx="28">
                  <c:v>60.261469875179543</c:v>
                </c:pt>
                <c:pt idx="29">
                  <c:v>60.269679557627867</c:v>
                </c:pt>
                <c:pt idx="30">
                  <c:v>58.689169171592503</c:v>
                </c:pt>
                <c:pt idx="31">
                  <c:v>57.7169816276894</c:v>
                </c:pt>
                <c:pt idx="32">
                  <c:v>55.254506854816164</c:v>
                </c:pt>
                <c:pt idx="33">
                  <c:v>57.049751286171166</c:v>
                </c:pt>
                <c:pt idx="34">
                  <c:v>57.996247719145074</c:v>
                </c:pt>
                <c:pt idx="35">
                  <c:v>58.277078865371621</c:v>
                </c:pt>
                <c:pt idx="36">
                  <c:v>56.798219438495146</c:v>
                </c:pt>
                <c:pt idx="37">
                  <c:v>56.45283531266427</c:v>
                </c:pt>
                <c:pt idx="38">
                  <c:v>57.647461509205087</c:v>
                </c:pt>
                <c:pt idx="39">
                  <c:v>58.344670151188872</c:v>
                </c:pt>
                <c:pt idx="40">
                  <c:v>57.658970106792957</c:v>
                </c:pt>
                <c:pt idx="41">
                  <c:v>59.631141766837594</c:v>
                </c:pt>
                <c:pt idx="42">
                  <c:v>60.419124123157069</c:v>
                </c:pt>
                <c:pt idx="43">
                  <c:v>62.817401340573348</c:v>
                </c:pt>
                <c:pt idx="44">
                  <c:v>62.895318180249369</c:v>
                </c:pt>
                <c:pt idx="45">
                  <c:v>63.692964651330399</c:v>
                </c:pt>
                <c:pt idx="46">
                  <c:v>66.241585215080448</c:v>
                </c:pt>
                <c:pt idx="47">
                  <c:v>64.540448673988763</c:v>
                </c:pt>
                <c:pt idx="48">
                  <c:v>67.7742477386833</c:v>
                </c:pt>
                <c:pt idx="49">
                  <c:v>68.424623419396099</c:v>
                </c:pt>
                <c:pt idx="50">
                  <c:v>68.673447244835245</c:v>
                </c:pt>
                <c:pt idx="51">
                  <c:v>69.517856954652899</c:v>
                </c:pt>
                <c:pt idx="52">
                  <c:v>71.974538548180377</c:v>
                </c:pt>
                <c:pt idx="53">
                  <c:v>72.045876830672526</c:v>
                </c:pt>
                <c:pt idx="54">
                  <c:v>72.726607779793028</c:v>
                </c:pt>
                <c:pt idx="55">
                  <c:v>72.890450041139999</c:v>
                </c:pt>
                <c:pt idx="56">
                  <c:v>72.2809148805555</c:v>
                </c:pt>
                <c:pt idx="57">
                  <c:v>73.175159253216009</c:v>
                </c:pt>
                <c:pt idx="58">
                  <c:v>75.608869299559885</c:v>
                </c:pt>
                <c:pt idx="59">
                  <c:v>79.091428735991585</c:v>
                </c:pt>
                <c:pt idx="60">
                  <c:v>80.821906733251737</c:v>
                </c:pt>
                <c:pt idx="61">
                  <c:v>78.961549346634172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4EA-417D-9FEF-816D9F694639}"/>
            </c:ext>
          </c:extLst>
        </c:ser>
        <c:ser>
          <c:idx val="35"/>
          <c:order val="34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Carlo'!$E$36:$BN$36</c:f>
              <c:numCache>
                <c:formatCode>General</c:formatCode>
                <c:ptCount val="62"/>
                <c:pt idx="1">
                  <c:v>60.99</c:v>
                </c:pt>
                <c:pt idx="2">
                  <c:v>58.979327685722822</c:v>
                </c:pt>
                <c:pt idx="3">
                  <c:v>60.351541950017662</c:v>
                </c:pt>
                <c:pt idx="4">
                  <c:v>59.663074300261023</c:v>
                </c:pt>
                <c:pt idx="5">
                  <c:v>58.596237440731421</c:v>
                </c:pt>
                <c:pt idx="6">
                  <c:v>58.864154405255292</c:v>
                </c:pt>
                <c:pt idx="7">
                  <c:v>59.289513289951692</c:v>
                </c:pt>
                <c:pt idx="8">
                  <c:v>58.719740151576147</c:v>
                </c:pt>
                <c:pt idx="9">
                  <c:v>61.582985431228146</c:v>
                </c:pt>
                <c:pt idx="10">
                  <c:v>59.958530410229685</c:v>
                </c:pt>
                <c:pt idx="11">
                  <c:v>60.477307129740581</c:v>
                </c:pt>
                <c:pt idx="12">
                  <c:v>62.17281954173572</c:v>
                </c:pt>
                <c:pt idx="13">
                  <c:v>62.460870903087773</c:v>
                </c:pt>
                <c:pt idx="14">
                  <c:v>63.568132775148598</c:v>
                </c:pt>
                <c:pt idx="15">
                  <c:v>62.607886010780895</c:v>
                </c:pt>
                <c:pt idx="16">
                  <c:v>61.07234282007893</c:v>
                </c:pt>
                <c:pt idx="17">
                  <c:v>61.206397225680178</c:v>
                </c:pt>
                <c:pt idx="18">
                  <c:v>61.556305538898684</c:v>
                </c:pt>
                <c:pt idx="19">
                  <c:v>62.446600561779604</c:v>
                </c:pt>
                <c:pt idx="20">
                  <c:v>62.801631464500758</c:v>
                </c:pt>
                <c:pt idx="21">
                  <c:v>64.162285160204434</c:v>
                </c:pt>
                <c:pt idx="22">
                  <c:v>63.501242776540998</c:v>
                </c:pt>
                <c:pt idx="23">
                  <c:v>63.25501783593198</c:v>
                </c:pt>
                <c:pt idx="24">
                  <c:v>63.574125194057359</c:v>
                </c:pt>
                <c:pt idx="25">
                  <c:v>63.722946877950527</c:v>
                </c:pt>
                <c:pt idx="26">
                  <c:v>65.245218110079222</c:v>
                </c:pt>
                <c:pt idx="27">
                  <c:v>66.67276231817398</c:v>
                </c:pt>
                <c:pt idx="28">
                  <c:v>64.969792917150812</c:v>
                </c:pt>
                <c:pt idx="29">
                  <c:v>65.195340034172986</c:v>
                </c:pt>
                <c:pt idx="30">
                  <c:v>66.651368629444534</c:v>
                </c:pt>
                <c:pt idx="31">
                  <c:v>67.723202137474161</c:v>
                </c:pt>
                <c:pt idx="32">
                  <c:v>66.758310189181188</c:v>
                </c:pt>
                <c:pt idx="33">
                  <c:v>66.123497630604064</c:v>
                </c:pt>
                <c:pt idx="34">
                  <c:v>65.787301691131688</c:v>
                </c:pt>
                <c:pt idx="35">
                  <c:v>65.42595609478289</c:v>
                </c:pt>
                <c:pt idx="36">
                  <c:v>66.990557767515455</c:v>
                </c:pt>
                <c:pt idx="37">
                  <c:v>68.159316520586501</c:v>
                </c:pt>
                <c:pt idx="38">
                  <c:v>66.875461736190374</c:v>
                </c:pt>
                <c:pt idx="39">
                  <c:v>65.711056352250836</c:v>
                </c:pt>
                <c:pt idx="40">
                  <c:v>64.442449707565018</c:v>
                </c:pt>
                <c:pt idx="41">
                  <c:v>63.859477806636178</c:v>
                </c:pt>
                <c:pt idx="42">
                  <c:v>65.314136352554073</c:v>
                </c:pt>
                <c:pt idx="43">
                  <c:v>65.454308136684503</c:v>
                </c:pt>
                <c:pt idx="44">
                  <c:v>64.814163306672512</c:v>
                </c:pt>
                <c:pt idx="45">
                  <c:v>64.585520983583407</c:v>
                </c:pt>
                <c:pt idx="46">
                  <c:v>64.700315137802832</c:v>
                </c:pt>
                <c:pt idx="47">
                  <c:v>64.870685933845721</c:v>
                </c:pt>
                <c:pt idx="48">
                  <c:v>65.751946179464994</c:v>
                </c:pt>
                <c:pt idx="49">
                  <c:v>63.60998871167876</c:v>
                </c:pt>
                <c:pt idx="50">
                  <c:v>64.996716559614512</c:v>
                </c:pt>
                <c:pt idx="51">
                  <c:v>64.609740295539282</c:v>
                </c:pt>
                <c:pt idx="52">
                  <c:v>65.283531994279258</c:v>
                </c:pt>
                <c:pt idx="53">
                  <c:v>64.220803568108494</c:v>
                </c:pt>
                <c:pt idx="54">
                  <c:v>64.318019074571012</c:v>
                </c:pt>
                <c:pt idx="55">
                  <c:v>66.444027437958297</c:v>
                </c:pt>
                <c:pt idx="56">
                  <c:v>67.111484640760324</c:v>
                </c:pt>
                <c:pt idx="57">
                  <c:v>68.340986521825855</c:v>
                </c:pt>
                <c:pt idx="58">
                  <c:v>68.362475138006019</c:v>
                </c:pt>
                <c:pt idx="59">
                  <c:v>69.553779882592025</c:v>
                </c:pt>
                <c:pt idx="60">
                  <c:v>70.902229224716081</c:v>
                </c:pt>
                <c:pt idx="61">
                  <c:v>70.489498409777639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4EA-417D-9FEF-816D9F694639}"/>
            </c:ext>
          </c:extLst>
        </c:ser>
        <c:ser>
          <c:idx val="36"/>
          <c:order val="35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Carlo'!$E$37:$BN$37</c:f>
              <c:numCache>
                <c:formatCode>General</c:formatCode>
                <c:ptCount val="62"/>
                <c:pt idx="1">
                  <c:v>60.99</c:v>
                </c:pt>
                <c:pt idx="2">
                  <c:v>60.998532045588391</c:v>
                </c:pt>
                <c:pt idx="3">
                  <c:v>59.067424951792596</c:v>
                </c:pt>
                <c:pt idx="4">
                  <c:v>60.380989470863383</c:v>
                </c:pt>
                <c:pt idx="5">
                  <c:v>59.572171880009392</c:v>
                </c:pt>
                <c:pt idx="6">
                  <c:v>59.798878928635148</c:v>
                </c:pt>
                <c:pt idx="7">
                  <c:v>57.539900919277819</c:v>
                </c:pt>
                <c:pt idx="8">
                  <c:v>57.161605000942757</c:v>
                </c:pt>
                <c:pt idx="9">
                  <c:v>57.054378288235483</c:v>
                </c:pt>
                <c:pt idx="10">
                  <c:v>56.398297399911925</c:v>
                </c:pt>
                <c:pt idx="11">
                  <c:v>57.701256348888052</c:v>
                </c:pt>
                <c:pt idx="12">
                  <c:v>56.815314471751712</c:v>
                </c:pt>
                <c:pt idx="13">
                  <c:v>58.589160276139523</c:v>
                </c:pt>
                <c:pt idx="14">
                  <c:v>59.531296736945087</c:v>
                </c:pt>
                <c:pt idx="15">
                  <c:v>61.282335498107763</c:v>
                </c:pt>
                <c:pt idx="16">
                  <c:v>60.452906120041902</c:v>
                </c:pt>
                <c:pt idx="17">
                  <c:v>60.65175151034277</c:v>
                </c:pt>
                <c:pt idx="18">
                  <c:v>60.663776620384112</c:v>
                </c:pt>
                <c:pt idx="19">
                  <c:v>60.277351699816428</c:v>
                </c:pt>
                <c:pt idx="20">
                  <c:v>58.170016336638518</c:v>
                </c:pt>
                <c:pt idx="21">
                  <c:v>56.970662980485145</c:v>
                </c:pt>
                <c:pt idx="22">
                  <c:v>58.356565484722246</c:v>
                </c:pt>
                <c:pt idx="23">
                  <c:v>59.492180785501546</c:v>
                </c:pt>
                <c:pt idx="24">
                  <c:v>58.629926159519741</c:v>
                </c:pt>
                <c:pt idx="25">
                  <c:v>58.457411873013257</c:v>
                </c:pt>
                <c:pt idx="26">
                  <c:v>58.556046200962363</c:v>
                </c:pt>
                <c:pt idx="27">
                  <c:v>56.182408669076928</c:v>
                </c:pt>
                <c:pt idx="28">
                  <c:v>56.290257544241825</c:v>
                </c:pt>
                <c:pt idx="29">
                  <c:v>56.22057810993433</c:v>
                </c:pt>
                <c:pt idx="30">
                  <c:v>56.735681070695293</c:v>
                </c:pt>
                <c:pt idx="31">
                  <c:v>57.427133440213659</c:v>
                </c:pt>
                <c:pt idx="32">
                  <c:v>58.310328185083705</c:v>
                </c:pt>
                <c:pt idx="33">
                  <c:v>58.584126141754311</c:v>
                </c:pt>
                <c:pt idx="34">
                  <c:v>58.898747564834579</c:v>
                </c:pt>
                <c:pt idx="35">
                  <c:v>57.105605903298226</c:v>
                </c:pt>
                <c:pt idx="36">
                  <c:v>57.101791334752399</c:v>
                </c:pt>
                <c:pt idx="37">
                  <c:v>55.321216359921699</c:v>
                </c:pt>
                <c:pt idx="38">
                  <c:v>56.401632006269352</c:v>
                </c:pt>
                <c:pt idx="39">
                  <c:v>57.167787189657943</c:v>
                </c:pt>
                <c:pt idx="40">
                  <c:v>57.394596796433881</c:v>
                </c:pt>
                <c:pt idx="41">
                  <c:v>57.734775358306052</c:v>
                </c:pt>
                <c:pt idx="42">
                  <c:v>57.875404027938956</c:v>
                </c:pt>
                <c:pt idx="43">
                  <c:v>58.245759511582399</c:v>
                </c:pt>
                <c:pt idx="44">
                  <c:v>57.584554165038064</c:v>
                </c:pt>
                <c:pt idx="45">
                  <c:v>59.781244617633988</c:v>
                </c:pt>
                <c:pt idx="46">
                  <c:v>58.402813669836668</c:v>
                </c:pt>
                <c:pt idx="47">
                  <c:v>59.042455060854856</c:v>
                </c:pt>
                <c:pt idx="48">
                  <c:v>59.339864851852965</c:v>
                </c:pt>
                <c:pt idx="49">
                  <c:v>59.311348129171975</c:v>
                </c:pt>
                <c:pt idx="50">
                  <c:v>58.771838953691905</c:v>
                </c:pt>
                <c:pt idx="51">
                  <c:v>59.762223789072095</c:v>
                </c:pt>
                <c:pt idx="52">
                  <c:v>58.822643366189432</c:v>
                </c:pt>
                <c:pt idx="53">
                  <c:v>58.606819154417671</c:v>
                </c:pt>
                <c:pt idx="54">
                  <c:v>58.525365998629184</c:v>
                </c:pt>
                <c:pt idx="55">
                  <c:v>60.316592961952288</c:v>
                </c:pt>
                <c:pt idx="56">
                  <c:v>62.72106490202907</c:v>
                </c:pt>
                <c:pt idx="57">
                  <c:v>62.842675067741823</c:v>
                </c:pt>
                <c:pt idx="58">
                  <c:v>61.139177661072722</c:v>
                </c:pt>
                <c:pt idx="59">
                  <c:v>62.503585229248777</c:v>
                </c:pt>
                <c:pt idx="60">
                  <c:v>63.773373691138694</c:v>
                </c:pt>
                <c:pt idx="61">
                  <c:v>63.416689800587193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4EA-417D-9FEF-816D9F694639}"/>
            </c:ext>
          </c:extLst>
        </c:ser>
        <c:ser>
          <c:idx val="37"/>
          <c:order val="36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Carlo'!$E$38:$BN$38</c:f>
              <c:numCache>
                <c:formatCode>General</c:formatCode>
                <c:ptCount val="62"/>
                <c:pt idx="1">
                  <c:v>60.99</c:v>
                </c:pt>
                <c:pt idx="2">
                  <c:v>60.385745598960973</c:v>
                </c:pt>
                <c:pt idx="3">
                  <c:v>60.853389365646485</c:v>
                </c:pt>
                <c:pt idx="4">
                  <c:v>62.59083782212538</c:v>
                </c:pt>
                <c:pt idx="5">
                  <c:v>62.881991912929927</c:v>
                </c:pt>
                <c:pt idx="6">
                  <c:v>62.005416078485865</c:v>
                </c:pt>
                <c:pt idx="7">
                  <c:v>62.379362790405438</c:v>
                </c:pt>
                <c:pt idx="8">
                  <c:v>61.305679715265725</c:v>
                </c:pt>
                <c:pt idx="9">
                  <c:v>60.228268754020576</c:v>
                </c:pt>
                <c:pt idx="10">
                  <c:v>61.191723382584478</c:v>
                </c:pt>
                <c:pt idx="11">
                  <c:v>62.28356301907084</c:v>
                </c:pt>
                <c:pt idx="12">
                  <c:v>62.184223974140288</c:v>
                </c:pt>
                <c:pt idx="13">
                  <c:v>62.576343473259371</c:v>
                </c:pt>
                <c:pt idx="14">
                  <c:v>62.206100901227586</c:v>
                </c:pt>
                <c:pt idx="15">
                  <c:v>61.118120134301755</c:v>
                </c:pt>
                <c:pt idx="16">
                  <c:v>61.789013948878072</c:v>
                </c:pt>
                <c:pt idx="17">
                  <c:v>60.450252163665539</c:v>
                </c:pt>
                <c:pt idx="18">
                  <c:v>60.543136944108468</c:v>
                </c:pt>
                <c:pt idx="19">
                  <c:v>62.426740432069643</c:v>
                </c:pt>
                <c:pt idx="20">
                  <c:v>60.78979230013347</c:v>
                </c:pt>
                <c:pt idx="21">
                  <c:v>61.073690317551005</c:v>
                </c:pt>
                <c:pt idx="22">
                  <c:v>61.240798843659704</c:v>
                </c:pt>
                <c:pt idx="23">
                  <c:v>61.198116242378553</c:v>
                </c:pt>
                <c:pt idx="24">
                  <c:v>61.477491715729236</c:v>
                </c:pt>
                <c:pt idx="25">
                  <c:v>60.46484028631388</c:v>
                </c:pt>
                <c:pt idx="26">
                  <c:v>60.479399387396612</c:v>
                </c:pt>
                <c:pt idx="27">
                  <c:v>62.799925396414324</c:v>
                </c:pt>
                <c:pt idx="28">
                  <c:v>63.492982972304716</c:v>
                </c:pt>
                <c:pt idx="29">
                  <c:v>62.879413000349281</c:v>
                </c:pt>
                <c:pt idx="30">
                  <c:v>63.856825181441167</c:v>
                </c:pt>
                <c:pt idx="31">
                  <c:v>64.472532590393882</c:v>
                </c:pt>
                <c:pt idx="32">
                  <c:v>64.703406871784367</c:v>
                </c:pt>
                <c:pt idx="33">
                  <c:v>65.713729840557079</c:v>
                </c:pt>
                <c:pt idx="34">
                  <c:v>66.437986954044476</c:v>
                </c:pt>
                <c:pt idx="35">
                  <c:v>67.64291031971797</c:v>
                </c:pt>
                <c:pt idx="36">
                  <c:v>67.401715594770721</c:v>
                </c:pt>
                <c:pt idx="37">
                  <c:v>66.269318805658131</c:v>
                </c:pt>
                <c:pt idx="38">
                  <c:v>68.084863377014699</c:v>
                </c:pt>
                <c:pt idx="39">
                  <c:v>68.02987837684519</c:v>
                </c:pt>
                <c:pt idx="40">
                  <c:v>67.551646457193883</c:v>
                </c:pt>
                <c:pt idx="41">
                  <c:v>66.704347777922294</c:v>
                </c:pt>
                <c:pt idx="42">
                  <c:v>66.671115510945953</c:v>
                </c:pt>
                <c:pt idx="43">
                  <c:v>65.468623833321004</c:v>
                </c:pt>
                <c:pt idx="44">
                  <c:v>64.033808119641662</c:v>
                </c:pt>
                <c:pt idx="45">
                  <c:v>64.057841275534031</c:v>
                </c:pt>
                <c:pt idx="46">
                  <c:v>63.095613116909668</c:v>
                </c:pt>
                <c:pt idx="47">
                  <c:v>63.861751869134665</c:v>
                </c:pt>
                <c:pt idx="48">
                  <c:v>64.125774755379055</c:v>
                </c:pt>
                <c:pt idx="49">
                  <c:v>64.43269257718157</c:v>
                </c:pt>
                <c:pt idx="50">
                  <c:v>64.070645089618068</c:v>
                </c:pt>
                <c:pt idx="51">
                  <c:v>64.557960139294437</c:v>
                </c:pt>
                <c:pt idx="52">
                  <c:v>66.41348021916474</c:v>
                </c:pt>
                <c:pt idx="53">
                  <c:v>65.324768808646226</c:v>
                </c:pt>
                <c:pt idx="54">
                  <c:v>66.150518477672875</c:v>
                </c:pt>
                <c:pt idx="55">
                  <c:v>64.16134167105966</c:v>
                </c:pt>
                <c:pt idx="56">
                  <c:v>62.7905983828974</c:v>
                </c:pt>
                <c:pt idx="57">
                  <c:v>60.546345137595061</c:v>
                </c:pt>
                <c:pt idx="58">
                  <c:v>61.219729438488251</c:v>
                </c:pt>
                <c:pt idx="59">
                  <c:v>64.459042260538951</c:v>
                </c:pt>
                <c:pt idx="60">
                  <c:v>63.964271939651105</c:v>
                </c:pt>
                <c:pt idx="61">
                  <c:v>62.140109028867556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4EA-417D-9FEF-816D9F694639}"/>
            </c:ext>
          </c:extLst>
        </c:ser>
        <c:ser>
          <c:idx val="38"/>
          <c:order val="37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Carlo'!$E$39:$BN$39</c:f>
              <c:numCache>
                <c:formatCode>General</c:formatCode>
                <c:ptCount val="62"/>
                <c:pt idx="1">
                  <c:v>60.99</c:v>
                </c:pt>
                <c:pt idx="2">
                  <c:v>61.170629951621805</c:v>
                </c:pt>
                <c:pt idx="3">
                  <c:v>61.674488688323827</c:v>
                </c:pt>
                <c:pt idx="4">
                  <c:v>61.663255035544971</c:v>
                </c:pt>
                <c:pt idx="5">
                  <c:v>63.65851137062127</c:v>
                </c:pt>
                <c:pt idx="6">
                  <c:v>62.738510347376597</c:v>
                </c:pt>
                <c:pt idx="7">
                  <c:v>61.61097076801417</c:v>
                </c:pt>
                <c:pt idx="8">
                  <c:v>62.284803809126167</c:v>
                </c:pt>
                <c:pt idx="9">
                  <c:v>62.88161929721408</c:v>
                </c:pt>
                <c:pt idx="10">
                  <c:v>63.407053769400108</c:v>
                </c:pt>
                <c:pt idx="11">
                  <c:v>62.004764411865366</c:v>
                </c:pt>
                <c:pt idx="12">
                  <c:v>61.882088862839623</c:v>
                </c:pt>
                <c:pt idx="13">
                  <c:v>61.594733285408751</c:v>
                </c:pt>
                <c:pt idx="14">
                  <c:v>60.554960139307532</c:v>
                </c:pt>
                <c:pt idx="15">
                  <c:v>58.698912351094116</c:v>
                </c:pt>
                <c:pt idx="16">
                  <c:v>62.181350554480225</c:v>
                </c:pt>
                <c:pt idx="17">
                  <c:v>64.184348441759482</c:v>
                </c:pt>
                <c:pt idx="18">
                  <c:v>64.000610986075415</c:v>
                </c:pt>
                <c:pt idx="19">
                  <c:v>65.132421186473593</c:v>
                </c:pt>
                <c:pt idx="20">
                  <c:v>64.728663933928004</c:v>
                </c:pt>
                <c:pt idx="21">
                  <c:v>65.461709791143051</c:v>
                </c:pt>
                <c:pt idx="22">
                  <c:v>67.981825990736652</c:v>
                </c:pt>
                <c:pt idx="23">
                  <c:v>68.116310271697984</c:v>
                </c:pt>
                <c:pt idx="24">
                  <c:v>69.372330826828303</c:v>
                </c:pt>
                <c:pt idx="25">
                  <c:v>67.484031917107984</c:v>
                </c:pt>
                <c:pt idx="26">
                  <c:v>68.064075495413192</c:v>
                </c:pt>
                <c:pt idx="27">
                  <c:v>68.636279249692123</c:v>
                </c:pt>
                <c:pt idx="28">
                  <c:v>68.332714020910629</c:v>
                </c:pt>
                <c:pt idx="29">
                  <c:v>69.976034758303243</c:v>
                </c:pt>
                <c:pt idx="30">
                  <c:v>70.647230589630254</c:v>
                </c:pt>
                <c:pt idx="31">
                  <c:v>70.243451936287414</c:v>
                </c:pt>
                <c:pt idx="32">
                  <c:v>70.746828255338386</c:v>
                </c:pt>
                <c:pt idx="33">
                  <c:v>69.853774070512969</c:v>
                </c:pt>
                <c:pt idx="34">
                  <c:v>68.837231226840373</c:v>
                </c:pt>
                <c:pt idx="35">
                  <c:v>70.935673060289503</c:v>
                </c:pt>
                <c:pt idx="36">
                  <c:v>69.906197289517891</c:v>
                </c:pt>
                <c:pt idx="37">
                  <c:v>70.523297704598093</c:v>
                </c:pt>
                <c:pt idx="38">
                  <c:v>70.742458749773533</c:v>
                </c:pt>
                <c:pt idx="39">
                  <c:v>73.137485070293963</c:v>
                </c:pt>
                <c:pt idx="40">
                  <c:v>73.720334444440013</c:v>
                </c:pt>
                <c:pt idx="41">
                  <c:v>74.018409960920934</c:v>
                </c:pt>
                <c:pt idx="42">
                  <c:v>74.111158091507832</c:v>
                </c:pt>
                <c:pt idx="43">
                  <c:v>75.349542053781065</c:v>
                </c:pt>
                <c:pt idx="44">
                  <c:v>76.93231417255619</c:v>
                </c:pt>
                <c:pt idx="45">
                  <c:v>77.411320920597632</c:v>
                </c:pt>
                <c:pt idx="46">
                  <c:v>78.03344285644107</c:v>
                </c:pt>
                <c:pt idx="47">
                  <c:v>78.340397304525439</c:v>
                </c:pt>
                <c:pt idx="48">
                  <c:v>78.865355092936227</c:v>
                </c:pt>
                <c:pt idx="49">
                  <c:v>80.554623232496439</c:v>
                </c:pt>
                <c:pt idx="50">
                  <c:v>80.719857210672146</c:v>
                </c:pt>
                <c:pt idx="51">
                  <c:v>79.913297880395589</c:v>
                </c:pt>
                <c:pt idx="52">
                  <c:v>80.268615646219999</c:v>
                </c:pt>
                <c:pt idx="53">
                  <c:v>77.295940623799865</c:v>
                </c:pt>
                <c:pt idx="54">
                  <c:v>77.036129794231144</c:v>
                </c:pt>
                <c:pt idx="55">
                  <c:v>75.93891120879789</c:v>
                </c:pt>
                <c:pt idx="56">
                  <c:v>76.462654280505404</c:v>
                </c:pt>
                <c:pt idx="57">
                  <c:v>75.096985368566322</c:v>
                </c:pt>
                <c:pt idx="58">
                  <c:v>75.554574415441166</c:v>
                </c:pt>
                <c:pt idx="59">
                  <c:v>74.082407343055095</c:v>
                </c:pt>
                <c:pt idx="60">
                  <c:v>75.508130091212891</c:v>
                </c:pt>
                <c:pt idx="61">
                  <c:v>73.584647296710799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4EA-417D-9FEF-816D9F694639}"/>
            </c:ext>
          </c:extLst>
        </c:ser>
        <c:ser>
          <c:idx val="39"/>
          <c:order val="38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Carlo'!$E$40:$BN$40</c:f>
              <c:numCache>
                <c:formatCode>General</c:formatCode>
                <c:ptCount val="62"/>
                <c:pt idx="1">
                  <c:v>60.99</c:v>
                </c:pt>
                <c:pt idx="2">
                  <c:v>59.796575167114455</c:v>
                </c:pt>
                <c:pt idx="3">
                  <c:v>60.003531435948993</c:v>
                </c:pt>
                <c:pt idx="4">
                  <c:v>59.351526608442654</c:v>
                </c:pt>
                <c:pt idx="5">
                  <c:v>58.647835366302886</c:v>
                </c:pt>
                <c:pt idx="6">
                  <c:v>57.616593247824099</c:v>
                </c:pt>
                <c:pt idx="7">
                  <c:v>58.260018934943943</c:v>
                </c:pt>
                <c:pt idx="8">
                  <c:v>57.877970896566893</c:v>
                </c:pt>
                <c:pt idx="9">
                  <c:v>56.880717509281588</c:v>
                </c:pt>
                <c:pt idx="10">
                  <c:v>56.306452506225774</c:v>
                </c:pt>
                <c:pt idx="11">
                  <c:v>55.483018495204298</c:v>
                </c:pt>
                <c:pt idx="12">
                  <c:v>55.571613868711523</c:v>
                </c:pt>
                <c:pt idx="13">
                  <c:v>57.108438956359173</c:v>
                </c:pt>
                <c:pt idx="14">
                  <c:v>57.78167513604955</c:v>
                </c:pt>
                <c:pt idx="15">
                  <c:v>57.717846292622291</c:v>
                </c:pt>
                <c:pt idx="16">
                  <c:v>56.424985366280431</c:v>
                </c:pt>
                <c:pt idx="17">
                  <c:v>56.986678101509561</c:v>
                </c:pt>
                <c:pt idx="18">
                  <c:v>57.957890738764036</c:v>
                </c:pt>
                <c:pt idx="19">
                  <c:v>60.040648767071303</c:v>
                </c:pt>
                <c:pt idx="20">
                  <c:v>59.733293747605209</c:v>
                </c:pt>
                <c:pt idx="21">
                  <c:v>58.941163892406031</c:v>
                </c:pt>
                <c:pt idx="22">
                  <c:v>59.076152803483993</c:v>
                </c:pt>
                <c:pt idx="23">
                  <c:v>58.153388266244541</c:v>
                </c:pt>
                <c:pt idx="24">
                  <c:v>60.092958423160525</c:v>
                </c:pt>
                <c:pt idx="25">
                  <c:v>61.105284977280988</c:v>
                </c:pt>
                <c:pt idx="26">
                  <c:v>60.755460593421546</c:v>
                </c:pt>
                <c:pt idx="27">
                  <c:v>59.279936419001636</c:v>
                </c:pt>
                <c:pt idx="28">
                  <c:v>58.812377260368052</c:v>
                </c:pt>
                <c:pt idx="29">
                  <c:v>57.344756058728649</c:v>
                </c:pt>
                <c:pt idx="30">
                  <c:v>57.786296329790957</c:v>
                </c:pt>
                <c:pt idx="31">
                  <c:v>58.452458184663442</c:v>
                </c:pt>
                <c:pt idx="32">
                  <c:v>58.721377657800211</c:v>
                </c:pt>
                <c:pt idx="33">
                  <c:v>55.724833181209526</c:v>
                </c:pt>
                <c:pt idx="34">
                  <c:v>54.471094714418626</c:v>
                </c:pt>
                <c:pt idx="35">
                  <c:v>53.197277556197349</c:v>
                </c:pt>
                <c:pt idx="36">
                  <c:v>54.054546372779292</c:v>
                </c:pt>
                <c:pt idx="37">
                  <c:v>54.089471215098293</c:v>
                </c:pt>
                <c:pt idx="38">
                  <c:v>53.440206781256109</c:v>
                </c:pt>
                <c:pt idx="39">
                  <c:v>53.74069118660379</c:v>
                </c:pt>
                <c:pt idx="40">
                  <c:v>53.490395446792341</c:v>
                </c:pt>
                <c:pt idx="41">
                  <c:v>53.79226707690249</c:v>
                </c:pt>
                <c:pt idx="42">
                  <c:v>53.634790582861967</c:v>
                </c:pt>
                <c:pt idx="43">
                  <c:v>53.679548283272219</c:v>
                </c:pt>
                <c:pt idx="44">
                  <c:v>52.978270689080297</c:v>
                </c:pt>
                <c:pt idx="45">
                  <c:v>53.858340717994949</c:v>
                </c:pt>
                <c:pt idx="46">
                  <c:v>56.201119222840653</c:v>
                </c:pt>
                <c:pt idx="47">
                  <c:v>55.144115120762102</c:v>
                </c:pt>
                <c:pt idx="48">
                  <c:v>55.184901288059393</c:v>
                </c:pt>
                <c:pt idx="49">
                  <c:v>57.682463664921151</c:v>
                </c:pt>
                <c:pt idx="50">
                  <c:v>57.394373896763831</c:v>
                </c:pt>
                <c:pt idx="51">
                  <c:v>56.883762049579936</c:v>
                </c:pt>
                <c:pt idx="52">
                  <c:v>56.734743189068013</c:v>
                </c:pt>
                <c:pt idx="53">
                  <c:v>56.107801330967966</c:v>
                </c:pt>
                <c:pt idx="54">
                  <c:v>53.730315833398137</c:v>
                </c:pt>
                <c:pt idx="55">
                  <c:v>54.657838561809307</c:v>
                </c:pt>
                <c:pt idx="56">
                  <c:v>53.454953180475329</c:v>
                </c:pt>
                <c:pt idx="57">
                  <c:v>54.48155883924624</c:v>
                </c:pt>
                <c:pt idx="58">
                  <c:v>55.848380032608851</c:v>
                </c:pt>
                <c:pt idx="59">
                  <c:v>54.712216136894391</c:v>
                </c:pt>
                <c:pt idx="60">
                  <c:v>55.966955483951836</c:v>
                </c:pt>
                <c:pt idx="61">
                  <c:v>55.817017615418386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24EA-417D-9FEF-816D9F694639}"/>
            </c:ext>
          </c:extLst>
        </c:ser>
        <c:ser>
          <c:idx val="40"/>
          <c:order val="39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Carlo'!$E$41:$BN$41</c:f>
              <c:numCache>
                <c:formatCode>General</c:formatCode>
                <c:ptCount val="62"/>
                <c:pt idx="1">
                  <c:v>60.99</c:v>
                </c:pt>
                <c:pt idx="2">
                  <c:v>61.536694091775047</c:v>
                </c:pt>
                <c:pt idx="3">
                  <c:v>62.336244182155099</c:v>
                </c:pt>
                <c:pt idx="4">
                  <c:v>65.253950005875026</c:v>
                </c:pt>
                <c:pt idx="5">
                  <c:v>65.671575208888726</c:v>
                </c:pt>
                <c:pt idx="6">
                  <c:v>64.765759546038922</c:v>
                </c:pt>
                <c:pt idx="7">
                  <c:v>64.100025847187609</c:v>
                </c:pt>
                <c:pt idx="8">
                  <c:v>64.126107527266853</c:v>
                </c:pt>
                <c:pt idx="9">
                  <c:v>63.219416622970442</c:v>
                </c:pt>
                <c:pt idx="10">
                  <c:v>65.161900944752546</c:v>
                </c:pt>
                <c:pt idx="11">
                  <c:v>64.860751493878027</c:v>
                </c:pt>
                <c:pt idx="12">
                  <c:v>64.69309297890004</c:v>
                </c:pt>
                <c:pt idx="13">
                  <c:v>64.964834542729193</c:v>
                </c:pt>
                <c:pt idx="14">
                  <c:v>66.493623525790454</c:v>
                </c:pt>
                <c:pt idx="15">
                  <c:v>68.516574734532725</c:v>
                </c:pt>
                <c:pt idx="16">
                  <c:v>68.082698821603756</c:v>
                </c:pt>
                <c:pt idx="17">
                  <c:v>68.608085763534007</c:v>
                </c:pt>
                <c:pt idx="18">
                  <c:v>67.372788192504757</c:v>
                </c:pt>
                <c:pt idx="19">
                  <c:v>68.483871091743239</c:v>
                </c:pt>
                <c:pt idx="20">
                  <c:v>69.908885006977599</c:v>
                </c:pt>
                <c:pt idx="21">
                  <c:v>69.874437237233295</c:v>
                </c:pt>
                <c:pt idx="22">
                  <c:v>70.474856574646651</c:v>
                </c:pt>
                <c:pt idx="23">
                  <c:v>71.105293535919202</c:v>
                </c:pt>
                <c:pt idx="24">
                  <c:v>71.167606280641934</c:v>
                </c:pt>
                <c:pt idx="25">
                  <c:v>71.352942616399403</c:v>
                </c:pt>
                <c:pt idx="26">
                  <c:v>72.793316153546556</c:v>
                </c:pt>
                <c:pt idx="27">
                  <c:v>73.337567512719559</c:v>
                </c:pt>
                <c:pt idx="28">
                  <c:v>71.750668159544091</c:v>
                </c:pt>
                <c:pt idx="29">
                  <c:v>69.98217728969334</c:v>
                </c:pt>
                <c:pt idx="30">
                  <c:v>70.333181262156131</c:v>
                </c:pt>
                <c:pt idx="31">
                  <c:v>68.992762388748076</c:v>
                </c:pt>
                <c:pt idx="32">
                  <c:v>70.074950753830208</c:v>
                </c:pt>
                <c:pt idx="33">
                  <c:v>70.086991752178108</c:v>
                </c:pt>
                <c:pt idx="34">
                  <c:v>71.317348780863043</c:v>
                </c:pt>
                <c:pt idx="35">
                  <c:v>71.235964949597047</c:v>
                </c:pt>
                <c:pt idx="36">
                  <c:v>70.680575427766399</c:v>
                </c:pt>
                <c:pt idx="37">
                  <c:v>71.927396004292376</c:v>
                </c:pt>
                <c:pt idx="38">
                  <c:v>70.636584277349215</c:v>
                </c:pt>
                <c:pt idx="39">
                  <c:v>71.753317133727151</c:v>
                </c:pt>
                <c:pt idx="40">
                  <c:v>71.646391458826344</c:v>
                </c:pt>
                <c:pt idx="41">
                  <c:v>70.974657079941508</c:v>
                </c:pt>
                <c:pt idx="42">
                  <c:v>71.73563274308259</c:v>
                </c:pt>
                <c:pt idx="43">
                  <c:v>70.94994763238644</c:v>
                </c:pt>
                <c:pt idx="44">
                  <c:v>74.627665318717575</c:v>
                </c:pt>
                <c:pt idx="45">
                  <c:v>76.829415749741514</c:v>
                </c:pt>
                <c:pt idx="46">
                  <c:v>75.493983806823692</c:v>
                </c:pt>
                <c:pt idx="47">
                  <c:v>74.434656229739431</c:v>
                </c:pt>
                <c:pt idx="48">
                  <c:v>73.552840664166325</c:v>
                </c:pt>
                <c:pt idx="49">
                  <c:v>73.422314869958754</c:v>
                </c:pt>
                <c:pt idx="50">
                  <c:v>73.419248532224657</c:v>
                </c:pt>
                <c:pt idx="51">
                  <c:v>75.174892314977868</c:v>
                </c:pt>
                <c:pt idx="52">
                  <c:v>77.303657725242076</c:v>
                </c:pt>
                <c:pt idx="53">
                  <c:v>78.246856031473058</c:v>
                </c:pt>
                <c:pt idx="54">
                  <c:v>77.329812388156242</c:v>
                </c:pt>
                <c:pt idx="55">
                  <c:v>76.996544180225683</c:v>
                </c:pt>
                <c:pt idx="56">
                  <c:v>79.640220951006654</c:v>
                </c:pt>
                <c:pt idx="57">
                  <c:v>78.065859743813405</c:v>
                </c:pt>
                <c:pt idx="58">
                  <c:v>79.742621571996139</c:v>
                </c:pt>
                <c:pt idx="59">
                  <c:v>78.020639000432212</c:v>
                </c:pt>
                <c:pt idx="60">
                  <c:v>78.722518275075615</c:v>
                </c:pt>
                <c:pt idx="61">
                  <c:v>76.609927887783712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4EA-417D-9FEF-816D9F694639}"/>
            </c:ext>
          </c:extLst>
        </c:ser>
        <c:ser>
          <c:idx val="41"/>
          <c:order val="40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Carlo'!$E$42:$BN$42</c:f>
              <c:numCache>
                <c:formatCode>General</c:formatCode>
                <c:ptCount val="62"/>
                <c:pt idx="1">
                  <c:v>60.99</c:v>
                </c:pt>
                <c:pt idx="2">
                  <c:v>59.987657325668152</c:v>
                </c:pt>
                <c:pt idx="3">
                  <c:v>61.033658596782338</c:v>
                </c:pt>
                <c:pt idx="4">
                  <c:v>63.346753004430326</c:v>
                </c:pt>
                <c:pt idx="5">
                  <c:v>62.055729750376344</c:v>
                </c:pt>
                <c:pt idx="6">
                  <c:v>62.657609984390689</c:v>
                </c:pt>
                <c:pt idx="7">
                  <c:v>63.171750022015992</c:v>
                </c:pt>
                <c:pt idx="8">
                  <c:v>63.256274769062699</c:v>
                </c:pt>
                <c:pt idx="9">
                  <c:v>64.926159239061306</c:v>
                </c:pt>
                <c:pt idx="10">
                  <c:v>65.364387901226678</c:v>
                </c:pt>
                <c:pt idx="11">
                  <c:v>66.691978803439966</c:v>
                </c:pt>
                <c:pt idx="12">
                  <c:v>65.288659925628437</c:v>
                </c:pt>
                <c:pt idx="13">
                  <c:v>65.138438057319192</c:v>
                </c:pt>
                <c:pt idx="14">
                  <c:v>66.113442090680749</c:v>
                </c:pt>
                <c:pt idx="15">
                  <c:v>67.935052934546377</c:v>
                </c:pt>
                <c:pt idx="16">
                  <c:v>68.716668501668536</c:v>
                </c:pt>
                <c:pt idx="17">
                  <c:v>71.103279325758166</c:v>
                </c:pt>
                <c:pt idx="18">
                  <c:v>68.783322387384672</c:v>
                </c:pt>
                <c:pt idx="19">
                  <c:v>68.436777400826998</c:v>
                </c:pt>
                <c:pt idx="20">
                  <c:v>67.68600419120358</c:v>
                </c:pt>
                <c:pt idx="21">
                  <c:v>68.888950217947325</c:v>
                </c:pt>
                <c:pt idx="22">
                  <c:v>72.4437102648522</c:v>
                </c:pt>
                <c:pt idx="23">
                  <c:v>73.937025409550984</c:v>
                </c:pt>
                <c:pt idx="24">
                  <c:v>72.607571925030612</c:v>
                </c:pt>
                <c:pt idx="25">
                  <c:v>75.430149514306279</c:v>
                </c:pt>
                <c:pt idx="26">
                  <c:v>75.568371040626246</c:v>
                </c:pt>
                <c:pt idx="27">
                  <c:v>73.51408197087602</c:v>
                </c:pt>
                <c:pt idx="28">
                  <c:v>72.601870063574026</c:v>
                </c:pt>
                <c:pt idx="29">
                  <c:v>71.308785793611634</c:v>
                </c:pt>
                <c:pt idx="30">
                  <c:v>71.293956378734961</c:v>
                </c:pt>
                <c:pt idx="31">
                  <c:v>70.725855309442906</c:v>
                </c:pt>
                <c:pt idx="32">
                  <c:v>69.447821314347692</c:v>
                </c:pt>
                <c:pt idx="33">
                  <c:v>69.936939535904216</c:v>
                </c:pt>
                <c:pt idx="34">
                  <c:v>70.754917152226469</c:v>
                </c:pt>
                <c:pt idx="35">
                  <c:v>70.227056118270909</c:v>
                </c:pt>
                <c:pt idx="36">
                  <c:v>69.085425336254502</c:v>
                </c:pt>
                <c:pt idx="37">
                  <c:v>68.007895466939843</c:v>
                </c:pt>
                <c:pt idx="38">
                  <c:v>67.799954974283239</c:v>
                </c:pt>
                <c:pt idx="39">
                  <c:v>68.168448122614464</c:v>
                </c:pt>
                <c:pt idx="40">
                  <c:v>66.993529685443093</c:v>
                </c:pt>
                <c:pt idx="41">
                  <c:v>66.957153439769684</c:v>
                </c:pt>
                <c:pt idx="42">
                  <c:v>67.767518696483435</c:v>
                </c:pt>
                <c:pt idx="43">
                  <c:v>65.798199540649634</c:v>
                </c:pt>
                <c:pt idx="44">
                  <c:v>65.457430880761819</c:v>
                </c:pt>
                <c:pt idx="45">
                  <c:v>65.613871594603779</c:v>
                </c:pt>
                <c:pt idx="46">
                  <c:v>67.011932903692923</c:v>
                </c:pt>
                <c:pt idx="47">
                  <c:v>69.231566196461287</c:v>
                </c:pt>
                <c:pt idx="48">
                  <c:v>68.244175661201382</c:v>
                </c:pt>
                <c:pt idx="49">
                  <c:v>67.692113358214613</c:v>
                </c:pt>
                <c:pt idx="50">
                  <c:v>68.438438990320677</c:v>
                </c:pt>
                <c:pt idx="51">
                  <c:v>69.153809858623546</c:v>
                </c:pt>
                <c:pt idx="52">
                  <c:v>69.109628796574611</c:v>
                </c:pt>
                <c:pt idx="53">
                  <c:v>70.018766677332266</c:v>
                </c:pt>
                <c:pt idx="54">
                  <c:v>70.139642286889782</c:v>
                </c:pt>
                <c:pt idx="55">
                  <c:v>70.512569978856348</c:v>
                </c:pt>
                <c:pt idx="56">
                  <c:v>69.310067754712293</c:v>
                </c:pt>
                <c:pt idx="57">
                  <c:v>70.56699440542836</c:v>
                </c:pt>
                <c:pt idx="58">
                  <c:v>71.859472641846423</c:v>
                </c:pt>
                <c:pt idx="59">
                  <c:v>70.467999028878737</c:v>
                </c:pt>
                <c:pt idx="60">
                  <c:v>70.435734113079889</c:v>
                </c:pt>
                <c:pt idx="61">
                  <c:v>69.543689787910594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24EA-417D-9FEF-816D9F694639}"/>
            </c:ext>
          </c:extLst>
        </c:ser>
        <c:ser>
          <c:idx val="42"/>
          <c:order val="41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Carlo'!$E$43:$BN$43</c:f>
              <c:numCache>
                <c:formatCode>General</c:formatCode>
                <c:ptCount val="62"/>
                <c:pt idx="1">
                  <c:v>60.99</c:v>
                </c:pt>
                <c:pt idx="2">
                  <c:v>60.462440601891615</c:v>
                </c:pt>
                <c:pt idx="3">
                  <c:v>60.801630304447876</c:v>
                </c:pt>
                <c:pt idx="4">
                  <c:v>61.896852393134587</c:v>
                </c:pt>
                <c:pt idx="5">
                  <c:v>62.122616229482894</c:v>
                </c:pt>
                <c:pt idx="6">
                  <c:v>61.763932844350499</c:v>
                </c:pt>
                <c:pt idx="7">
                  <c:v>62.352410873622887</c:v>
                </c:pt>
                <c:pt idx="8">
                  <c:v>63.839828323079907</c:v>
                </c:pt>
                <c:pt idx="9">
                  <c:v>65.442889077245937</c:v>
                </c:pt>
                <c:pt idx="10">
                  <c:v>63.336742259627044</c:v>
                </c:pt>
                <c:pt idx="11">
                  <c:v>65.942803357779127</c:v>
                </c:pt>
                <c:pt idx="12">
                  <c:v>66.843744684676963</c:v>
                </c:pt>
                <c:pt idx="13">
                  <c:v>65.911452807160643</c:v>
                </c:pt>
                <c:pt idx="14">
                  <c:v>66.977453476161088</c:v>
                </c:pt>
                <c:pt idx="15">
                  <c:v>66.654177917782164</c:v>
                </c:pt>
                <c:pt idx="16">
                  <c:v>67.808090472237282</c:v>
                </c:pt>
                <c:pt idx="17">
                  <c:v>70.892045860345263</c:v>
                </c:pt>
                <c:pt idx="18">
                  <c:v>70.904697210743052</c:v>
                </c:pt>
                <c:pt idx="19">
                  <c:v>71.113063956803572</c:v>
                </c:pt>
                <c:pt idx="20">
                  <c:v>71.4357020720701</c:v>
                </c:pt>
                <c:pt idx="21">
                  <c:v>71.505474823863082</c:v>
                </c:pt>
                <c:pt idx="22">
                  <c:v>72.528714546936513</c:v>
                </c:pt>
                <c:pt idx="23">
                  <c:v>72.889777595984853</c:v>
                </c:pt>
                <c:pt idx="24">
                  <c:v>73.104004703402467</c:v>
                </c:pt>
                <c:pt idx="25">
                  <c:v>76.263836205421242</c:v>
                </c:pt>
                <c:pt idx="26">
                  <c:v>76.189618508272659</c:v>
                </c:pt>
                <c:pt idx="27">
                  <c:v>77.583199110466751</c:v>
                </c:pt>
                <c:pt idx="28">
                  <c:v>75.117767092536127</c:v>
                </c:pt>
                <c:pt idx="29">
                  <c:v>75.37118686477217</c:v>
                </c:pt>
                <c:pt idx="30">
                  <c:v>76.775322036651929</c:v>
                </c:pt>
                <c:pt idx="31">
                  <c:v>74.865941174107846</c:v>
                </c:pt>
                <c:pt idx="32">
                  <c:v>73.997864391897139</c:v>
                </c:pt>
                <c:pt idx="33">
                  <c:v>74.871071324905245</c:v>
                </c:pt>
                <c:pt idx="34">
                  <c:v>77.598507193969326</c:v>
                </c:pt>
                <c:pt idx="35">
                  <c:v>77.730116274378503</c:v>
                </c:pt>
                <c:pt idx="36">
                  <c:v>76.698158949972139</c:v>
                </c:pt>
                <c:pt idx="37">
                  <c:v>80.348973944701811</c:v>
                </c:pt>
                <c:pt idx="38">
                  <c:v>80.224884390673836</c:v>
                </c:pt>
                <c:pt idx="39">
                  <c:v>79.761715840263818</c:v>
                </c:pt>
                <c:pt idx="40">
                  <c:v>81.102308363948211</c:v>
                </c:pt>
                <c:pt idx="41">
                  <c:v>80.627175115860652</c:v>
                </c:pt>
                <c:pt idx="42">
                  <c:v>81.892072225682</c:v>
                </c:pt>
                <c:pt idx="43">
                  <c:v>84.391138375864912</c:v>
                </c:pt>
                <c:pt idx="44">
                  <c:v>85.532700245913247</c:v>
                </c:pt>
                <c:pt idx="45">
                  <c:v>87.623226753841223</c:v>
                </c:pt>
                <c:pt idx="46">
                  <c:v>87.131888877728358</c:v>
                </c:pt>
                <c:pt idx="47">
                  <c:v>85.753095115661097</c:v>
                </c:pt>
                <c:pt idx="48">
                  <c:v>87.824800704301694</c:v>
                </c:pt>
                <c:pt idx="49">
                  <c:v>90.219426105893945</c:v>
                </c:pt>
                <c:pt idx="50">
                  <c:v>90.207972548945904</c:v>
                </c:pt>
                <c:pt idx="51">
                  <c:v>95.23929259361546</c:v>
                </c:pt>
                <c:pt idx="52">
                  <c:v>93.658695550001951</c:v>
                </c:pt>
                <c:pt idx="53">
                  <c:v>93.571928471395665</c:v>
                </c:pt>
                <c:pt idx="54">
                  <c:v>95.677866285679073</c:v>
                </c:pt>
                <c:pt idx="55">
                  <c:v>95.178459229640396</c:v>
                </c:pt>
                <c:pt idx="56">
                  <c:v>94.464143855713559</c:v>
                </c:pt>
                <c:pt idx="57">
                  <c:v>94.720395570806176</c:v>
                </c:pt>
                <c:pt idx="58">
                  <c:v>93.94068797770575</c:v>
                </c:pt>
                <c:pt idx="59">
                  <c:v>94.566937777650608</c:v>
                </c:pt>
                <c:pt idx="60">
                  <c:v>92.249227352332838</c:v>
                </c:pt>
                <c:pt idx="61">
                  <c:v>90.727890314050185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4EA-417D-9FEF-816D9F694639}"/>
            </c:ext>
          </c:extLst>
        </c:ser>
        <c:ser>
          <c:idx val="43"/>
          <c:order val="42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Carlo'!$E$44:$BN$44</c:f>
              <c:numCache>
                <c:formatCode>General</c:formatCode>
                <c:ptCount val="62"/>
                <c:pt idx="1">
                  <c:v>60.99</c:v>
                </c:pt>
                <c:pt idx="2">
                  <c:v>62.81593891501538</c:v>
                </c:pt>
                <c:pt idx="3">
                  <c:v>62.438117254529736</c:v>
                </c:pt>
                <c:pt idx="4">
                  <c:v>62.610821953148211</c:v>
                </c:pt>
                <c:pt idx="5">
                  <c:v>62.721227703294716</c:v>
                </c:pt>
                <c:pt idx="6">
                  <c:v>62.936186141205084</c:v>
                </c:pt>
                <c:pt idx="7">
                  <c:v>64.192168432625834</c:v>
                </c:pt>
                <c:pt idx="8">
                  <c:v>64.009464102798077</c:v>
                </c:pt>
                <c:pt idx="9">
                  <c:v>65.413309402236195</c:v>
                </c:pt>
                <c:pt idx="10">
                  <c:v>67.017846802638701</c:v>
                </c:pt>
                <c:pt idx="11">
                  <c:v>67.383071069473132</c:v>
                </c:pt>
                <c:pt idx="12">
                  <c:v>68.525969949799304</c:v>
                </c:pt>
                <c:pt idx="13">
                  <c:v>69.706094706523018</c:v>
                </c:pt>
                <c:pt idx="14">
                  <c:v>68.928216370964606</c:v>
                </c:pt>
                <c:pt idx="15">
                  <c:v>67.963010893629658</c:v>
                </c:pt>
                <c:pt idx="16">
                  <c:v>67.507790845158667</c:v>
                </c:pt>
                <c:pt idx="17">
                  <c:v>65.408550719843305</c:v>
                </c:pt>
                <c:pt idx="18">
                  <c:v>67.472205232860858</c:v>
                </c:pt>
                <c:pt idx="19">
                  <c:v>68.646507379376288</c:v>
                </c:pt>
                <c:pt idx="20">
                  <c:v>68.258532209421546</c:v>
                </c:pt>
                <c:pt idx="21">
                  <c:v>68.374149216523961</c:v>
                </c:pt>
                <c:pt idx="22">
                  <c:v>66.711925332929567</c:v>
                </c:pt>
                <c:pt idx="23">
                  <c:v>66.692582745858971</c:v>
                </c:pt>
                <c:pt idx="24">
                  <c:v>65.983334408326158</c:v>
                </c:pt>
                <c:pt idx="25">
                  <c:v>67.268126369189389</c:v>
                </c:pt>
                <c:pt idx="26">
                  <c:v>69.246059714112036</c:v>
                </c:pt>
                <c:pt idx="27">
                  <c:v>70.397407273660775</c:v>
                </c:pt>
                <c:pt idx="28">
                  <c:v>69.307640163532568</c:v>
                </c:pt>
                <c:pt idx="29">
                  <c:v>71.568152735546548</c:v>
                </c:pt>
                <c:pt idx="30">
                  <c:v>71.853073123796023</c:v>
                </c:pt>
                <c:pt idx="31">
                  <c:v>70.650893084485148</c:v>
                </c:pt>
                <c:pt idx="32">
                  <c:v>70.886027407150252</c:v>
                </c:pt>
                <c:pt idx="33">
                  <c:v>70.708612009664066</c:v>
                </c:pt>
                <c:pt idx="34">
                  <c:v>68.704914008613216</c:v>
                </c:pt>
                <c:pt idx="35">
                  <c:v>69.719605964606032</c:v>
                </c:pt>
                <c:pt idx="36">
                  <c:v>68.908036836146024</c:v>
                </c:pt>
                <c:pt idx="37">
                  <c:v>69.91251194361719</c:v>
                </c:pt>
                <c:pt idx="38">
                  <c:v>70.302640666358101</c:v>
                </c:pt>
                <c:pt idx="39">
                  <c:v>70.301051173015381</c:v>
                </c:pt>
                <c:pt idx="40">
                  <c:v>69.442656074817009</c:v>
                </c:pt>
                <c:pt idx="41">
                  <c:v>70.219231378892687</c:v>
                </c:pt>
                <c:pt idx="42">
                  <c:v>65.925379054937025</c:v>
                </c:pt>
                <c:pt idx="43">
                  <c:v>68.167715591341107</c:v>
                </c:pt>
                <c:pt idx="44">
                  <c:v>69.139318828486765</c:v>
                </c:pt>
                <c:pt idx="45">
                  <c:v>66.876208935794281</c:v>
                </c:pt>
                <c:pt idx="46">
                  <c:v>67.976067293427008</c:v>
                </c:pt>
                <c:pt idx="47">
                  <c:v>68.621534033328402</c:v>
                </c:pt>
                <c:pt idx="48">
                  <c:v>66.224323607311334</c:v>
                </c:pt>
                <c:pt idx="49">
                  <c:v>65.594398795664901</c:v>
                </c:pt>
                <c:pt idx="50">
                  <c:v>63.342429439512799</c:v>
                </c:pt>
                <c:pt idx="51">
                  <c:v>63.133898676929725</c:v>
                </c:pt>
                <c:pt idx="52">
                  <c:v>65.563136447781957</c:v>
                </c:pt>
                <c:pt idx="53">
                  <c:v>65.045543065031765</c:v>
                </c:pt>
                <c:pt idx="54">
                  <c:v>65.375604196046169</c:v>
                </c:pt>
                <c:pt idx="55">
                  <c:v>65.32876119740223</c:v>
                </c:pt>
                <c:pt idx="56">
                  <c:v>65.039368835120229</c:v>
                </c:pt>
                <c:pt idx="57">
                  <c:v>64.341975463216926</c:v>
                </c:pt>
                <c:pt idx="58">
                  <c:v>67.330648919774632</c:v>
                </c:pt>
                <c:pt idx="59">
                  <c:v>68.831333249317439</c:v>
                </c:pt>
                <c:pt idx="60">
                  <c:v>69.709223430232967</c:v>
                </c:pt>
                <c:pt idx="61">
                  <c:v>69.34233938003031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24EA-417D-9FEF-816D9F694639}"/>
            </c:ext>
          </c:extLst>
        </c:ser>
        <c:ser>
          <c:idx val="44"/>
          <c:order val="43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Carlo'!$E$45:$BN$45</c:f>
              <c:numCache>
                <c:formatCode>General</c:formatCode>
                <c:ptCount val="62"/>
                <c:pt idx="1">
                  <c:v>60.99</c:v>
                </c:pt>
                <c:pt idx="2">
                  <c:v>61.065841826928171</c:v>
                </c:pt>
                <c:pt idx="3">
                  <c:v>60.789489323655289</c:v>
                </c:pt>
                <c:pt idx="4">
                  <c:v>60.977980826257976</c:v>
                </c:pt>
                <c:pt idx="5">
                  <c:v>61.795319390625785</c:v>
                </c:pt>
                <c:pt idx="6">
                  <c:v>62.179988282320075</c:v>
                </c:pt>
                <c:pt idx="7">
                  <c:v>61.232327278616289</c:v>
                </c:pt>
                <c:pt idx="8">
                  <c:v>61.183877009749473</c:v>
                </c:pt>
                <c:pt idx="9">
                  <c:v>61.365919961263629</c:v>
                </c:pt>
                <c:pt idx="10">
                  <c:v>59.699736314792482</c:v>
                </c:pt>
                <c:pt idx="11">
                  <c:v>59.60751590257113</c:v>
                </c:pt>
                <c:pt idx="12">
                  <c:v>57.467363023676803</c:v>
                </c:pt>
                <c:pt idx="13">
                  <c:v>57.072647395573682</c:v>
                </c:pt>
                <c:pt idx="14">
                  <c:v>55.924943583203515</c:v>
                </c:pt>
                <c:pt idx="15">
                  <c:v>55.272353447086701</c:v>
                </c:pt>
                <c:pt idx="16">
                  <c:v>54.420032250016014</c:v>
                </c:pt>
                <c:pt idx="17">
                  <c:v>55.11613507211662</c:v>
                </c:pt>
                <c:pt idx="18">
                  <c:v>52.943432998439953</c:v>
                </c:pt>
                <c:pt idx="19">
                  <c:v>52.47866496282191</c:v>
                </c:pt>
                <c:pt idx="20">
                  <c:v>53.48640889772846</c:v>
                </c:pt>
                <c:pt idx="21">
                  <c:v>52.983103579351692</c:v>
                </c:pt>
                <c:pt idx="22">
                  <c:v>51.483176517328253</c:v>
                </c:pt>
                <c:pt idx="23">
                  <c:v>52.375306652429586</c:v>
                </c:pt>
                <c:pt idx="24">
                  <c:v>53.362579527867027</c:v>
                </c:pt>
                <c:pt idx="25">
                  <c:v>53.052661981882281</c:v>
                </c:pt>
                <c:pt idx="26">
                  <c:v>53.680186249585987</c:v>
                </c:pt>
                <c:pt idx="27">
                  <c:v>52.159317522458792</c:v>
                </c:pt>
                <c:pt idx="28">
                  <c:v>50.51053769193819</c:v>
                </c:pt>
                <c:pt idx="29">
                  <c:v>50.041468531538655</c:v>
                </c:pt>
                <c:pt idx="30">
                  <c:v>50.28775774724479</c:v>
                </c:pt>
                <c:pt idx="31">
                  <c:v>51.264965847134739</c:v>
                </c:pt>
                <c:pt idx="32">
                  <c:v>51.068624229552157</c:v>
                </c:pt>
                <c:pt idx="33">
                  <c:v>52.413722193871294</c:v>
                </c:pt>
                <c:pt idx="34">
                  <c:v>51.456443315956029</c:v>
                </c:pt>
                <c:pt idx="35">
                  <c:v>49.997831600563465</c:v>
                </c:pt>
                <c:pt idx="36">
                  <c:v>49.604433109182253</c:v>
                </c:pt>
                <c:pt idx="37">
                  <c:v>50.788231801562723</c:v>
                </c:pt>
                <c:pt idx="38">
                  <c:v>49.817760309035371</c:v>
                </c:pt>
                <c:pt idx="39">
                  <c:v>49.711229862388223</c:v>
                </c:pt>
                <c:pt idx="40">
                  <c:v>48.645729540817996</c:v>
                </c:pt>
                <c:pt idx="41">
                  <c:v>48.477540754821042</c:v>
                </c:pt>
                <c:pt idx="42">
                  <c:v>49.560568717086653</c:v>
                </c:pt>
                <c:pt idx="43">
                  <c:v>49.548045770724556</c:v>
                </c:pt>
                <c:pt idx="44">
                  <c:v>49.426559184155373</c:v>
                </c:pt>
                <c:pt idx="45">
                  <c:v>49.965472177071575</c:v>
                </c:pt>
                <c:pt idx="46">
                  <c:v>50.351363621790313</c:v>
                </c:pt>
                <c:pt idx="47">
                  <c:v>49.534854836533377</c:v>
                </c:pt>
                <c:pt idx="48">
                  <c:v>49.921145149047</c:v>
                </c:pt>
                <c:pt idx="49">
                  <c:v>49.809528581562319</c:v>
                </c:pt>
                <c:pt idx="50">
                  <c:v>51.333395759421215</c:v>
                </c:pt>
                <c:pt idx="51">
                  <c:v>54.171865358245711</c:v>
                </c:pt>
                <c:pt idx="52">
                  <c:v>53.782928067915428</c:v>
                </c:pt>
                <c:pt idx="53">
                  <c:v>54.052223123013761</c:v>
                </c:pt>
                <c:pt idx="54">
                  <c:v>53.300699750393989</c:v>
                </c:pt>
                <c:pt idx="55">
                  <c:v>54.566175385698592</c:v>
                </c:pt>
                <c:pt idx="56">
                  <c:v>54.407092139739376</c:v>
                </c:pt>
                <c:pt idx="57">
                  <c:v>53.573149808925791</c:v>
                </c:pt>
                <c:pt idx="58">
                  <c:v>54.97645659841038</c:v>
                </c:pt>
                <c:pt idx="59">
                  <c:v>53.439008944844836</c:v>
                </c:pt>
                <c:pt idx="60">
                  <c:v>52.468219354526745</c:v>
                </c:pt>
                <c:pt idx="61">
                  <c:v>52.879484436981301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4EA-417D-9FEF-816D9F694639}"/>
            </c:ext>
          </c:extLst>
        </c:ser>
        <c:ser>
          <c:idx val="45"/>
          <c:order val="44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Carlo'!$E$46:$BN$46</c:f>
              <c:numCache>
                <c:formatCode>General</c:formatCode>
                <c:ptCount val="62"/>
                <c:pt idx="1">
                  <c:v>60.99</c:v>
                </c:pt>
                <c:pt idx="2">
                  <c:v>62.250998673977243</c:v>
                </c:pt>
                <c:pt idx="3">
                  <c:v>62.904644733982693</c:v>
                </c:pt>
                <c:pt idx="4">
                  <c:v>65.010162768085664</c:v>
                </c:pt>
                <c:pt idx="5">
                  <c:v>64.564584017827954</c:v>
                </c:pt>
                <c:pt idx="6">
                  <c:v>65.13945052775577</c:v>
                </c:pt>
                <c:pt idx="7">
                  <c:v>67.26406639557861</c:v>
                </c:pt>
                <c:pt idx="8">
                  <c:v>66.60717970793057</c:v>
                </c:pt>
                <c:pt idx="9">
                  <c:v>67.298200877944552</c:v>
                </c:pt>
                <c:pt idx="10">
                  <c:v>67.326940536264715</c:v>
                </c:pt>
                <c:pt idx="11">
                  <c:v>68.917371249453666</c:v>
                </c:pt>
                <c:pt idx="12">
                  <c:v>67.715600520370501</c:v>
                </c:pt>
                <c:pt idx="13">
                  <c:v>66.87013053436452</c:v>
                </c:pt>
                <c:pt idx="14">
                  <c:v>67.12473598742703</c:v>
                </c:pt>
                <c:pt idx="15">
                  <c:v>68.678484051533388</c:v>
                </c:pt>
                <c:pt idx="16">
                  <c:v>69.034753990339738</c:v>
                </c:pt>
                <c:pt idx="17">
                  <c:v>69.289847388381006</c:v>
                </c:pt>
                <c:pt idx="18">
                  <c:v>68.650696225520406</c:v>
                </c:pt>
                <c:pt idx="19">
                  <c:v>66.76123458962762</c:v>
                </c:pt>
                <c:pt idx="20">
                  <c:v>67.806505909545919</c:v>
                </c:pt>
                <c:pt idx="21">
                  <c:v>66.84671579222254</c:v>
                </c:pt>
                <c:pt idx="22">
                  <c:v>65.948536919412916</c:v>
                </c:pt>
                <c:pt idx="23">
                  <c:v>66.882450267243044</c:v>
                </c:pt>
                <c:pt idx="24">
                  <c:v>66.691309190987198</c:v>
                </c:pt>
                <c:pt idx="25">
                  <c:v>66.21788887619023</c:v>
                </c:pt>
                <c:pt idx="26">
                  <c:v>66.575769803910646</c:v>
                </c:pt>
                <c:pt idx="27">
                  <c:v>66.807517286285488</c:v>
                </c:pt>
                <c:pt idx="28">
                  <c:v>66.743450808074243</c:v>
                </c:pt>
                <c:pt idx="29">
                  <c:v>63.959067598765003</c:v>
                </c:pt>
                <c:pt idx="30">
                  <c:v>62.960902066732046</c:v>
                </c:pt>
                <c:pt idx="31">
                  <c:v>61.208256251424039</c:v>
                </c:pt>
                <c:pt idx="32">
                  <c:v>62.015109507786413</c:v>
                </c:pt>
                <c:pt idx="33">
                  <c:v>61.15885203661523</c:v>
                </c:pt>
                <c:pt idx="34">
                  <c:v>61.960458494182461</c:v>
                </c:pt>
                <c:pt idx="35">
                  <c:v>60.727431424838542</c:v>
                </c:pt>
                <c:pt idx="36">
                  <c:v>61.610093326757394</c:v>
                </c:pt>
                <c:pt idx="37">
                  <c:v>59.545544156042361</c:v>
                </c:pt>
                <c:pt idx="38">
                  <c:v>59.108924064723375</c:v>
                </c:pt>
                <c:pt idx="39">
                  <c:v>59.54845406168949</c:v>
                </c:pt>
                <c:pt idx="40">
                  <c:v>58.872804438489396</c:v>
                </c:pt>
                <c:pt idx="41">
                  <c:v>59.5862028334519</c:v>
                </c:pt>
                <c:pt idx="42">
                  <c:v>59.453113502937398</c:v>
                </c:pt>
                <c:pt idx="43">
                  <c:v>57.58915453130561</c:v>
                </c:pt>
                <c:pt idx="44">
                  <c:v>55.671358615872542</c:v>
                </c:pt>
                <c:pt idx="45">
                  <c:v>55.147499994549669</c:v>
                </c:pt>
                <c:pt idx="46">
                  <c:v>56.17270398140775</c:v>
                </c:pt>
                <c:pt idx="47">
                  <c:v>54.134805254456829</c:v>
                </c:pt>
                <c:pt idx="48">
                  <c:v>54.284556813943588</c:v>
                </c:pt>
                <c:pt idx="49">
                  <c:v>53.505188810655135</c:v>
                </c:pt>
                <c:pt idx="50">
                  <c:v>53.936976607415858</c:v>
                </c:pt>
                <c:pt idx="51">
                  <c:v>54.498633772726109</c:v>
                </c:pt>
                <c:pt idx="52">
                  <c:v>55.038789784465209</c:v>
                </c:pt>
                <c:pt idx="53">
                  <c:v>56.025017445987785</c:v>
                </c:pt>
                <c:pt idx="54">
                  <c:v>56.975923846517396</c:v>
                </c:pt>
                <c:pt idx="55">
                  <c:v>56.017122088674675</c:v>
                </c:pt>
                <c:pt idx="56">
                  <c:v>55.740343588050656</c:v>
                </c:pt>
                <c:pt idx="57">
                  <c:v>54.676711604177804</c:v>
                </c:pt>
                <c:pt idx="58">
                  <c:v>55.362252363630368</c:v>
                </c:pt>
                <c:pt idx="59">
                  <c:v>56.918594466684389</c:v>
                </c:pt>
                <c:pt idx="60">
                  <c:v>57.529243907228576</c:v>
                </c:pt>
                <c:pt idx="61">
                  <c:v>58.308514088288696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24EA-417D-9FEF-816D9F694639}"/>
            </c:ext>
          </c:extLst>
        </c:ser>
        <c:ser>
          <c:idx val="46"/>
          <c:order val="45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Carlo'!$E$47:$BN$47</c:f>
              <c:numCache>
                <c:formatCode>General</c:formatCode>
                <c:ptCount val="62"/>
                <c:pt idx="1">
                  <c:v>60.99</c:v>
                </c:pt>
                <c:pt idx="2">
                  <c:v>60.933810715259064</c:v>
                </c:pt>
                <c:pt idx="3">
                  <c:v>60.954296742696883</c:v>
                </c:pt>
                <c:pt idx="4">
                  <c:v>60.88101288137571</c:v>
                </c:pt>
                <c:pt idx="5">
                  <c:v>59.357344446311693</c:v>
                </c:pt>
                <c:pt idx="6">
                  <c:v>57.737297419438576</c:v>
                </c:pt>
                <c:pt idx="7">
                  <c:v>58.147594120585808</c:v>
                </c:pt>
                <c:pt idx="8">
                  <c:v>57.634936066579549</c:v>
                </c:pt>
                <c:pt idx="9">
                  <c:v>57.122326514732492</c:v>
                </c:pt>
                <c:pt idx="10">
                  <c:v>58.272348735523998</c:v>
                </c:pt>
                <c:pt idx="11">
                  <c:v>57.624828821444886</c:v>
                </c:pt>
                <c:pt idx="12">
                  <c:v>57.941397370841528</c:v>
                </c:pt>
                <c:pt idx="13">
                  <c:v>57.246821091124779</c:v>
                </c:pt>
                <c:pt idx="14">
                  <c:v>56.02503107396074</c:v>
                </c:pt>
                <c:pt idx="15">
                  <c:v>54.95178959269284</c:v>
                </c:pt>
                <c:pt idx="16">
                  <c:v>56.081359672954513</c:v>
                </c:pt>
                <c:pt idx="17">
                  <c:v>55.751678776911675</c:v>
                </c:pt>
                <c:pt idx="18">
                  <c:v>56.080346948935976</c:v>
                </c:pt>
                <c:pt idx="19">
                  <c:v>54.997393427274439</c:v>
                </c:pt>
                <c:pt idx="20">
                  <c:v>56.481782254059553</c:v>
                </c:pt>
                <c:pt idx="21">
                  <c:v>56.435579871167533</c:v>
                </c:pt>
                <c:pt idx="22">
                  <c:v>56.927625053703061</c:v>
                </c:pt>
                <c:pt idx="23">
                  <c:v>57.064178916182811</c:v>
                </c:pt>
                <c:pt idx="24">
                  <c:v>57.474396026665815</c:v>
                </c:pt>
                <c:pt idx="25">
                  <c:v>56.948039827785799</c:v>
                </c:pt>
                <c:pt idx="26">
                  <c:v>57.697227447175131</c:v>
                </c:pt>
                <c:pt idx="27">
                  <c:v>55.087343484657886</c:v>
                </c:pt>
                <c:pt idx="28">
                  <c:v>54.271268392754486</c:v>
                </c:pt>
                <c:pt idx="29">
                  <c:v>52.592800012034473</c:v>
                </c:pt>
                <c:pt idx="30">
                  <c:v>53.504079811149708</c:v>
                </c:pt>
                <c:pt idx="31">
                  <c:v>53.88921320272533</c:v>
                </c:pt>
                <c:pt idx="32">
                  <c:v>52.749568780926779</c:v>
                </c:pt>
                <c:pt idx="33">
                  <c:v>51.734707539908257</c:v>
                </c:pt>
                <c:pt idx="34">
                  <c:v>49.824733241152934</c:v>
                </c:pt>
                <c:pt idx="35">
                  <c:v>49.204717006935809</c:v>
                </c:pt>
                <c:pt idx="36">
                  <c:v>48.383969390384038</c:v>
                </c:pt>
                <c:pt idx="37">
                  <c:v>48.187567648979297</c:v>
                </c:pt>
                <c:pt idx="38">
                  <c:v>48.200105732795016</c:v>
                </c:pt>
                <c:pt idx="39">
                  <c:v>48.568140992122004</c:v>
                </c:pt>
                <c:pt idx="40">
                  <c:v>48.278092050440122</c:v>
                </c:pt>
                <c:pt idx="41">
                  <c:v>47.787203895509691</c:v>
                </c:pt>
                <c:pt idx="42">
                  <c:v>48.23331827321482</c:v>
                </c:pt>
                <c:pt idx="43">
                  <c:v>46.729707591535799</c:v>
                </c:pt>
                <c:pt idx="44">
                  <c:v>46.793261664906545</c:v>
                </c:pt>
                <c:pt idx="45">
                  <c:v>46.146913384468249</c:v>
                </c:pt>
                <c:pt idx="46">
                  <c:v>47.057126650968108</c:v>
                </c:pt>
                <c:pt idx="47">
                  <c:v>48.149941067818922</c:v>
                </c:pt>
                <c:pt idx="48">
                  <c:v>46.803327593408994</c:v>
                </c:pt>
                <c:pt idx="49">
                  <c:v>47.131402225623432</c:v>
                </c:pt>
                <c:pt idx="50">
                  <c:v>46.701318950659704</c:v>
                </c:pt>
                <c:pt idx="51">
                  <c:v>46.170137464145476</c:v>
                </c:pt>
                <c:pt idx="52">
                  <c:v>46.929832979338478</c:v>
                </c:pt>
                <c:pt idx="53">
                  <c:v>48.314912440259008</c:v>
                </c:pt>
                <c:pt idx="54">
                  <c:v>47.983800130666246</c:v>
                </c:pt>
                <c:pt idx="55">
                  <c:v>46.661706984113493</c:v>
                </c:pt>
                <c:pt idx="56">
                  <c:v>45.996354412135823</c:v>
                </c:pt>
                <c:pt idx="57">
                  <c:v>45.861470962154321</c:v>
                </c:pt>
                <c:pt idx="58">
                  <c:v>46.805553467489638</c:v>
                </c:pt>
                <c:pt idx="59">
                  <c:v>47.195031822522445</c:v>
                </c:pt>
                <c:pt idx="60">
                  <c:v>46.398554812837901</c:v>
                </c:pt>
                <c:pt idx="61">
                  <c:v>46.927680485828731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4EA-417D-9FEF-816D9F694639}"/>
            </c:ext>
          </c:extLst>
        </c:ser>
        <c:ser>
          <c:idx val="47"/>
          <c:order val="46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Carlo'!$E$48:$BN$48</c:f>
              <c:numCache>
                <c:formatCode>General</c:formatCode>
                <c:ptCount val="62"/>
                <c:pt idx="1">
                  <c:v>60.99</c:v>
                </c:pt>
                <c:pt idx="2">
                  <c:v>59.797536794030684</c:v>
                </c:pt>
                <c:pt idx="3">
                  <c:v>60.35616653692508</c:v>
                </c:pt>
                <c:pt idx="4">
                  <c:v>61.192340356989803</c:v>
                </c:pt>
                <c:pt idx="5">
                  <c:v>61.630591066239269</c:v>
                </c:pt>
                <c:pt idx="6">
                  <c:v>62.718944916208663</c:v>
                </c:pt>
                <c:pt idx="7">
                  <c:v>65.391625555920015</c:v>
                </c:pt>
                <c:pt idx="8">
                  <c:v>65.10270038828132</c:v>
                </c:pt>
                <c:pt idx="9">
                  <c:v>67.073472088644507</c:v>
                </c:pt>
                <c:pt idx="10">
                  <c:v>66.690484880626954</c:v>
                </c:pt>
                <c:pt idx="11">
                  <c:v>66.511811818919838</c:v>
                </c:pt>
                <c:pt idx="12">
                  <c:v>67.393436708302616</c:v>
                </c:pt>
                <c:pt idx="13">
                  <c:v>65.884743463306236</c:v>
                </c:pt>
                <c:pt idx="14">
                  <c:v>63.7237476344472</c:v>
                </c:pt>
                <c:pt idx="15">
                  <c:v>64.901635404531746</c:v>
                </c:pt>
                <c:pt idx="16">
                  <c:v>64.570035093579506</c:v>
                </c:pt>
                <c:pt idx="17">
                  <c:v>64.85745082654168</c:v>
                </c:pt>
                <c:pt idx="18">
                  <c:v>64.335130332960915</c:v>
                </c:pt>
                <c:pt idx="19">
                  <c:v>65.86679028027892</c:v>
                </c:pt>
                <c:pt idx="20">
                  <c:v>65.785519645377349</c:v>
                </c:pt>
                <c:pt idx="21">
                  <c:v>64.909789383204355</c:v>
                </c:pt>
                <c:pt idx="22">
                  <c:v>64.545762949952859</c:v>
                </c:pt>
                <c:pt idx="23">
                  <c:v>63.22905458124437</c:v>
                </c:pt>
                <c:pt idx="24">
                  <c:v>65.289316708823833</c:v>
                </c:pt>
                <c:pt idx="25">
                  <c:v>64.349408805550283</c:v>
                </c:pt>
                <c:pt idx="26">
                  <c:v>65.047857719456815</c:v>
                </c:pt>
                <c:pt idx="27">
                  <c:v>65.629512987421052</c:v>
                </c:pt>
                <c:pt idx="28">
                  <c:v>64.41978945039159</c:v>
                </c:pt>
                <c:pt idx="29">
                  <c:v>64.210111354592698</c:v>
                </c:pt>
                <c:pt idx="30">
                  <c:v>65.60144750948848</c:v>
                </c:pt>
                <c:pt idx="31">
                  <c:v>66.378362671057332</c:v>
                </c:pt>
                <c:pt idx="32">
                  <c:v>63.480905019556957</c:v>
                </c:pt>
                <c:pt idx="33">
                  <c:v>62.831361994867024</c:v>
                </c:pt>
                <c:pt idx="34">
                  <c:v>63.035051875735888</c:v>
                </c:pt>
                <c:pt idx="35">
                  <c:v>62.837272888745623</c:v>
                </c:pt>
                <c:pt idx="36">
                  <c:v>63.068770840089499</c:v>
                </c:pt>
                <c:pt idx="37">
                  <c:v>61.149366570314612</c:v>
                </c:pt>
                <c:pt idx="38">
                  <c:v>60.696734978387219</c:v>
                </c:pt>
                <c:pt idx="39">
                  <c:v>61.157157797603155</c:v>
                </c:pt>
                <c:pt idx="40">
                  <c:v>60.422368239176237</c:v>
                </c:pt>
                <c:pt idx="41">
                  <c:v>59.693783383544584</c:v>
                </c:pt>
                <c:pt idx="42">
                  <c:v>59.304354943961457</c:v>
                </c:pt>
                <c:pt idx="43">
                  <c:v>60.535694664360179</c:v>
                </c:pt>
                <c:pt idx="44">
                  <c:v>60.787296244425441</c:v>
                </c:pt>
                <c:pt idx="45">
                  <c:v>62.04327976294303</c:v>
                </c:pt>
                <c:pt idx="46">
                  <c:v>60.928546621370955</c:v>
                </c:pt>
                <c:pt idx="47">
                  <c:v>61.244886541274703</c:v>
                </c:pt>
                <c:pt idx="48">
                  <c:v>61.441091385007326</c:v>
                </c:pt>
                <c:pt idx="49">
                  <c:v>64.075501945921971</c:v>
                </c:pt>
                <c:pt idx="50">
                  <c:v>62.867985980996359</c:v>
                </c:pt>
                <c:pt idx="51">
                  <c:v>62.384867693411877</c:v>
                </c:pt>
                <c:pt idx="52">
                  <c:v>62.018573075563474</c:v>
                </c:pt>
                <c:pt idx="53">
                  <c:v>60.973584554199213</c:v>
                </c:pt>
                <c:pt idx="54">
                  <c:v>60.075413106202909</c:v>
                </c:pt>
                <c:pt idx="55">
                  <c:v>58.622480674626473</c:v>
                </c:pt>
                <c:pt idx="56">
                  <c:v>57.39150866057598</c:v>
                </c:pt>
                <c:pt idx="57">
                  <c:v>57.84228246138121</c:v>
                </c:pt>
                <c:pt idx="58">
                  <c:v>59.963974635652207</c:v>
                </c:pt>
                <c:pt idx="59">
                  <c:v>59.782855421319034</c:v>
                </c:pt>
                <c:pt idx="60">
                  <c:v>58.781435672538969</c:v>
                </c:pt>
                <c:pt idx="61">
                  <c:v>58.101930258996738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24EA-417D-9FEF-816D9F694639}"/>
            </c:ext>
          </c:extLst>
        </c:ser>
        <c:ser>
          <c:idx val="48"/>
          <c:order val="47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Carlo'!$E$49:$BN$49</c:f>
              <c:numCache>
                <c:formatCode>General</c:formatCode>
                <c:ptCount val="62"/>
                <c:pt idx="1">
                  <c:v>60.99</c:v>
                </c:pt>
                <c:pt idx="2">
                  <c:v>62.850436949207307</c:v>
                </c:pt>
                <c:pt idx="3">
                  <c:v>61.979582854575092</c:v>
                </c:pt>
                <c:pt idx="4">
                  <c:v>63.235817195657198</c:v>
                </c:pt>
                <c:pt idx="5">
                  <c:v>64.615717636550812</c:v>
                </c:pt>
                <c:pt idx="6">
                  <c:v>65.901178944787461</c:v>
                </c:pt>
                <c:pt idx="7">
                  <c:v>66.374275928775958</c:v>
                </c:pt>
                <c:pt idx="8">
                  <c:v>66.257011447116554</c:v>
                </c:pt>
                <c:pt idx="9">
                  <c:v>65.762030335962677</c:v>
                </c:pt>
                <c:pt idx="10">
                  <c:v>63.847688338373821</c:v>
                </c:pt>
                <c:pt idx="11">
                  <c:v>63.380174244873118</c:v>
                </c:pt>
                <c:pt idx="12">
                  <c:v>65.267738472060572</c:v>
                </c:pt>
                <c:pt idx="13">
                  <c:v>65.625504008164512</c:v>
                </c:pt>
                <c:pt idx="14">
                  <c:v>65.458185572723636</c:v>
                </c:pt>
                <c:pt idx="15">
                  <c:v>66.818968543843965</c:v>
                </c:pt>
                <c:pt idx="16">
                  <c:v>68.37625707422508</c:v>
                </c:pt>
                <c:pt idx="17">
                  <c:v>70.062836602228515</c:v>
                </c:pt>
                <c:pt idx="18">
                  <c:v>73.326769897863002</c:v>
                </c:pt>
                <c:pt idx="19">
                  <c:v>73.745028260417328</c:v>
                </c:pt>
                <c:pt idx="20">
                  <c:v>73.172017278894756</c:v>
                </c:pt>
                <c:pt idx="21">
                  <c:v>71.079298359609851</c:v>
                </c:pt>
                <c:pt idx="22">
                  <c:v>73.388651080481267</c:v>
                </c:pt>
                <c:pt idx="23">
                  <c:v>70.652640321562231</c:v>
                </c:pt>
                <c:pt idx="24">
                  <c:v>72.208287784525353</c:v>
                </c:pt>
                <c:pt idx="25">
                  <c:v>73.02470433828617</c:v>
                </c:pt>
                <c:pt idx="26">
                  <c:v>74.592779154634897</c:v>
                </c:pt>
                <c:pt idx="27">
                  <c:v>75.591845400618254</c:v>
                </c:pt>
                <c:pt idx="28">
                  <c:v>76.44973739689749</c:v>
                </c:pt>
                <c:pt idx="29">
                  <c:v>76.259366979004994</c:v>
                </c:pt>
                <c:pt idx="30">
                  <c:v>75.957405250277915</c:v>
                </c:pt>
                <c:pt idx="31">
                  <c:v>78.062235554753286</c:v>
                </c:pt>
                <c:pt idx="32">
                  <c:v>78.043714586100194</c:v>
                </c:pt>
                <c:pt idx="33">
                  <c:v>77.719496317751918</c:v>
                </c:pt>
                <c:pt idx="34">
                  <c:v>77.854105706688131</c:v>
                </c:pt>
                <c:pt idx="35">
                  <c:v>77.927701308521478</c:v>
                </c:pt>
                <c:pt idx="36">
                  <c:v>79.761939741105436</c:v>
                </c:pt>
                <c:pt idx="37">
                  <c:v>78.379861456845575</c:v>
                </c:pt>
                <c:pt idx="38">
                  <c:v>77.199541098652304</c:v>
                </c:pt>
                <c:pt idx="39">
                  <c:v>77.640675101638465</c:v>
                </c:pt>
                <c:pt idx="40">
                  <c:v>75.426016983305914</c:v>
                </c:pt>
                <c:pt idx="41">
                  <c:v>73.946363334561241</c:v>
                </c:pt>
                <c:pt idx="42">
                  <c:v>77.07382032859951</c:v>
                </c:pt>
                <c:pt idx="43">
                  <c:v>76.595636668609501</c:v>
                </c:pt>
                <c:pt idx="44">
                  <c:v>76.845053610019519</c:v>
                </c:pt>
                <c:pt idx="45">
                  <c:v>78.095608245616148</c:v>
                </c:pt>
                <c:pt idx="46">
                  <c:v>80.906971121689253</c:v>
                </c:pt>
                <c:pt idx="47">
                  <c:v>80.043871322787069</c:v>
                </c:pt>
                <c:pt idx="48">
                  <c:v>77.250672031117261</c:v>
                </c:pt>
                <c:pt idx="49">
                  <c:v>77.46060338128936</c:v>
                </c:pt>
                <c:pt idx="50">
                  <c:v>80.542432840701949</c:v>
                </c:pt>
                <c:pt idx="51">
                  <c:v>79.623405272795068</c:v>
                </c:pt>
                <c:pt idx="52">
                  <c:v>81.298031817348658</c:v>
                </c:pt>
                <c:pt idx="53">
                  <c:v>82.676354061482627</c:v>
                </c:pt>
                <c:pt idx="54">
                  <c:v>81.09086542378445</c:v>
                </c:pt>
                <c:pt idx="55">
                  <c:v>82.673139732000507</c:v>
                </c:pt>
                <c:pt idx="56">
                  <c:v>81.116296624115847</c:v>
                </c:pt>
                <c:pt idx="57">
                  <c:v>82.042409915338155</c:v>
                </c:pt>
                <c:pt idx="58">
                  <c:v>80.880342326716274</c:v>
                </c:pt>
                <c:pt idx="59">
                  <c:v>81.763729350581087</c:v>
                </c:pt>
                <c:pt idx="60">
                  <c:v>80.418196876300186</c:v>
                </c:pt>
                <c:pt idx="61">
                  <c:v>77.514485911578817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4EA-417D-9FEF-816D9F694639}"/>
            </c:ext>
          </c:extLst>
        </c:ser>
        <c:ser>
          <c:idx val="49"/>
          <c:order val="48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Carlo'!$E$50:$BN$50</c:f>
              <c:numCache>
                <c:formatCode>General</c:formatCode>
                <c:ptCount val="62"/>
                <c:pt idx="1">
                  <c:v>60.99</c:v>
                </c:pt>
                <c:pt idx="2">
                  <c:v>60.319725710055778</c:v>
                </c:pt>
                <c:pt idx="3">
                  <c:v>58.775428843578702</c:v>
                </c:pt>
                <c:pt idx="4">
                  <c:v>57.654858026508656</c:v>
                </c:pt>
                <c:pt idx="5">
                  <c:v>57.063977844805173</c:v>
                </c:pt>
                <c:pt idx="6">
                  <c:v>58.825201778249529</c:v>
                </c:pt>
                <c:pt idx="7">
                  <c:v>56.972892975438818</c:v>
                </c:pt>
                <c:pt idx="8">
                  <c:v>57.286084352412352</c:v>
                </c:pt>
                <c:pt idx="9">
                  <c:v>57.486523287214908</c:v>
                </c:pt>
                <c:pt idx="10">
                  <c:v>56.925218594894332</c:v>
                </c:pt>
                <c:pt idx="11">
                  <c:v>56.615442248851465</c:v>
                </c:pt>
                <c:pt idx="12">
                  <c:v>54.833752892434056</c:v>
                </c:pt>
                <c:pt idx="13">
                  <c:v>54.230169883472378</c:v>
                </c:pt>
                <c:pt idx="14">
                  <c:v>54.043807935381388</c:v>
                </c:pt>
                <c:pt idx="15">
                  <c:v>54.849383598637147</c:v>
                </c:pt>
                <c:pt idx="16">
                  <c:v>54.238393123414951</c:v>
                </c:pt>
                <c:pt idx="17">
                  <c:v>53.518149018122593</c:v>
                </c:pt>
                <c:pt idx="18">
                  <c:v>52.962557782040115</c:v>
                </c:pt>
                <c:pt idx="19">
                  <c:v>53.007923332895309</c:v>
                </c:pt>
                <c:pt idx="20">
                  <c:v>56.308993134535314</c:v>
                </c:pt>
                <c:pt idx="21">
                  <c:v>58.424825362805343</c:v>
                </c:pt>
                <c:pt idx="22">
                  <c:v>57.476529362313642</c:v>
                </c:pt>
                <c:pt idx="23">
                  <c:v>57.691338246574006</c:v>
                </c:pt>
                <c:pt idx="24">
                  <c:v>57.258863109641219</c:v>
                </c:pt>
                <c:pt idx="25">
                  <c:v>56.89385883349491</c:v>
                </c:pt>
                <c:pt idx="26">
                  <c:v>57.369028508084732</c:v>
                </c:pt>
                <c:pt idx="27">
                  <c:v>55.499926438272063</c:v>
                </c:pt>
                <c:pt idx="28">
                  <c:v>54.981585914788639</c:v>
                </c:pt>
                <c:pt idx="29">
                  <c:v>54.086144694584632</c:v>
                </c:pt>
                <c:pt idx="30">
                  <c:v>53.190366507396242</c:v>
                </c:pt>
                <c:pt idx="31">
                  <c:v>52.757825666709046</c:v>
                </c:pt>
                <c:pt idx="32">
                  <c:v>54.624177056986632</c:v>
                </c:pt>
                <c:pt idx="33">
                  <c:v>54.107551545674973</c:v>
                </c:pt>
                <c:pt idx="34">
                  <c:v>52.979922463164307</c:v>
                </c:pt>
                <c:pt idx="35">
                  <c:v>52.451620698501344</c:v>
                </c:pt>
                <c:pt idx="36">
                  <c:v>54.838724599063333</c:v>
                </c:pt>
                <c:pt idx="37">
                  <c:v>57.102692676508745</c:v>
                </c:pt>
                <c:pt idx="38">
                  <c:v>56.62085481615987</c:v>
                </c:pt>
                <c:pt idx="39">
                  <c:v>56.238557424449787</c:v>
                </c:pt>
                <c:pt idx="40">
                  <c:v>56.871873870199998</c:v>
                </c:pt>
                <c:pt idx="41">
                  <c:v>56.684044484263886</c:v>
                </c:pt>
                <c:pt idx="42">
                  <c:v>57.265900564154109</c:v>
                </c:pt>
                <c:pt idx="43">
                  <c:v>58.507354896532632</c:v>
                </c:pt>
                <c:pt idx="44">
                  <c:v>58.584153747219766</c:v>
                </c:pt>
                <c:pt idx="45">
                  <c:v>59.422086888653809</c:v>
                </c:pt>
                <c:pt idx="46">
                  <c:v>60.311491856796771</c:v>
                </c:pt>
                <c:pt idx="47">
                  <c:v>61.316521509489007</c:v>
                </c:pt>
                <c:pt idx="48">
                  <c:v>61.450940037864953</c:v>
                </c:pt>
                <c:pt idx="49">
                  <c:v>62.75386580953537</c:v>
                </c:pt>
                <c:pt idx="50">
                  <c:v>61.23593326043656</c:v>
                </c:pt>
                <c:pt idx="51">
                  <c:v>62.35571287372624</c:v>
                </c:pt>
                <c:pt idx="52">
                  <c:v>64.469554822511753</c:v>
                </c:pt>
                <c:pt idx="53">
                  <c:v>64.586394721761678</c:v>
                </c:pt>
                <c:pt idx="54">
                  <c:v>65.458845326056291</c:v>
                </c:pt>
                <c:pt idx="55">
                  <c:v>65.016107250179317</c:v>
                </c:pt>
                <c:pt idx="56">
                  <c:v>65.051828038201677</c:v>
                </c:pt>
                <c:pt idx="57">
                  <c:v>65.341279207693475</c:v>
                </c:pt>
                <c:pt idx="58">
                  <c:v>66.066768246384825</c:v>
                </c:pt>
                <c:pt idx="59">
                  <c:v>65.428716790146737</c:v>
                </c:pt>
                <c:pt idx="60">
                  <c:v>63.752534520828497</c:v>
                </c:pt>
                <c:pt idx="61">
                  <c:v>64.986027998677599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24EA-417D-9FEF-816D9F694639}"/>
            </c:ext>
          </c:extLst>
        </c:ser>
        <c:ser>
          <c:idx val="50"/>
          <c:order val="49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Carlo'!$E$51:$BN$51</c:f>
              <c:numCache>
                <c:formatCode>General</c:formatCode>
                <c:ptCount val="62"/>
                <c:pt idx="1">
                  <c:v>60.99</c:v>
                </c:pt>
                <c:pt idx="2">
                  <c:v>60.890984444522289</c:v>
                </c:pt>
                <c:pt idx="3">
                  <c:v>62.454711184687845</c:v>
                </c:pt>
                <c:pt idx="4">
                  <c:v>61.579924690819006</c:v>
                </c:pt>
                <c:pt idx="5">
                  <c:v>61.746446034712569</c:v>
                </c:pt>
                <c:pt idx="6">
                  <c:v>61.847546516728201</c:v>
                </c:pt>
                <c:pt idx="7">
                  <c:v>62.184115671875027</c:v>
                </c:pt>
                <c:pt idx="8">
                  <c:v>62.548048955801796</c:v>
                </c:pt>
                <c:pt idx="9">
                  <c:v>62.233259055393411</c:v>
                </c:pt>
                <c:pt idx="10">
                  <c:v>63.591995230348559</c:v>
                </c:pt>
                <c:pt idx="11">
                  <c:v>63.745719876547184</c:v>
                </c:pt>
                <c:pt idx="12">
                  <c:v>65.594696440020314</c:v>
                </c:pt>
                <c:pt idx="13">
                  <c:v>65.123980425454562</c:v>
                </c:pt>
                <c:pt idx="14">
                  <c:v>63.93030201837594</c:v>
                </c:pt>
                <c:pt idx="15">
                  <c:v>66.247966866090138</c:v>
                </c:pt>
                <c:pt idx="16">
                  <c:v>69.502730697359198</c:v>
                </c:pt>
                <c:pt idx="17">
                  <c:v>67.830782877308764</c:v>
                </c:pt>
                <c:pt idx="18">
                  <c:v>69.916800360577923</c:v>
                </c:pt>
                <c:pt idx="19">
                  <c:v>68.805134773700743</c:v>
                </c:pt>
                <c:pt idx="20">
                  <c:v>68.652769700539224</c:v>
                </c:pt>
                <c:pt idx="21">
                  <c:v>69.023999878104107</c:v>
                </c:pt>
                <c:pt idx="22">
                  <c:v>69.269874688483725</c:v>
                </c:pt>
                <c:pt idx="23">
                  <c:v>71.044466746168922</c:v>
                </c:pt>
                <c:pt idx="24">
                  <c:v>71.280996371623971</c:v>
                </c:pt>
                <c:pt idx="25">
                  <c:v>72.089219468044334</c:v>
                </c:pt>
                <c:pt idx="26">
                  <c:v>73.312059385079181</c:v>
                </c:pt>
                <c:pt idx="27">
                  <c:v>74.186327064639883</c:v>
                </c:pt>
                <c:pt idx="28">
                  <c:v>75.20035101615926</c:v>
                </c:pt>
                <c:pt idx="29">
                  <c:v>74.456262348230823</c:v>
                </c:pt>
                <c:pt idx="30">
                  <c:v>74.745736690731263</c:v>
                </c:pt>
                <c:pt idx="31">
                  <c:v>74.105905323066054</c:v>
                </c:pt>
                <c:pt idx="32">
                  <c:v>74.934259761633101</c:v>
                </c:pt>
                <c:pt idx="33">
                  <c:v>73.736476293467007</c:v>
                </c:pt>
                <c:pt idx="34">
                  <c:v>74.213442678085599</c:v>
                </c:pt>
                <c:pt idx="35">
                  <c:v>72.873478620050477</c:v>
                </c:pt>
                <c:pt idx="36">
                  <c:v>72.451657497223067</c:v>
                </c:pt>
                <c:pt idx="37">
                  <c:v>72.464320068552539</c:v>
                </c:pt>
                <c:pt idx="38">
                  <c:v>70.170494262657414</c:v>
                </c:pt>
                <c:pt idx="39">
                  <c:v>69.4332494435846</c:v>
                </c:pt>
                <c:pt idx="40">
                  <c:v>69.221255498262636</c:v>
                </c:pt>
                <c:pt idx="41">
                  <c:v>68.370914372964236</c:v>
                </c:pt>
                <c:pt idx="42">
                  <c:v>68.027940458261781</c:v>
                </c:pt>
                <c:pt idx="43">
                  <c:v>66.546908452852932</c:v>
                </c:pt>
                <c:pt idx="44">
                  <c:v>66.586355600717283</c:v>
                </c:pt>
                <c:pt idx="45">
                  <c:v>66.92341781954056</c:v>
                </c:pt>
                <c:pt idx="46">
                  <c:v>65.507208241950437</c:v>
                </c:pt>
                <c:pt idx="47">
                  <c:v>66.370666234694511</c:v>
                </c:pt>
                <c:pt idx="48">
                  <c:v>67.200400889475333</c:v>
                </c:pt>
                <c:pt idx="49">
                  <c:v>67.658802016091315</c:v>
                </c:pt>
                <c:pt idx="50">
                  <c:v>67.207001180075224</c:v>
                </c:pt>
                <c:pt idx="51">
                  <c:v>70.338502878219771</c:v>
                </c:pt>
                <c:pt idx="52">
                  <c:v>70.351602691434465</c:v>
                </c:pt>
                <c:pt idx="53">
                  <c:v>73.418567592877849</c:v>
                </c:pt>
                <c:pt idx="54">
                  <c:v>75.707682209417626</c:v>
                </c:pt>
                <c:pt idx="55">
                  <c:v>73.803372326180053</c:v>
                </c:pt>
                <c:pt idx="56">
                  <c:v>74.771003226857033</c:v>
                </c:pt>
                <c:pt idx="57">
                  <c:v>74.993543896839142</c:v>
                </c:pt>
                <c:pt idx="58">
                  <c:v>75.347469812469768</c:v>
                </c:pt>
                <c:pt idx="59">
                  <c:v>76.730181654932224</c:v>
                </c:pt>
                <c:pt idx="60">
                  <c:v>79.203266183617941</c:v>
                </c:pt>
                <c:pt idx="61">
                  <c:v>80.494167658616036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4EA-417D-9FEF-816D9F694639}"/>
            </c:ext>
          </c:extLst>
        </c:ser>
        <c:ser>
          <c:idx val="51"/>
          <c:order val="50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Carlo'!$E$52:$BN$52</c:f>
              <c:numCache>
                <c:formatCode>General</c:formatCode>
                <c:ptCount val="62"/>
                <c:pt idx="1">
                  <c:v>60.99</c:v>
                </c:pt>
                <c:pt idx="2">
                  <c:v>59.0040916298939</c:v>
                </c:pt>
                <c:pt idx="3">
                  <c:v>58.335243783443417</c:v>
                </c:pt>
                <c:pt idx="4">
                  <c:v>58.8317846941233</c:v>
                </c:pt>
                <c:pt idx="5">
                  <c:v>61.085647215169821</c:v>
                </c:pt>
                <c:pt idx="6">
                  <c:v>60.755385817870895</c:v>
                </c:pt>
                <c:pt idx="7">
                  <c:v>60.283437597557601</c:v>
                </c:pt>
                <c:pt idx="8">
                  <c:v>58.925905961921423</c:v>
                </c:pt>
                <c:pt idx="9">
                  <c:v>58.675184467280957</c:v>
                </c:pt>
                <c:pt idx="10">
                  <c:v>60.510409855208593</c:v>
                </c:pt>
                <c:pt idx="11">
                  <c:v>60.336271265031264</c:v>
                </c:pt>
                <c:pt idx="12">
                  <c:v>59.502367139754192</c:v>
                </c:pt>
                <c:pt idx="13">
                  <c:v>60.136568868556353</c:v>
                </c:pt>
                <c:pt idx="14">
                  <c:v>59.41126971531051</c:v>
                </c:pt>
                <c:pt idx="15">
                  <c:v>62.132482010240324</c:v>
                </c:pt>
                <c:pt idx="16">
                  <c:v>60.902769443544777</c:v>
                </c:pt>
                <c:pt idx="17">
                  <c:v>63.702392234916168</c:v>
                </c:pt>
                <c:pt idx="18">
                  <c:v>64.853424502687375</c:v>
                </c:pt>
                <c:pt idx="19">
                  <c:v>65.218110965383033</c:v>
                </c:pt>
                <c:pt idx="20">
                  <c:v>65.646412875928291</c:v>
                </c:pt>
                <c:pt idx="21">
                  <c:v>66.617711815690129</c:v>
                </c:pt>
                <c:pt idx="22">
                  <c:v>65.783085236137765</c:v>
                </c:pt>
                <c:pt idx="23">
                  <c:v>66.667569162825089</c:v>
                </c:pt>
                <c:pt idx="24">
                  <c:v>66.795769836483771</c:v>
                </c:pt>
                <c:pt idx="25">
                  <c:v>65.81099970875546</c:v>
                </c:pt>
                <c:pt idx="26">
                  <c:v>64.937084289543321</c:v>
                </c:pt>
                <c:pt idx="27">
                  <c:v>64.944356315129568</c:v>
                </c:pt>
                <c:pt idx="28">
                  <c:v>64.643493288109454</c:v>
                </c:pt>
                <c:pt idx="29">
                  <c:v>65.300506289445735</c:v>
                </c:pt>
                <c:pt idx="30">
                  <c:v>68.758074553284573</c:v>
                </c:pt>
                <c:pt idx="31">
                  <c:v>68.804172670145064</c:v>
                </c:pt>
                <c:pt idx="32">
                  <c:v>68.119087737213235</c:v>
                </c:pt>
                <c:pt idx="33">
                  <c:v>67.383695547389735</c:v>
                </c:pt>
                <c:pt idx="34">
                  <c:v>68.700136478633453</c:v>
                </c:pt>
                <c:pt idx="35">
                  <c:v>68.624481841248127</c:v>
                </c:pt>
                <c:pt idx="36">
                  <c:v>68.303225411494694</c:v>
                </c:pt>
                <c:pt idx="37">
                  <c:v>68.837896779363163</c:v>
                </c:pt>
                <c:pt idx="38">
                  <c:v>69.90811450621699</c:v>
                </c:pt>
                <c:pt idx="39">
                  <c:v>71.714521265439842</c:v>
                </c:pt>
                <c:pt idx="40">
                  <c:v>72.539017162703004</c:v>
                </c:pt>
                <c:pt idx="41">
                  <c:v>72.239305511171509</c:v>
                </c:pt>
                <c:pt idx="42">
                  <c:v>69.732057119464955</c:v>
                </c:pt>
                <c:pt idx="43">
                  <c:v>69.061950961907627</c:v>
                </c:pt>
                <c:pt idx="44">
                  <c:v>68.571455099288187</c:v>
                </c:pt>
                <c:pt idx="45">
                  <c:v>68.257453973653639</c:v>
                </c:pt>
                <c:pt idx="46">
                  <c:v>69.010783521951836</c:v>
                </c:pt>
                <c:pt idx="47">
                  <c:v>68.93198721903812</c:v>
                </c:pt>
                <c:pt idx="48">
                  <c:v>68.825008091676978</c:v>
                </c:pt>
                <c:pt idx="49">
                  <c:v>71.257056964585175</c:v>
                </c:pt>
                <c:pt idx="50">
                  <c:v>71.088694661040307</c:v>
                </c:pt>
                <c:pt idx="51">
                  <c:v>70.342830118308825</c:v>
                </c:pt>
                <c:pt idx="52">
                  <c:v>70.056646900460237</c:v>
                </c:pt>
                <c:pt idx="53">
                  <c:v>71.82160345317034</c:v>
                </c:pt>
                <c:pt idx="54">
                  <c:v>70.041802881969858</c:v>
                </c:pt>
                <c:pt idx="55">
                  <c:v>71.941953687875568</c:v>
                </c:pt>
                <c:pt idx="56">
                  <c:v>71.259532640046061</c:v>
                </c:pt>
                <c:pt idx="57">
                  <c:v>69.648236956539307</c:v>
                </c:pt>
                <c:pt idx="58">
                  <c:v>70.840491788931374</c:v>
                </c:pt>
                <c:pt idx="59">
                  <c:v>70.867259432360271</c:v>
                </c:pt>
                <c:pt idx="60">
                  <c:v>70.541596781560386</c:v>
                </c:pt>
                <c:pt idx="61">
                  <c:v>69.838824535346006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24EA-417D-9FEF-816D9F694639}"/>
            </c:ext>
          </c:extLst>
        </c:ser>
        <c:ser>
          <c:idx val="52"/>
          <c:order val="51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Carlo'!$E$53:$BN$53</c:f>
              <c:numCache>
                <c:formatCode>General</c:formatCode>
                <c:ptCount val="62"/>
                <c:pt idx="1">
                  <c:v>60.99</c:v>
                </c:pt>
                <c:pt idx="2">
                  <c:v>62.17417401918032</c:v>
                </c:pt>
                <c:pt idx="3">
                  <c:v>61.802752110635403</c:v>
                </c:pt>
                <c:pt idx="4">
                  <c:v>64.366820422693195</c:v>
                </c:pt>
                <c:pt idx="5">
                  <c:v>64.533155114717232</c:v>
                </c:pt>
                <c:pt idx="6">
                  <c:v>63.918500207233272</c:v>
                </c:pt>
                <c:pt idx="7">
                  <c:v>63.960371181266112</c:v>
                </c:pt>
                <c:pt idx="8">
                  <c:v>64.081282253952097</c:v>
                </c:pt>
                <c:pt idx="9">
                  <c:v>62.016758510148726</c:v>
                </c:pt>
                <c:pt idx="10">
                  <c:v>60.367540240747282</c:v>
                </c:pt>
                <c:pt idx="11">
                  <c:v>60.871496950141896</c:v>
                </c:pt>
                <c:pt idx="12">
                  <c:v>61.375246774078967</c:v>
                </c:pt>
                <c:pt idx="13">
                  <c:v>60.662552504987254</c:v>
                </c:pt>
                <c:pt idx="14">
                  <c:v>60.053453434684805</c:v>
                </c:pt>
                <c:pt idx="15">
                  <c:v>58.401229932198667</c:v>
                </c:pt>
                <c:pt idx="16">
                  <c:v>59.019663223340864</c:v>
                </c:pt>
                <c:pt idx="17">
                  <c:v>58.310612935284418</c:v>
                </c:pt>
                <c:pt idx="18">
                  <c:v>59.148685828056671</c:v>
                </c:pt>
                <c:pt idx="19">
                  <c:v>58.365266404303433</c:v>
                </c:pt>
                <c:pt idx="20">
                  <c:v>59.858756758181649</c:v>
                </c:pt>
                <c:pt idx="21">
                  <c:v>59.537113704413322</c:v>
                </c:pt>
                <c:pt idx="22">
                  <c:v>59.099147433525722</c:v>
                </c:pt>
                <c:pt idx="23">
                  <c:v>57.869018870992463</c:v>
                </c:pt>
                <c:pt idx="24">
                  <c:v>57.442618528842196</c:v>
                </c:pt>
                <c:pt idx="25">
                  <c:v>56.319122622466807</c:v>
                </c:pt>
                <c:pt idx="26">
                  <c:v>55.677217951290338</c:v>
                </c:pt>
                <c:pt idx="27">
                  <c:v>56.647211724172607</c:v>
                </c:pt>
                <c:pt idx="28">
                  <c:v>56.246132029217151</c:v>
                </c:pt>
                <c:pt idx="29">
                  <c:v>54.536287382466334</c:v>
                </c:pt>
                <c:pt idx="30">
                  <c:v>52.687138696785006</c:v>
                </c:pt>
                <c:pt idx="31">
                  <c:v>52.528342766678364</c:v>
                </c:pt>
                <c:pt idx="32">
                  <c:v>52.698932705433542</c:v>
                </c:pt>
                <c:pt idx="33">
                  <c:v>54.134605750909934</c:v>
                </c:pt>
                <c:pt idx="34">
                  <c:v>54.788528291382342</c:v>
                </c:pt>
                <c:pt idx="35">
                  <c:v>55.357138019064138</c:v>
                </c:pt>
                <c:pt idx="36">
                  <c:v>55.718879699474876</c:v>
                </c:pt>
                <c:pt idx="37">
                  <c:v>56.487667565484152</c:v>
                </c:pt>
                <c:pt idx="38">
                  <c:v>54.899857291829228</c:v>
                </c:pt>
                <c:pt idx="39">
                  <c:v>55.118822089198424</c:v>
                </c:pt>
                <c:pt idx="40">
                  <c:v>55.578224354525624</c:v>
                </c:pt>
                <c:pt idx="41">
                  <c:v>54.362678878358174</c:v>
                </c:pt>
                <c:pt idx="42">
                  <c:v>53.999380689197295</c:v>
                </c:pt>
                <c:pt idx="43">
                  <c:v>53.556093148424488</c:v>
                </c:pt>
                <c:pt idx="44">
                  <c:v>55.971240297367636</c:v>
                </c:pt>
                <c:pt idx="45">
                  <c:v>54.644457064941513</c:v>
                </c:pt>
                <c:pt idx="46">
                  <c:v>53.735966868371321</c:v>
                </c:pt>
                <c:pt idx="47">
                  <c:v>53.261702967900469</c:v>
                </c:pt>
                <c:pt idx="48">
                  <c:v>53.242883660501207</c:v>
                </c:pt>
                <c:pt idx="49">
                  <c:v>53.466244370065354</c:v>
                </c:pt>
                <c:pt idx="50">
                  <c:v>54.138950484513842</c:v>
                </c:pt>
                <c:pt idx="51">
                  <c:v>55.825845053439174</c:v>
                </c:pt>
                <c:pt idx="52">
                  <c:v>55.486865703361836</c:v>
                </c:pt>
                <c:pt idx="53">
                  <c:v>57.627262668024237</c:v>
                </c:pt>
                <c:pt idx="54">
                  <c:v>59.86764057918618</c:v>
                </c:pt>
                <c:pt idx="55">
                  <c:v>58.509883278114906</c:v>
                </c:pt>
                <c:pt idx="56">
                  <c:v>56.003450440603466</c:v>
                </c:pt>
                <c:pt idx="57">
                  <c:v>57.024780114530486</c:v>
                </c:pt>
                <c:pt idx="58">
                  <c:v>55.128062526333672</c:v>
                </c:pt>
                <c:pt idx="59">
                  <c:v>57.303114998379911</c:v>
                </c:pt>
                <c:pt idx="60">
                  <c:v>58.36453980945597</c:v>
                </c:pt>
                <c:pt idx="61">
                  <c:v>57.481477883681762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4EA-417D-9FEF-816D9F694639}"/>
            </c:ext>
          </c:extLst>
        </c:ser>
        <c:ser>
          <c:idx val="53"/>
          <c:order val="52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Carlo'!$E$54:$BN$54</c:f>
              <c:numCache>
                <c:formatCode>General</c:formatCode>
                <c:ptCount val="62"/>
                <c:pt idx="1">
                  <c:v>60.99</c:v>
                </c:pt>
                <c:pt idx="2">
                  <c:v>62.054398564380087</c:v>
                </c:pt>
                <c:pt idx="3">
                  <c:v>62.990162543024745</c:v>
                </c:pt>
                <c:pt idx="4">
                  <c:v>63.73453860687831</c:v>
                </c:pt>
                <c:pt idx="5">
                  <c:v>62.80818509403408</c:v>
                </c:pt>
                <c:pt idx="6">
                  <c:v>64.431029809091726</c:v>
                </c:pt>
                <c:pt idx="7">
                  <c:v>63.356400765362018</c:v>
                </c:pt>
                <c:pt idx="8">
                  <c:v>64.020699120252743</c:v>
                </c:pt>
                <c:pt idx="9">
                  <c:v>64.479045665694159</c:v>
                </c:pt>
                <c:pt idx="10">
                  <c:v>64.516565638571009</c:v>
                </c:pt>
                <c:pt idx="11">
                  <c:v>64.136021021786064</c:v>
                </c:pt>
                <c:pt idx="12">
                  <c:v>63.085085968995394</c:v>
                </c:pt>
                <c:pt idx="13">
                  <c:v>65.297915454191482</c:v>
                </c:pt>
                <c:pt idx="14">
                  <c:v>65.455277452263729</c:v>
                </c:pt>
                <c:pt idx="15">
                  <c:v>66.355305523196591</c:v>
                </c:pt>
                <c:pt idx="16">
                  <c:v>68.410331220614751</c:v>
                </c:pt>
                <c:pt idx="17">
                  <c:v>67.791551081752942</c:v>
                </c:pt>
                <c:pt idx="18">
                  <c:v>69.243158240278518</c:v>
                </c:pt>
                <c:pt idx="19">
                  <c:v>67.57521426323477</c:v>
                </c:pt>
                <c:pt idx="20">
                  <c:v>68.744899158294842</c:v>
                </c:pt>
                <c:pt idx="21">
                  <c:v>69.881477367557792</c:v>
                </c:pt>
                <c:pt idx="22">
                  <c:v>69.950591238616084</c:v>
                </c:pt>
                <c:pt idx="23">
                  <c:v>70.662681288991905</c:v>
                </c:pt>
                <c:pt idx="24">
                  <c:v>70.849838049568675</c:v>
                </c:pt>
                <c:pt idx="25">
                  <c:v>70.266786041332296</c:v>
                </c:pt>
                <c:pt idx="26">
                  <c:v>71.227597918600281</c:v>
                </c:pt>
                <c:pt idx="27">
                  <c:v>72.594812577315167</c:v>
                </c:pt>
                <c:pt idx="28">
                  <c:v>74.939918160013463</c:v>
                </c:pt>
                <c:pt idx="29">
                  <c:v>74.846897328571146</c:v>
                </c:pt>
                <c:pt idx="30">
                  <c:v>75.411540621292247</c:v>
                </c:pt>
                <c:pt idx="31">
                  <c:v>74.957593471241168</c:v>
                </c:pt>
                <c:pt idx="32">
                  <c:v>75.477628411499495</c:v>
                </c:pt>
                <c:pt idx="33">
                  <c:v>77.78570266312353</c:v>
                </c:pt>
                <c:pt idx="34">
                  <c:v>78.998223550513245</c:v>
                </c:pt>
                <c:pt idx="35">
                  <c:v>76.76316671416852</c:v>
                </c:pt>
                <c:pt idx="36">
                  <c:v>77.150991679477087</c:v>
                </c:pt>
                <c:pt idx="37">
                  <c:v>77.347832024951344</c:v>
                </c:pt>
                <c:pt idx="38">
                  <c:v>78.425218928602874</c:v>
                </c:pt>
                <c:pt idx="39">
                  <c:v>79.552429165958245</c:v>
                </c:pt>
                <c:pt idx="40">
                  <c:v>79.254360695286906</c:v>
                </c:pt>
                <c:pt idx="41">
                  <c:v>80.291919059310572</c:v>
                </c:pt>
                <c:pt idx="42">
                  <c:v>81.640832714862057</c:v>
                </c:pt>
                <c:pt idx="43">
                  <c:v>79.941981536150649</c:v>
                </c:pt>
                <c:pt idx="44">
                  <c:v>78.982530783775928</c:v>
                </c:pt>
                <c:pt idx="45">
                  <c:v>79.109830760142756</c:v>
                </c:pt>
                <c:pt idx="46">
                  <c:v>81.111488403271338</c:v>
                </c:pt>
                <c:pt idx="47">
                  <c:v>81.578026617886863</c:v>
                </c:pt>
                <c:pt idx="48">
                  <c:v>82.21904501613858</c:v>
                </c:pt>
                <c:pt idx="49">
                  <c:v>83.212702395888584</c:v>
                </c:pt>
                <c:pt idx="50">
                  <c:v>84.827113936090043</c:v>
                </c:pt>
                <c:pt idx="51">
                  <c:v>86.146441858378822</c:v>
                </c:pt>
                <c:pt idx="52">
                  <c:v>87.909288074355217</c:v>
                </c:pt>
                <c:pt idx="53">
                  <c:v>90.833072827297826</c:v>
                </c:pt>
                <c:pt idx="54">
                  <c:v>90.123521515676273</c:v>
                </c:pt>
                <c:pt idx="55">
                  <c:v>88.3485166967791</c:v>
                </c:pt>
                <c:pt idx="56">
                  <c:v>87.138251020648397</c:v>
                </c:pt>
                <c:pt idx="57">
                  <c:v>85.186224388053745</c:v>
                </c:pt>
                <c:pt idx="58">
                  <c:v>87.105989147585049</c:v>
                </c:pt>
                <c:pt idx="59">
                  <c:v>89.359206684629683</c:v>
                </c:pt>
                <c:pt idx="60">
                  <c:v>91.986335168067626</c:v>
                </c:pt>
                <c:pt idx="61">
                  <c:v>92.574488808083302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24EA-417D-9FEF-816D9F694639}"/>
            </c:ext>
          </c:extLst>
        </c:ser>
        <c:ser>
          <c:idx val="54"/>
          <c:order val="53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'Monte Carlo'!$E$55:$BN$55</c:f>
              <c:numCache>
                <c:formatCode>General</c:formatCode>
                <c:ptCount val="62"/>
                <c:pt idx="1">
                  <c:v>60.99</c:v>
                </c:pt>
                <c:pt idx="2">
                  <c:v>61.528354486698603</c:v>
                </c:pt>
                <c:pt idx="3">
                  <c:v>61.679939962771819</c:v>
                </c:pt>
                <c:pt idx="4">
                  <c:v>63.708882949057987</c:v>
                </c:pt>
                <c:pt idx="5">
                  <c:v>63.822906377227227</c:v>
                </c:pt>
                <c:pt idx="6">
                  <c:v>65.921283843516917</c:v>
                </c:pt>
                <c:pt idx="7">
                  <c:v>66.417585460024839</c:v>
                </c:pt>
                <c:pt idx="8">
                  <c:v>66.631870979681551</c:v>
                </c:pt>
                <c:pt idx="9">
                  <c:v>65.651717268904804</c:v>
                </c:pt>
                <c:pt idx="10">
                  <c:v>66.657273983721794</c:v>
                </c:pt>
                <c:pt idx="11">
                  <c:v>65.862041170753869</c:v>
                </c:pt>
                <c:pt idx="12">
                  <c:v>65.155270557658014</c:v>
                </c:pt>
                <c:pt idx="13">
                  <c:v>65.307551153566848</c:v>
                </c:pt>
                <c:pt idx="14">
                  <c:v>65.114549707509099</c:v>
                </c:pt>
                <c:pt idx="15">
                  <c:v>65.703185458826553</c:v>
                </c:pt>
                <c:pt idx="16">
                  <c:v>65.723463279474686</c:v>
                </c:pt>
                <c:pt idx="17">
                  <c:v>67.56776215628193</c:v>
                </c:pt>
                <c:pt idx="18">
                  <c:v>69.499300350605267</c:v>
                </c:pt>
                <c:pt idx="19">
                  <c:v>73.575825706398092</c:v>
                </c:pt>
                <c:pt idx="20">
                  <c:v>73.098012903502763</c:v>
                </c:pt>
                <c:pt idx="21">
                  <c:v>74.111036972055174</c:v>
                </c:pt>
                <c:pt idx="22">
                  <c:v>75.638153695333969</c:v>
                </c:pt>
                <c:pt idx="23">
                  <c:v>75.742740877023834</c:v>
                </c:pt>
                <c:pt idx="24">
                  <c:v>75.873342405251051</c:v>
                </c:pt>
                <c:pt idx="25">
                  <c:v>76.256787228619501</c:v>
                </c:pt>
                <c:pt idx="26">
                  <c:v>77.407402643854795</c:v>
                </c:pt>
                <c:pt idx="27">
                  <c:v>80.912617409852629</c:v>
                </c:pt>
                <c:pt idx="28">
                  <c:v>79.884859467454945</c:v>
                </c:pt>
                <c:pt idx="29">
                  <c:v>81.570057386337595</c:v>
                </c:pt>
                <c:pt idx="30">
                  <c:v>82.581962490262484</c:v>
                </c:pt>
                <c:pt idx="31">
                  <c:v>82.521358587210742</c:v>
                </c:pt>
                <c:pt idx="32">
                  <c:v>83.572399833997224</c:v>
                </c:pt>
                <c:pt idx="33">
                  <c:v>86.42798341736632</c:v>
                </c:pt>
                <c:pt idx="34">
                  <c:v>86.300949966366147</c:v>
                </c:pt>
                <c:pt idx="35">
                  <c:v>86.469631267701516</c:v>
                </c:pt>
                <c:pt idx="36">
                  <c:v>87.552280414046962</c:v>
                </c:pt>
                <c:pt idx="37">
                  <c:v>88.28882860134884</c:v>
                </c:pt>
                <c:pt idx="38">
                  <c:v>89.727128900393694</c:v>
                </c:pt>
                <c:pt idx="39">
                  <c:v>88.788973141973088</c:v>
                </c:pt>
                <c:pt idx="40">
                  <c:v>91.442160737317337</c:v>
                </c:pt>
                <c:pt idx="41">
                  <c:v>90.478692026207725</c:v>
                </c:pt>
                <c:pt idx="42">
                  <c:v>90.793110608853866</c:v>
                </c:pt>
                <c:pt idx="43">
                  <c:v>91.592324302070423</c:v>
                </c:pt>
                <c:pt idx="44">
                  <c:v>90.471358882459427</c:v>
                </c:pt>
                <c:pt idx="45">
                  <c:v>88.686662060733568</c:v>
                </c:pt>
                <c:pt idx="46">
                  <c:v>90.574541439792398</c:v>
                </c:pt>
                <c:pt idx="47">
                  <c:v>87.959032853610367</c:v>
                </c:pt>
                <c:pt idx="48">
                  <c:v>89.502346620098209</c:v>
                </c:pt>
                <c:pt idx="49">
                  <c:v>90.947843661260336</c:v>
                </c:pt>
                <c:pt idx="50">
                  <c:v>91.823115115711857</c:v>
                </c:pt>
                <c:pt idx="51">
                  <c:v>90.649771716158881</c:v>
                </c:pt>
                <c:pt idx="52">
                  <c:v>91.475512139744254</c:v>
                </c:pt>
                <c:pt idx="53">
                  <c:v>93.838674429171419</c:v>
                </c:pt>
                <c:pt idx="54">
                  <c:v>96.140685064428439</c:v>
                </c:pt>
                <c:pt idx="55">
                  <c:v>97.875661883989665</c:v>
                </c:pt>
                <c:pt idx="56">
                  <c:v>97.656381209179756</c:v>
                </c:pt>
                <c:pt idx="57">
                  <c:v>99.969846305594885</c:v>
                </c:pt>
                <c:pt idx="58">
                  <c:v>100.61764207668064</c:v>
                </c:pt>
                <c:pt idx="59">
                  <c:v>100.84667536508985</c:v>
                </c:pt>
                <c:pt idx="60">
                  <c:v>100.32891709900854</c:v>
                </c:pt>
                <c:pt idx="61">
                  <c:v>102.89440813276887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4EA-417D-9FEF-816D9F694639}"/>
            </c:ext>
          </c:extLst>
        </c:ser>
        <c:ser>
          <c:idx val="55"/>
          <c:order val="54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'Monte Carlo'!$E$56:$BN$56</c:f>
              <c:numCache>
                <c:formatCode>General</c:formatCode>
                <c:ptCount val="62"/>
                <c:pt idx="1">
                  <c:v>60.99</c:v>
                </c:pt>
                <c:pt idx="2">
                  <c:v>61.876224572006066</c:v>
                </c:pt>
                <c:pt idx="3">
                  <c:v>61.017593051687783</c:v>
                </c:pt>
                <c:pt idx="4">
                  <c:v>62.049630002137143</c:v>
                </c:pt>
                <c:pt idx="5">
                  <c:v>62.140128035942084</c:v>
                </c:pt>
                <c:pt idx="6">
                  <c:v>62.076245281284571</c:v>
                </c:pt>
                <c:pt idx="7">
                  <c:v>63.718952071197407</c:v>
                </c:pt>
                <c:pt idx="8">
                  <c:v>61.545184308057657</c:v>
                </c:pt>
                <c:pt idx="9">
                  <c:v>62.250667099390846</c:v>
                </c:pt>
                <c:pt idx="10">
                  <c:v>63.194003434268218</c:v>
                </c:pt>
                <c:pt idx="11">
                  <c:v>62.839260346996959</c:v>
                </c:pt>
                <c:pt idx="12">
                  <c:v>63.587714194134051</c:v>
                </c:pt>
                <c:pt idx="13">
                  <c:v>64.897386491929637</c:v>
                </c:pt>
                <c:pt idx="14">
                  <c:v>65.248327266262265</c:v>
                </c:pt>
                <c:pt idx="15">
                  <c:v>65.670612380249452</c:v>
                </c:pt>
                <c:pt idx="16">
                  <c:v>64.724177080064209</c:v>
                </c:pt>
                <c:pt idx="17">
                  <c:v>64.239271685594062</c:v>
                </c:pt>
                <c:pt idx="18">
                  <c:v>64.278249680155355</c:v>
                </c:pt>
                <c:pt idx="19">
                  <c:v>64.506141795869723</c:v>
                </c:pt>
                <c:pt idx="20">
                  <c:v>65.633368003098667</c:v>
                </c:pt>
                <c:pt idx="21">
                  <c:v>64.679964909383585</c:v>
                </c:pt>
                <c:pt idx="22">
                  <c:v>65.356155285556227</c:v>
                </c:pt>
                <c:pt idx="23">
                  <c:v>67.254576152226818</c:v>
                </c:pt>
                <c:pt idx="24">
                  <c:v>69.218251812562244</c:v>
                </c:pt>
                <c:pt idx="25">
                  <c:v>68.523909035225273</c:v>
                </c:pt>
                <c:pt idx="26">
                  <c:v>68.916883196672018</c:v>
                </c:pt>
                <c:pt idx="27">
                  <c:v>67.467772823780606</c:v>
                </c:pt>
                <c:pt idx="28">
                  <c:v>66.33168163939429</c:v>
                </c:pt>
                <c:pt idx="29">
                  <c:v>66.280479738649248</c:v>
                </c:pt>
                <c:pt idx="30">
                  <c:v>65.10515940671867</c:v>
                </c:pt>
                <c:pt idx="31">
                  <c:v>65.595332658613032</c:v>
                </c:pt>
                <c:pt idx="32">
                  <c:v>66.822447538885768</c:v>
                </c:pt>
                <c:pt idx="33">
                  <c:v>66.272878957407087</c:v>
                </c:pt>
                <c:pt idx="34">
                  <c:v>63.987895941726798</c:v>
                </c:pt>
                <c:pt idx="35">
                  <c:v>65.09272816918515</c:v>
                </c:pt>
                <c:pt idx="36">
                  <c:v>67.315861444805364</c:v>
                </c:pt>
                <c:pt idx="37">
                  <c:v>68.157935891005963</c:v>
                </c:pt>
                <c:pt idx="38">
                  <c:v>69.127978695843069</c:v>
                </c:pt>
                <c:pt idx="39">
                  <c:v>69.479950388379649</c:v>
                </c:pt>
                <c:pt idx="40">
                  <c:v>69.568537230464713</c:v>
                </c:pt>
                <c:pt idx="41">
                  <c:v>67.142400324901473</c:v>
                </c:pt>
                <c:pt idx="42">
                  <c:v>65.975384295673621</c:v>
                </c:pt>
                <c:pt idx="43">
                  <c:v>67.767049427562128</c:v>
                </c:pt>
                <c:pt idx="44">
                  <c:v>67.857632089969457</c:v>
                </c:pt>
                <c:pt idx="45">
                  <c:v>66.339275291046079</c:v>
                </c:pt>
                <c:pt idx="46">
                  <c:v>65.678639660118847</c:v>
                </c:pt>
                <c:pt idx="47">
                  <c:v>66.196333006110194</c:v>
                </c:pt>
                <c:pt idx="48">
                  <c:v>65.392939973310945</c:v>
                </c:pt>
                <c:pt idx="49">
                  <c:v>63.707525765258474</c:v>
                </c:pt>
                <c:pt idx="50">
                  <c:v>64.854006088100789</c:v>
                </c:pt>
                <c:pt idx="51">
                  <c:v>64.568873956036668</c:v>
                </c:pt>
                <c:pt idx="52">
                  <c:v>63.460716465972666</c:v>
                </c:pt>
                <c:pt idx="53">
                  <c:v>62.103214664251944</c:v>
                </c:pt>
                <c:pt idx="54">
                  <c:v>61.932124700062097</c:v>
                </c:pt>
                <c:pt idx="55">
                  <c:v>62.777957179468899</c:v>
                </c:pt>
                <c:pt idx="56">
                  <c:v>62.47359973377884</c:v>
                </c:pt>
                <c:pt idx="57">
                  <c:v>61.448891095550529</c:v>
                </c:pt>
                <c:pt idx="58">
                  <c:v>61.660179916766197</c:v>
                </c:pt>
                <c:pt idx="59">
                  <c:v>64.783740681489704</c:v>
                </c:pt>
                <c:pt idx="60">
                  <c:v>64.879156227328096</c:v>
                </c:pt>
                <c:pt idx="61">
                  <c:v>64.120343010737898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24EA-417D-9FEF-816D9F694639}"/>
            </c:ext>
          </c:extLst>
        </c:ser>
        <c:ser>
          <c:idx val="56"/>
          <c:order val="55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'Monte Carlo'!$E$57:$BN$57</c:f>
              <c:numCache>
                <c:formatCode>General</c:formatCode>
                <c:ptCount val="62"/>
                <c:pt idx="1">
                  <c:v>60.99</c:v>
                </c:pt>
                <c:pt idx="2">
                  <c:v>59.309582361494613</c:v>
                </c:pt>
                <c:pt idx="3">
                  <c:v>57.437742527029194</c:v>
                </c:pt>
                <c:pt idx="4">
                  <c:v>56.436724497580606</c:v>
                </c:pt>
                <c:pt idx="5">
                  <c:v>55.868852404604269</c:v>
                </c:pt>
                <c:pt idx="6">
                  <c:v>55.695615218665495</c:v>
                </c:pt>
                <c:pt idx="7">
                  <c:v>57.052121512407567</c:v>
                </c:pt>
                <c:pt idx="8">
                  <c:v>55.872043922419607</c:v>
                </c:pt>
                <c:pt idx="9">
                  <c:v>56.724652376921888</c:v>
                </c:pt>
                <c:pt idx="10">
                  <c:v>57.106700065129282</c:v>
                </c:pt>
                <c:pt idx="11">
                  <c:v>58.021784903282473</c:v>
                </c:pt>
                <c:pt idx="12">
                  <c:v>57.591722631166903</c:v>
                </c:pt>
                <c:pt idx="13">
                  <c:v>58.34889713600267</c:v>
                </c:pt>
                <c:pt idx="14">
                  <c:v>56.648242322014482</c:v>
                </c:pt>
                <c:pt idx="15">
                  <c:v>56.420081215695078</c:v>
                </c:pt>
                <c:pt idx="16">
                  <c:v>58.299747386123428</c:v>
                </c:pt>
                <c:pt idx="17">
                  <c:v>58.465736115602262</c:v>
                </c:pt>
                <c:pt idx="18">
                  <c:v>60.110275897262269</c:v>
                </c:pt>
                <c:pt idx="19">
                  <c:v>59.239365466942296</c:v>
                </c:pt>
                <c:pt idx="20">
                  <c:v>60.110156182700251</c:v>
                </c:pt>
                <c:pt idx="21">
                  <c:v>59.599657137418234</c:v>
                </c:pt>
                <c:pt idx="22">
                  <c:v>60.798166673413448</c:v>
                </c:pt>
                <c:pt idx="23">
                  <c:v>60.995098349035651</c:v>
                </c:pt>
                <c:pt idx="24">
                  <c:v>61.54266391362237</c:v>
                </c:pt>
                <c:pt idx="25">
                  <c:v>62.163303686196791</c:v>
                </c:pt>
                <c:pt idx="26">
                  <c:v>63.752287360922239</c:v>
                </c:pt>
                <c:pt idx="27">
                  <c:v>64.252709097329259</c:v>
                </c:pt>
                <c:pt idx="28">
                  <c:v>62.998750090935367</c:v>
                </c:pt>
                <c:pt idx="29">
                  <c:v>65.72016873842928</c:v>
                </c:pt>
                <c:pt idx="30">
                  <c:v>66.224823379338943</c:v>
                </c:pt>
                <c:pt idx="31">
                  <c:v>64.763883080717051</c:v>
                </c:pt>
                <c:pt idx="32">
                  <c:v>65.463990245907709</c:v>
                </c:pt>
                <c:pt idx="33">
                  <c:v>65.914482981692558</c:v>
                </c:pt>
                <c:pt idx="34">
                  <c:v>67.18109227184614</c:v>
                </c:pt>
                <c:pt idx="35">
                  <c:v>67.978047982570061</c:v>
                </c:pt>
                <c:pt idx="36">
                  <c:v>67.219492607092192</c:v>
                </c:pt>
                <c:pt idx="37">
                  <c:v>68.472906823065813</c:v>
                </c:pt>
                <c:pt idx="38">
                  <c:v>68.805277438869723</c:v>
                </c:pt>
                <c:pt idx="39">
                  <c:v>67.34510012476629</c:v>
                </c:pt>
                <c:pt idx="40">
                  <c:v>67.455241484520471</c:v>
                </c:pt>
                <c:pt idx="41">
                  <c:v>66.116042667227262</c:v>
                </c:pt>
                <c:pt idx="42">
                  <c:v>66.590240586608076</c:v>
                </c:pt>
                <c:pt idx="43">
                  <c:v>67.096792568832853</c:v>
                </c:pt>
                <c:pt idx="44">
                  <c:v>64.884869468292081</c:v>
                </c:pt>
                <c:pt idx="45">
                  <c:v>65.030833618104694</c:v>
                </c:pt>
                <c:pt idx="46">
                  <c:v>66.790600293267104</c:v>
                </c:pt>
                <c:pt idx="47">
                  <c:v>68.191086352231267</c:v>
                </c:pt>
                <c:pt idx="48">
                  <c:v>70.647825041642633</c:v>
                </c:pt>
                <c:pt idx="49">
                  <c:v>70.00527189780658</c:v>
                </c:pt>
                <c:pt idx="50">
                  <c:v>70.330350946912304</c:v>
                </c:pt>
                <c:pt idx="51">
                  <c:v>68.484483197339273</c:v>
                </c:pt>
                <c:pt idx="52">
                  <c:v>66.707713155986283</c:v>
                </c:pt>
                <c:pt idx="53">
                  <c:v>65.07160542962329</c:v>
                </c:pt>
                <c:pt idx="54">
                  <c:v>64.327857137849193</c:v>
                </c:pt>
                <c:pt idx="55">
                  <c:v>65.000550162317651</c:v>
                </c:pt>
                <c:pt idx="56">
                  <c:v>64.437382869425164</c:v>
                </c:pt>
                <c:pt idx="57">
                  <c:v>63.263325240432323</c:v>
                </c:pt>
                <c:pt idx="58">
                  <c:v>61.062508823947191</c:v>
                </c:pt>
                <c:pt idx="59">
                  <c:v>61.864912237832705</c:v>
                </c:pt>
                <c:pt idx="60">
                  <c:v>62.582896137809712</c:v>
                </c:pt>
                <c:pt idx="61">
                  <c:v>62.034153473466212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4EA-417D-9FEF-816D9F694639}"/>
            </c:ext>
          </c:extLst>
        </c:ser>
        <c:ser>
          <c:idx val="57"/>
          <c:order val="56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'Monte Carlo'!$E$58:$BN$58</c:f>
              <c:numCache>
                <c:formatCode>General</c:formatCode>
                <c:ptCount val="62"/>
                <c:pt idx="1">
                  <c:v>60.99</c:v>
                </c:pt>
                <c:pt idx="2">
                  <c:v>60.331185679691046</c:v>
                </c:pt>
                <c:pt idx="3">
                  <c:v>60.859498939506125</c:v>
                </c:pt>
                <c:pt idx="4">
                  <c:v>59.700510847492801</c:v>
                </c:pt>
                <c:pt idx="5">
                  <c:v>60.749052113725668</c:v>
                </c:pt>
                <c:pt idx="6">
                  <c:v>61.452504738822256</c:v>
                </c:pt>
                <c:pt idx="7">
                  <c:v>63.131870767761917</c:v>
                </c:pt>
                <c:pt idx="8">
                  <c:v>62.639164286110116</c:v>
                </c:pt>
                <c:pt idx="9">
                  <c:v>62.102266355301516</c:v>
                </c:pt>
                <c:pt idx="10">
                  <c:v>62.723706069185738</c:v>
                </c:pt>
                <c:pt idx="11">
                  <c:v>64.708015412793316</c:v>
                </c:pt>
                <c:pt idx="12">
                  <c:v>63.628519688386753</c:v>
                </c:pt>
                <c:pt idx="13">
                  <c:v>63.291978568074271</c:v>
                </c:pt>
                <c:pt idx="14">
                  <c:v>65.927525348056278</c:v>
                </c:pt>
                <c:pt idx="15">
                  <c:v>65.983851195474827</c:v>
                </c:pt>
                <c:pt idx="16">
                  <c:v>67.571376883716368</c:v>
                </c:pt>
                <c:pt idx="17">
                  <c:v>68.209584890255428</c:v>
                </c:pt>
                <c:pt idx="18">
                  <c:v>70.621839248278931</c:v>
                </c:pt>
                <c:pt idx="19">
                  <c:v>70.835146602766528</c:v>
                </c:pt>
                <c:pt idx="20">
                  <c:v>68.114253872934739</c:v>
                </c:pt>
                <c:pt idx="21">
                  <c:v>68.284181774334456</c:v>
                </c:pt>
                <c:pt idx="22">
                  <c:v>69.354548536186073</c:v>
                </c:pt>
                <c:pt idx="23">
                  <c:v>69.52429833206763</c:v>
                </c:pt>
                <c:pt idx="24">
                  <c:v>68.392258188819426</c:v>
                </c:pt>
                <c:pt idx="25">
                  <c:v>67.816444895698638</c:v>
                </c:pt>
                <c:pt idx="26">
                  <c:v>66.377972570568843</c:v>
                </c:pt>
                <c:pt idx="27">
                  <c:v>64.883550136353236</c:v>
                </c:pt>
                <c:pt idx="28">
                  <c:v>64.690161210610057</c:v>
                </c:pt>
                <c:pt idx="29">
                  <c:v>64.868651484744902</c:v>
                </c:pt>
                <c:pt idx="30">
                  <c:v>66.556079643450715</c:v>
                </c:pt>
                <c:pt idx="31">
                  <c:v>66.813771058258936</c:v>
                </c:pt>
                <c:pt idx="32">
                  <c:v>69.440996710986568</c:v>
                </c:pt>
                <c:pt idx="33">
                  <c:v>68.997882034692694</c:v>
                </c:pt>
                <c:pt idx="34">
                  <c:v>70.658797014957202</c:v>
                </c:pt>
                <c:pt idx="35">
                  <c:v>70.555470731925766</c:v>
                </c:pt>
                <c:pt idx="36">
                  <c:v>68.922321645378503</c:v>
                </c:pt>
                <c:pt idx="37">
                  <c:v>69.201159182930354</c:v>
                </c:pt>
                <c:pt idx="38">
                  <c:v>71.34294159063802</c:v>
                </c:pt>
                <c:pt idx="39">
                  <c:v>72.687070386344942</c:v>
                </c:pt>
                <c:pt idx="40">
                  <c:v>74.08804662805214</c:v>
                </c:pt>
                <c:pt idx="41">
                  <c:v>72.383372444251194</c:v>
                </c:pt>
                <c:pt idx="42">
                  <c:v>72.639745375545431</c:v>
                </c:pt>
                <c:pt idx="43">
                  <c:v>71.698520131437306</c:v>
                </c:pt>
                <c:pt idx="44">
                  <c:v>71.705339827683616</c:v>
                </c:pt>
                <c:pt idx="45">
                  <c:v>72.050004921616377</c:v>
                </c:pt>
                <c:pt idx="46">
                  <c:v>69.380606910132784</c:v>
                </c:pt>
                <c:pt idx="47">
                  <c:v>71.859875748241805</c:v>
                </c:pt>
                <c:pt idx="48">
                  <c:v>71.073902548676969</c:v>
                </c:pt>
                <c:pt idx="49">
                  <c:v>72.294526114232227</c:v>
                </c:pt>
                <c:pt idx="50">
                  <c:v>73.519982676643707</c:v>
                </c:pt>
                <c:pt idx="51">
                  <c:v>73.125176657278971</c:v>
                </c:pt>
                <c:pt idx="52">
                  <c:v>70.837226799900932</c:v>
                </c:pt>
                <c:pt idx="53">
                  <c:v>72.352316972079919</c:v>
                </c:pt>
                <c:pt idx="54">
                  <c:v>72.389442571604306</c:v>
                </c:pt>
                <c:pt idx="55">
                  <c:v>73.228780742752633</c:v>
                </c:pt>
                <c:pt idx="56">
                  <c:v>75.410631252097446</c:v>
                </c:pt>
                <c:pt idx="57">
                  <c:v>76.798396657782348</c:v>
                </c:pt>
                <c:pt idx="58">
                  <c:v>75.36403357569759</c:v>
                </c:pt>
                <c:pt idx="59">
                  <c:v>75.414715997791049</c:v>
                </c:pt>
                <c:pt idx="60">
                  <c:v>75.029665708368839</c:v>
                </c:pt>
                <c:pt idx="61">
                  <c:v>74.172145087424084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24EA-417D-9FEF-816D9F694639}"/>
            </c:ext>
          </c:extLst>
        </c:ser>
        <c:ser>
          <c:idx val="58"/>
          <c:order val="57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'Monte Carlo'!$E$59:$BN$59</c:f>
              <c:numCache>
                <c:formatCode>General</c:formatCode>
                <c:ptCount val="62"/>
                <c:pt idx="1">
                  <c:v>60.99</c:v>
                </c:pt>
                <c:pt idx="2">
                  <c:v>61.322587788338822</c:v>
                </c:pt>
                <c:pt idx="3">
                  <c:v>61.898270163346197</c:v>
                </c:pt>
                <c:pt idx="4">
                  <c:v>61.821515854349862</c:v>
                </c:pt>
                <c:pt idx="5">
                  <c:v>62.432084275728236</c:v>
                </c:pt>
                <c:pt idx="6">
                  <c:v>63.198457930718533</c:v>
                </c:pt>
                <c:pt idx="7">
                  <c:v>64.220344739172191</c:v>
                </c:pt>
                <c:pt idx="8">
                  <c:v>64.896726230987639</c:v>
                </c:pt>
                <c:pt idx="9">
                  <c:v>62.408498533461589</c:v>
                </c:pt>
                <c:pt idx="10">
                  <c:v>61.675225832139063</c:v>
                </c:pt>
                <c:pt idx="11">
                  <c:v>62.625261854768183</c:v>
                </c:pt>
                <c:pt idx="12">
                  <c:v>62.699528949381623</c:v>
                </c:pt>
                <c:pt idx="13">
                  <c:v>63.506864183238193</c:v>
                </c:pt>
                <c:pt idx="14">
                  <c:v>62.675316457214947</c:v>
                </c:pt>
                <c:pt idx="15">
                  <c:v>60.722252797969482</c:v>
                </c:pt>
                <c:pt idx="16">
                  <c:v>61.641620553943767</c:v>
                </c:pt>
                <c:pt idx="17">
                  <c:v>62.060497121576773</c:v>
                </c:pt>
                <c:pt idx="18">
                  <c:v>60.211070351471569</c:v>
                </c:pt>
                <c:pt idx="19">
                  <c:v>59.20744703721703</c:v>
                </c:pt>
                <c:pt idx="20">
                  <c:v>60.086746146022413</c:v>
                </c:pt>
                <c:pt idx="21">
                  <c:v>60.74577160744505</c:v>
                </c:pt>
                <c:pt idx="22">
                  <c:v>59.522044691614802</c:v>
                </c:pt>
                <c:pt idx="23">
                  <c:v>57.421252076187955</c:v>
                </c:pt>
                <c:pt idx="24">
                  <c:v>57.744578135027176</c:v>
                </c:pt>
                <c:pt idx="25">
                  <c:v>57.976524869670165</c:v>
                </c:pt>
                <c:pt idx="26">
                  <c:v>60.889632394921179</c:v>
                </c:pt>
                <c:pt idx="27">
                  <c:v>60.404496169557731</c:v>
                </c:pt>
                <c:pt idx="28">
                  <c:v>60.820831559131129</c:v>
                </c:pt>
                <c:pt idx="29">
                  <c:v>61.984730976370038</c:v>
                </c:pt>
                <c:pt idx="30">
                  <c:v>60.242362799384139</c:v>
                </c:pt>
                <c:pt idx="31">
                  <c:v>60.556318661670275</c:v>
                </c:pt>
                <c:pt idx="32">
                  <c:v>61.89137864197906</c:v>
                </c:pt>
                <c:pt idx="33">
                  <c:v>61.819052099600214</c:v>
                </c:pt>
                <c:pt idx="34">
                  <c:v>60.023762633915979</c:v>
                </c:pt>
                <c:pt idx="35">
                  <c:v>60.193467525383035</c:v>
                </c:pt>
                <c:pt idx="36">
                  <c:v>60.761914030203513</c:v>
                </c:pt>
                <c:pt idx="37">
                  <c:v>61.922458662753385</c:v>
                </c:pt>
                <c:pt idx="38">
                  <c:v>61.395645024291241</c:v>
                </c:pt>
                <c:pt idx="39">
                  <c:v>61.931517882688809</c:v>
                </c:pt>
                <c:pt idx="40">
                  <c:v>61.884997449127063</c:v>
                </c:pt>
                <c:pt idx="41">
                  <c:v>63.440082869417807</c:v>
                </c:pt>
                <c:pt idx="42">
                  <c:v>62.662425987541852</c:v>
                </c:pt>
                <c:pt idx="43">
                  <c:v>62.460057932079124</c:v>
                </c:pt>
                <c:pt idx="44">
                  <c:v>62.618582090610673</c:v>
                </c:pt>
                <c:pt idx="45">
                  <c:v>62.136485780201767</c:v>
                </c:pt>
                <c:pt idx="46">
                  <c:v>60.684076737616756</c:v>
                </c:pt>
                <c:pt idx="47">
                  <c:v>60.739009767933766</c:v>
                </c:pt>
                <c:pt idx="48">
                  <c:v>59.639582993730208</c:v>
                </c:pt>
                <c:pt idx="49">
                  <c:v>59.422137079002944</c:v>
                </c:pt>
                <c:pt idx="50">
                  <c:v>59.497235732410331</c:v>
                </c:pt>
                <c:pt idx="51">
                  <c:v>59.004242065797271</c:v>
                </c:pt>
                <c:pt idx="52">
                  <c:v>59.545099599875748</c:v>
                </c:pt>
                <c:pt idx="53">
                  <c:v>60.788948503298613</c:v>
                </c:pt>
                <c:pt idx="54">
                  <c:v>58.943305407454858</c:v>
                </c:pt>
                <c:pt idx="55">
                  <c:v>59.551352769218063</c:v>
                </c:pt>
                <c:pt idx="56">
                  <c:v>59.75953870234639</c:v>
                </c:pt>
                <c:pt idx="57">
                  <c:v>59.960094166927817</c:v>
                </c:pt>
                <c:pt idx="58">
                  <c:v>60.639565015422534</c:v>
                </c:pt>
                <c:pt idx="59">
                  <c:v>60.164012210844156</c:v>
                </c:pt>
                <c:pt idx="60">
                  <c:v>59.559145617417585</c:v>
                </c:pt>
                <c:pt idx="61">
                  <c:v>60.356857009403377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4EA-417D-9FEF-816D9F694639}"/>
            </c:ext>
          </c:extLst>
        </c:ser>
        <c:ser>
          <c:idx val="59"/>
          <c:order val="58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'Monte Carlo'!$E$60:$BN$60</c:f>
              <c:numCache>
                <c:formatCode>General</c:formatCode>
                <c:ptCount val="62"/>
                <c:pt idx="1">
                  <c:v>60.99</c:v>
                </c:pt>
                <c:pt idx="2">
                  <c:v>62.014977312856985</c:v>
                </c:pt>
                <c:pt idx="3">
                  <c:v>62.413407055824983</c:v>
                </c:pt>
                <c:pt idx="4">
                  <c:v>63.23692174428156</c:v>
                </c:pt>
                <c:pt idx="5">
                  <c:v>62.39199600645825</c:v>
                </c:pt>
                <c:pt idx="6">
                  <c:v>64.994752517913781</c:v>
                </c:pt>
                <c:pt idx="7">
                  <c:v>65.438394110016048</c:v>
                </c:pt>
                <c:pt idx="8">
                  <c:v>66.176401523243669</c:v>
                </c:pt>
                <c:pt idx="9">
                  <c:v>66.932254387532566</c:v>
                </c:pt>
                <c:pt idx="10">
                  <c:v>66.449878320845841</c:v>
                </c:pt>
                <c:pt idx="11">
                  <c:v>65.411716174569904</c:v>
                </c:pt>
                <c:pt idx="12">
                  <c:v>64.972059431992832</c:v>
                </c:pt>
                <c:pt idx="13">
                  <c:v>66.424954886212504</c:v>
                </c:pt>
                <c:pt idx="14">
                  <c:v>66.681601107418075</c:v>
                </c:pt>
                <c:pt idx="15">
                  <c:v>66.448047198973782</c:v>
                </c:pt>
                <c:pt idx="16">
                  <c:v>65.520962793699482</c:v>
                </c:pt>
                <c:pt idx="17">
                  <c:v>66.628236456536101</c:v>
                </c:pt>
                <c:pt idx="18">
                  <c:v>64.477331788469073</c:v>
                </c:pt>
                <c:pt idx="19">
                  <c:v>64.482166240533232</c:v>
                </c:pt>
                <c:pt idx="20">
                  <c:v>64.666051175500996</c:v>
                </c:pt>
                <c:pt idx="21">
                  <c:v>67.159689403968017</c:v>
                </c:pt>
                <c:pt idx="22">
                  <c:v>65.351511451951183</c:v>
                </c:pt>
                <c:pt idx="23">
                  <c:v>65.996799435984883</c:v>
                </c:pt>
                <c:pt idx="24">
                  <c:v>68.092556473982029</c:v>
                </c:pt>
                <c:pt idx="25">
                  <c:v>67.67457688015422</c:v>
                </c:pt>
                <c:pt idx="26">
                  <c:v>68.946376890717261</c:v>
                </c:pt>
                <c:pt idx="27">
                  <c:v>69.671002804126843</c:v>
                </c:pt>
                <c:pt idx="28">
                  <c:v>69.446609065014442</c:v>
                </c:pt>
                <c:pt idx="29">
                  <c:v>70.318336584211494</c:v>
                </c:pt>
                <c:pt idx="30">
                  <c:v>69.053269524862003</c:v>
                </c:pt>
                <c:pt idx="31">
                  <c:v>69.676165984955929</c:v>
                </c:pt>
                <c:pt idx="32">
                  <c:v>70.949617630987987</c:v>
                </c:pt>
                <c:pt idx="33">
                  <c:v>70.007187889989282</c:v>
                </c:pt>
                <c:pt idx="34">
                  <c:v>72.315678413257132</c:v>
                </c:pt>
                <c:pt idx="35">
                  <c:v>71.324858080957853</c:v>
                </c:pt>
                <c:pt idx="36">
                  <c:v>68.622374910490947</c:v>
                </c:pt>
                <c:pt idx="37">
                  <c:v>68.189560741631951</c:v>
                </c:pt>
                <c:pt idx="38">
                  <c:v>70.509980895685089</c:v>
                </c:pt>
                <c:pt idx="39">
                  <c:v>69.378466451748238</c:v>
                </c:pt>
                <c:pt idx="40">
                  <c:v>71.307416423669778</c:v>
                </c:pt>
                <c:pt idx="41">
                  <c:v>72.033905144607587</c:v>
                </c:pt>
                <c:pt idx="42">
                  <c:v>72.735074093008876</c:v>
                </c:pt>
                <c:pt idx="43">
                  <c:v>74.376876447636931</c:v>
                </c:pt>
                <c:pt idx="44">
                  <c:v>74.329540729310935</c:v>
                </c:pt>
                <c:pt idx="45">
                  <c:v>73.785476595305255</c:v>
                </c:pt>
                <c:pt idx="46">
                  <c:v>75.459112869990818</c:v>
                </c:pt>
                <c:pt idx="47">
                  <c:v>74.35655337545532</c:v>
                </c:pt>
                <c:pt idx="48">
                  <c:v>76.505559910866808</c:v>
                </c:pt>
                <c:pt idx="49">
                  <c:v>77.968134291942093</c:v>
                </c:pt>
                <c:pt idx="50">
                  <c:v>77.073449924253282</c:v>
                </c:pt>
                <c:pt idx="51">
                  <c:v>78.588315771312935</c:v>
                </c:pt>
                <c:pt idx="52">
                  <c:v>79.422181499305182</c:v>
                </c:pt>
                <c:pt idx="53">
                  <c:v>80.920763961510588</c:v>
                </c:pt>
                <c:pt idx="54">
                  <c:v>78.293629259228609</c:v>
                </c:pt>
                <c:pt idx="55">
                  <c:v>77.827036276251206</c:v>
                </c:pt>
                <c:pt idx="56">
                  <c:v>77.605728181029576</c:v>
                </c:pt>
                <c:pt idx="57">
                  <c:v>80.432969875991574</c:v>
                </c:pt>
                <c:pt idx="58">
                  <c:v>80.363266389298701</c:v>
                </c:pt>
                <c:pt idx="59">
                  <c:v>83.272277374643949</c:v>
                </c:pt>
                <c:pt idx="60">
                  <c:v>83.397878926378738</c:v>
                </c:pt>
                <c:pt idx="61">
                  <c:v>83.445821324507264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24EA-417D-9FEF-816D9F694639}"/>
            </c:ext>
          </c:extLst>
        </c:ser>
        <c:ser>
          <c:idx val="60"/>
          <c:order val="59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Carlo'!$E$61:$BN$61</c:f>
              <c:numCache>
                <c:formatCode>General</c:formatCode>
                <c:ptCount val="62"/>
                <c:pt idx="1">
                  <c:v>60.99</c:v>
                </c:pt>
                <c:pt idx="2">
                  <c:v>62.155039220395629</c:v>
                </c:pt>
                <c:pt idx="3">
                  <c:v>60.763083607576149</c:v>
                </c:pt>
                <c:pt idx="4">
                  <c:v>62.93794435408482</c:v>
                </c:pt>
                <c:pt idx="5">
                  <c:v>64.480820682199962</c:v>
                </c:pt>
                <c:pt idx="6">
                  <c:v>62.53056570851119</c:v>
                </c:pt>
                <c:pt idx="7">
                  <c:v>61.804521737902341</c:v>
                </c:pt>
                <c:pt idx="8">
                  <c:v>63.517936457459712</c:v>
                </c:pt>
                <c:pt idx="9">
                  <c:v>63.712804206517163</c:v>
                </c:pt>
                <c:pt idx="10">
                  <c:v>63.793114052896506</c:v>
                </c:pt>
                <c:pt idx="11">
                  <c:v>65.447645031371238</c:v>
                </c:pt>
                <c:pt idx="12">
                  <c:v>63.904938510195144</c:v>
                </c:pt>
                <c:pt idx="13">
                  <c:v>63.957241515678859</c:v>
                </c:pt>
                <c:pt idx="14">
                  <c:v>62.879418304180952</c:v>
                </c:pt>
                <c:pt idx="15">
                  <c:v>63.750041013324868</c:v>
                </c:pt>
                <c:pt idx="16">
                  <c:v>63.28321953191525</c:v>
                </c:pt>
                <c:pt idx="17">
                  <c:v>62.526070005511222</c:v>
                </c:pt>
                <c:pt idx="18">
                  <c:v>65.277699633388934</c:v>
                </c:pt>
                <c:pt idx="19">
                  <c:v>65.222344581638311</c:v>
                </c:pt>
                <c:pt idx="20">
                  <c:v>64.376107615525541</c:v>
                </c:pt>
                <c:pt idx="21">
                  <c:v>63.708679096323046</c:v>
                </c:pt>
                <c:pt idx="22">
                  <c:v>64.720835019438638</c:v>
                </c:pt>
                <c:pt idx="23">
                  <c:v>63.93642994067968</c:v>
                </c:pt>
                <c:pt idx="24">
                  <c:v>62.627643142892346</c:v>
                </c:pt>
                <c:pt idx="25">
                  <c:v>64.324014601922357</c:v>
                </c:pt>
                <c:pt idx="26">
                  <c:v>65.237601864593415</c:v>
                </c:pt>
                <c:pt idx="27">
                  <c:v>65.971202523127928</c:v>
                </c:pt>
                <c:pt idx="28">
                  <c:v>67.056890732622378</c:v>
                </c:pt>
                <c:pt idx="29">
                  <c:v>66.868304801859722</c:v>
                </c:pt>
                <c:pt idx="30">
                  <c:v>67.02273601093971</c:v>
                </c:pt>
                <c:pt idx="31">
                  <c:v>65.648248169032797</c:v>
                </c:pt>
                <c:pt idx="32">
                  <c:v>65.992386536774546</c:v>
                </c:pt>
                <c:pt idx="33">
                  <c:v>66.541055047616382</c:v>
                </c:pt>
                <c:pt idx="34">
                  <c:v>65.364826837301976</c:v>
                </c:pt>
                <c:pt idx="35">
                  <c:v>65.716786261402021</c:v>
                </c:pt>
                <c:pt idx="36">
                  <c:v>64.67078301402195</c:v>
                </c:pt>
                <c:pt idx="37">
                  <c:v>64.341702496044633</c:v>
                </c:pt>
                <c:pt idx="38">
                  <c:v>65.356985248135686</c:v>
                </c:pt>
                <c:pt idx="39">
                  <c:v>66.173368337556113</c:v>
                </c:pt>
                <c:pt idx="40">
                  <c:v>64.929548981365855</c:v>
                </c:pt>
                <c:pt idx="41">
                  <c:v>67.679972975039007</c:v>
                </c:pt>
                <c:pt idx="42">
                  <c:v>68.110196168150011</c:v>
                </c:pt>
                <c:pt idx="43">
                  <c:v>69.643619374644729</c:v>
                </c:pt>
                <c:pt idx="44">
                  <c:v>70.950260644915417</c:v>
                </c:pt>
                <c:pt idx="45">
                  <c:v>70.4693137128167</c:v>
                </c:pt>
                <c:pt idx="46">
                  <c:v>71.16133853462425</c:v>
                </c:pt>
                <c:pt idx="47">
                  <c:v>69.893411667807868</c:v>
                </c:pt>
                <c:pt idx="48">
                  <c:v>71.118362594187062</c:v>
                </c:pt>
                <c:pt idx="49">
                  <c:v>71.093970728041427</c:v>
                </c:pt>
                <c:pt idx="50">
                  <c:v>71.591022814091431</c:v>
                </c:pt>
                <c:pt idx="51">
                  <c:v>69.177045256828634</c:v>
                </c:pt>
                <c:pt idx="52">
                  <c:v>66.547239476801124</c:v>
                </c:pt>
                <c:pt idx="53">
                  <c:v>66.956555978425982</c:v>
                </c:pt>
                <c:pt idx="54">
                  <c:v>66.35708475715299</c:v>
                </c:pt>
                <c:pt idx="55">
                  <c:v>66.384496728901482</c:v>
                </c:pt>
                <c:pt idx="56">
                  <c:v>64.656482943417274</c:v>
                </c:pt>
                <c:pt idx="57">
                  <c:v>62.80684718615835</c:v>
                </c:pt>
                <c:pt idx="58">
                  <c:v>61.552059055641465</c:v>
                </c:pt>
                <c:pt idx="59">
                  <c:v>60.697669672594287</c:v>
                </c:pt>
                <c:pt idx="60">
                  <c:v>61.119414423591252</c:v>
                </c:pt>
                <c:pt idx="61">
                  <c:v>61.221742303220246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4EA-417D-9FEF-816D9F694639}"/>
            </c:ext>
          </c:extLst>
        </c:ser>
        <c:ser>
          <c:idx val="61"/>
          <c:order val="60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Carlo'!$E$62:$BN$62</c:f>
              <c:numCache>
                <c:formatCode>General</c:formatCode>
                <c:ptCount val="62"/>
                <c:pt idx="1">
                  <c:v>60.99</c:v>
                </c:pt>
                <c:pt idx="2">
                  <c:v>60.81251655536073</c:v>
                </c:pt>
                <c:pt idx="3">
                  <c:v>59.093887479604994</c:v>
                </c:pt>
                <c:pt idx="4">
                  <c:v>57.35961093516012</c:v>
                </c:pt>
                <c:pt idx="5">
                  <c:v>58.619956225197448</c:v>
                </c:pt>
                <c:pt idx="6">
                  <c:v>59.266262863525135</c:v>
                </c:pt>
                <c:pt idx="7">
                  <c:v>59.523419643446367</c:v>
                </c:pt>
                <c:pt idx="8">
                  <c:v>58.272689982753633</c:v>
                </c:pt>
                <c:pt idx="9">
                  <c:v>58.642915418323177</c:v>
                </c:pt>
                <c:pt idx="10">
                  <c:v>57.542337736609319</c:v>
                </c:pt>
                <c:pt idx="11">
                  <c:v>58.135959547902402</c:v>
                </c:pt>
                <c:pt idx="12">
                  <c:v>57.513125962705736</c:v>
                </c:pt>
                <c:pt idx="13">
                  <c:v>57.110087908530154</c:v>
                </c:pt>
                <c:pt idx="14">
                  <c:v>58.292353775299375</c:v>
                </c:pt>
                <c:pt idx="15">
                  <c:v>59.417076170421097</c:v>
                </c:pt>
                <c:pt idx="16">
                  <c:v>59.210138672448252</c:v>
                </c:pt>
                <c:pt idx="17">
                  <c:v>59.890072798846013</c:v>
                </c:pt>
                <c:pt idx="18">
                  <c:v>62.046433865487735</c:v>
                </c:pt>
                <c:pt idx="19">
                  <c:v>61.638787894333532</c:v>
                </c:pt>
                <c:pt idx="20">
                  <c:v>62.464583015830634</c:v>
                </c:pt>
                <c:pt idx="21">
                  <c:v>63.83110204565439</c:v>
                </c:pt>
                <c:pt idx="22">
                  <c:v>65.01568400688646</c:v>
                </c:pt>
                <c:pt idx="23">
                  <c:v>66.73287611936702</c:v>
                </c:pt>
                <c:pt idx="24">
                  <c:v>66.8710607620052</c:v>
                </c:pt>
                <c:pt idx="25">
                  <c:v>68.377618149995513</c:v>
                </c:pt>
                <c:pt idx="26">
                  <c:v>67.864159990960161</c:v>
                </c:pt>
                <c:pt idx="27">
                  <c:v>68.7266624460309</c:v>
                </c:pt>
                <c:pt idx="28">
                  <c:v>69.184080295433958</c:v>
                </c:pt>
                <c:pt idx="29">
                  <c:v>68.525424281846696</c:v>
                </c:pt>
                <c:pt idx="30">
                  <c:v>69.421851135734286</c:v>
                </c:pt>
                <c:pt idx="31">
                  <c:v>67.780654727256604</c:v>
                </c:pt>
                <c:pt idx="32">
                  <c:v>67.264845480013491</c:v>
                </c:pt>
                <c:pt idx="33">
                  <c:v>68.099116434980417</c:v>
                </c:pt>
                <c:pt idx="34">
                  <c:v>66.896414355913052</c:v>
                </c:pt>
                <c:pt idx="35">
                  <c:v>69.033844468048898</c:v>
                </c:pt>
                <c:pt idx="36">
                  <c:v>69.021651486696712</c:v>
                </c:pt>
                <c:pt idx="37">
                  <c:v>68.561437109898293</c:v>
                </c:pt>
                <c:pt idx="38">
                  <c:v>69.110108654696717</c:v>
                </c:pt>
                <c:pt idx="39">
                  <c:v>70.507525362858843</c:v>
                </c:pt>
                <c:pt idx="40">
                  <c:v>70.45725992980222</c:v>
                </c:pt>
                <c:pt idx="41">
                  <c:v>73.345532902546481</c:v>
                </c:pt>
                <c:pt idx="42">
                  <c:v>72.775531405896729</c:v>
                </c:pt>
                <c:pt idx="43">
                  <c:v>73.225041931573784</c:v>
                </c:pt>
                <c:pt idx="44">
                  <c:v>74.087165288983371</c:v>
                </c:pt>
                <c:pt idx="45">
                  <c:v>72.856785287579498</c:v>
                </c:pt>
                <c:pt idx="46">
                  <c:v>70.728488873385331</c:v>
                </c:pt>
                <c:pt idx="47">
                  <c:v>70.474244017949545</c:v>
                </c:pt>
                <c:pt idx="48">
                  <c:v>72.826165544046191</c:v>
                </c:pt>
                <c:pt idx="49">
                  <c:v>72.747451465301523</c:v>
                </c:pt>
                <c:pt idx="50">
                  <c:v>73.616014700392498</c:v>
                </c:pt>
                <c:pt idx="51">
                  <c:v>72.902570573251509</c:v>
                </c:pt>
                <c:pt idx="52">
                  <c:v>74.319494520491006</c:v>
                </c:pt>
                <c:pt idx="53">
                  <c:v>76.435747687152158</c:v>
                </c:pt>
                <c:pt idx="54">
                  <c:v>77.224157656287858</c:v>
                </c:pt>
                <c:pt idx="55">
                  <c:v>75.922150453818347</c:v>
                </c:pt>
                <c:pt idx="56">
                  <c:v>77.382980819681862</c:v>
                </c:pt>
                <c:pt idx="57">
                  <c:v>79.610308994887731</c:v>
                </c:pt>
                <c:pt idx="58">
                  <c:v>81.020440650029926</c:v>
                </c:pt>
                <c:pt idx="59">
                  <c:v>80.980422768282082</c:v>
                </c:pt>
                <c:pt idx="60">
                  <c:v>82.228628050518822</c:v>
                </c:pt>
                <c:pt idx="61">
                  <c:v>81.244373326418298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24EA-417D-9FEF-816D9F694639}"/>
            </c:ext>
          </c:extLst>
        </c:ser>
        <c:ser>
          <c:idx val="62"/>
          <c:order val="61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Carlo'!$E$63:$BN$63</c:f>
              <c:numCache>
                <c:formatCode>General</c:formatCode>
                <c:ptCount val="62"/>
                <c:pt idx="1">
                  <c:v>60.99</c:v>
                </c:pt>
                <c:pt idx="2">
                  <c:v>62.283254249154595</c:v>
                </c:pt>
                <c:pt idx="3">
                  <c:v>62.806737029795798</c:v>
                </c:pt>
                <c:pt idx="4">
                  <c:v>64.728365536421364</c:v>
                </c:pt>
                <c:pt idx="5">
                  <c:v>65.365435703412928</c:v>
                </c:pt>
                <c:pt idx="6">
                  <c:v>65.933849012950162</c:v>
                </c:pt>
                <c:pt idx="7">
                  <c:v>64.232902087458328</c:v>
                </c:pt>
                <c:pt idx="8">
                  <c:v>63.369448906739187</c:v>
                </c:pt>
                <c:pt idx="9">
                  <c:v>63.891472628975698</c:v>
                </c:pt>
                <c:pt idx="10">
                  <c:v>64.231192738221694</c:v>
                </c:pt>
                <c:pt idx="11">
                  <c:v>63.157057177258089</c:v>
                </c:pt>
                <c:pt idx="12">
                  <c:v>64.868245454421938</c:v>
                </c:pt>
                <c:pt idx="13">
                  <c:v>64.905913435177979</c:v>
                </c:pt>
                <c:pt idx="14">
                  <c:v>66.53148668417353</c:v>
                </c:pt>
                <c:pt idx="15">
                  <c:v>67.005874880590099</c:v>
                </c:pt>
                <c:pt idx="16">
                  <c:v>67.110693693144626</c:v>
                </c:pt>
                <c:pt idx="17">
                  <c:v>64.975470370850189</c:v>
                </c:pt>
                <c:pt idx="18">
                  <c:v>64.682399807215944</c:v>
                </c:pt>
                <c:pt idx="19">
                  <c:v>65.434586047133863</c:v>
                </c:pt>
                <c:pt idx="20">
                  <c:v>65.559287327978438</c:v>
                </c:pt>
                <c:pt idx="21">
                  <c:v>66.493735966471959</c:v>
                </c:pt>
                <c:pt idx="22">
                  <c:v>67.531642112814225</c:v>
                </c:pt>
                <c:pt idx="23">
                  <c:v>65.437554079402403</c:v>
                </c:pt>
                <c:pt idx="24">
                  <c:v>64.947121249103034</c:v>
                </c:pt>
                <c:pt idx="25">
                  <c:v>65.332142072037982</c:v>
                </c:pt>
                <c:pt idx="26">
                  <c:v>64.90158905180779</c:v>
                </c:pt>
                <c:pt idx="27">
                  <c:v>63.747699094214504</c:v>
                </c:pt>
                <c:pt idx="28">
                  <c:v>61.521742857193921</c:v>
                </c:pt>
                <c:pt idx="29">
                  <c:v>64.64740439296132</c:v>
                </c:pt>
                <c:pt idx="30">
                  <c:v>64.922782352327459</c:v>
                </c:pt>
                <c:pt idx="31">
                  <c:v>64.92504827340079</c:v>
                </c:pt>
                <c:pt idx="32">
                  <c:v>64.667591465927245</c:v>
                </c:pt>
                <c:pt idx="33">
                  <c:v>64.562562535183801</c:v>
                </c:pt>
                <c:pt idx="34">
                  <c:v>64.608790993343874</c:v>
                </c:pt>
                <c:pt idx="35">
                  <c:v>64.483301158889347</c:v>
                </c:pt>
                <c:pt idx="36">
                  <c:v>65.721262306374072</c:v>
                </c:pt>
                <c:pt idx="37">
                  <c:v>67.259489166146125</c:v>
                </c:pt>
                <c:pt idx="38">
                  <c:v>66.218188594214709</c:v>
                </c:pt>
                <c:pt idx="39">
                  <c:v>68.733020870248993</c:v>
                </c:pt>
                <c:pt idx="40">
                  <c:v>69.914743230923065</c:v>
                </c:pt>
                <c:pt idx="41">
                  <c:v>69.834746099769973</c:v>
                </c:pt>
                <c:pt idx="42">
                  <c:v>70.069116915182022</c:v>
                </c:pt>
                <c:pt idx="43">
                  <c:v>70.145958331241658</c:v>
                </c:pt>
                <c:pt idx="44">
                  <c:v>68.782146005427563</c:v>
                </c:pt>
                <c:pt idx="45">
                  <c:v>66.977890950740601</c:v>
                </c:pt>
                <c:pt idx="46">
                  <c:v>65.976360561728114</c:v>
                </c:pt>
                <c:pt idx="47">
                  <c:v>66.112104697600202</c:v>
                </c:pt>
                <c:pt idx="48">
                  <c:v>65.54568129981881</c:v>
                </c:pt>
                <c:pt idx="49">
                  <c:v>66.51952487297153</c:v>
                </c:pt>
                <c:pt idx="50">
                  <c:v>66.180624296536294</c:v>
                </c:pt>
                <c:pt idx="51">
                  <c:v>67.341725759034659</c:v>
                </c:pt>
                <c:pt idx="52">
                  <c:v>67.562044046411842</c:v>
                </c:pt>
                <c:pt idx="53">
                  <c:v>66.018120212262872</c:v>
                </c:pt>
                <c:pt idx="54">
                  <c:v>65.44803730019845</c:v>
                </c:pt>
                <c:pt idx="55">
                  <c:v>65.849108342465058</c:v>
                </c:pt>
                <c:pt idx="56">
                  <c:v>65.554215382975258</c:v>
                </c:pt>
                <c:pt idx="57">
                  <c:v>66.444348648716101</c:v>
                </c:pt>
                <c:pt idx="58">
                  <c:v>66.909021767792197</c:v>
                </c:pt>
                <c:pt idx="59">
                  <c:v>65.930756389526692</c:v>
                </c:pt>
                <c:pt idx="60">
                  <c:v>67.58332122188429</c:v>
                </c:pt>
                <c:pt idx="61">
                  <c:v>68.87820109306557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A39-4566-8EE6-6D0A89D219EA}"/>
            </c:ext>
          </c:extLst>
        </c:ser>
        <c:ser>
          <c:idx val="63"/>
          <c:order val="62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Carlo'!$E$64:$BN$64</c:f>
              <c:numCache>
                <c:formatCode>General</c:formatCode>
                <c:ptCount val="62"/>
                <c:pt idx="1">
                  <c:v>60.99</c:v>
                </c:pt>
                <c:pt idx="2">
                  <c:v>60.517555974936492</c:v>
                </c:pt>
                <c:pt idx="3">
                  <c:v>60.780020758858441</c:v>
                </c:pt>
                <c:pt idx="4">
                  <c:v>60.720834901920981</c:v>
                </c:pt>
                <c:pt idx="5">
                  <c:v>60.19984496767151</c:v>
                </c:pt>
                <c:pt idx="6">
                  <c:v>58.833628745387934</c:v>
                </c:pt>
                <c:pt idx="7">
                  <c:v>60.272491964483692</c:v>
                </c:pt>
                <c:pt idx="8">
                  <c:v>60.859063017745058</c:v>
                </c:pt>
                <c:pt idx="9">
                  <c:v>61.668620551089383</c:v>
                </c:pt>
                <c:pt idx="10">
                  <c:v>59.70235970136158</c:v>
                </c:pt>
                <c:pt idx="11">
                  <c:v>58.423543242586753</c:v>
                </c:pt>
                <c:pt idx="12">
                  <c:v>59.217646827771318</c:v>
                </c:pt>
                <c:pt idx="13">
                  <c:v>60.078970838907729</c:v>
                </c:pt>
                <c:pt idx="14">
                  <c:v>61.162911133354967</c:v>
                </c:pt>
                <c:pt idx="15">
                  <c:v>59.65177626982581</c:v>
                </c:pt>
                <c:pt idx="16">
                  <c:v>61.314196896173975</c:v>
                </c:pt>
                <c:pt idx="17">
                  <c:v>60.846182293875835</c:v>
                </c:pt>
                <c:pt idx="18">
                  <c:v>60.782404431840114</c:v>
                </c:pt>
                <c:pt idx="19">
                  <c:v>61.184231614646343</c:v>
                </c:pt>
                <c:pt idx="20">
                  <c:v>62.73409380757068</c:v>
                </c:pt>
                <c:pt idx="21">
                  <c:v>64.381091262277167</c:v>
                </c:pt>
                <c:pt idx="22">
                  <c:v>63.407981608717364</c:v>
                </c:pt>
                <c:pt idx="23">
                  <c:v>63.194439135177923</c:v>
                </c:pt>
                <c:pt idx="24">
                  <c:v>64.551804746644805</c:v>
                </c:pt>
                <c:pt idx="25">
                  <c:v>63.967995943854845</c:v>
                </c:pt>
                <c:pt idx="26">
                  <c:v>66.093412666783678</c:v>
                </c:pt>
                <c:pt idx="27">
                  <c:v>64.040843363915215</c:v>
                </c:pt>
                <c:pt idx="28">
                  <c:v>65.257930926020038</c:v>
                </c:pt>
                <c:pt idx="29">
                  <c:v>65.078816556661167</c:v>
                </c:pt>
                <c:pt idx="30">
                  <c:v>65.436112778875668</c:v>
                </c:pt>
                <c:pt idx="31">
                  <c:v>65.704493820961076</c:v>
                </c:pt>
                <c:pt idx="32">
                  <c:v>66.165004141756469</c:v>
                </c:pt>
                <c:pt idx="33">
                  <c:v>65.548887635024229</c:v>
                </c:pt>
                <c:pt idx="34">
                  <c:v>65.986429071033683</c:v>
                </c:pt>
                <c:pt idx="35">
                  <c:v>66.17826239565548</c:v>
                </c:pt>
                <c:pt idx="36">
                  <c:v>65.237940101736811</c:v>
                </c:pt>
                <c:pt idx="37">
                  <c:v>64.407967710200978</c:v>
                </c:pt>
                <c:pt idx="38">
                  <c:v>64.527689838142336</c:v>
                </c:pt>
                <c:pt idx="39">
                  <c:v>65.518043641971403</c:v>
                </c:pt>
                <c:pt idx="40">
                  <c:v>63.966820656987039</c:v>
                </c:pt>
                <c:pt idx="41">
                  <c:v>63.832713588179637</c:v>
                </c:pt>
                <c:pt idx="42">
                  <c:v>68.120460605254337</c:v>
                </c:pt>
                <c:pt idx="43">
                  <c:v>66.524137340478418</c:v>
                </c:pt>
                <c:pt idx="44">
                  <c:v>63.855437341241519</c:v>
                </c:pt>
                <c:pt idx="45">
                  <c:v>63.733152164692491</c:v>
                </c:pt>
                <c:pt idx="46">
                  <c:v>62.236334680035156</c:v>
                </c:pt>
                <c:pt idx="47">
                  <c:v>63.270772730348853</c:v>
                </c:pt>
                <c:pt idx="48">
                  <c:v>60.63993127760294</c:v>
                </c:pt>
                <c:pt idx="49">
                  <c:v>61.847067184062134</c:v>
                </c:pt>
                <c:pt idx="50">
                  <c:v>63.247380926501833</c:v>
                </c:pt>
                <c:pt idx="51">
                  <c:v>63.589598708461018</c:v>
                </c:pt>
                <c:pt idx="52">
                  <c:v>63.977866830939526</c:v>
                </c:pt>
                <c:pt idx="53">
                  <c:v>63.995094592288908</c:v>
                </c:pt>
                <c:pt idx="54">
                  <c:v>64.006459022505325</c:v>
                </c:pt>
                <c:pt idx="55">
                  <c:v>62.104039055940568</c:v>
                </c:pt>
                <c:pt idx="56">
                  <c:v>60.149625681558661</c:v>
                </c:pt>
                <c:pt idx="57">
                  <c:v>59.711010886127696</c:v>
                </c:pt>
                <c:pt idx="58">
                  <c:v>59.96908831639994</c:v>
                </c:pt>
                <c:pt idx="59">
                  <c:v>60.851212761661323</c:v>
                </c:pt>
                <c:pt idx="60">
                  <c:v>62.282830533534984</c:v>
                </c:pt>
                <c:pt idx="61">
                  <c:v>62.32859491492475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5A39-4566-8EE6-6D0A89D219EA}"/>
            </c:ext>
          </c:extLst>
        </c:ser>
        <c:ser>
          <c:idx val="64"/>
          <c:order val="63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Carlo'!$E$65:$BN$65</c:f>
              <c:numCache>
                <c:formatCode>General</c:formatCode>
                <c:ptCount val="62"/>
                <c:pt idx="1">
                  <c:v>60.99</c:v>
                </c:pt>
                <c:pt idx="2">
                  <c:v>62.636105285304993</c:v>
                </c:pt>
                <c:pt idx="3">
                  <c:v>62.479571176411227</c:v>
                </c:pt>
                <c:pt idx="4">
                  <c:v>63.677971741636526</c:v>
                </c:pt>
                <c:pt idx="5">
                  <c:v>61.878673409528453</c:v>
                </c:pt>
                <c:pt idx="6">
                  <c:v>62.877699175547448</c:v>
                </c:pt>
                <c:pt idx="7">
                  <c:v>63.855700258435</c:v>
                </c:pt>
                <c:pt idx="8">
                  <c:v>62.613989139781708</c:v>
                </c:pt>
                <c:pt idx="9">
                  <c:v>64.633946967841354</c:v>
                </c:pt>
                <c:pt idx="10">
                  <c:v>63.791325797527726</c:v>
                </c:pt>
                <c:pt idx="11">
                  <c:v>62.925815903751669</c:v>
                </c:pt>
                <c:pt idx="12">
                  <c:v>63.986208013835913</c:v>
                </c:pt>
                <c:pt idx="13">
                  <c:v>65.041541018749257</c:v>
                </c:pt>
                <c:pt idx="14">
                  <c:v>62.307503007183414</c:v>
                </c:pt>
                <c:pt idx="15">
                  <c:v>62.161489620535662</c:v>
                </c:pt>
                <c:pt idx="16">
                  <c:v>60.69886415447818</c:v>
                </c:pt>
                <c:pt idx="17">
                  <c:v>62.445571433138447</c:v>
                </c:pt>
                <c:pt idx="18">
                  <c:v>63.290948958213271</c:v>
                </c:pt>
                <c:pt idx="19">
                  <c:v>63.064069244178292</c:v>
                </c:pt>
                <c:pt idx="20">
                  <c:v>64.055835292338884</c:v>
                </c:pt>
                <c:pt idx="21">
                  <c:v>63.419234864538772</c:v>
                </c:pt>
                <c:pt idx="22">
                  <c:v>64.446485729551057</c:v>
                </c:pt>
                <c:pt idx="23">
                  <c:v>64.804205792300948</c:v>
                </c:pt>
                <c:pt idx="24">
                  <c:v>65.872680572753211</c:v>
                </c:pt>
                <c:pt idx="25">
                  <c:v>67.945033087827895</c:v>
                </c:pt>
                <c:pt idx="26">
                  <c:v>68.346383817089844</c:v>
                </c:pt>
                <c:pt idx="27">
                  <c:v>69.556770096582355</c:v>
                </c:pt>
                <c:pt idx="28">
                  <c:v>66.894781995052583</c:v>
                </c:pt>
                <c:pt idx="29">
                  <c:v>64.565571678986913</c:v>
                </c:pt>
                <c:pt idx="30">
                  <c:v>62.97050910162676</c:v>
                </c:pt>
                <c:pt idx="31">
                  <c:v>65.455064624755565</c:v>
                </c:pt>
                <c:pt idx="32">
                  <c:v>66.801153628452298</c:v>
                </c:pt>
                <c:pt idx="33">
                  <c:v>66.503850523891444</c:v>
                </c:pt>
                <c:pt idx="34">
                  <c:v>64.063182837668634</c:v>
                </c:pt>
                <c:pt idx="35">
                  <c:v>66.560889210259248</c:v>
                </c:pt>
                <c:pt idx="36">
                  <c:v>67.346710740495212</c:v>
                </c:pt>
                <c:pt idx="37">
                  <c:v>66.051308283845415</c:v>
                </c:pt>
                <c:pt idx="38">
                  <c:v>65.280102650990955</c:v>
                </c:pt>
                <c:pt idx="39">
                  <c:v>65.722657196295799</c:v>
                </c:pt>
                <c:pt idx="40">
                  <c:v>64.674893089370173</c:v>
                </c:pt>
                <c:pt idx="41">
                  <c:v>65.599832553641448</c:v>
                </c:pt>
                <c:pt idx="42">
                  <c:v>64.906255639174319</c:v>
                </c:pt>
                <c:pt idx="43">
                  <c:v>65.808560992837045</c:v>
                </c:pt>
                <c:pt idx="44">
                  <c:v>64.606282207929993</c:v>
                </c:pt>
                <c:pt idx="45">
                  <c:v>63.480370082545122</c:v>
                </c:pt>
                <c:pt idx="46">
                  <c:v>64.376223083108798</c:v>
                </c:pt>
                <c:pt idx="47">
                  <c:v>66.091369615685053</c:v>
                </c:pt>
                <c:pt idx="48">
                  <c:v>67.814698523479279</c:v>
                </c:pt>
                <c:pt idx="49">
                  <c:v>67.322650311077453</c:v>
                </c:pt>
                <c:pt idx="50">
                  <c:v>66.531477754858003</c:v>
                </c:pt>
                <c:pt idx="51">
                  <c:v>66.514876726707655</c:v>
                </c:pt>
                <c:pt idx="52">
                  <c:v>66.243885657505174</c:v>
                </c:pt>
                <c:pt idx="53">
                  <c:v>68.097296727542258</c:v>
                </c:pt>
                <c:pt idx="54">
                  <c:v>69.278718394754151</c:v>
                </c:pt>
                <c:pt idx="55">
                  <c:v>71.48856175801069</c:v>
                </c:pt>
                <c:pt idx="56">
                  <c:v>72.265281659551164</c:v>
                </c:pt>
                <c:pt idx="57">
                  <c:v>72.564595229616941</c:v>
                </c:pt>
                <c:pt idx="58">
                  <c:v>71.045034235650334</c:v>
                </c:pt>
                <c:pt idx="59">
                  <c:v>72.328868613924229</c:v>
                </c:pt>
                <c:pt idx="60">
                  <c:v>73.783789658714696</c:v>
                </c:pt>
                <c:pt idx="61">
                  <c:v>75.403661263927333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A39-4566-8EE6-6D0A89D219EA}"/>
            </c:ext>
          </c:extLst>
        </c:ser>
        <c:ser>
          <c:idx val="65"/>
          <c:order val="64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Carlo'!$E$66:$BN$66</c:f>
              <c:numCache>
                <c:formatCode>General</c:formatCode>
                <c:ptCount val="62"/>
                <c:pt idx="1">
                  <c:v>60.99</c:v>
                </c:pt>
                <c:pt idx="2">
                  <c:v>62.517161916305824</c:v>
                </c:pt>
                <c:pt idx="3">
                  <c:v>61.263341592423856</c:v>
                </c:pt>
                <c:pt idx="4">
                  <c:v>63.978765754296582</c:v>
                </c:pt>
                <c:pt idx="5">
                  <c:v>62.103843170149617</c:v>
                </c:pt>
                <c:pt idx="6">
                  <c:v>63.506668527625237</c:v>
                </c:pt>
                <c:pt idx="7">
                  <c:v>62.639104553187288</c:v>
                </c:pt>
                <c:pt idx="8">
                  <c:v>64.98379323730893</c:v>
                </c:pt>
                <c:pt idx="9">
                  <c:v>62.813434456480273</c:v>
                </c:pt>
                <c:pt idx="10">
                  <c:v>62.73835189872117</c:v>
                </c:pt>
                <c:pt idx="11">
                  <c:v>61.931391125592896</c:v>
                </c:pt>
                <c:pt idx="12">
                  <c:v>60.14519235074372</c:v>
                </c:pt>
                <c:pt idx="13">
                  <c:v>59.882142048648241</c:v>
                </c:pt>
                <c:pt idx="14">
                  <c:v>59.201968356650092</c:v>
                </c:pt>
                <c:pt idx="15">
                  <c:v>59.227069997094645</c:v>
                </c:pt>
                <c:pt idx="16">
                  <c:v>58.307753694608742</c:v>
                </c:pt>
                <c:pt idx="17">
                  <c:v>58.634077538425252</c:v>
                </c:pt>
                <c:pt idx="18">
                  <c:v>57.959551601620269</c:v>
                </c:pt>
                <c:pt idx="19">
                  <c:v>57.827494390069489</c:v>
                </c:pt>
                <c:pt idx="20">
                  <c:v>59.734657614058349</c:v>
                </c:pt>
                <c:pt idx="21">
                  <c:v>57.631940952867872</c:v>
                </c:pt>
                <c:pt idx="22">
                  <c:v>57.379411082959621</c:v>
                </c:pt>
                <c:pt idx="23">
                  <c:v>54.401990218085437</c:v>
                </c:pt>
                <c:pt idx="24">
                  <c:v>54.005486552356487</c:v>
                </c:pt>
                <c:pt idx="25">
                  <c:v>53.952941884139079</c:v>
                </c:pt>
                <c:pt idx="26">
                  <c:v>53.476454154988353</c:v>
                </c:pt>
                <c:pt idx="27">
                  <c:v>53.607645051164539</c:v>
                </c:pt>
                <c:pt idx="28">
                  <c:v>53.202449074807873</c:v>
                </c:pt>
                <c:pt idx="29">
                  <c:v>54.053041383588891</c:v>
                </c:pt>
                <c:pt idx="30">
                  <c:v>55.437984829703218</c:v>
                </c:pt>
                <c:pt idx="31">
                  <c:v>56.33913510688275</c:v>
                </c:pt>
                <c:pt idx="32">
                  <c:v>57.0145403524022</c:v>
                </c:pt>
                <c:pt idx="33">
                  <c:v>56.102223757976368</c:v>
                </c:pt>
                <c:pt idx="34">
                  <c:v>54.687966612227065</c:v>
                </c:pt>
                <c:pt idx="35">
                  <c:v>56.192576141192546</c:v>
                </c:pt>
                <c:pt idx="36">
                  <c:v>54.366022407492849</c:v>
                </c:pt>
                <c:pt idx="37">
                  <c:v>54.218974489921848</c:v>
                </c:pt>
                <c:pt idx="38">
                  <c:v>54.008895919640082</c:v>
                </c:pt>
                <c:pt idx="39">
                  <c:v>54.9588090187953</c:v>
                </c:pt>
                <c:pt idx="40">
                  <c:v>56.086081067509078</c:v>
                </c:pt>
                <c:pt idx="41">
                  <c:v>55.675578654670133</c:v>
                </c:pt>
                <c:pt idx="42">
                  <c:v>59.003245675572614</c:v>
                </c:pt>
                <c:pt idx="43">
                  <c:v>59.02661001298187</c:v>
                </c:pt>
                <c:pt idx="44">
                  <c:v>59.040593594493437</c:v>
                </c:pt>
                <c:pt idx="45">
                  <c:v>58.784081335153083</c:v>
                </c:pt>
                <c:pt idx="46">
                  <c:v>60.755543647588638</c:v>
                </c:pt>
                <c:pt idx="47">
                  <c:v>61.784279078960914</c:v>
                </c:pt>
                <c:pt idx="48">
                  <c:v>61.697903186224316</c:v>
                </c:pt>
                <c:pt idx="49">
                  <c:v>59.08801759576599</c:v>
                </c:pt>
                <c:pt idx="50">
                  <c:v>57.456270177192387</c:v>
                </c:pt>
                <c:pt idx="51">
                  <c:v>56.698549715738807</c:v>
                </c:pt>
                <c:pt idx="52">
                  <c:v>56.169810822356794</c:v>
                </c:pt>
                <c:pt idx="53">
                  <c:v>57.619608255925542</c:v>
                </c:pt>
                <c:pt idx="54">
                  <c:v>57.282603820680123</c:v>
                </c:pt>
                <c:pt idx="55">
                  <c:v>56.787598543677262</c:v>
                </c:pt>
                <c:pt idx="56">
                  <c:v>55.95668564274785</c:v>
                </c:pt>
                <c:pt idx="57">
                  <c:v>57.015115263329093</c:v>
                </c:pt>
                <c:pt idx="58">
                  <c:v>56.292506100939598</c:v>
                </c:pt>
                <c:pt idx="59">
                  <c:v>56.215571514361059</c:v>
                </c:pt>
                <c:pt idx="60">
                  <c:v>55.076381059539266</c:v>
                </c:pt>
                <c:pt idx="61">
                  <c:v>55.383569980716089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5A39-4566-8EE6-6D0A89D219EA}"/>
            </c:ext>
          </c:extLst>
        </c:ser>
        <c:ser>
          <c:idx val="66"/>
          <c:order val="65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Carlo'!$E$67:$BN$67</c:f>
              <c:numCache>
                <c:formatCode>General</c:formatCode>
                <c:ptCount val="62"/>
                <c:pt idx="1">
                  <c:v>60.99</c:v>
                </c:pt>
                <c:pt idx="2">
                  <c:v>59.896950834001586</c:v>
                </c:pt>
                <c:pt idx="3">
                  <c:v>59.329387210610079</c:v>
                </c:pt>
                <c:pt idx="4">
                  <c:v>59.034141759083276</c:v>
                </c:pt>
                <c:pt idx="5">
                  <c:v>60.070938775332984</c:v>
                </c:pt>
                <c:pt idx="6">
                  <c:v>59.378211302217984</c:v>
                </c:pt>
                <c:pt idx="7">
                  <c:v>58.911323871029268</c:v>
                </c:pt>
                <c:pt idx="8">
                  <c:v>58.942329209274988</c:v>
                </c:pt>
                <c:pt idx="9">
                  <c:v>57.393280034271619</c:v>
                </c:pt>
                <c:pt idx="10">
                  <c:v>56.698290802923673</c:v>
                </c:pt>
                <c:pt idx="11">
                  <c:v>58.595863478858433</c:v>
                </c:pt>
                <c:pt idx="12">
                  <c:v>58.761418998370253</c:v>
                </c:pt>
                <c:pt idx="13">
                  <c:v>57.927317297677618</c:v>
                </c:pt>
                <c:pt idx="14">
                  <c:v>57.777802611942107</c:v>
                </c:pt>
                <c:pt idx="15">
                  <c:v>56.449354518482366</c:v>
                </c:pt>
                <c:pt idx="16">
                  <c:v>55.651901222690164</c:v>
                </c:pt>
                <c:pt idx="17">
                  <c:v>56.89249372723377</c:v>
                </c:pt>
                <c:pt idx="18">
                  <c:v>56.70779626921864</c:v>
                </c:pt>
                <c:pt idx="19">
                  <c:v>55.724379315734957</c:v>
                </c:pt>
                <c:pt idx="20">
                  <c:v>56.262475688290507</c:v>
                </c:pt>
                <c:pt idx="21">
                  <c:v>55.582441746363713</c:v>
                </c:pt>
                <c:pt idx="22">
                  <c:v>55.406364023882738</c:v>
                </c:pt>
                <c:pt idx="23">
                  <c:v>57.519798191000859</c:v>
                </c:pt>
                <c:pt idx="24">
                  <c:v>56.322581538042279</c:v>
                </c:pt>
                <c:pt idx="25">
                  <c:v>56.228249215749265</c:v>
                </c:pt>
                <c:pt idx="26">
                  <c:v>57.608917617681406</c:v>
                </c:pt>
                <c:pt idx="27">
                  <c:v>58.172548288896031</c:v>
                </c:pt>
                <c:pt idx="28">
                  <c:v>56.79287275999355</c:v>
                </c:pt>
                <c:pt idx="29">
                  <c:v>57.581473843456216</c:v>
                </c:pt>
                <c:pt idx="30">
                  <c:v>57.07012207825079</c:v>
                </c:pt>
                <c:pt idx="31">
                  <c:v>59.491643046229242</c:v>
                </c:pt>
                <c:pt idx="32">
                  <c:v>58.98270590502527</c:v>
                </c:pt>
                <c:pt idx="33">
                  <c:v>56.442586149245592</c:v>
                </c:pt>
                <c:pt idx="34">
                  <c:v>57.5306795963319</c:v>
                </c:pt>
                <c:pt idx="35">
                  <c:v>56.95854151779438</c:v>
                </c:pt>
                <c:pt idx="36">
                  <c:v>54.377404088634584</c:v>
                </c:pt>
                <c:pt idx="37">
                  <c:v>53.884419328973721</c:v>
                </c:pt>
                <c:pt idx="38">
                  <c:v>53.385216839681348</c:v>
                </c:pt>
                <c:pt idx="39">
                  <c:v>53.106861805599529</c:v>
                </c:pt>
                <c:pt idx="40">
                  <c:v>53.920839777907659</c:v>
                </c:pt>
                <c:pt idx="41">
                  <c:v>52.687092998963095</c:v>
                </c:pt>
                <c:pt idx="42">
                  <c:v>54.063800711486273</c:v>
                </c:pt>
                <c:pt idx="43">
                  <c:v>54.685813274976844</c:v>
                </c:pt>
                <c:pt idx="44">
                  <c:v>55.381106211722788</c:v>
                </c:pt>
                <c:pt idx="45">
                  <c:v>55.22487270555505</c:v>
                </c:pt>
                <c:pt idx="46">
                  <c:v>54.753823317572078</c:v>
                </c:pt>
                <c:pt idx="47">
                  <c:v>55.153899970828668</c:v>
                </c:pt>
                <c:pt idx="48">
                  <c:v>53.51749805108885</c:v>
                </c:pt>
                <c:pt idx="49">
                  <c:v>51.575717834540072</c:v>
                </c:pt>
                <c:pt idx="50">
                  <c:v>51.671704868218839</c:v>
                </c:pt>
                <c:pt idx="51">
                  <c:v>52.514524002342149</c:v>
                </c:pt>
                <c:pt idx="52">
                  <c:v>52.780194914832236</c:v>
                </c:pt>
                <c:pt idx="53">
                  <c:v>52.901094147615154</c:v>
                </c:pt>
                <c:pt idx="54">
                  <c:v>53.040602456089196</c:v>
                </c:pt>
                <c:pt idx="55">
                  <c:v>51.771337287534422</c:v>
                </c:pt>
                <c:pt idx="56">
                  <c:v>53.415390504044666</c:v>
                </c:pt>
                <c:pt idx="57">
                  <c:v>54.404053681687522</c:v>
                </c:pt>
                <c:pt idx="58">
                  <c:v>54.357428828452349</c:v>
                </c:pt>
                <c:pt idx="59">
                  <c:v>55.817886408439918</c:v>
                </c:pt>
                <c:pt idx="60">
                  <c:v>56.201720300666636</c:v>
                </c:pt>
                <c:pt idx="61">
                  <c:v>56.176743527480802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A39-4566-8EE6-6D0A89D219EA}"/>
            </c:ext>
          </c:extLst>
        </c:ser>
        <c:ser>
          <c:idx val="67"/>
          <c:order val="66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Carlo'!$E$68:$BN$68</c:f>
              <c:numCache>
                <c:formatCode>General</c:formatCode>
                <c:ptCount val="62"/>
                <c:pt idx="1">
                  <c:v>60.99</c:v>
                </c:pt>
                <c:pt idx="2">
                  <c:v>61.441237897930812</c:v>
                </c:pt>
                <c:pt idx="3">
                  <c:v>64.06016180736529</c:v>
                </c:pt>
                <c:pt idx="4">
                  <c:v>64.181170480258487</c:v>
                </c:pt>
                <c:pt idx="5">
                  <c:v>66.492811782113037</c:v>
                </c:pt>
                <c:pt idx="6">
                  <c:v>66.545996009348272</c:v>
                </c:pt>
                <c:pt idx="7">
                  <c:v>67.211328505877759</c:v>
                </c:pt>
                <c:pt idx="8">
                  <c:v>66.030744658612775</c:v>
                </c:pt>
                <c:pt idx="9">
                  <c:v>65.706055366024643</c:v>
                </c:pt>
                <c:pt idx="10">
                  <c:v>68.02970553663485</c:v>
                </c:pt>
                <c:pt idx="11">
                  <c:v>69.34776917822748</c:v>
                </c:pt>
                <c:pt idx="12">
                  <c:v>68.503517987197029</c:v>
                </c:pt>
                <c:pt idx="13">
                  <c:v>69.252191612255373</c:v>
                </c:pt>
                <c:pt idx="14">
                  <c:v>67.263348590914802</c:v>
                </c:pt>
                <c:pt idx="15">
                  <c:v>69.485491809696299</c:v>
                </c:pt>
                <c:pt idx="16">
                  <c:v>68.96453153955764</c:v>
                </c:pt>
                <c:pt idx="17">
                  <c:v>68.309456378731582</c:v>
                </c:pt>
                <c:pt idx="18">
                  <c:v>67.644984627883076</c:v>
                </c:pt>
                <c:pt idx="19">
                  <c:v>68.709575972936889</c:v>
                </c:pt>
                <c:pt idx="20">
                  <c:v>68.188265539421266</c:v>
                </c:pt>
                <c:pt idx="21">
                  <c:v>68.004606371697378</c:v>
                </c:pt>
                <c:pt idx="22">
                  <c:v>68.73921921876277</c:v>
                </c:pt>
                <c:pt idx="23">
                  <c:v>66.462351433524645</c:v>
                </c:pt>
                <c:pt idx="24">
                  <c:v>64.328579101933016</c:v>
                </c:pt>
                <c:pt idx="25">
                  <c:v>66.520006822576931</c:v>
                </c:pt>
                <c:pt idx="26">
                  <c:v>65.017593801005532</c:v>
                </c:pt>
                <c:pt idx="27">
                  <c:v>65.762591743013431</c:v>
                </c:pt>
                <c:pt idx="28">
                  <c:v>67.306085210249492</c:v>
                </c:pt>
                <c:pt idx="29">
                  <c:v>66.5371699101253</c:v>
                </c:pt>
                <c:pt idx="30">
                  <c:v>66.266012404740309</c:v>
                </c:pt>
                <c:pt idx="31">
                  <c:v>65.904778805522213</c:v>
                </c:pt>
                <c:pt idx="32">
                  <c:v>66.152164263852882</c:v>
                </c:pt>
                <c:pt idx="33">
                  <c:v>63.758800217955461</c:v>
                </c:pt>
                <c:pt idx="34">
                  <c:v>66.262288356096178</c:v>
                </c:pt>
                <c:pt idx="35">
                  <c:v>64.576793503773786</c:v>
                </c:pt>
                <c:pt idx="36">
                  <c:v>65.660042232001459</c:v>
                </c:pt>
                <c:pt idx="37">
                  <c:v>65.975192977139287</c:v>
                </c:pt>
                <c:pt idx="38">
                  <c:v>64.530494856123909</c:v>
                </c:pt>
                <c:pt idx="39">
                  <c:v>64.56773548748815</c:v>
                </c:pt>
                <c:pt idx="40">
                  <c:v>63.706503166370055</c:v>
                </c:pt>
                <c:pt idx="41">
                  <c:v>64.398154520319579</c:v>
                </c:pt>
                <c:pt idx="42">
                  <c:v>62.908345422334513</c:v>
                </c:pt>
                <c:pt idx="43">
                  <c:v>63.559720591575221</c:v>
                </c:pt>
                <c:pt idx="44">
                  <c:v>64.764098722427278</c:v>
                </c:pt>
                <c:pt idx="45">
                  <c:v>65.009905488139424</c:v>
                </c:pt>
                <c:pt idx="46">
                  <c:v>65.303740215253811</c:v>
                </c:pt>
                <c:pt idx="47">
                  <c:v>67.161288831646829</c:v>
                </c:pt>
                <c:pt idx="48">
                  <c:v>66.287964966678842</c:v>
                </c:pt>
                <c:pt idx="49">
                  <c:v>64.548538912426608</c:v>
                </c:pt>
                <c:pt idx="50">
                  <c:v>66.723775977572956</c:v>
                </c:pt>
                <c:pt idx="51">
                  <c:v>66.98676269917496</c:v>
                </c:pt>
                <c:pt idx="52">
                  <c:v>65.506109227193676</c:v>
                </c:pt>
                <c:pt idx="53">
                  <c:v>66.261569405156521</c:v>
                </c:pt>
                <c:pt idx="54">
                  <c:v>64.424763678854049</c:v>
                </c:pt>
                <c:pt idx="55">
                  <c:v>63.775463478599697</c:v>
                </c:pt>
                <c:pt idx="56">
                  <c:v>62.365086331439826</c:v>
                </c:pt>
                <c:pt idx="57">
                  <c:v>62.284649344312434</c:v>
                </c:pt>
                <c:pt idx="58">
                  <c:v>62.013055564050426</c:v>
                </c:pt>
                <c:pt idx="59">
                  <c:v>62.233414401252006</c:v>
                </c:pt>
                <c:pt idx="60">
                  <c:v>60.867596027491032</c:v>
                </c:pt>
                <c:pt idx="61">
                  <c:v>62.681633473023801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A39-4566-8EE6-6D0A89D219EA}"/>
            </c:ext>
          </c:extLst>
        </c:ser>
        <c:ser>
          <c:idx val="68"/>
          <c:order val="67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Carlo'!$E$69:$BN$69</c:f>
              <c:numCache>
                <c:formatCode>General</c:formatCode>
                <c:ptCount val="62"/>
                <c:pt idx="1">
                  <c:v>60.99</c:v>
                </c:pt>
                <c:pt idx="2">
                  <c:v>61.80839141945772</c:v>
                </c:pt>
                <c:pt idx="3">
                  <c:v>62.274653813752337</c:v>
                </c:pt>
                <c:pt idx="4">
                  <c:v>61.620032096531588</c:v>
                </c:pt>
                <c:pt idx="5">
                  <c:v>60.721857478536954</c:v>
                </c:pt>
                <c:pt idx="6">
                  <c:v>58.773779725887778</c:v>
                </c:pt>
                <c:pt idx="7">
                  <c:v>59.207244947062321</c:v>
                </c:pt>
                <c:pt idx="8">
                  <c:v>59.003726438020578</c:v>
                </c:pt>
                <c:pt idx="9">
                  <c:v>60.798380411653838</c:v>
                </c:pt>
                <c:pt idx="10">
                  <c:v>61.898136198865281</c:v>
                </c:pt>
                <c:pt idx="11">
                  <c:v>62.024540912313562</c:v>
                </c:pt>
                <c:pt idx="12">
                  <c:v>63.727426305901247</c:v>
                </c:pt>
                <c:pt idx="13">
                  <c:v>65.138947005166628</c:v>
                </c:pt>
                <c:pt idx="14">
                  <c:v>64.919381114865374</c:v>
                </c:pt>
                <c:pt idx="15">
                  <c:v>66.849178818098096</c:v>
                </c:pt>
                <c:pt idx="16">
                  <c:v>67.071000065785753</c:v>
                </c:pt>
                <c:pt idx="17">
                  <c:v>66.703208062966723</c:v>
                </c:pt>
                <c:pt idx="18">
                  <c:v>67.379262755220552</c:v>
                </c:pt>
                <c:pt idx="19">
                  <c:v>67.743927323007767</c:v>
                </c:pt>
                <c:pt idx="20">
                  <c:v>68.925083065985206</c:v>
                </c:pt>
                <c:pt idx="21">
                  <c:v>68.304362815313581</c:v>
                </c:pt>
                <c:pt idx="22">
                  <c:v>68.000706441415801</c:v>
                </c:pt>
                <c:pt idx="23">
                  <c:v>68.946536759547953</c:v>
                </c:pt>
                <c:pt idx="24">
                  <c:v>69.230576349995914</c:v>
                </c:pt>
                <c:pt idx="25">
                  <c:v>68.151004158336903</c:v>
                </c:pt>
                <c:pt idx="26">
                  <c:v>69.823154597857098</c:v>
                </c:pt>
                <c:pt idx="27">
                  <c:v>69.0205960322739</c:v>
                </c:pt>
                <c:pt idx="28">
                  <c:v>70.370135748408842</c:v>
                </c:pt>
                <c:pt idx="29">
                  <c:v>71.666212337700259</c:v>
                </c:pt>
                <c:pt idx="30">
                  <c:v>70.364912979729098</c:v>
                </c:pt>
                <c:pt idx="31">
                  <c:v>72.14923878675674</c:v>
                </c:pt>
                <c:pt idx="32">
                  <c:v>72.405405115791211</c:v>
                </c:pt>
                <c:pt idx="33">
                  <c:v>74.086687452622328</c:v>
                </c:pt>
                <c:pt idx="34">
                  <c:v>73.994649486856702</c:v>
                </c:pt>
                <c:pt idx="35">
                  <c:v>72.555870310619994</c:v>
                </c:pt>
                <c:pt idx="36">
                  <c:v>71.186078343213111</c:v>
                </c:pt>
                <c:pt idx="37">
                  <c:v>73.350051765805475</c:v>
                </c:pt>
                <c:pt idx="38">
                  <c:v>73.467751884650312</c:v>
                </c:pt>
                <c:pt idx="39">
                  <c:v>74.252627657176149</c:v>
                </c:pt>
                <c:pt idx="40">
                  <c:v>71.1625346610126</c:v>
                </c:pt>
                <c:pt idx="41">
                  <c:v>72.417687639506454</c:v>
                </c:pt>
                <c:pt idx="42">
                  <c:v>74.169716894909755</c:v>
                </c:pt>
                <c:pt idx="43">
                  <c:v>75.477802105879661</c:v>
                </c:pt>
                <c:pt idx="44">
                  <c:v>74.467712610266048</c:v>
                </c:pt>
                <c:pt idx="45">
                  <c:v>74.581478923237171</c:v>
                </c:pt>
                <c:pt idx="46">
                  <c:v>73.364513110995901</c:v>
                </c:pt>
                <c:pt idx="47">
                  <c:v>75.255431898937687</c:v>
                </c:pt>
                <c:pt idx="48">
                  <c:v>75.89197327905147</c:v>
                </c:pt>
                <c:pt idx="49">
                  <c:v>78.316541749027436</c:v>
                </c:pt>
                <c:pt idx="50">
                  <c:v>78.566979104044364</c:v>
                </c:pt>
                <c:pt idx="51">
                  <c:v>77.577923661076298</c:v>
                </c:pt>
                <c:pt idx="52">
                  <c:v>77.99811495279954</c:v>
                </c:pt>
                <c:pt idx="53">
                  <c:v>79.058882069880084</c:v>
                </c:pt>
                <c:pt idx="54">
                  <c:v>78.564545944556457</c:v>
                </c:pt>
                <c:pt idx="55">
                  <c:v>81.418637194983233</c:v>
                </c:pt>
                <c:pt idx="56">
                  <c:v>81.325121046643773</c:v>
                </c:pt>
                <c:pt idx="57">
                  <c:v>82.405724703076942</c:v>
                </c:pt>
                <c:pt idx="58">
                  <c:v>81.220408286564407</c:v>
                </c:pt>
                <c:pt idx="59">
                  <c:v>79.607614427524823</c:v>
                </c:pt>
                <c:pt idx="60">
                  <c:v>78.288912914779303</c:v>
                </c:pt>
                <c:pt idx="61">
                  <c:v>80.375510087124766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A39-4566-8EE6-6D0A89D219EA}"/>
            </c:ext>
          </c:extLst>
        </c:ser>
        <c:ser>
          <c:idx val="69"/>
          <c:order val="68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Carlo'!$E$70:$BN$70</c:f>
              <c:numCache>
                <c:formatCode>General</c:formatCode>
                <c:ptCount val="62"/>
                <c:pt idx="1">
                  <c:v>60.99</c:v>
                </c:pt>
                <c:pt idx="2">
                  <c:v>62.039053638784253</c:v>
                </c:pt>
                <c:pt idx="3">
                  <c:v>62.296633065005324</c:v>
                </c:pt>
                <c:pt idx="4">
                  <c:v>63.172821844542618</c:v>
                </c:pt>
                <c:pt idx="5">
                  <c:v>64.920728820710863</c:v>
                </c:pt>
                <c:pt idx="6">
                  <c:v>63.109673628863234</c:v>
                </c:pt>
                <c:pt idx="7">
                  <c:v>62.875153501754319</c:v>
                </c:pt>
                <c:pt idx="8">
                  <c:v>62.223281941024325</c:v>
                </c:pt>
                <c:pt idx="9">
                  <c:v>63.002108175618851</c:v>
                </c:pt>
                <c:pt idx="10">
                  <c:v>61.631166011067187</c:v>
                </c:pt>
                <c:pt idx="11">
                  <c:v>62.660223777445403</c:v>
                </c:pt>
                <c:pt idx="12">
                  <c:v>62.149268980468825</c:v>
                </c:pt>
                <c:pt idx="13">
                  <c:v>61.661194783275477</c:v>
                </c:pt>
                <c:pt idx="14">
                  <c:v>61.646141914579495</c:v>
                </c:pt>
                <c:pt idx="15">
                  <c:v>61.780089292994795</c:v>
                </c:pt>
                <c:pt idx="16">
                  <c:v>61.984637420589955</c:v>
                </c:pt>
                <c:pt idx="17">
                  <c:v>60.426771676454841</c:v>
                </c:pt>
                <c:pt idx="18">
                  <c:v>58.98550536309429</c:v>
                </c:pt>
                <c:pt idx="19">
                  <c:v>60.139499328104847</c:v>
                </c:pt>
                <c:pt idx="20">
                  <c:v>61.899559086259138</c:v>
                </c:pt>
                <c:pt idx="21">
                  <c:v>61.868507893892847</c:v>
                </c:pt>
                <c:pt idx="22">
                  <c:v>61.047440564979134</c:v>
                </c:pt>
                <c:pt idx="23">
                  <c:v>63.90499943730309</c:v>
                </c:pt>
                <c:pt idx="24">
                  <c:v>64.387728896233938</c:v>
                </c:pt>
                <c:pt idx="25">
                  <c:v>64.155348177272998</c:v>
                </c:pt>
                <c:pt idx="26">
                  <c:v>62.126481125272313</c:v>
                </c:pt>
                <c:pt idx="27">
                  <c:v>64.095343143687302</c:v>
                </c:pt>
                <c:pt idx="28">
                  <c:v>62.466914415175594</c:v>
                </c:pt>
                <c:pt idx="29">
                  <c:v>64.73797249317424</c:v>
                </c:pt>
                <c:pt idx="30">
                  <c:v>67.442180514694982</c:v>
                </c:pt>
                <c:pt idx="31">
                  <c:v>64.028783051033272</c:v>
                </c:pt>
                <c:pt idx="32">
                  <c:v>62.69632390722694</c:v>
                </c:pt>
                <c:pt idx="33">
                  <c:v>64.184329466766812</c:v>
                </c:pt>
                <c:pt idx="34">
                  <c:v>61.935145005963712</c:v>
                </c:pt>
                <c:pt idx="35">
                  <c:v>60.375559176505334</c:v>
                </c:pt>
                <c:pt idx="36">
                  <c:v>59.430881155529278</c:v>
                </c:pt>
                <c:pt idx="37">
                  <c:v>60.943918440803863</c:v>
                </c:pt>
                <c:pt idx="38">
                  <c:v>60.761288803242266</c:v>
                </c:pt>
                <c:pt idx="39">
                  <c:v>60.297247867768618</c:v>
                </c:pt>
                <c:pt idx="40">
                  <c:v>61.024366988721958</c:v>
                </c:pt>
                <c:pt idx="41">
                  <c:v>62.099861940020034</c:v>
                </c:pt>
                <c:pt idx="42">
                  <c:v>61.421578626290177</c:v>
                </c:pt>
                <c:pt idx="43">
                  <c:v>59.24346314437193</c:v>
                </c:pt>
                <c:pt idx="44">
                  <c:v>60.906847435512177</c:v>
                </c:pt>
                <c:pt idx="45">
                  <c:v>61.543990023343447</c:v>
                </c:pt>
                <c:pt idx="46">
                  <c:v>61.329836699975381</c:v>
                </c:pt>
                <c:pt idx="47">
                  <c:v>63.351634634898176</c:v>
                </c:pt>
                <c:pt idx="48">
                  <c:v>62.787200694466762</c:v>
                </c:pt>
                <c:pt idx="49">
                  <c:v>62.253857216901757</c:v>
                </c:pt>
                <c:pt idx="50">
                  <c:v>62.10738557861248</c:v>
                </c:pt>
                <c:pt idx="51">
                  <c:v>60.991686081099509</c:v>
                </c:pt>
                <c:pt idx="52">
                  <c:v>60.823847989235652</c:v>
                </c:pt>
                <c:pt idx="53">
                  <c:v>61.207245189172113</c:v>
                </c:pt>
                <c:pt idx="54">
                  <c:v>59.844505956345799</c:v>
                </c:pt>
                <c:pt idx="55">
                  <c:v>60.75586548695447</c:v>
                </c:pt>
                <c:pt idx="56">
                  <c:v>60.206382236030841</c:v>
                </c:pt>
                <c:pt idx="57">
                  <c:v>59.329516555786881</c:v>
                </c:pt>
                <c:pt idx="58">
                  <c:v>58.100655023773633</c:v>
                </c:pt>
                <c:pt idx="59">
                  <c:v>59.35917520832254</c:v>
                </c:pt>
                <c:pt idx="60">
                  <c:v>59.226565517282083</c:v>
                </c:pt>
                <c:pt idx="61">
                  <c:v>58.686783921711623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5A39-4566-8EE6-6D0A89D219EA}"/>
            </c:ext>
          </c:extLst>
        </c:ser>
        <c:ser>
          <c:idx val="70"/>
          <c:order val="69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Carlo'!$E$71:$BN$71</c:f>
              <c:numCache>
                <c:formatCode>General</c:formatCode>
                <c:ptCount val="62"/>
                <c:pt idx="1">
                  <c:v>60.99</c:v>
                </c:pt>
                <c:pt idx="2">
                  <c:v>62.538249632258264</c:v>
                </c:pt>
                <c:pt idx="3">
                  <c:v>62.12874319341433</c:v>
                </c:pt>
                <c:pt idx="4">
                  <c:v>62.154330647698259</c:v>
                </c:pt>
                <c:pt idx="5">
                  <c:v>63.148996715253759</c:v>
                </c:pt>
                <c:pt idx="6">
                  <c:v>63.689827877398457</c:v>
                </c:pt>
                <c:pt idx="7">
                  <c:v>60.971490104240488</c:v>
                </c:pt>
                <c:pt idx="8">
                  <c:v>62.871164083288946</c:v>
                </c:pt>
                <c:pt idx="9">
                  <c:v>61.222906415509115</c:v>
                </c:pt>
                <c:pt idx="10">
                  <c:v>60.841243554877352</c:v>
                </c:pt>
                <c:pt idx="11">
                  <c:v>61.9625494306934</c:v>
                </c:pt>
                <c:pt idx="12">
                  <c:v>61.513408127828377</c:v>
                </c:pt>
                <c:pt idx="13">
                  <c:v>59.937142035802289</c:v>
                </c:pt>
                <c:pt idx="14">
                  <c:v>60.942834893872778</c:v>
                </c:pt>
                <c:pt idx="15">
                  <c:v>61.913938815667713</c:v>
                </c:pt>
                <c:pt idx="16">
                  <c:v>63.285961712068385</c:v>
                </c:pt>
                <c:pt idx="17">
                  <c:v>63.938851398580283</c:v>
                </c:pt>
                <c:pt idx="18">
                  <c:v>65.63086517014537</c:v>
                </c:pt>
                <c:pt idx="19">
                  <c:v>65.848204193799134</c:v>
                </c:pt>
                <c:pt idx="20">
                  <c:v>65.460681483297321</c:v>
                </c:pt>
                <c:pt idx="21">
                  <c:v>65.334470224910902</c:v>
                </c:pt>
                <c:pt idx="22">
                  <c:v>67.228888912914186</c:v>
                </c:pt>
                <c:pt idx="23">
                  <c:v>67.200668851351992</c:v>
                </c:pt>
                <c:pt idx="24">
                  <c:v>67.335231580670367</c:v>
                </c:pt>
                <c:pt idx="25">
                  <c:v>67.704174933482435</c:v>
                </c:pt>
                <c:pt idx="26">
                  <c:v>69.848732279493149</c:v>
                </c:pt>
                <c:pt idx="27">
                  <c:v>72.063555246153285</c:v>
                </c:pt>
                <c:pt idx="28">
                  <c:v>69.953187511402589</c:v>
                </c:pt>
                <c:pt idx="29">
                  <c:v>70.677431586981484</c:v>
                </c:pt>
                <c:pt idx="30">
                  <c:v>71.734671945261965</c:v>
                </c:pt>
                <c:pt idx="31">
                  <c:v>71.947905348673146</c:v>
                </c:pt>
                <c:pt idx="32">
                  <c:v>74.282171647225042</c:v>
                </c:pt>
                <c:pt idx="33">
                  <c:v>74.891051077877506</c:v>
                </c:pt>
                <c:pt idx="34">
                  <c:v>77.007581349076901</c:v>
                </c:pt>
                <c:pt idx="35">
                  <c:v>77.610724140233927</c:v>
                </c:pt>
                <c:pt idx="36">
                  <c:v>78.096329256058084</c:v>
                </c:pt>
                <c:pt idx="37">
                  <c:v>75.778659555581612</c:v>
                </c:pt>
                <c:pt idx="38">
                  <c:v>74.43339752754602</c:v>
                </c:pt>
                <c:pt idx="39">
                  <c:v>75.725042524384378</c:v>
                </c:pt>
                <c:pt idx="40">
                  <c:v>75.8729958210278</c:v>
                </c:pt>
                <c:pt idx="41">
                  <c:v>75.272629953820584</c:v>
                </c:pt>
                <c:pt idx="42">
                  <c:v>73.333356717702728</c:v>
                </c:pt>
                <c:pt idx="43">
                  <c:v>72.428711259939519</c:v>
                </c:pt>
                <c:pt idx="44">
                  <c:v>73.351363707299427</c:v>
                </c:pt>
                <c:pt idx="45">
                  <c:v>74.448807826824918</c:v>
                </c:pt>
                <c:pt idx="46">
                  <c:v>75.619986503330267</c:v>
                </c:pt>
                <c:pt idx="47">
                  <c:v>75.846516290048513</c:v>
                </c:pt>
                <c:pt idx="48">
                  <c:v>75.165080822521318</c:v>
                </c:pt>
                <c:pt idx="49">
                  <c:v>75.342186434152651</c:v>
                </c:pt>
                <c:pt idx="50">
                  <c:v>74.07106248165546</c:v>
                </c:pt>
                <c:pt idx="51">
                  <c:v>73.489670982195562</c:v>
                </c:pt>
                <c:pt idx="52">
                  <c:v>74.637994853841903</c:v>
                </c:pt>
                <c:pt idx="53">
                  <c:v>73.225258628555679</c:v>
                </c:pt>
                <c:pt idx="54">
                  <c:v>73.007536715865967</c:v>
                </c:pt>
                <c:pt idx="55">
                  <c:v>73.256731632009135</c:v>
                </c:pt>
                <c:pt idx="56">
                  <c:v>73.919236924072976</c:v>
                </c:pt>
                <c:pt idx="57">
                  <c:v>77.328275367220215</c:v>
                </c:pt>
                <c:pt idx="58">
                  <c:v>79.577727883340046</c:v>
                </c:pt>
                <c:pt idx="59">
                  <c:v>79.94576903782071</c:v>
                </c:pt>
                <c:pt idx="60">
                  <c:v>81.891085940217664</c:v>
                </c:pt>
                <c:pt idx="61">
                  <c:v>83.667935351949581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A39-4566-8EE6-6D0A89D219EA}"/>
            </c:ext>
          </c:extLst>
        </c:ser>
        <c:ser>
          <c:idx val="71"/>
          <c:order val="70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Carlo'!$E$72:$BN$72</c:f>
              <c:numCache>
                <c:formatCode>General</c:formatCode>
                <c:ptCount val="62"/>
                <c:pt idx="1">
                  <c:v>60.99</c:v>
                </c:pt>
                <c:pt idx="2">
                  <c:v>60.373364648514034</c:v>
                </c:pt>
                <c:pt idx="3">
                  <c:v>58.99952252186155</c:v>
                </c:pt>
                <c:pt idx="4">
                  <c:v>58.801200197108734</c:v>
                </c:pt>
                <c:pt idx="5">
                  <c:v>58.082844399902882</c:v>
                </c:pt>
                <c:pt idx="6">
                  <c:v>58.865746264464256</c:v>
                </c:pt>
                <c:pt idx="7">
                  <c:v>58.794496483103764</c:v>
                </c:pt>
                <c:pt idx="8">
                  <c:v>59.795188530803408</c:v>
                </c:pt>
                <c:pt idx="9">
                  <c:v>59.755913216769677</c:v>
                </c:pt>
                <c:pt idx="10">
                  <c:v>57.434606241971458</c:v>
                </c:pt>
                <c:pt idx="11">
                  <c:v>56.949961097655105</c:v>
                </c:pt>
                <c:pt idx="12">
                  <c:v>57.146637831983888</c:v>
                </c:pt>
                <c:pt idx="13">
                  <c:v>57.282012385882311</c:v>
                </c:pt>
                <c:pt idx="14">
                  <c:v>56.648488894417213</c:v>
                </c:pt>
                <c:pt idx="15">
                  <c:v>54.961995064049475</c:v>
                </c:pt>
                <c:pt idx="16">
                  <c:v>56.197465992798982</c:v>
                </c:pt>
                <c:pt idx="17">
                  <c:v>55.603002628712254</c:v>
                </c:pt>
                <c:pt idx="18">
                  <c:v>56.871548431346525</c:v>
                </c:pt>
                <c:pt idx="19">
                  <c:v>55.560419490420266</c:v>
                </c:pt>
                <c:pt idx="20">
                  <c:v>54.636670857922482</c:v>
                </c:pt>
                <c:pt idx="21">
                  <c:v>55.612689042914255</c:v>
                </c:pt>
                <c:pt idx="22">
                  <c:v>55.224241504043185</c:v>
                </c:pt>
                <c:pt idx="23">
                  <c:v>55.785892969865692</c:v>
                </c:pt>
                <c:pt idx="24">
                  <c:v>57.962041126479235</c:v>
                </c:pt>
                <c:pt idx="25">
                  <c:v>58.042622697733684</c:v>
                </c:pt>
                <c:pt idx="26">
                  <c:v>58.825264936333767</c:v>
                </c:pt>
                <c:pt idx="27">
                  <c:v>59.526401176179689</c:v>
                </c:pt>
                <c:pt idx="28">
                  <c:v>59.850521894540648</c:v>
                </c:pt>
                <c:pt idx="29">
                  <c:v>61.40689391513029</c:v>
                </c:pt>
                <c:pt idx="30">
                  <c:v>61.713083603532688</c:v>
                </c:pt>
                <c:pt idx="31">
                  <c:v>61.071050723507568</c:v>
                </c:pt>
                <c:pt idx="32">
                  <c:v>60.507946025167548</c:v>
                </c:pt>
                <c:pt idx="33">
                  <c:v>59.95327523584892</c:v>
                </c:pt>
                <c:pt idx="34">
                  <c:v>61.706423135519813</c:v>
                </c:pt>
                <c:pt idx="35">
                  <c:v>61.198629440964119</c:v>
                </c:pt>
                <c:pt idx="36">
                  <c:v>61.043054406985917</c:v>
                </c:pt>
                <c:pt idx="37">
                  <c:v>61.524273933323173</c:v>
                </c:pt>
                <c:pt idx="38">
                  <c:v>60.870016718054202</c:v>
                </c:pt>
                <c:pt idx="39">
                  <c:v>60.280017584260847</c:v>
                </c:pt>
                <c:pt idx="40">
                  <c:v>59.494864052349556</c:v>
                </c:pt>
                <c:pt idx="41">
                  <c:v>60.556963558362696</c:v>
                </c:pt>
                <c:pt idx="42">
                  <c:v>61.677705122951267</c:v>
                </c:pt>
                <c:pt idx="43">
                  <c:v>63.251894002573607</c:v>
                </c:pt>
                <c:pt idx="44">
                  <c:v>63.74973932341797</c:v>
                </c:pt>
                <c:pt idx="45">
                  <c:v>63.451197848237619</c:v>
                </c:pt>
                <c:pt idx="46">
                  <c:v>64.044184051253126</c:v>
                </c:pt>
                <c:pt idx="47">
                  <c:v>65.045411467830249</c:v>
                </c:pt>
                <c:pt idx="48">
                  <c:v>64.696674670397627</c:v>
                </c:pt>
                <c:pt idx="49">
                  <c:v>65.230710684440254</c:v>
                </c:pt>
                <c:pt idx="50">
                  <c:v>65.813876719759477</c:v>
                </c:pt>
                <c:pt idx="51">
                  <c:v>66.06307280136393</c:v>
                </c:pt>
                <c:pt idx="52">
                  <c:v>65.921074531586115</c:v>
                </c:pt>
                <c:pt idx="53">
                  <c:v>66.370290013044794</c:v>
                </c:pt>
                <c:pt idx="54">
                  <c:v>66.897346099197989</c:v>
                </c:pt>
                <c:pt idx="55">
                  <c:v>64.537430375592336</c:v>
                </c:pt>
                <c:pt idx="56">
                  <c:v>64.448832648717925</c:v>
                </c:pt>
                <c:pt idx="57">
                  <c:v>64.317879519384348</c:v>
                </c:pt>
                <c:pt idx="58">
                  <c:v>62.121237425702752</c:v>
                </c:pt>
                <c:pt idx="59">
                  <c:v>64.106968732467067</c:v>
                </c:pt>
                <c:pt idx="60">
                  <c:v>64.058400290444567</c:v>
                </c:pt>
                <c:pt idx="61">
                  <c:v>65.445416123501886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5A39-4566-8EE6-6D0A89D219EA}"/>
            </c:ext>
          </c:extLst>
        </c:ser>
        <c:ser>
          <c:idx val="72"/>
          <c:order val="71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Carlo'!$E$73:$BN$73</c:f>
              <c:numCache>
                <c:formatCode>General</c:formatCode>
                <c:ptCount val="62"/>
                <c:pt idx="1">
                  <c:v>60.99</c:v>
                </c:pt>
                <c:pt idx="2">
                  <c:v>60.647139277739804</c:v>
                </c:pt>
                <c:pt idx="3">
                  <c:v>60.300933065296931</c:v>
                </c:pt>
                <c:pt idx="4">
                  <c:v>61.367047271259935</c:v>
                </c:pt>
                <c:pt idx="5">
                  <c:v>62.417110782251903</c:v>
                </c:pt>
                <c:pt idx="6">
                  <c:v>63.693574803665157</c:v>
                </c:pt>
                <c:pt idx="7">
                  <c:v>66.563190158679959</c:v>
                </c:pt>
                <c:pt idx="8">
                  <c:v>68.112028611585572</c:v>
                </c:pt>
                <c:pt idx="9">
                  <c:v>69.007078793396289</c:v>
                </c:pt>
                <c:pt idx="10">
                  <c:v>67.973510707203985</c:v>
                </c:pt>
                <c:pt idx="11">
                  <c:v>69.168347451527751</c:v>
                </c:pt>
                <c:pt idx="12">
                  <c:v>68.633495125071633</c:v>
                </c:pt>
                <c:pt idx="13">
                  <c:v>68.489082756190683</c:v>
                </c:pt>
                <c:pt idx="14">
                  <c:v>67.064609829710491</c:v>
                </c:pt>
                <c:pt idx="15">
                  <c:v>67.765564769737864</c:v>
                </c:pt>
                <c:pt idx="16">
                  <c:v>68.217165538700129</c:v>
                </c:pt>
                <c:pt idx="17">
                  <c:v>67.820992920610692</c:v>
                </c:pt>
                <c:pt idx="18">
                  <c:v>66.902067396997197</c:v>
                </c:pt>
                <c:pt idx="19">
                  <c:v>65.412060781531054</c:v>
                </c:pt>
                <c:pt idx="20">
                  <c:v>64.204708724250736</c:v>
                </c:pt>
                <c:pt idx="21">
                  <c:v>64.66137810691319</c:v>
                </c:pt>
                <c:pt idx="22">
                  <c:v>66.877871892469969</c:v>
                </c:pt>
                <c:pt idx="23">
                  <c:v>66.086835805650452</c:v>
                </c:pt>
                <c:pt idx="24">
                  <c:v>64.681055469755989</c:v>
                </c:pt>
                <c:pt idx="25">
                  <c:v>67.343332917073383</c:v>
                </c:pt>
                <c:pt idx="26">
                  <c:v>67.16935360094898</c:v>
                </c:pt>
                <c:pt idx="27">
                  <c:v>64.902065653529633</c:v>
                </c:pt>
                <c:pt idx="28">
                  <c:v>65.141404253897491</c:v>
                </c:pt>
                <c:pt idx="29">
                  <c:v>67.726086857997529</c:v>
                </c:pt>
                <c:pt idx="30">
                  <c:v>67.722795927491774</c:v>
                </c:pt>
                <c:pt idx="31">
                  <c:v>68.180900927919808</c:v>
                </c:pt>
                <c:pt idx="32">
                  <c:v>67.192169051829964</c:v>
                </c:pt>
                <c:pt idx="33">
                  <c:v>68.219155436291132</c:v>
                </c:pt>
                <c:pt idx="34">
                  <c:v>68.269348902745108</c:v>
                </c:pt>
                <c:pt idx="35">
                  <c:v>70.482326630237836</c:v>
                </c:pt>
                <c:pt idx="36">
                  <c:v>72.207334100339395</c:v>
                </c:pt>
                <c:pt idx="37">
                  <c:v>73.11986169231912</c:v>
                </c:pt>
                <c:pt idx="38">
                  <c:v>74.338711599481229</c:v>
                </c:pt>
                <c:pt idx="39">
                  <c:v>73.585233845407387</c:v>
                </c:pt>
                <c:pt idx="40">
                  <c:v>74.942021871858543</c:v>
                </c:pt>
                <c:pt idx="41">
                  <c:v>74.99923727701244</c:v>
                </c:pt>
                <c:pt idx="42">
                  <c:v>77.78124683554681</c:v>
                </c:pt>
                <c:pt idx="43">
                  <c:v>79.327001726453844</c:v>
                </c:pt>
                <c:pt idx="44">
                  <c:v>81.083766980658609</c:v>
                </c:pt>
                <c:pt idx="45">
                  <c:v>81.903196789676656</c:v>
                </c:pt>
                <c:pt idx="46">
                  <c:v>81.192235241546484</c:v>
                </c:pt>
                <c:pt idx="47">
                  <c:v>82.510970024734434</c:v>
                </c:pt>
                <c:pt idx="48">
                  <c:v>83.637295285268635</c:v>
                </c:pt>
                <c:pt idx="49">
                  <c:v>83.785535926675635</c:v>
                </c:pt>
                <c:pt idx="50">
                  <c:v>84.976017389635345</c:v>
                </c:pt>
                <c:pt idx="51">
                  <c:v>83.908355131454442</c:v>
                </c:pt>
                <c:pt idx="52">
                  <c:v>84.874890972079257</c:v>
                </c:pt>
                <c:pt idx="53">
                  <c:v>82.593666555259006</c:v>
                </c:pt>
                <c:pt idx="54">
                  <c:v>84.450260359694838</c:v>
                </c:pt>
                <c:pt idx="55">
                  <c:v>84.797162613501328</c:v>
                </c:pt>
                <c:pt idx="56">
                  <c:v>83.417417614324322</c:v>
                </c:pt>
                <c:pt idx="57">
                  <c:v>81.436196850007462</c:v>
                </c:pt>
                <c:pt idx="58">
                  <c:v>81.50657192391887</c:v>
                </c:pt>
                <c:pt idx="59">
                  <c:v>80.008853132480411</c:v>
                </c:pt>
                <c:pt idx="60">
                  <c:v>79.094220678089542</c:v>
                </c:pt>
                <c:pt idx="61">
                  <c:v>78.905586013648332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A39-4566-8EE6-6D0A89D219EA}"/>
            </c:ext>
          </c:extLst>
        </c:ser>
        <c:ser>
          <c:idx val="73"/>
          <c:order val="72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Carlo'!$E$74:$BN$74</c:f>
              <c:numCache>
                <c:formatCode>General</c:formatCode>
                <c:ptCount val="62"/>
                <c:pt idx="1">
                  <c:v>60.99</c:v>
                </c:pt>
                <c:pt idx="2">
                  <c:v>61.852924960160465</c:v>
                </c:pt>
                <c:pt idx="3">
                  <c:v>62.099621623910949</c:v>
                </c:pt>
                <c:pt idx="4">
                  <c:v>60.796138881976297</c:v>
                </c:pt>
                <c:pt idx="5">
                  <c:v>58.714513620757067</c:v>
                </c:pt>
                <c:pt idx="6">
                  <c:v>58.46766604852246</c:v>
                </c:pt>
                <c:pt idx="7">
                  <c:v>57.786524193413427</c:v>
                </c:pt>
                <c:pt idx="8">
                  <c:v>57.287244700806646</c:v>
                </c:pt>
                <c:pt idx="9">
                  <c:v>57.87575476472108</c:v>
                </c:pt>
                <c:pt idx="10">
                  <c:v>59.647384737534608</c:v>
                </c:pt>
                <c:pt idx="11">
                  <c:v>58.46652740622055</c:v>
                </c:pt>
                <c:pt idx="12">
                  <c:v>57.663621593305294</c:v>
                </c:pt>
                <c:pt idx="13">
                  <c:v>57.664898256349353</c:v>
                </c:pt>
                <c:pt idx="14">
                  <c:v>57.746591934665069</c:v>
                </c:pt>
                <c:pt idx="15">
                  <c:v>58.301596004843596</c:v>
                </c:pt>
                <c:pt idx="16">
                  <c:v>58.123309270829196</c:v>
                </c:pt>
                <c:pt idx="17">
                  <c:v>58.759804106782269</c:v>
                </c:pt>
                <c:pt idx="18">
                  <c:v>58.896799735993753</c:v>
                </c:pt>
                <c:pt idx="19">
                  <c:v>58.137756689439698</c:v>
                </c:pt>
                <c:pt idx="20">
                  <c:v>57.575726957341814</c:v>
                </c:pt>
                <c:pt idx="21">
                  <c:v>55.977598626602337</c:v>
                </c:pt>
                <c:pt idx="22">
                  <c:v>56.325577702865154</c:v>
                </c:pt>
                <c:pt idx="23">
                  <c:v>56.500470640701337</c:v>
                </c:pt>
                <c:pt idx="24">
                  <c:v>57.944085269631707</c:v>
                </c:pt>
                <c:pt idx="25">
                  <c:v>58.658564597889551</c:v>
                </c:pt>
                <c:pt idx="26">
                  <c:v>57.122995166880209</c:v>
                </c:pt>
                <c:pt idx="27">
                  <c:v>55.650009612208478</c:v>
                </c:pt>
                <c:pt idx="28">
                  <c:v>55.39956904512902</c:v>
                </c:pt>
                <c:pt idx="29">
                  <c:v>55.956432219887525</c:v>
                </c:pt>
                <c:pt idx="30">
                  <c:v>53.582273740874513</c:v>
                </c:pt>
                <c:pt idx="31">
                  <c:v>54.538073311516165</c:v>
                </c:pt>
                <c:pt idx="32">
                  <c:v>55.018772954768878</c:v>
                </c:pt>
                <c:pt idx="33">
                  <c:v>52.895839091284778</c:v>
                </c:pt>
                <c:pt idx="34">
                  <c:v>53.117740700608564</c:v>
                </c:pt>
                <c:pt idx="35">
                  <c:v>52.71714300332723</c:v>
                </c:pt>
                <c:pt idx="36">
                  <c:v>52.352501680772313</c:v>
                </c:pt>
                <c:pt idx="37">
                  <c:v>54.091979170673163</c:v>
                </c:pt>
                <c:pt idx="38">
                  <c:v>54.460405180660388</c:v>
                </c:pt>
                <c:pt idx="39">
                  <c:v>54.921728959028258</c:v>
                </c:pt>
                <c:pt idx="40">
                  <c:v>56.216796072512658</c:v>
                </c:pt>
                <c:pt idx="41">
                  <c:v>56.164165037816858</c:v>
                </c:pt>
                <c:pt idx="42">
                  <c:v>55.484808256720299</c:v>
                </c:pt>
                <c:pt idx="43">
                  <c:v>55.280841713047209</c:v>
                </c:pt>
                <c:pt idx="44">
                  <c:v>55.876408708379394</c:v>
                </c:pt>
                <c:pt idx="45">
                  <c:v>56.841579379064619</c:v>
                </c:pt>
                <c:pt idx="46">
                  <c:v>57.828875725062041</c:v>
                </c:pt>
                <c:pt idx="47">
                  <c:v>56.87886477678817</c:v>
                </c:pt>
                <c:pt idx="48">
                  <c:v>57.128435098272121</c:v>
                </c:pt>
                <c:pt idx="49">
                  <c:v>57.246704033143651</c:v>
                </c:pt>
                <c:pt idx="50">
                  <c:v>55.636485988616194</c:v>
                </c:pt>
                <c:pt idx="51">
                  <c:v>56.47440560866503</c:v>
                </c:pt>
                <c:pt idx="52">
                  <c:v>57.299624711710329</c:v>
                </c:pt>
                <c:pt idx="53">
                  <c:v>56.679729519521423</c:v>
                </c:pt>
                <c:pt idx="54">
                  <c:v>55.790834655500589</c:v>
                </c:pt>
                <c:pt idx="55">
                  <c:v>56.43719111952668</c:v>
                </c:pt>
                <c:pt idx="56">
                  <c:v>57.595355729686759</c:v>
                </c:pt>
                <c:pt idx="57">
                  <c:v>57.28505259135023</c:v>
                </c:pt>
                <c:pt idx="58">
                  <c:v>57.855874560414058</c:v>
                </c:pt>
                <c:pt idx="59">
                  <c:v>58.619792537788967</c:v>
                </c:pt>
                <c:pt idx="60">
                  <c:v>60.00224878069816</c:v>
                </c:pt>
                <c:pt idx="61">
                  <c:v>60.034552548089266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5A39-4566-8EE6-6D0A89D219EA}"/>
            </c:ext>
          </c:extLst>
        </c:ser>
        <c:ser>
          <c:idx val="74"/>
          <c:order val="73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Carlo'!$E$75:$BN$75</c:f>
              <c:numCache>
                <c:formatCode>General</c:formatCode>
                <c:ptCount val="62"/>
                <c:pt idx="1">
                  <c:v>60.99</c:v>
                </c:pt>
                <c:pt idx="2">
                  <c:v>62.265883769287882</c:v>
                </c:pt>
                <c:pt idx="3">
                  <c:v>62.189580029675483</c:v>
                </c:pt>
                <c:pt idx="4">
                  <c:v>62.174557081540165</c:v>
                </c:pt>
                <c:pt idx="5">
                  <c:v>61.500220366630387</c:v>
                </c:pt>
                <c:pt idx="6">
                  <c:v>61.634502265223283</c:v>
                </c:pt>
                <c:pt idx="7">
                  <c:v>59.611470170550518</c:v>
                </c:pt>
                <c:pt idx="8">
                  <c:v>59.947769594236547</c:v>
                </c:pt>
                <c:pt idx="9">
                  <c:v>59.821485146920466</c:v>
                </c:pt>
                <c:pt idx="10">
                  <c:v>59.308528231752803</c:v>
                </c:pt>
                <c:pt idx="11">
                  <c:v>59.882987449411111</c:v>
                </c:pt>
                <c:pt idx="12">
                  <c:v>57.626789317949836</c:v>
                </c:pt>
                <c:pt idx="13">
                  <c:v>59.188026682151595</c:v>
                </c:pt>
                <c:pt idx="14">
                  <c:v>59.774988203349068</c:v>
                </c:pt>
                <c:pt idx="15">
                  <c:v>60.371543098083521</c:v>
                </c:pt>
                <c:pt idx="16">
                  <c:v>59.301832395367832</c:v>
                </c:pt>
                <c:pt idx="17">
                  <c:v>58.534912641928827</c:v>
                </c:pt>
                <c:pt idx="18">
                  <c:v>58.840938962158475</c:v>
                </c:pt>
                <c:pt idx="19">
                  <c:v>60.979303828386833</c:v>
                </c:pt>
                <c:pt idx="20">
                  <c:v>62.688001692906013</c:v>
                </c:pt>
                <c:pt idx="21">
                  <c:v>65.158988129893004</c:v>
                </c:pt>
                <c:pt idx="22">
                  <c:v>63.353517333429323</c:v>
                </c:pt>
                <c:pt idx="23">
                  <c:v>62.748151609667715</c:v>
                </c:pt>
                <c:pt idx="24">
                  <c:v>64.51772198071977</c:v>
                </c:pt>
                <c:pt idx="25">
                  <c:v>64.752837204519594</c:v>
                </c:pt>
                <c:pt idx="26">
                  <c:v>65.705881153275541</c:v>
                </c:pt>
                <c:pt idx="27">
                  <c:v>63.956015068463422</c:v>
                </c:pt>
                <c:pt idx="28">
                  <c:v>65.839660102444185</c:v>
                </c:pt>
                <c:pt idx="29">
                  <c:v>66.403795656930512</c:v>
                </c:pt>
                <c:pt idx="30">
                  <c:v>66.193828256067633</c:v>
                </c:pt>
                <c:pt idx="31">
                  <c:v>65.234487759832746</c:v>
                </c:pt>
                <c:pt idx="32">
                  <c:v>65.008324699032102</c:v>
                </c:pt>
                <c:pt idx="33">
                  <c:v>65.624780098463617</c:v>
                </c:pt>
                <c:pt idx="34">
                  <c:v>64.148847133118409</c:v>
                </c:pt>
                <c:pt idx="35">
                  <c:v>64.070856611776534</c:v>
                </c:pt>
                <c:pt idx="36">
                  <c:v>62.514153820070206</c:v>
                </c:pt>
                <c:pt idx="37">
                  <c:v>63.104798296781098</c:v>
                </c:pt>
                <c:pt idx="38">
                  <c:v>62.724220450406342</c:v>
                </c:pt>
                <c:pt idx="39">
                  <c:v>62.590371850587474</c:v>
                </c:pt>
                <c:pt idx="40">
                  <c:v>62.706092179655542</c:v>
                </c:pt>
                <c:pt idx="41">
                  <c:v>62.805957866623253</c:v>
                </c:pt>
                <c:pt idx="42">
                  <c:v>64.160929617648904</c:v>
                </c:pt>
                <c:pt idx="43">
                  <c:v>62.442265993978793</c:v>
                </c:pt>
                <c:pt idx="44">
                  <c:v>61.736045123606488</c:v>
                </c:pt>
                <c:pt idx="45">
                  <c:v>61.085603077841952</c:v>
                </c:pt>
                <c:pt idx="46">
                  <c:v>61.692143191451585</c:v>
                </c:pt>
                <c:pt idx="47">
                  <c:v>60.476374556159307</c:v>
                </c:pt>
                <c:pt idx="48">
                  <c:v>60.579757020698828</c:v>
                </c:pt>
                <c:pt idx="49">
                  <c:v>59.21137382782927</c:v>
                </c:pt>
                <c:pt idx="50">
                  <c:v>59.375838249266614</c:v>
                </c:pt>
                <c:pt idx="51">
                  <c:v>59.953884749936421</c:v>
                </c:pt>
                <c:pt idx="52">
                  <c:v>59.9497960998441</c:v>
                </c:pt>
                <c:pt idx="53">
                  <c:v>59.363665135427119</c:v>
                </c:pt>
                <c:pt idx="54">
                  <c:v>60.062452589563868</c:v>
                </c:pt>
                <c:pt idx="55">
                  <c:v>58.76424448983181</c:v>
                </c:pt>
                <c:pt idx="56">
                  <c:v>57.122202018342918</c:v>
                </c:pt>
                <c:pt idx="57">
                  <c:v>57.094209346213773</c:v>
                </c:pt>
                <c:pt idx="58">
                  <c:v>57.243559943146487</c:v>
                </c:pt>
                <c:pt idx="59">
                  <c:v>56.765917813566467</c:v>
                </c:pt>
                <c:pt idx="60">
                  <c:v>56.699796501908295</c:v>
                </c:pt>
                <c:pt idx="61">
                  <c:v>56.823740182675785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A39-4566-8EE6-6D0A89D219EA}"/>
            </c:ext>
          </c:extLst>
        </c:ser>
        <c:ser>
          <c:idx val="75"/>
          <c:order val="74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Carlo'!$E$76:$BN$76</c:f>
              <c:numCache>
                <c:formatCode>General</c:formatCode>
                <c:ptCount val="62"/>
                <c:pt idx="1">
                  <c:v>60.99</c:v>
                </c:pt>
                <c:pt idx="2">
                  <c:v>62.883431915679488</c:v>
                </c:pt>
                <c:pt idx="3">
                  <c:v>62.008718778025646</c:v>
                </c:pt>
                <c:pt idx="4">
                  <c:v>61.175333479152116</c:v>
                </c:pt>
                <c:pt idx="5">
                  <c:v>62.117667626334338</c:v>
                </c:pt>
                <c:pt idx="6">
                  <c:v>64.094417001809006</c:v>
                </c:pt>
                <c:pt idx="7">
                  <c:v>62.392423978318632</c:v>
                </c:pt>
                <c:pt idx="8">
                  <c:v>63.01301765025935</c:v>
                </c:pt>
                <c:pt idx="9">
                  <c:v>63.69642264248958</c:v>
                </c:pt>
                <c:pt idx="10">
                  <c:v>64.592110628421622</c:v>
                </c:pt>
                <c:pt idx="11">
                  <c:v>63.850491419225293</c:v>
                </c:pt>
                <c:pt idx="12">
                  <c:v>64.17381254931334</c:v>
                </c:pt>
                <c:pt idx="13">
                  <c:v>63.523993692518971</c:v>
                </c:pt>
                <c:pt idx="14">
                  <c:v>61.684217809145515</c:v>
                </c:pt>
                <c:pt idx="15">
                  <c:v>62.635751724946196</c:v>
                </c:pt>
                <c:pt idx="16">
                  <c:v>62.681982689195578</c:v>
                </c:pt>
                <c:pt idx="17">
                  <c:v>62.448590203737112</c:v>
                </c:pt>
                <c:pt idx="18">
                  <c:v>62.335623803799983</c:v>
                </c:pt>
                <c:pt idx="19">
                  <c:v>62.712268588724328</c:v>
                </c:pt>
                <c:pt idx="20">
                  <c:v>60.954626581221966</c:v>
                </c:pt>
                <c:pt idx="21">
                  <c:v>61.095930162648237</c:v>
                </c:pt>
                <c:pt idx="22">
                  <c:v>62.495524960792189</c:v>
                </c:pt>
                <c:pt idx="23">
                  <c:v>64.40476785337799</c:v>
                </c:pt>
                <c:pt idx="24">
                  <c:v>64.390595409023263</c:v>
                </c:pt>
                <c:pt idx="25">
                  <c:v>64.744610815716158</c:v>
                </c:pt>
                <c:pt idx="26">
                  <c:v>63.993875315487699</c:v>
                </c:pt>
                <c:pt idx="27">
                  <c:v>65.304113897655668</c:v>
                </c:pt>
                <c:pt idx="28">
                  <c:v>67.026432657901026</c:v>
                </c:pt>
                <c:pt idx="29">
                  <c:v>66.63285949222734</c:v>
                </c:pt>
                <c:pt idx="30">
                  <c:v>67.095696159252157</c:v>
                </c:pt>
                <c:pt idx="31">
                  <c:v>64.768567218920609</c:v>
                </c:pt>
                <c:pt idx="32">
                  <c:v>63.783011451196487</c:v>
                </c:pt>
                <c:pt idx="33">
                  <c:v>62.586617934037257</c:v>
                </c:pt>
                <c:pt idx="34">
                  <c:v>61.599675666181888</c:v>
                </c:pt>
                <c:pt idx="35">
                  <c:v>61.281201996843798</c:v>
                </c:pt>
                <c:pt idx="36">
                  <c:v>62.16430725775416</c:v>
                </c:pt>
                <c:pt idx="37">
                  <c:v>61.585058000885923</c:v>
                </c:pt>
                <c:pt idx="38">
                  <c:v>61.502502646367816</c:v>
                </c:pt>
                <c:pt idx="39">
                  <c:v>60.907142715439086</c:v>
                </c:pt>
                <c:pt idx="40">
                  <c:v>59.877441227630804</c:v>
                </c:pt>
                <c:pt idx="41">
                  <c:v>58.171301020902106</c:v>
                </c:pt>
                <c:pt idx="42">
                  <c:v>58.235566356713086</c:v>
                </c:pt>
                <c:pt idx="43">
                  <c:v>59.763923936914871</c:v>
                </c:pt>
                <c:pt idx="44">
                  <c:v>60.813202861919464</c:v>
                </c:pt>
                <c:pt idx="45">
                  <c:v>61.847085579474758</c:v>
                </c:pt>
                <c:pt idx="46">
                  <c:v>61.122390163256036</c:v>
                </c:pt>
                <c:pt idx="47">
                  <c:v>62.075606728314696</c:v>
                </c:pt>
                <c:pt idx="48">
                  <c:v>60.44313653331907</c:v>
                </c:pt>
                <c:pt idx="49">
                  <c:v>59.715715796429073</c:v>
                </c:pt>
                <c:pt idx="50">
                  <c:v>60.828841605270597</c:v>
                </c:pt>
                <c:pt idx="51">
                  <c:v>60.862277572145707</c:v>
                </c:pt>
                <c:pt idx="52">
                  <c:v>62.615285104435664</c:v>
                </c:pt>
                <c:pt idx="53">
                  <c:v>60.342107154636665</c:v>
                </c:pt>
                <c:pt idx="54">
                  <c:v>58.715004965386058</c:v>
                </c:pt>
                <c:pt idx="55">
                  <c:v>60.188912389572572</c:v>
                </c:pt>
                <c:pt idx="56">
                  <c:v>60.855426383622934</c:v>
                </c:pt>
                <c:pt idx="57">
                  <c:v>59.791801006869584</c:v>
                </c:pt>
                <c:pt idx="58">
                  <c:v>59.816185695485558</c:v>
                </c:pt>
                <c:pt idx="59">
                  <c:v>59.269212426658271</c:v>
                </c:pt>
                <c:pt idx="60">
                  <c:v>59.321468555799768</c:v>
                </c:pt>
                <c:pt idx="61">
                  <c:v>58.789161624428665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5A39-4566-8EE6-6D0A89D219EA}"/>
            </c:ext>
          </c:extLst>
        </c:ser>
        <c:ser>
          <c:idx val="76"/>
          <c:order val="75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Carlo'!$E$77:$BN$77</c:f>
              <c:numCache>
                <c:formatCode>General</c:formatCode>
                <c:ptCount val="62"/>
                <c:pt idx="1">
                  <c:v>60.99</c:v>
                </c:pt>
                <c:pt idx="2">
                  <c:v>60.538096665506352</c:v>
                </c:pt>
                <c:pt idx="3">
                  <c:v>60.670497283710453</c:v>
                </c:pt>
                <c:pt idx="4">
                  <c:v>61.91028512638141</c:v>
                </c:pt>
                <c:pt idx="5">
                  <c:v>60.958958308863991</c:v>
                </c:pt>
                <c:pt idx="6">
                  <c:v>61.616846588613114</c:v>
                </c:pt>
                <c:pt idx="7">
                  <c:v>61.143517757054632</c:v>
                </c:pt>
                <c:pt idx="8">
                  <c:v>61.385019568455498</c:v>
                </c:pt>
                <c:pt idx="9">
                  <c:v>59.763908891855891</c:v>
                </c:pt>
                <c:pt idx="10">
                  <c:v>59.303862803995699</c:v>
                </c:pt>
                <c:pt idx="11">
                  <c:v>60.391848373692675</c:v>
                </c:pt>
                <c:pt idx="12">
                  <c:v>60.50903379186574</c:v>
                </c:pt>
                <c:pt idx="13">
                  <c:v>61.596570726747089</c:v>
                </c:pt>
                <c:pt idx="14">
                  <c:v>60.75842624141621</c:v>
                </c:pt>
                <c:pt idx="15">
                  <c:v>61.399984804896846</c:v>
                </c:pt>
                <c:pt idx="16">
                  <c:v>63.462089389088248</c:v>
                </c:pt>
                <c:pt idx="17">
                  <c:v>63.266928828354928</c:v>
                </c:pt>
                <c:pt idx="18">
                  <c:v>63.533752139047031</c:v>
                </c:pt>
                <c:pt idx="19">
                  <c:v>64.068869003291624</c:v>
                </c:pt>
                <c:pt idx="20">
                  <c:v>64.138574135874393</c:v>
                </c:pt>
                <c:pt idx="21">
                  <c:v>65.057568322611758</c:v>
                </c:pt>
                <c:pt idx="22">
                  <c:v>64.370738935443768</c:v>
                </c:pt>
                <c:pt idx="23">
                  <c:v>61.784817004973128</c:v>
                </c:pt>
                <c:pt idx="24">
                  <c:v>62.036719702690867</c:v>
                </c:pt>
                <c:pt idx="25">
                  <c:v>61.486417937056217</c:v>
                </c:pt>
                <c:pt idx="26">
                  <c:v>62.354471053108192</c:v>
                </c:pt>
                <c:pt idx="27">
                  <c:v>64.067816095029727</c:v>
                </c:pt>
                <c:pt idx="28">
                  <c:v>65.482481285033998</c:v>
                </c:pt>
                <c:pt idx="29">
                  <c:v>66.507107496748574</c:v>
                </c:pt>
                <c:pt idx="30">
                  <c:v>65.843360378331354</c:v>
                </c:pt>
                <c:pt idx="31">
                  <c:v>64.557152635603629</c:v>
                </c:pt>
                <c:pt idx="32">
                  <c:v>65.145595233125448</c:v>
                </c:pt>
                <c:pt idx="33">
                  <c:v>65.879457939958385</c:v>
                </c:pt>
                <c:pt idx="34">
                  <c:v>67.247057179744786</c:v>
                </c:pt>
                <c:pt idx="35">
                  <c:v>69.288782939432011</c:v>
                </c:pt>
                <c:pt idx="36">
                  <c:v>68.777500544913963</c:v>
                </c:pt>
                <c:pt idx="37">
                  <c:v>67.902564945589688</c:v>
                </c:pt>
                <c:pt idx="38">
                  <c:v>70.572632483484966</c:v>
                </c:pt>
                <c:pt idx="39">
                  <c:v>72.189919629886148</c:v>
                </c:pt>
                <c:pt idx="40">
                  <c:v>71.827206929723431</c:v>
                </c:pt>
                <c:pt idx="41">
                  <c:v>72.228632465508994</c:v>
                </c:pt>
                <c:pt idx="42">
                  <c:v>71.512778121445479</c:v>
                </c:pt>
                <c:pt idx="43">
                  <c:v>73.380822842364367</c:v>
                </c:pt>
                <c:pt idx="44">
                  <c:v>72.930579280992475</c:v>
                </c:pt>
                <c:pt idx="45">
                  <c:v>73.32385654012991</c:v>
                </c:pt>
                <c:pt idx="46">
                  <c:v>72.064068636326923</c:v>
                </c:pt>
                <c:pt idx="47">
                  <c:v>70.724597428174619</c:v>
                </c:pt>
                <c:pt idx="48">
                  <c:v>71.265073552086847</c:v>
                </c:pt>
                <c:pt idx="49">
                  <c:v>69.992591107336324</c:v>
                </c:pt>
                <c:pt idx="50">
                  <c:v>70.368438485300672</c:v>
                </c:pt>
                <c:pt idx="51">
                  <c:v>71.654473482943317</c:v>
                </c:pt>
                <c:pt idx="52">
                  <c:v>70.464456791045151</c:v>
                </c:pt>
                <c:pt idx="53">
                  <c:v>69.376891163473786</c:v>
                </c:pt>
                <c:pt idx="54">
                  <c:v>69.117113162168565</c:v>
                </c:pt>
                <c:pt idx="55">
                  <c:v>70.025246342783078</c:v>
                </c:pt>
                <c:pt idx="56">
                  <c:v>68.39057175681306</c:v>
                </c:pt>
                <c:pt idx="57">
                  <c:v>65.181321920330774</c:v>
                </c:pt>
                <c:pt idx="58">
                  <c:v>65.632001828170402</c:v>
                </c:pt>
                <c:pt idx="59">
                  <c:v>64.339919903671841</c:v>
                </c:pt>
                <c:pt idx="60">
                  <c:v>67.076326836320334</c:v>
                </c:pt>
                <c:pt idx="61">
                  <c:v>66.172739326824939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A39-4566-8EE6-6D0A89D219EA}"/>
            </c:ext>
          </c:extLst>
        </c:ser>
        <c:ser>
          <c:idx val="77"/>
          <c:order val="76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Carlo'!$E$78:$BN$78</c:f>
              <c:numCache>
                <c:formatCode>General</c:formatCode>
                <c:ptCount val="62"/>
                <c:pt idx="1">
                  <c:v>60.99</c:v>
                </c:pt>
                <c:pt idx="2">
                  <c:v>60.178453607325991</c:v>
                </c:pt>
                <c:pt idx="3">
                  <c:v>59.48837808218034</c:v>
                </c:pt>
                <c:pt idx="4">
                  <c:v>59.118182230456632</c:v>
                </c:pt>
                <c:pt idx="5">
                  <c:v>58.18132098796189</c:v>
                </c:pt>
                <c:pt idx="6">
                  <c:v>57.648935828138313</c:v>
                </c:pt>
                <c:pt idx="7">
                  <c:v>57.155202891536234</c:v>
                </c:pt>
                <c:pt idx="8">
                  <c:v>56.902385570267242</c:v>
                </c:pt>
                <c:pt idx="9">
                  <c:v>56.241797017185242</c:v>
                </c:pt>
                <c:pt idx="10">
                  <c:v>54.88429355750435</c:v>
                </c:pt>
                <c:pt idx="11">
                  <c:v>56.303965463256397</c:v>
                </c:pt>
                <c:pt idx="12">
                  <c:v>58.497572039029954</c:v>
                </c:pt>
                <c:pt idx="13">
                  <c:v>59.133503348939421</c:v>
                </c:pt>
                <c:pt idx="14">
                  <c:v>60.995912639128747</c:v>
                </c:pt>
                <c:pt idx="15">
                  <c:v>60.839720297679726</c:v>
                </c:pt>
                <c:pt idx="16">
                  <c:v>62.147067372275984</c:v>
                </c:pt>
                <c:pt idx="17">
                  <c:v>61.227436845314671</c:v>
                </c:pt>
                <c:pt idx="18">
                  <c:v>64.45377971951801</c:v>
                </c:pt>
                <c:pt idx="19">
                  <c:v>66.951347041518261</c:v>
                </c:pt>
                <c:pt idx="20">
                  <c:v>66.905175077136334</c:v>
                </c:pt>
                <c:pt idx="21">
                  <c:v>66.989938128718109</c:v>
                </c:pt>
                <c:pt idx="22">
                  <c:v>67.898955320649563</c:v>
                </c:pt>
                <c:pt idx="23">
                  <c:v>67.272940100171013</c:v>
                </c:pt>
                <c:pt idx="24">
                  <c:v>67.748376756776679</c:v>
                </c:pt>
                <c:pt idx="25">
                  <c:v>66.45404693787583</c:v>
                </c:pt>
                <c:pt idx="26">
                  <c:v>65.551052617793871</c:v>
                </c:pt>
                <c:pt idx="27">
                  <c:v>65.592720220997791</c:v>
                </c:pt>
                <c:pt idx="28">
                  <c:v>65.904780985967832</c:v>
                </c:pt>
                <c:pt idx="29">
                  <c:v>68.121170539571509</c:v>
                </c:pt>
                <c:pt idx="30">
                  <c:v>67.64543333967255</c:v>
                </c:pt>
                <c:pt idx="31">
                  <c:v>68.505639890414017</c:v>
                </c:pt>
                <c:pt idx="32">
                  <c:v>68.234850361599726</c:v>
                </c:pt>
                <c:pt idx="33">
                  <c:v>67.492249931531688</c:v>
                </c:pt>
                <c:pt idx="34">
                  <c:v>68.749360245272698</c:v>
                </c:pt>
                <c:pt idx="35">
                  <c:v>69.041077027141412</c:v>
                </c:pt>
                <c:pt idx="36">
                  <c:v>68.219808435578898</c:v>
                </c:pt>
                <c:pt idx="37">
                  <c:v>67.58644305934628</c:v>
                </c:pt>
                <c:pt idx="38">
                  <c:v>66.559091672495839</c:v>
                </c:pt>
                <c:pt idx="39">
                  <c:v>65.586102559734258</c:v>
                </c:pt>
                <c:pt idx="40">
                  <c:v>64.983960236080961</c:v>
                </c:pt>
                <c:pt idx="41">
                  <c:v>65.177503270620861</c:v>
                </c:pt>
                <c:pt idx="42">
                  <c:v>65.525456130827791</c:v>
                </c:pt>
                <c:pt idx="43">
                  <c:v>64.755473273242671</c:v>
                </c:pt>
                <c:pt idx="44">
                  <c:v>63.759855430664018</c:v>
                </c:pt>
                <c:pt idx="45">
                  <c:v>63.914831114698636</c:v>
                </c:pt>
                <c:pt idx="46">
                  <c:v>64.549775815035787</c:v>
                </c:pt>
                <c:pt idx="47">
                  <c:v>64.230996091930933</c:v>
                </c:pt>
                <c:pt idx="48">
                  <c:v>64.053229235546752</c:v>
                </c:pt>
                <c:pt idx="49">
                  <c:v>63.853978448515562</c:v>
                </c:pt>
                <c:pt idx="50">
                  <c:v>64.451949896445299</c:v>
                </c:pt>
                <c:pt idx="51">
                  <c:v>65.225659106055858</c:v>
                </c:pt>
                <c:pt idx="52">
                  <c:v>66.270913880060505</c:v>
                </c:pt>
                <c:pt idx="53">
                  <c:v>67.495965214747443</c:v>
                </c:pt>
                <c:pt idx="54">
                  <c:v>70.055599967278383</c:v>
                </c:pt>
                <c:pt idx="55">
                  <c:v>68.81372425421705</c:v>
                </c:pt>
                <c:pt idx="56">
                  <c:v>70.147265745921871</c:v>
                </c:pt>
                <c:pt idx="57">
                  <c:v>69.741517563935219</c:v>
                </c:pt>
                <c:pt idx="58">
                  <c:v>69.350688594056308</c:v>
                </c:pt>
                <c:pt idx="59">
                  <c:v>68.34289773880279</c:v>
                </c:pt>
                <c:pt idx="60">
                  <c:v>69.427998101705967</c:v>
                </c:pt>
                <c:pt idx="61">
                  <c:v>70.036586000879623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5A39-4566-8EE6-6D0A89D219EA}"/>
            </c:ext>
          </c:extLst>
        </c:ser>
        <c:ser>
          <c:idx val="78"/>
          <c:order val="77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Carlo'!$E$79:$BN$79</c:f>
              <c:numCache>
                <c:formatCode>General</c:formatCode>
                <c:ptCount val="62"/>
                <c:pt idx="1">
                  <c:v>60.99</c:v>
                </c:pt>
                <c:pt idx="2">
                  <c:v>59.8046113787954</c:v>
                </c:pt>
                <c:pt idx="3">
                  <c:v>61.911478226955502</c:v>
                </c:pt>
                <c:pt idx="4">
                  <c:v>62.542301814525061</c:v>
                </c:pt>
                <c:pt idx="5">
                  <c:v>60.902408508082594</c:v>
                </c:pt>
                <c:pt idx="6">
                  <c:v>62.183283731952891</c:v>
                </c:pt>
                <c:pt idx="7">
                  <c:v>60.092462562565629</c:v>
                </c:pt>
                <c:pt idx="8">
                  <c:v>60.148069806904843</c:v>
                </c:pt>
                <c:pt idx="9">
                  <c:v>61.832858629836402</c:v>
                </c:pt>
                <c:pt idx="10">
                  <c:v>62.711863555205902</c:v>
                </c:pt>
                <c:pt idx="11">
                  <c:v>61.654013705653824</c:v>
                </c:pt>
                <c:pt idx="12">
                  <c:v>61.366076012780674</c:v>
                </c:pt>
                <c:pt idx="13">
                  <c:v>60.588610613857263</c:v>
                </c:pt>
                <c:pt idx="14">
                  <c:v>60.696793304903395</c:v>
                </c:pt>
                <c:pt idx="15">
                  <c:v>58.800213391204437</c:v>
                </c:pt>
                <c:pt idx="16">
                  <c:v>58.965048947002963</c:v>
                </c:pt>
                <c:pt idx="17">
                  <c:v>61.10911539348772</c:v>
                </c:pt>
                <c:pt idx="18">
                  <c:v>61.195814525168856</c:v>
                </c:pt>
                <c:pt idx="19">
                  <c:v>61.268991599831651</c:v>
                </c:pt>
                <c:pt idx="20">
                  <c:v>59.672472231425246</c:v>
                </c:pt>
                <c:pt idx="21">
                  <c:v>60.164837705497249</c:v>
                </c:pt>
                <c:pt idx="22">
                  <c:v>60.984703731425206</c:v>
                </c:pt>
                <c:pt idx="23">
                  <c:v>61.67767185970267</c:v>
                </c:pt>
                <c:pt idx="24">
                  <c:v>61.735246510555953</c:v>
                </c:pt>
                <c:pt idx="25">
                  <c:v>60.431309249211402</c:v>
                </c:pt>
                <c:pt idx="26">
                  <c:v>61.280077556587649</c:v>
                </c:pt>
                <c:pt idx="27">
                  <c:v>60.140136504100219</c:v>
                </c:pt>
                <c:pt idx="28">
                  <c:v>60.259809701365803</c:v>
                </c:pt>
                <c:pt idx="29">
                  <c:v>61.712610264473916</c:v>
                </c:pt>
                <c:pt idx="30">
                  <c:v>61.361520196502617</c:v>
                </c:pt>
                <c:pt idx="31">
                  <c:v>62.958469609647388</c:v>
                </c:pt>
                <c:pt idx="32">
                  <c:v>63.472112787330609</c:v>
                </c:pt>
                <c:pt idx="33">
                  <c:v>64.545878191425899</c:v>
                </c:pt>
                <c:pt idx="34">
                  <c:v>64.023754051706121</c:v>
                </c:pt>
                <c:pt idx="35">
                  <c:v>61.885000475547763</c:v>
                </c:pt>
                <c:pt idx="36">
                  <c:v>61.652425083720892</c:v>
                </c:pt>
                <c:pt idx="37">
                  <c:v>59.987287501719379</c:v>
                </c:pt>
                <c:pt idx="38">
                  <c:v>57.88671688918658</c:v>
                </c:pt>
                <c:pt idx="39">
                  <c:v>58.981104336502739</c:v>
                </c:pt>
                <c:pt idx="40">
                  <c:v>60.003052001682398</c:v>
                </c:pt>
                <c:pt idx="41">
                  <c:v>58.089418170839451</c:v>
                </c:pt>
                <c:pt idx="42">
                  <c:v>59.597410964769786</c:v>
                </c:pt>
                <c:pt idx="43">
                  <c:v>57.964077117819762</c:v>
                </c:pt>
                <c:pt idx="44">
                  <c:v>55.773419005723838</c:v>
                </c:pt>
                <c:pt idx="45">
                  <c:v>55.691451798464158</c:v>
                </c:pt>
                <c:pt idx="46">
                  <c:v>55.100442109843307</c:v>
                </c:pt>
                <c:pt idx="47">
                  <c:v>53.606370365588688</c:v>
                </c:pt>
                <c:pt idx="48">
                  <c:v>54.477886108543892</c:v>
                </c:pt>
                <c:pt idx="49">
                  <c:v>54.890725987205933</c:v>
                </c:pt>
                <c:pt idx="50">
                  <c:v>55.408094199290012</c:v>
                </c:pt>
                <c:pt idx="51">
                  <c:v>55.979176703262205</c:v>
                </c:pt>
                <c:pt idx="52">
                  <c:v>58.366305147804695</c:v>
                </c:pt>
                <c:pt idx="53">
                  <c:v>59.190306130732971</c:v>
                </c:pt>
                <c:pt idx="54">
                  <c:v>59.463097981681493</c:v>
                </c:pt>
                <c:pt idx="55">
                  <c:v>58.113256879987425</c:v>
                </c:pt>
                <c:pt idx="56">
                  <c:v>55.428222976567099</c:v>
                </c:pt>
                <c:pt idx="57">
                  <c:v>57.702331729783232</c:v>
                </c:pt>
                <c:pt idx="58">
                  <c:v>58.57029708963789</c:v>
                </c:pt>
                <c:pt idx="59">
                  <c:v>58.033209186700013</c:v>
                </c:pt>
                <c:pt idx="60">
                  <c:v>57.984715620604476</c:v>
                </c:pt>
                <c:pt idx="61">
                  <c:v>56.737361119840216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A39-4566-8EE6-6D0A89D219EA}"/>
            </c:ext>
          </c:extLst>
        </c:ser>
        <c:ser>
          <c:idx val="79"/>
          <c:order val="78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Carlo'!$E$80:$BN$80</c:f>
              <c:numCache>
                <c:formatCode>General</c:formatCode>
                <c:ptCount val="62"/>
                <c:pt idx="1">
                  <c:v>60.99</c:v>
                </c:pt>
                <c:pt idx="2">
                  <c:v>61.691451887760628</c:v>
                </c:pt>
                <c:pt idx="3">
                  <c:v>62.684867882856942</c:v>
                </c:pt>
                <c:pt idx="4">
                  <c:v>64.560631974678017</c:v>
                </c:pt>
                <c:pt idx="5">
                  <c:v>63.650428166231976</c:v>
                </c:pt>
                <c:pt idx="6">
                  <c:v>64.774336701326419</c:v>
                </c:pt>
                <c:pt idx="7">
                  <c:v>64.871817516521958</c:v>
                </c:pt>
                <c:pt idx="8">
                  <c:v>66.367143390659592</c:v>
                </c:pt>
                <c:pt idx="9">
                  <c:v>66.432875205861095</c:v>
                </c:pt>
                <c:pt idx="10">
                  <c:v>68.968666687896913</c:v>
                </c:pt>
                <c:pt idx="11">
                  <c:v>66.847550245739441</c:v>
                </c:pt>
                <c:pt idx="12">
                  <c:v>67.615346274751161</c:v>
                </c:pt>
                <c:pt idx="13">
                  <c:v>66.913924564354787</c:v>
                </c:pt>
                <c:pt idx="14">
                  <c:v>66.012314705858842</c:v>
                </c:pt>
                <c:pt idx="15">
                  <c:v>67.048122488982429</c:v>
                </c:pt>
                <c:pt idx="16">
                  <c:v>64.837198910333541</c:v>
                </c:pt>
                <c:pt idx="17">
                  <c:v>62.757501400153131</c:v>
                </c:pt>
                <c:pt idx="18">
                  <c:v>64.17357108117497</c:v>
                </c:pt>
                <c:pt idx="19">
                  <c:v>64.982495767584851</c:v>
                </c:pt>
                <c:pt idx="20">
                  <c:v>63.251426005212231</c:v>
                </c:pt>
                <c:pt idx="21">
                  <c:v>65.203841319728141</c:v>
                </c:pt>
                <c:pt idx="22">
                  <c:v>65.594371260828311</c:v>
                </c:pt>
                <c:pt idx="23">
                  <c:v>63.790143779962541</c:v>
                </c:pt>
                <c:pt idx="24">
                  <c:v>60.275260847959551</c:v>
                </c:pt>
                <c:pt idx="25">
                  <c:v>59.879426266195857</c:v>
                </c:pt>
                <c:pt idx="26">
                  <c:v>60.408787816621455</c:v>
                </c:pt>
                <c:pt idx="27">
                  <c:v>60.737390011836808</c:v>
                </c:pt>
                <c:pt idx="28">
                  <c:v>61.894530022647771</c:v>
                </c:pt>
                <c:pt idx="29">
                  <c:v>63.411824976146299</c:v>
                </c:pt>
                <c:pt idx="30">
                  <c:v>63.554211731238489</c:v>
                </c:pt>
                <c:pt idx="31">
                  <c:v>63.621314749496484</c:v>
                </c:pt>
                <c:pt idx="32">
                  <c:v>64.647659553614787</c:v>
                </c:pt>
                <c:pt idx="33">
                  <c:v>63.000059497620519</c:v>
                </c:pt>
                <c:pt idx="34">
                  <c:v>63.470621378463044</c:v>
                </c:pt>
                <c:pt idx="35">
                  <c:v>63.348626598715768</c:v>
                </c:pt>
                <c:pt idx="36">
                  <c:v>63.028140386809724</c:v>
                </c:pt>
                <c:pt idx="37">
                  <c:v>63.245698123088573</c:v>
                </c:pt>
                <c:pt idx="38">
                  <c:v>62.735153764873239</c:v>
                </c:pt>
                <c:pt idx="39">
                  <c:v>62.882778114362026</c:v>
                </c:pt>
                <c:pt idx="40">
                  <c:v>63.460028912333811</c:v>
                </c:pt>
                <c:pt idx="41">
                  <c:v>62.863395978093948</c:v>
                </c:pt>
                <c:pt idx="42">
                  <c:v>60.177990926725556</c:v>
                </c:pt>
                <c:pt idx="43">
                  <c:v>60.552799843193952</c:v>
                </c:pt>
                <c:pt idx="44">
                  <c:v>60.280892068562856</c:v>
                </c:pt>
                <c:pt idx="45">
                  <c:v>61.133433675368593</c:v>
                </c:pt>
                <c:pt idx="46">
                  <c:v>60.322194128146478</c:v>
                </c:pt>
                <c:pt idx="47">
                  <c:v>60.792606397489756</c:v>
                </c:pt>
                <c:pt idx="48">
                  <c:v>62.271399447797428</c:v>
                </c:pt>
                <c:pt idx="49">
                  <c:v>62.467660906634535</c:v>
                </c:pt>
                <c:pt idx="50">
                  <c:v>62.280808255417568</c:v>
                </c:pt>
                <c:pt idx="51">
                  <c:v>64.020328918569689</c:v>
                </c:pt>
                <c:pt idx="52">
                  <c:v>64.641799805693822</c:v>
                </c:pt>
                <c:pt idx="53">
                  <c:v>62.701398340193343</c:v>
                </c:pt>
                <c:pt idx="54">
                  <c:v>61.577604295114675</c:v>
                </c:pt>
                <c:pt idx="55">
                  <c:v>60.53689898713607</c:v>
                </c:pt>
                <c:pt idx="56">
                  <c:v>60.62214210272839</c:v>
                </c:pt>
                <c:pt idx="57">
                  <c:v>59.976422326860856</c:v>
                </c:pt>
                <c:pt idx="58">
                  <c:v>58.895491357599319</c:v>
                </c:pt>
                <c:pt idx="59">
                  <c:v>58.730722558242441</c:v>
                </c:pt>
                <c:pt idx="60">
                  <c:v>59.340392869421692</c:v>
                </c:pt>
                <c:pt idx="61">
                  <c:v>59.637545595027696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A39-4566-8EE6-6D0A89D219EA}"/>
            </c:ext>
          </c:extLst>
        </c:ser>
        <c:ser>
          <c:idx val="80"/>
          <c:order val="79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Carlo'!$E$81:$BN$81</c:f>
              <c:numCache>
                <c:formatCode>General</c:formatCode>
                <c:ptCount val="62"/>
                <c:pt idx="1">
                  <c:v>60.99</c:v>
                </c:pt>
                <c:pt idx="2">
                  <c:v>61.032130140384886</c:v>
                </c:pt>
                <c:pt idx="3">
                  <c:v>61.794236006877398</c:v>
                </c:pt>
                <c:pt idx="4">
                  <c:v>61.039161495129164</c:v>
                </c:pt>
                <c:pt idx="5">
                  <c:v>59.286401127115376</c:v>
                </c:pt>
                <c:pt idx="6">
                  <c:v>58.832280636575959</c:v>
                </c:pt>
                <c:pt idx="7">
                  <c:v>57.537299390418461</c:v>
                </c:pt>
                <c:pt idx="8">
                  <c:v>55.775404853573086</c:v>
                </c:pt>
                <c:pt idx="9">
                  <c:v>54.867259530509493</c:v>
                </c:pt>
                <c:pt idx="10">
                  <c:v>57.51093646864139</c:v>
                </c:pt>
                <c:pt idx="11">
                  <c:v>57.53630764084982</c:v>
                </c:pt>
                <c:pt idx="12">
                  <c:v>58.862296119394955</c:v>
                </c:pt>
                <c:pt idx="13">
                  <c:v>57.596449854949014</c:v>
                </c:pt>
                <c:pt idx="14">
                  <c:v>57.471858667435193</c:v>
                </c:pt>
                <c:pt idx="15">
                  <c:v>57.104536547075028</c:v>
                </c:pt>
                <c:pt idx="16">
                  <c:v>57.440022385431789</c:v>
                </c:pt>
                <c:pt idx="17">
                  <c:v>55.495810030919692</c:v>
                </c:pt>
                <c:pt idx="18">
                  <c:v>55.056563433143495</c:v>
                </c:pt>
                <c:pt idx="19">
                  <c:v>57.171718232131802</c:v>
                </c:pt>
                <c:pt idx="20">
                  <c:v>56.854227056651851</c:v>
                </c:pt>
                <c:pt idx="21">
                  <c:v>56.977141235207078</c:v>
                </c:pt>
                <c:pt idx="22">
                  <c:v>56.459109108506503</c:v>
                </c:pt>
                <c:pt idx="23">
                  <c:v>57.168022559644918</c:v>
                </c:pt>
                <c:pt idx="24">
                  <c:v>58.012014915358691</c:v>
                </c:pt>
                <c:pt idx="25">
                  <c:v>57.866891947919505</c:v>
                </c:pt>
                <c:pt idx="26">
                  <c:v>58.623561979044801</c:v>
                </c:pt>
                <c:pt idx="27">
                  <c:v>60.089325461283039</c:v>
                </c:pt>
                <c:pt idx="28">
                  <c:v>58.864124715036951</c:v>
                </c:pt>
                <c:pt idx="29">
                  <c:v>58.552424316319609</c:v>
                </c:pt>
                <c:pt idx="30">
                  <c:v>57.408168231906217</c:v>
                </c:pt>
                <c:pt idx="31">
                  <c:v>56.36422981144905</c:v>
                </c:pt>
                <c:pt idx="32">
                  <c:v>57.442725814851677</c:v>
                </c:pt>
                <c:pt idx="33">
                  <c:v>57.958980729359368</c:v>
                </c:pt>
                <c:pt idx="34">
                  <c:v>57.807935958191479</c:v>
                </c:pt>
                <c:pt idx="35">
                  <c:v>57.706025921780139</c:v>
                </c:pt>
                <c:pt idx="36">
                  <c:v>57.297482312720149</c:v>
                </c:pt>
                <c:pt idx="37">
                  <c:v>57.17265805103375</c:v>
                </c:pt>
                <c:pt idx="38">
                  <c:v>57.908582948027096</c:v>
                </c:pt>
                <c:pt idx="39">
                  <c:v>59.46404989465578</c:v>
                </c:pt>
                <c:pt idx="40">
                  <c:v>58.495416682231003</c:v>
                </c:pt>
                <c:pt idx="41">
                  <c:v>58.025425220851076</c:v>
                </c:pt>
                <c:pt idx="42">
                  <c:v>59.369479086074051</c:v>
                </c:pt>
                <c:pt idx="43">
                  <c:v>60.40688452857578</c:v>
                </c:pt>
                <c:pt idx="44">
                  <c:v>59.260141854350977</c:v>
                </c:pt>
                <c:pt idx="45">
                  <c:v>58.05632786627676</c:v>
                </c:pt>
                <c:pt idx="46">
                  <c:v>58.150262754451695</c:v>
                </c:pt>
                <c:pt idx="47">
                  <c:v>57.326066740443068</c:v>
                </c:pt>
                <c:pt idx="48">
                  <c:v>57.012285700570608</c:v>
                </c:pt>
                <c:pt idx="49">
                  <c:v>57.151110074628001</c:v>
                </c:pt>
                <c:pt idx="50">
                  <c:v>56.740972707798562</c:v>
                </c:pt>
                <c:pt idx="51">
                  <c:v>54.140210580045427</c:v>
                </c:pt>
                <c:pt idx="52">
                  <c:v>52.950919571781625</c:v>
                </c:pt>
                <c:pt idx="53">
                  <c:v>51.623858767808656</c:v>
                </c:pt>
                <c:pt idx="54">
                  <c:v>51.862892111772496</c:v>
                </c:pt>
                <c:pt idx="55">
                  <c:v>50.810249475686234</c:v>
                </c:pt>
                <c:pt idx="56">
                  <c:v>49.301984184661748</c:v>
                </c:pt>
                <c:pt idx="57">
                  <c:v>50.602578500239126</c:v>
                </c:pt>
                <c:pt idx="58">
                  <c:v>49.776052477299622</c:v>
                </c:pt>
                <c:pt idx="59">
                  <c:v>48.032155183718515</c:v>
                </c:pt>
                <c:pt idx="60">
                  <c:v>50.146256333504354</c:v>
                </c:pt>
                <c:pt idx="61">
                  <c:v>50.466225458920519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A39-4566-8EE6-6D0A89D219EA}"/>
            </c:ext>
          </c:extLst>
        </c:ser>
        <c:ser>
          <c:idx val="81"/>
          <c:order val="80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Carlo'!$E$82:$BN$82</c:f>
              <c:numCache>
                <c:formatCode>General</c:formatCode>
                <c:ptCount val="62"/>
                <c:pt idx="1">
                  <c:v>60.99</c:v>
                </c:pt>
                <c:pt idx="2">
                  <c:v>61.35144269630414</c:v>
                </c:pt>
                <c:pt idx="3">
                  <c:v>62.156494549103634</c:v>
                </c:pt>
                <c:pt idx="4">
                  <c:v>62.391656166059647</c:v>
                </c:pt>
                <c:pt idx="5">
                  <c:v>61.846934597111279</c:v>
                </c:pt>
                <c:pt idx="6">
                  <c:v>62.071252269350921</c:v>
                </c:pt>
                <c:pt idx="7">
                  <c:v>62.438816374155763</c:v>
                </c:pt>
                <c:pt idx="8">
                  <c:v>63.619145036323275</c:v>
                </c:pt>
                <c:pt idx="9">
                  <c:v>61.86322309942507</c:v>
                </c:pt>
                <c:pt idx="10">
                  <c:v>63.193104109614282</c:v>
                </c:pt>
                <c:pt idx="11">
                  <c:v>64.573059287820399</c:v>
                </c:pt>
                <c:pt idx="12">
                  <c:v>66.04194367308375</c:v>
                </c:pt>
                <c:pt idx="13">
                  <c:v>64.845811806600395</c:v>
                </c:pt>
                <c:pt idx="14">
                  <c:v>65.505079068231026</c:v>
                </c:pt>
                <c:pt idx="15">
                  <c:v>67.752803924565555</c:v>
                </c:pt>
                <c:pt idx="16">
                  <c:v>67.354797430398264</c:v>
                </c:pt>
                <c:pt idx="17">
                  <c:v>67.932225068054805</c:v>
                </c:pt>
                <c:pt idx="18">
                  <c:v>70.820455773052885</c:v>
                </c:pt>
                <c:pt idx="19">
                  <c:v>70.738066936893659</c:v>
                </c:pt>
                <c:pt idx="20">
                  <c:v>71.68335667361481</c:v>
                </c:pt>
                <c:pt idx="21">
                  <c:v>73.29189671379477</c:v>
                </c:pt>
                <c:pt idx="22">
                  <c:v>73.733761748348641</c:v>
                </c:pt>
                <c:pt idx="23">
                  <c:v>72.279420855851029</c:v>
                </c:pt>
                <c:pt idx="24">
                  <c:v>70.677385100618039</c:v>
                </c:pt>
                <c:pt idx="25">
                  <c:v>71.032397579289125</c:v>
                </c:pt>
                <c:pt idx="26">
                  <c:v>71.7882526321185</c:v>
                </c:pt>
                <c:pt idx="27">
                  <c:v>70.441490761161404</c:v>
                </c:pt>
                <c:pt idx="28">
                  <c:v>68.608022124091633</c:v>
                </c:pt>
                <c:pt idx="29">
                  <c:v>70.523245222437296</c:v>
                </c:pt>
                <c:pt idx="30">
                  <c:v>69.526442931336263</c:v>
                </c:pt>
                <c:pt idx="31">
                  <c:v>68.871395423535915</c:v>
                </c:pt>
                <c:pt idx="32">
                  <c:v>69.822313992245867</c:v>
                </c:pt>
                <c:pt idx="33">
                  <c:v>67.206404178557989</c:v>
                </c:pt>
                <c:pt idx="34">
                  <c:v>68.609311640080918</c:v>
                </c:pt>
                <c:pt idx="35">
                  <c:v>68.068114178736934</c:v>
                </c:pt>
                <c:pt idx="36">
                  <c:v>68.54723676218282</c:v>
                </c:pt>
                <c:pt idx="37">
                  <c:v>68.646758444196223</c:v>
                </c:pt>
                <c:pt idx="38">
                  <c:v>67.259278990217183</c:v>
                </c:pt>
                <c:pt idx="39">
                  <c:v>65.982623313585762</c:v>
                </c:pt>
                <c:pt idx="40">
                  <c:v>65.677560172487773</c:v>
                </c:pt>
                <c:pt idx="41">
                  <c:v>65.115312730470677</c:v>
                </c:pt>
                <c:pt idx="42">
                  <c:v>65.926650815559242</c:v>
                </c:pt>
                <c:pt idx="43">
                  <c:v>64.322162415544128</c:v>
                </c:pt>
                <c:pt idx="44">
                  <c:v>66.004473744406496</c:v>
                </c:pt>
                <c:pt idx="45">
                  <c:v>66.245930404554869</c:v>
                </c:pt>
                <c:pt idx="46">
                  <c:v>66.328527113152276</c:v>
                </c:pt>
                <c:pt idx="47">
                  <c:v>67.58591742854648</c:v>
                </c:pt>
                <c:pt idx="48">
                  <c:v>67.545423474071001</c:v>
                </c:pt>
                <c:pt idx="49">
                  <c:v>67.50452328994281</c:v>
                </c:pt>
                <c:pt idx="50">
                  <c:v>68.966471319069342</c:v>
                </c:pt>
                <c:pt idx="51">
                  <c:v>69.655199844577353</c:v>
                </c:pt>
                <c:pt idx="52">
                  <c:v>69.72099817625984</c:v>
                </c:pt>
                <c:pt idx="53">
                  <c:v>71.843057397286401</c:v>
                </c:pt>
                <c:pt idx="54">
                  <c:v>72.645573155440516</c:v>
                </c:pt>
                <c:pt idx="55">
                  <c:v>70.732384462728405</c:v>
                </c:pt>
                <c:pt idx="56">
                  <c:v>71.140275715598548</c:v>
                </c:pt>
                <c:pt idx="57">
                  <c:v>70.759780424248433</c:v>
                </c:pt>
                <c:pt idx="58">
                  <c:v>71.092198721298715</c:v>
                </c:pt>
                <c:pt idx="59">
                  <c:v>72.042540376358502</c:v>
                </c:pt>
                <c:pt idx="60">
                  <c:v>72.743497275718838</c:v>
                </c:pt>
                <c:pt idx="61">
                  <c:v>74.150092733546487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5A39-4566-8EE6-6D0A89D219EA}"/>
            </c:ext>
          </c:extLst>
        </c:ser>
        <c:ser>
          <c:idx val="82"/>
          <c:order val="81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Carlo'!$E$83:$BN$83</c:f>
              <c:numCache>
                <c:formatCode>General</c:formatCode>
                <c:ptCount val="62"/>
                <c:pt idx="1">
                  <c:v>60.99</c:v>
                </c:pt>
                <c:pt idx="2">
                  <c:v>59.807561007204889</c:v>
                </c:pt>
                <c:pt idx="3">
                  <c:v>59.801466958316901</c:v>
                </c:pt>
                <c:pt idx="4">
                  <c:v>60.015930207377686</c:v>
                </c:pt>
                <c:pt idx="5">
                  <c:v>60.238693013100651</c:v>
                </c:pt>
                <c:pt idx="6">
                  <c:v>60.534688993181192</c:v>
                </c:pt>
                <c:pt idx="7">
                  <c:v>60.843297667459012</c:v>
                </c:pt>
                <c:pt idx="8">
                  <c:v>64.066463782656896</c:v>
                </c:pt>
                <c:pt idx="9">
                  <c:v>63.475614400618753</c:v>
                </c:pt>
                <c:pt idx="10">
                  <c:v>63.396801054747392</c:v>
                </c:pt>
                <c:pt idx="11">
                  <c:v>63.271384308705258</c:v>
                </c:pt>
                <c:pt idx="12">
                  <c:v>62.431787662692173</c:v>
                </c:pt>
                <c:pt idx="13">
                  <c:v>62.659630855408778</c:v>
                </c:pt>
                <c:pt idx="14">
                  <c:v>62.893167153167482</c:v>
                </c:pt>
                <c:pt idx="15">
                  <c:v>63.361652085186982</c:v>
                </c:pt>
                <c:pt idx="16">
                  <c:v>63.410640314241704</c:v>
                </c:pt>
                <c:pt idx="17">
                  <c:v>63.670398110922925</c:v>
                </c:pt>
                <c:pt idx="18">
                  <c:v>64.821148292873303</c:v>
                </c:pt>
                <c:pt idx="19">
                  <c:v>65.618914394062614</c:v>
                </c:pt>
                <c:pt idx="20">
                  <c:v>66.277043621480686</c:v>
                </c:pt>
                <c:pt idx="21">
                  <c:v>70.628148398174105</c:v>
                </c:pt>
                <c:pt idx="22">
                  <c:v>70.38035859238839</c:v>
                </c:pt>
                <c:pt idx="23">
                  <c:v>72.56696080102985</c:v>
                </c:pt>
                <c:pt idx="24">
                  <c:v>70.535635660255522</c:v>
                </c:pt>
                <c:pt idx="25">
                  <c:v>71.521792092489065</c:v>
                </c:pt>
                <c:pt idx="26">
                  <c:v>71.727972666827753</c:v>
                </c:pt>
                <c:pt idx="27">
                  <c:v>72.655811640031772</c:v>
                </c:pt>
                <c:pt idx="28">
                  <c:v>73.408511701565104</c:v>
                </c:pt>
                <c:pt idx="29">
                  <c:v>74.050261761811711</c:v>
                </c:pt>
                <c:pt idx="30">
                  <c:v>74.456667482910746</c:v>
                </c:pt>
                <c:pt idx="31">
                  <c:v>74.5571751284062</c:v>
                </c:pt>
                <c:pt idx="32">
                  <c:v>74.333987388474185</c:v>
                </c:pt>
                <c:pt idx="33">
                  <c:v>73.649574807884093</c:v>
                </c:pt>
                <c:pt idx="34">
                  <c:v>75.099612207904556</c:v>
                </c:pt>
                <c:pt idx="35">
                  <c:v>73.576105693531588</c:v>
                </c:pt>
                <c:pt idx="36">
                  <c:v>72.577130266140514</c:v>
                </c:pt>
                <c:pt idx="37">
                  <c:v>71.103226582989578</c:v>
                </c:pt>
                <c:pt idx="38">
                  <c:v>70.89648057180726</c:v>
                </c:pt>
                <c:pt idx="39">
                  <c:v>70.970459766333931</c:v>
                </c:pt>
                <c:pt idx="40">
                  <c:v>72.180768590815532</c:v>
                </c:pt>
                <c:pt idx="41">
                  <c:v>73.035349290431981</c:v>
                </c:pt>
                <c:pt idx="42">
                  <c:v>72.647776776497494</c:v>
                </c:pt>
                <c:pt idx="43">
                  <c:v>70.812199267516149</c:v>
                </c:pt>
                <c:pt idx="44">
                  <c:v>72.786240116556826</c:v>
                </c:pt>
                <c:pt idx="45">
                  <c:v>74.106668800030349</c:v>
                </c:pt>
                <c:pt idx="46">
                  <c:v>74.038578550630163</c:v>
                </c:pt>
                <c:pt idx="47">
                  <c:v>73.315830504681458</c:v>
                </c:pt>
                <c:pt idx="48">
                  <c:v>73.900522340888017</c:v>
                </c:pt>
                <c:pt idx="49">
                  <c:v>73.293772427976393</c:v>
                </c:pt>
                <c:pt idx="50">
                  <c:v>73.90252266187828</c:v>
                </c:pt>
                <c:pt idx="51">
                  <c:v>74.175172322794594</c:v>
                </c:pt>
                <c:pt idx="52">
                  <c:v>74.500516270787372</c:v>
                </c:pt>
                <c:pt idx="53">
                  <c:v>74.97691973604725</c:v>
                </c:pt>
                <c:pt idx="54">
                  <c:v>75.820737665728501</c:v>
                </c:pt>
                <c:pt idx="55">
                  <c:v>74.577105879952697</c:v>
                </c:pt>
                <c:pt idx="56">
                  <c:v>73.860500678022859</c:v>
                </c:pt>
                <c:pt idx="57">
                  <c:v>71.197618241337082</c:v>
                </c:pt>
                <c:pt idx="58">
                  <c:v>71.477496479020516</c:v>
                </c:pt>
                <c:pt idx="59">
                  <c:v>71.143275187061093</c:v>
                </c:pt>
                <c:pt idx="60">
                  <c:v>71.133735046425073</c:v>
                </c:pt>
                <c:pt idx="61">
                  <c:v>74.519351154460466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A39-4566-8EE6-6D0A89D219EA}"/>
            </c:ext>
          </c:extLst>
        </c:ser>
        <c:ser>
          <c:idx val="83"/>
          <c:order val="82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Carlo'!$E$84:$BN$84</c:f>
              <c:numCache>
                <c:formatCode>General</c:formatCode>
                <c:ptCount val="62"/>
                <c:pt idx="1">
                  <c:v>60.99</c:v>
                </c:pt>
                <c:pt idx="2">
                  <c:v>62.418103212206908</c:v>
                </c:pt>
                <c:pt idx="3">
                  <c:v>59.78425986825691</c:v>
                </c:pt>
                <c:pt idx="4">
                  <c:v>60.085812386081123</c:v>
                </c:pt>
                <c:pt idx="5">
                  <c:v>60.967836500555201</c:v>
                </c:pt>
                <c:pt idx="6">
                  <c:v>62.673394113764815</c:v>
                </c:pt>
                <c:pt idx="7">
                  <c:v>63.252977095422459</c:v>
                </c:pt>
                <c:pt idx="8">
                  <c:v>62.180111459293535</c:v>
                </c:pt>
                <c:pt idx="9">
                  <c:v>60.396563210433428</c:v>
                </c:pt>
                <c:pt idx="10">
                  <c:v>61.155877209469978</c:v>
                </c:pt>
                <c:pt idx="11">
                  <c:v>59.88975873446342</c:v>
                </c:pt>
                <c:pt idx="12">
                  <c:v>58.709369166574277</c:v>
                </c:pt>
                <c:pt idx="13">
                  <c:v>58.880399856104759</c:v>
                </c:pt>
                <c:pt idx="14">
                  <c:v>60.425661102852025</c:v>
                </c:pt>
                <c:pt idx="15">
                  <c:v>61.676918410527293</c:v>
                </c:pt>
                <c:pt idx="16">
                  <c:v>61.146053268916887</c:v>
                </c:pt>
                <c:pt idx="17">
                  <c:v>61.496807303675403</c:v>
                </c:pt>
                <c:pt idx="18">
                  <c:v>62.188925371486974</c:v>
                </c:pt>
                <c:pt idx="19">
                  <c:v>64.19039920469757</c:v>
                </c:pt>
                <c:pt idx="20">
                  <c:v>65.847543880163556</c:v>
                </c:pt>
                <c:pt idx="21">
                  <c:v>67.176004455033762</c:v>
                </c:pt>
                <c:pt idx="22">
                  <c:v>70.519654284729498</c:v>
                </c:pt>
                <c:pt idx="23">
                  <c:v>70.032083358735989</c:v>
                </c:pt>
                <c:pt idx="24">
                  <c:v>69.028519119088926</c:v>
                </c:pt>
                <c:pt idx="25">
                  <c:v>69.701127694943665</c:v>
                </c:pt>
                <c:pt idx="26">
                  <c:v>68.101036732827239</c:v>
                </c:pt>
                <c:pt idx="27">
                  <c:v>69.08050182903952</c:v>
                </c:pt>
                <c:pt idx="28">
                  <c:v>68.068732839794549</c:v>
                </c:pt>
                <c:pt idx="29">
                  <c:v>69.737318049016153</c:v>
                </c:pt>
                <c:pt idx="30">
                  <c:v>70.559645243607093</c:v>
                </c:pt>
                <c:pt idx="31">
                  <c:v>70.646773314846271</c:v>
                </c:pt>
                <c:pt idx="32">
                  <c:v>68.327983318844772</c:v>
                </c:pt>
                <c:pt idx="33">
                  <c:v>68.386220905810646</c:v>
                </c:pt>
                <c:pt idx="34">
                  <c:v>68.539217060240077</c:v>
                </c:pt>
                <c:pt idx="35">
                  <c:v>67.019284850431063</c:v>
                </c:pt>
                <c:pt idx="36">
                  <c:v>68.481634538037042</c:v>
                </c:pt>
                <c:pt idx="37">
                  <c:v>68.131790860897027</c:v>
                </c:pt>
                <c:pt idx="38">
                  <c:v>69.907684707340792</c:v>
                </c:pt>
                <c:pt idx="39">
                  <c:v>68.346901970571594</c:v>
                </c:pt>
                <c:pt idx="40">
                  <c:v>67.935520158792301</c:v>
                </c:pt>
                <c:pt idx="41">
                  <c:v>67.127741148683299</c:v>
                </c:pt>
                <c:pt idx="42">
                  <c:v>68.78853891419709</c:v>
                </c:pt>
                <c:pt idx="43">
                  <c:v>73.355802867425979</c:v>
                </c:pt>
                <c:pt idx="44">
                  <c:v>70.694267655245753</c:v>
                </c:pt>
                <c:pt idx="45">
                  <c:v>70.584878301540172</c:v>
                </c:pt>
                <c:pt idx="46">
                  <c:v>67.959779560949457</c:v>
                </c:pt>
                <c:pt idx="47">
                  <c:v>67.40989100314809</c:v>
                </c:pt>
                <c:pt idx="48">
                  <c:v>68.080083544592554</c:v>
                </c:pt>
                <c:pt idx="49">
                  <c:v>66.778578753073859</c:v>
                </c:pt>
                <c:pt idx="50">
                  <c:v>65.948408918733989</c:v>
                </c:pt>
                <c:pt idx="51">
                  <c:v>67.207399279861747</c:v>
                </c:pt>
                <c:pt idx="52">
                  <c:v>66.647088955004349</c:v>
                </c:pt>
                <c:pt idx="53">
                  <c:v>66.564452639501539</c:v>
                </c:pt>
                <c:pt idx="54">
                  <c:v>68.022686103235984</c:v>
                </c:pt>
                <c:pt idx="55">
                  <c:v>68.844700334013567</c:v>
                </c:pt>
                <c:pt idx="56">
                  <c:v>68.815796071406623</c:v>
                </c:pt>
                <c:pt idx="57">
                  <c:v>70.587914912679651</c:v>
                </c:pt>
                <c:pt idx="58">
                  <c:v>69.202239220731116</c:v>
                </c:pt>
                <c:pt idx="59">
                  <c:v>69.06728908270901</c:v>
                </c:pt>
                <c:pt idx="60">
                  <c:v>69.401416093043963</c:v>
                </c:pt>
                <c:pt idx="61">
                  <c:v>70.248018623744656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5A39-4566-8EE6-6D0A89D219EA}"/>
            </c:ext>
          </c:extLst>
        </c:ser>
        <c:ser>
          <c:idx val="84"/>
          <c:order val="83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Carlo'!$E$85:$BN$85</c:f>
              <c:numCache>
                <c:formatCode>General</c:formatCode>
                <c:ptCount val="62"/>
                <c:pt idx="1">
                  <c:v>60.99</c:v>
                </c:pt>
                <c:pt idx="2">
                  <c:v>60.779369720675284</c:v>
                </c:pt>
                <c:pt idx="3">
                  <c:v>59.955049239000964</c:v>
                </c:pt>
                <c:pt idx="4">
                  <c:v>60.621175429181406</c:v>
                </c:pt>
                <c:pt idx="5">
                  <c:v>62.300521169895276</c:v>
                </c:pt>
                <c:pt idx="6">
                  <c:v>62.621294444826958</c:v>
                </c:pt>
                <c:pt idx="7">
                  <c:v>63.452171806197676</c:v>
                </c:pt>
                <c:pt idx="8">
                  <c:v>62.904503714267321</c:v>
                </c:pt>
                <c:pt idx="9">
                  <c:v>62.205007374409568</c:v>
                </c:pt>
                <c:pt idx="10">
                  <c:v>63.238150236748396</c:v>
                </c:pt>
                <c:pt idx="11">
                  <c:v>61.29722897390095</c:v>
                </c:pt>
                <c:pt idx="12">
                  <c:v>61.825514809502131</c:v>
                </c:pt>
                <c:pt idx="13">
                  <c:v>61.619406512328304</c:v>
                </c:pt>
                <c:pt idx="14">
                  <c:v>59.903181668947511</c:v>
                </c:pt>
                <c:pt idx="15">
                  <c:v>60.118444132721308</c:v>
                </c:pt>
                <c:pt idx="16">
                  <c:v>58.884680657202551</c:v>
                </c:pt>
                <c:pt idx="17">
                  <c:v>58.56219316749872</c:v>
                </c:pt>
                <c:pt idx="18">
                  <c:v>57.830382540391973</c:v>
                </c:pt>
                <c:pt idx="19">
                  <c:v>59.20964541130401</c:v>
                </c:pt>
                <c:pt idx="20">
                  <c:v>59.419863673242709</c:v>
                </c:pt>
                <c:pt idx="21">
                  <c:v>56.897511287174055</c:v>
                </c:pt>
                <c:pt idx="22">
                  <c:v>55.840341502607863</c:v>
                </c:pt>
                <c:pt idx="23">
                  <c:v>55.731520501779812</c:v>
                </c:pt>
                <c:pt idx="24">
                  <c:v>55.803789267109394</c:v>
                </c:pt>
                <c:pt idx="25">
                  <c:v>56.628139594299739</c:v>
                </c:pt>
                <c:pt idx="26">
                  <c:v>58.210445288367218</c:v>
                </c:pt>
                <c:pt idx="27">
                  <c:v>57.00030757401499</c:v>
                </c:pt>
                <c:pt idx="28">
                  <c:v>56.743693460924248</c:v>
                </c:pt>
                <c:pt idx="29">
                  <c:v>56.703367136404395</c:v>
                </c:pt>
                <c:pt idx="30">
                  <c:v>57.475207408326384</c:v>
                </c:pt>
                <c:pt idx="31">
                  <c:v>58.672950793413868</c:v>
                </c:pt>
                <c:pt idx="32">
                  <c:v>59.030976007877442</c:v>
                </c:pt>
                <c:pt idx="33">
                  <c:v>57.939954562958377</c:v>
                </c:pt>
                <c:pt idx="34">
                  <c:v>58.116474788079806</c:v>
                </c:pt>
                <c:pt idx="35">
                  <c:v>57.839162187668656</c:v>
                </c:pt>
                <c:pt idx="36">
                  <c:v>57.721146857015675</c:v>
                </c:pt>
                <c:pt idx="37">
                  <c:v>57.124009400016845</c:v>
                </c:pt>
                <c:pt idx="38">
                  <c:v>57.104366408543996</c:v>
                </c:pt>
                <c:pt idx="39">
                  <c:v>55.916765219057119</c:v>
                </c:pt>
                <c:pt idx="40">
                  <c:v>56.007248177487561</c:v>
                </c:pt>
                <c:pt idx="41">
                  <c:v>56.536401101727371</c:v>
                </c:pt>
                <c:pt idx="42">
                  <c:v>56.447849135369879</c:v>
                </c:pt>
                <c:pt idx="43">
                  <c:v>56.14850596198086</c:v>
                </c:pt>
                <c:pt idx="44">
                  <c:v>55.401983038587993</c:v>
                </c:pt>
                <c:pt idx="45">
                  <c:v>54.736686072176646</c:v>
                </c:pt>
                <c:pt idx="46">
                  <c:v>56.594164013491046</c:v>
                </c:pt>
                <c:pt idx="47">
                  <c:v>55.514176696575497</c:v>
                </c:pt>
                <c:pt idx="48">
                  <c:v>54.473525719105183</c:v>
                </c:pt>
                <c:pt idx="49">
                  <c:v>54.779274683961447</c:v>
                </c:pt>
                <c:pt idx="50">
                  <c:v>52.548163152753474</c:v>
                </c:pt>
                <c:pt idx="51">
                  <c:v>52.718607221365822</c:v>
                </c:pt>
                <c:pt idx="52">
                  <c:v>50.764731560422462</c:v>
                </c:pt>
                <c:pt idx="53">
                  <c:v>50.411929167592127</c:v>
                </c:pt>
                <c:pt idx="54">
                  <c:v>50.685076129073323</c:v>
                </c:pt>
                <c:pt idx="55">
                  <c:v>51.207936947610698</c:v>
                </c:pt>
                <c:pt idx="56">
                  <c:v>52.48918578873252</c:v>
                </c:pt>
                <c:pt idx="57">
                  <c:v>52.575022753914865</c:v>
                </c:pt>
                <c:pt idx="58">
                  <c:v>52.340657604823932</c:v>
                </c:pt>
                <c:pt idx="59">
                  <c:v>53.750679320412956</c:v>
                </c:pt>
                <c:pt idx="60">
                  <c:v>54.036933982111762</c:v>
                </c:pt>
                <c:pt idx="61">
                  <c:v>54.738737336110809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A39-4566-8EE6-6D0A89D219EA}"/>
            </c:ext>
          </c:extLst>
        </c:ser>
        <c:ser>
          <c:idx val="85"/>
          <c:order val="84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Carlo'!$E$86:$BN$86</c:f>
              <c:numCache>
                <c:formatCode>General</c:formatCode>
                <c:ptCount val="62"/>
                <c:pt idx="1">
                  <c:v>60.99</c:v>
                </c:pt>
                <c:pt idx="2">
                  <c:v>60.694470357380659</c:v>
                </c:pt>
                <c:pt idx="3">
                  <c:v>59.778501981963991</c:v>
                </c:pt>
                <c:pt idx="4">
                  <c:v>61.617182668767363</c:v>
                </c:pt>
                <c:pt idx="5">
                  <c:v>60.023045115049094</c:v>
                </c:pt>
                <c:pt idx="6">
                  <c:v>60.397427828465034</c:v>
                </c:pt>
                <c:pt idx="7">
                  <c:v>60.523645086307823</c:v>
                </c:pt>
                <c:pt idx="8">
                  <c:v>63.570069726870962</c:v>
                </c:pt>
                <c:pt idx="9">
                  <c:v>63.675909733337576</c:v>
                </c:pt>
                <c:pt idx="10">
                  <c:v>64.07531034333789</c:v>
                </c:pt>
                <c:pt idx="11">
                  <c:v>63.798829289664894</c:v>
                </c:pt>
                <c:pt idx="12">
                  <c:v>63.80171359846743</c:v>
                </c:pt>
                <c:pt idx="13">
                  <c:v>65.887665895657861</c:v>
                </c:pt>
                <c:pt idx="14">
                  <c:v>66.796560436718963</c:v>
                </c:pt>
                <c:pt idx="15">
                  <c:v>69.080218561114322</c:v>
                </c:pt>
                <c:pt idx="16">
                  <c:v>68.653551562345072</c:v>
                </c:pt>
                <c:pt idx="17">
                  <c:v>70.626798466138681</c:v>
                </c:pt>
                <c:pt idx="18">
                  <c:v>71.378650877927967</c:v>
                </c:pt>
                <c:pt idx="19">
                  <c:v>71.060460281705986</c:v>
                </c:pt>
                <c:pt idx="20">
                  <c:v>72.602448911986144</c:v>
                </c:pt>
                <c:pt idx="21">
                  <c:v>73.657911236012936</c:v>
                </c:pt>
                <c:pt idx="22">
                  <c:v>73.751718831682808</c:v>
                </c:pt>
                <c:pt idx="23">
                  <c:v>72.746234906493072</c:v>
                </c:pt>
                <c:pt idx="24">
                  <c:v>71.714896655224862</c:v>
                </c:pt>
                <c:pt idx="25">
                  <c:v>71.791654821498653</c:v>
                </c:pt>
                <c:pt idx="26">
                  <c:v>71.039507415977113</c:v>
                </c:pt>
                <c:pt idx="27">
                  <c:v>70.689108693953827</c:v>
                </c:pt>
                <c:pt idx="28">
                  <c:v>71.210075125943973</c:v>
                </c:pt>
                <c:pt idx="29">
                  <c:v>72.41957423677033</c:v>
                </c:pt>
                <c:pt idx="30">
                  <c:v>70.714957659311054</c:v>
                </c:pt>
                <c:pt idx="31">
                  <c:v>70.561789654802752</c:v>
                </c:pt>
                <c:pt idx="32">
                  <c:v>68.058204159834034</c:v>
                </c:pt>
                <c:pt idx="33">
                  <c:v>70.209368952245441</c:v>
                </c:pt>
                <c:pt idx="34">
                  <c:v>73.594549025846717</c:v>
                </c:pt>
                <c:pt idx="35">
                  <c:v>72.669563259310067</c:v>
                </c:pt>
                <c:pt idx="36">
                  <c:v>71.463252439818831</c:v>
                </c:pt>
                <c:pt idx="37">
                  <c:v>72.140787511592151</c:v>
                </c:pt>
                <c:pt idx="38">
                  <c:v>74.976346589607743</c:v>
                </c:pt>
                <c:pt idx="39">
                  <c:v>75.122607688567129</c:v>
                </c:pt>
                <c:pt idx="40">
                  <c:v>73.895293052641463</c:v>
                </c:pt>
                <c:pt idx="41">
                  <c:v>71.750223224267117</c:v>
                </c:pt>
                <c:pt idx="42">
                  <c:v>72.549438596067105</c:v>
                </c:pt>
                <c:pt idx="43">
                  <c:v>73.122950198837813</c:v>
                </c:pt>
                <c:pt idx="44">
                  <c:v>72.288551948417549</c:v>
                </c:pt>
                <c:pt idx="45">
                  <c:v>73.578644498072663</c:v>
                </c:pt>
                <c:pt idx="46">
                  <c:v>73.956589892633048</c:v>
                </c:pt>
                <c:pt idx="47">
                  <c:v>73.149007353092244</c:v>
                </c:pt>
                <c:pt idx="48">
                  <c:v>72.123784093856955</c:v>
                </c:pt>
                <c:pt idx="49">
                  <c:v>71.547043860324436</c:v>
                </c:pt>
                <c:pt idx="50">
                  <c:v>72.829033049033711</c:v>
                </c:pt>
                <c:pt idx="51">
                  <c:v>72.106290683090435</c:v>
                </c:pt>
                <c:pt idx="52">
                  <c:v>71.517552516857904</c:v>
                </c:pt>
                <c:pt idx="53">
                  <c:v>72.413327312071843</c:v>
                </c:pt>
                <c:pt idx="54">
                  <c:v>72.384852986531342</c:v>
                </c:pt>
                <c:pt idx="55">
                  <c:v>74.541745524660087</c:v>
                </c:pt>
                <c:pt idx="56">
                  <c:v>73.619280285701237</c:v>
                </c:pt>
                <c:pt idx="57">
                  <c:v>72.860328536864685</c:v>
                </c:pt>
                <c:pt idx="58">
                  <c:v>72.133956809832924</c:v>
                </c:pt>
                <c:pt idx="59">
                  <c:v>71.088235846244871</c:v>
                </c:pt>
                <c:pt idx="60">
                  <c:v>69.640261900105017</c:v>
                </c:pt>
                <c:pt idx="61">
                  <c:v>70.633255700714699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5A39-4566-8EE6-6D0A89D219EA}"/>
            </c:ext>
          </c:extLst>
        </c:ser>
        <c:ser>
          <c:idx val="86"/>
          <c:order val="85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Carlo'!$E$87:$BN$87</c:f>
              <c:numCache>
                <c:formatCode>General</c:formatCode>
                <c:ptCount val="62"/>
                <c:pt idx="1">
                  <c:v>60.99</c:v>
                </c:pt>
                <c:pt idx="2">
                  <c:v>61.553246234877989</c:v>
                </c:pt>
                <c:pt idx="3">
                  <c:v>60.83281377303215</c:v>
                </c:pt>
                <c:pt idx="4">
                  <c:v>59.138116032053375</c:v>
                </c:pt>
                <c:pt idx="5">
                  <c:v>58.561814442671022</c:v>
                </c:pt>
                <c:pt idx="6">
                  <c:v>60.519524320864392</c:v>
                </c:pt>
                <c:pt idx="7">
                  <c:v>62.552247464837841</c:v>
                </c:pt>
                <c:pt idx="8">
                  <c:v>62.2365237410486</c:v>
                </c:pt>
                <c:pt idx="9">
                  <c:v>62.18677480561319</c:v>
                </c:pt>
                <c:pt idx="10">
                  <c:v>62.729148222361701</c:v>
                </c:pt>
                <c:pt idx="11">
                  <c:v>61.793233135532539</c:v>
                </c:pt>
                <c:pt idx="12">
                  <c:v>61.714408839856205</c:v>
                </c:pt>
                <c:pt idx="13">
                  <c:v>61.979384222205859</c:v>
                </c:pt>
                <c:pt idx="14">
                  <c:v>60.96731236293045</c:v>
                </c:pt>
                <c:pt idx="15">
                  <c:v>61.299171079905612</c:v>
                </c:pt>
                <c:pt idx="16">
                  <c:v>60.004696341873903</c:v>
                </c:pt>
                <c:pt idx="17">
                  <c:v>62.021160374035318</c:v>
                </c:pt>
                <c:pt idx="18">
                  <c:v>60.374166300518318</c:v>
                </c:pt>
                <c:pt idx="19">
                  <c:v>60.400436528672103</c:v>
                </c:pt>
                <c:pt idx="20">
                  <c:v>60.336122183484711</c:v>
                </c:pt>
                <c:pt idx="21">
                  <c:v>59.371101411104128</c:v>
                </c:pt>
                <c:pt idx="22">
                  <c:v>58.410415145599607</c:v>
                </c:pt>
                <c:pt idx="23">
                  <c:v>60.352311455937901</c:v>
                </c:pt>
                <c:pt idx="24">
                  <c:v>60.230506441742165</c:v>
                </c:pt>
                <c:pt idx="25">
                  <c:v>61.203776915094195</c:v>
                </c:pt>
                <c:pt idx="26">
                  <c:v>61.497321417055474</c:v>
                </c:pt>
                <c:pt idx="27">
                  <c:v>62.091334846529861</c:v>
                </c:pt>
                <c:pt idx="28">
                  <c:v>61.600540900000226</c:v>
                </c:pt>
                <c:pt idx="29">
                  <c:v>63.127905623926409</c:v>
                </c:pt>
                <c:pt idx="30">
                  <c:v>64.636135578030121</c:v>
                </c:pt>
                <c:pt idx="31">
                  <c:v>63.434598855097562</c:v>
                </c:pt>
                <c:pt idx="32">
                  <c:v>64.70758134916484</c:v>
                </c:pt>
                <c:pt idx="33">
                  <c:v>64.712694227750106</c:v>
                </c:pt>
                <c:pt idx="34">
                  <c:v>64.54360327363176</c:v>
                </c:pt>
                <c:pt idx="35">
                  <c:v>64.561751089202843</c:v>
                </c:pt>
                <c:pt idx="36">
                  <c:v>64.968400036004525</c:v>
                </c:pt>
                <c:pt idx="37">
                  <c:v>67.27822188986714</c:v>
                </c:pt>
                <c:pt idx="38">
                  <c:v>66.711349582023601</c:v>
                </c:pt>
                <c:pt idx="39">
                  <c:v>69.076413243335466</c:v>
                </c:pt>
                <c:pt idx="40">
                  <c:v>69.460346409410334</c:v>
                </c:pt>
                <c:pt idx="41">
                  <c:v>69.922018171973519</c:v>
                </c:pt>
                <c:pt idx="42">
                  <c:v>69.385766153746857</c:v>
                </c:pt>
                <c:pt idx="43">
                  <c:v>68.030959122194787</c:v>
                </c:pt>
                <c:pt idx="44">
                  <c:v>66.655221778939108</c:v>
                </c:pt>
                <c:pt idx="45">
                  <c:v>66.596782639216059</c:v>
                </c:pt>
                <c:pt idx="46">
                  <c:v>68.261535103429992</c:v>
                </c:pt>
                <c:pt idx="47">
                  <c:v>66.71608142196979</c:v>
                </c:pt>
                <c:pt idx="48">
                  <c:v>66.118440467668989</c:v>
                </c:pt>
                <c:pt idx="49">
                  <c:v>66.493171239718336</c:v>
                </c:pt>
                <c:pt idx="50">
                  <c:v>66.457760531305425</c:v>
                </c:pt>
                <c:pt idx="51">
                  <c:v>66.491423925568213</c:v>
                </c:pt>
                <c:pt idx="52">
                  <c:v>64.499484363693554</c:v>
                </c:pt>
                <c:pt idx="53">
                  <c:v>65.443537456784924</c:v>
                </c:pt>
                <c:pt idx="54">
                  <c:v>65.974571620874386</c:v>
                </c:pt>
                <c:pt idx="55">
                  <c:v>65.957142866685544</c:v>
                </c:pt>
                <c:pt idx="56">
                  <c:v>65.083998189671718</c:v>
                </c:pt>
                <c:pt idx="57">
                  <c:v>64.577073504128904</c:v>
                </c:pt>
                <c:pt idx="58">
                  <c:v>64.675276767601034</c:v>
                </c:pt>
                <c:pt idx="59">
                  <c:v>65.077776326221098</c:v>
                </c:pt>
                <c:pt idx="60">
                  <c:v>64.966485957462524</c:v>
                </c:pt>
                <c:pt idx="61">
                  <c:v>63.63872323965937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A39-4566-8EE6-6D0A89D219EA}"/>
            </c:ext>
          </c:extLst>
        </c:ser>
        <c:ser>
          <c:idx val="87"/>
          <c:order val="86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Carlo'!$E$88:$BN$88</c:f>
              <c:numCache>
                <c:formatCode>General</c:formatCode>
                <c:ptCount val="62"/>
                <c:pt idx="1">
                  <c:v>60.99</c:v>
                </c:pt>
                <c:pt idx="2">
                  <c:v>59.70421412625285</c:v>
                </c:pt>
                <c:pt idx="3">
                  <c:v>59.400363385667568</c:v>
                </c:pt>
                <c:pt idx="4">
                  <c:v>61.836091933311479</c:v>
                </c:pt>
                <c:pt idx="5">
                  <c:v>62.993037004404925</c:v>
                </c:pt>
                <c:pt idx="6">
                  <c:v>62.648299060080419</c:v>
                </c:pt>
                <c:pt idx="7">
                  <c:v>62.451927411333749</c:v>
                </c:pt>
                <c:pt idx="8">
                  <c:v>62.260296493244773</c:v>
                </c:pt>
                <c:pt idx="9">
                  <c:v>61.989440568443392</c:v>
                </c:pt>
                <c:pt idx="10">
                  <c:v>60.571618960854401</c:v>
                </c:pt>
                <c:pt idx="11">
                  <c:v>59.922722537026267</c:v>
                </c:pt>
                <c:pt idx="12">
                  <c:v>60.981718889172583</c:v>
                </c:pt>
                <c:pt idx="13">
                  <c:v>61.075418800527217</c:v>
                </c:pt>
                <c:pt idx="14">
                  <c:v>61.470549967977611</c:v>
                </c:pt>
                <c:pt idx="15">
                  <c:v>64.163626229879512</c:v>
                </c:pt>
                <c:pt idx="16">
                  <c:v>64.081565353221762</c:v>
                </c:pt>
                <c:pt idx="17">
                  <c:v>62.685866067582992</c:v>
                </c:pt>
                <c:pt idx="18">
                  <c:v>62.75108210972553</c:v>
                </c:pt>
                <c:pt idx="19">
                  <c:v>62.816862321389593</c:v>
                </c:pt>
                <c:pt idx="20">
                  <c:v>61.896470365339773</c:v>
                </c:pt>
                <c:pt idx="21">
                  <c:v>61.60349470159148</c:v>
                </c:pt>
                <c:pt idx="22">
                  <c:v>61.996356217344456</c:v>
                </c:pt>
                <c:pt idx="23">
                  <c:v>61.763552286217106</c:v>
                </c:pt>
                <c:pt idx="24">
                  <c:v>61.70801622811004</c:v>
                </c:pt>
                <c:pt idx="25">
                  <c:v>63.92348280645701</c:v>
                </c:pt>
                <c:pt idx="26">
                  <c:v>64.115672584745511</c:v>
                </c:pt>
                <c:pt idx="27">
                  <c:v>63.727165134324935</c:v>
                </c:pt>
                <c:pt idx="28">
                  <c:v>64.053413604308858</c:v>
                </c:pt>
                <c:pt idx="29">
                  <c:v>63.769108433815241</c:v>
                </c:pt>
                <c:pt idx="30">
                  <c:v>62.504513253300402</c:v>
                </c:pt>
                <c:pt idx="31">
                  <c:v>61.530595794096413</c:v>
                </c:pt>
                <c:pt idx="32">
                  <c:v>62.116157243072998</c:v>
                </c:pt>
                <c:pt idx="33">
                  <c:v>64.084982685035129</c:v>
                </c:pt>
                <c:pt idx="34">
                  <c:v>63.829919173597261</c:v>
                </c:pt>
                <c:pt idx="35">
                  <c:v>64.000209262535918</c:v>
                </c:pt>
                <c:pt idx="36">
                  <c:v>61.293568157078298</c:v>
                </c:pt>
                <c:pt idx="37">
                  <c:v>61.342063855236866</c:v>
                </c:pt>
                <c:pt idx="38">
                  <c:v>61.633431366024773</c:v>
                </c:pt>
                <c:pt idx="39">
                  <c:v>61.566777570638088</c:v>
                </c:pt>
                <c:pt idx="40">
                  <c:v>62.527882370283002</c:v>
                </c:pt>
                <c:pt idx="41">
                  <c:v>61.071657283077499</c:v>
                </c:pt>
                <c:pt idx="42">
                  <c:v>60.410843262491568</c:v>
                </c:pt>
                <c:pt idx="43">
                  <c:v>59.845265822480769</c:v>
                </c:pt>
                <c:pt idx="44">
                  <c:v>60.33520286482652</c:v>
                </c:pt>
                <c:pt idx="45">
                  <c:v>60.100577986140223</c:v>
                </c:pt>
                <c:pt idx="46">
                  <c:v>62.303772526478468</c:v>
                </c:pt>
                <c:pt idx="47">
                  <c:v>64.746110929628216</c:v>
                </c:pt>
                <c:pt idx="48">
                  <c:v>64.166003563806413</c:v>
                </c:pt>
                <c:pt idx="49">
                  <c:v>64.343789673681371</c:v>
                </c:pt>
                <c:pt idx="50">
                  <c:v>66.046676090441139</c:v>
                </c:pt>
                <c:pt idx="51">
                  <c:v>66.519433940416931</c:v>
                </c:pt>
                <c:pt idx="52">
                  <c:v>67.097506484237414</c:v>
                </c:pt>
                <c:pt idx="53">
                  <c:v>68.545956326738661</c:v>
                </c:pt>
                <c:pt idx="54">
                  <c:v>69.24283142438486</c:v>
                </c:pt>
                <c:pt idx="55">
                  <c:v>66.535071482641456</c:v>
                </c:pt>
                <c:pt idx="56">
                  <c:v>66.757201238764324</c:v>
                </c:pt>
                <c:pt idx="57">
                  <c:v>67.772193743467199</c:v>
                </c:pt>
                <c:pt idx="58">
                  <c:v>69.417547675830235</c:v>
                </c:pt>
                <c:pt idx="59">
                  <c:v>69.697913219766193</c:v>
                </c:pt>
                <c:pt idx="60">
                  <c:v>69.941880025263515</c:v>
                </c:pt>
                <c:pt idx="61">
                  <c:v>71.278794877540889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A39-4566-8EE6-6D0A89D219EA}"/>
            </c:ext>
          </c:extLst>
        </c:ser>
        <c:ser>
          <c:idx val="88"/>
          <c:order val="87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Carlo'!$E$89:$BN$89</c:f>
              <c:numCache>
                <c:formatCode>General</c:formatCode>
                <c:ptCount val="62"/>
                <c:pt idx="1">
                  <c:v>60.99</c:v>
                </c:pt>
                <c:pt idx="2">
                  <c:v>59.099540116651056</c:v>
                </c:pt>
                <c:pt idx="3">
                  <c:v>59.16691383095506</c:v>
                </c:pt>
                <c:pt idx="4">
                  <c:v>59.61326114132828</c:v>
                </c:pt>
                <c:pt idx="5">
                  <c:v>59.366760380475505</c:v>
                </c:pt>
                <c:pt idx="6">
                  <c:v>61.353393606355631</c:v>
                </c:pt>
                <c:pt idx="7">
                  <c:v>62.487968345709874</c:v>
                </c:pt>
                <c:pt idx="8">
                  <c:v>62.723869158064474</c:v>
                </c:pt>
                <c:pt idx="9">
                  <c:v>61.486383298032784</c:v>
                </c:pt>
                <c:pt idx="10">
                  <c:v>62.088303200391849</c:v>
                </c:pt>
                <c:pt idx="11">
                  <c:v>62.993917655400899</c:v>
                </c:pt>
                <c:pt idx="12">
                  <c:v>64.285302468112334</c:v>
                </c:pt>
                <c:pt idx="13">
                  <c:v>64.97940081632251</c:v>
                </c:pt>
                <c:pt idx="14">
                  <c:v>64.093817006371964</c:v>
                </c:pt>
                <c:pt idx="15">
                  <c:v>63.607700559213676</c:v>
                </c:pt>
                <c:pt idx="16">
                  <c:v>62.370888634827331</c:v>
                </c:pt>
                <c:pt idx="17">
                  <c:v>63.933018403508385</c:v>
                </c:pt>
                <c:pt idx="18">
                  <c:v>63.28800568005564</c:v>
                </c:pt>
                <c:pt idx="19">
                  <c:v>62.675499261999249</c:v>
                </c:pt>
                <c:pt idx="20">
                  <c:v>63.883325872788959</c:v>
                </c:pt>
                <c:pt idx="21">
                  <c:v>62.088460434095929</c:v>
                </c:pt>
                <c:pt idx="22">
                  <c:v>61.537280498445554</c:v>
                </c:pt>
                <c:pt idx="23">
                  <c:v>62.123926345536717</c:v>
                </c:pt>
                <c:pt idx="24">
                  <c:v>61.952963830189319</c:v>
                </c:pt>
                <c:pt idx="25">
                  <c:v>63.055925687368664</c:v>
                </c:pt>
                <c:pt idx="26">
                  <c:v>66.229399862165295</c:v>
                </c:pt>
                <c:pt idx="27">
                  <c:v>64.889705307025451</c:v>
                </c:pt>
                <c:pt idx="28">
                  <c:v>63.956868723169016</c:v>
                </c:pt>
                <c:pt idx="29">
                  <c:v>64.341061931357032</c:v>
                </c:pt>
                <c:pt idx="30">
                  <c:v>65.519563158765621</c:v>
                </c:pt>
                <c:pt idx="31">
                  <c:v>66.174642721985919</c:v>
                </c:pt>
                <c:pt idx="32">
                  <c:v>65.973928404717327</c:v>
                </c:pt>
                <c:pt idx="33">
                  <c:v>65.006412129425925</c:v>
                </c:pt>
                <c:pt idx="34">
                  <c:v>64.71751353519592</c:v>
                </c:pt>
                <c:pt idx="35">
                  <c:v>66.872384852711704</c:v>
                </c:pt>
                <c:pt idx="36">
                  <c:v>67.025791897140351</c:v>
                </c:pt>
                <c:pt idx="37">
                  <c:v>67.819201482551904</c:v>
                </c:pt>
                <c:pt idx="38">
                  <c:v>68.779611141022244</c:v>
                </c:pt>
                <c:pt idx="39">
                  <c:v>70.813147851723642</c:v>
                </c:pt>
                <c:pt idx="40">
                  <c:v>72.248441960974446</c:v>
                </c:pt>
                <c:pt idx="41">
                  <c:v>73.086351044122395</c:v>
                </c:pt>
                <c:pt idx="42">
                  <c:v>71.079185288755482</c:v>
                </c:pt>
                <c:pt idx="43">
                  <c:v>70.015107204604703</c:v>
                </c:pt>
                <c:pt idx="44">
                  <c:v>70.192361706833154</c:v>
                </c:pt>
                <c:pt idx="45">
                  <c:v>71.063285954654091</c:v>
                </c:pt>
                <c:pt idx="46">
                  <c:v>70.1035517695084</c:v>
                </c:pt>
                <c:pt idx="47">
                  <c:v>69.392475878423781</c:v>
                </c:pt>
                <c:pt idx="48">
                  <c:v>69.512615493140004</c:v>
                </c:pt>
                <c:pt idx="49">
                  <c:v>67.485848928107728</c:v>
                </c:pt>
                <c:pt idx="50">
                  <c:v>68.935273636471351</c:v>
                </c:pt>
                <c:pt idx="51">
                  <c:v>70.926749288783412</c:v>
                </c:pt>
                <c:pt idx="52">
                  <c:v>69.970274062640868</c:v>
                </c:pt>
                <c:pt idx="53">
                  <c:v>71.806083055319647</c:v>
                </c:pt>
                <c:pt idx="54">
                  <c:v>71.969207795754983</c:v>
                </c:pt>
                <c:pt idx="55">
                  <c:v>70.485481172443485</c:v>
                </c:pt>
                <c:pt idx="56">
                  <c:v>71.985926552881722</c:v>
                </c:pt>
                <c:pt idx="57">
                  <c:v>72.997287888300562</c:v>
                </c:pt>
                <c:pt idx="58">
                  <c:v>71.700279519695073</c:v>
                </c:pt>
                <c:pt idx="59">
                  <c:v>73.733759702865868</c:v>
                </c:pt>
                <c:pt idx="60">
                  <c:v>74.777666027658981</c:v>
                </c:pt>
                <c:pt idx="61">
                  <c:v>72.424618800297736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A39-4566-8EE6-6D0A89D219EA}"/>
            </c:ext>
          </c:extLst>
        </c:ser>
        <c:ser>
          <c:idx val="89"/>
          <c:order val="88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Carlo'!$E$90:$BN$90</c:f>
              <c:numCache>
                <c:formatCode>General</c:formatCode>
                <c:ptCount val="62"/>
                <c:pt idx="1">
                  <c:v>60.99</c:v>
                </c:pt>
                <c:pt idx="2">
                  <c:v>61.201914728920194</c:v>
                </c:pt>
                <c:pt idx="3">
                  <c:v>60.734081360406201</c:v>
                </c:pt>
                <c:pt idx="4">
                  <c:v>59.243866535329701</c:v>
                </c:pt>
                <c:pt idx="5">
                  <c:v>59.345520329095649</c:v>
                </c:pt>
                <c:pt idx="6">
                  <c:v>59.92480213566099</c:v>
                </c:pt>
                <c:pt idx="7">
                  <c:v>58.393047473065295</c:v>
                </c:pt>
                <c:pt idx="8">
                  <c:v>61.892054742592684</c:v>
                </c:pt>
                <c:pt idx="9">
                  <c:v>61.766874008727513</c:v>
                </c:pt>
                <c:pt idx="10">
                  <c:v>63.55737925177678</c:v>
                </c:pt>
                <c:pt idx="11">
                  <c:v>62.538566398540091</c:v>
                </c:pt>
                <c:pt idx="12">
                  <c:v>61.673432894728975</c:v>
                </c:pt>
                <c:pt idx="13">
                  <c:v>63.376657854458728</c:v>
                </c:pt>
                <c:pt idx="14">
                  <c:v>64.821137811797598</c:v>
                </c:pt>
                <c:pt idx="15">
                  <c:v>65.938583057270463</c:v>
                </c:pt>
                <c:pt idx="16">
                  <c:v>63.861094677131746</c:v>
                </c:pt>
                <c:pt idx="17">
                  <c:v>63.16408300316143</c:v>
                </c:pt>
                <c:pt idx="18">
                  <c:v>63.173973108640034</c:v>
                </c:pt>
                <c:pt idx="19">
                  <c:v>64.135376807587335</c:v>
                </c:pt>
                <c:pt idx="20">
                  <c:v>66.187914446816677</c:v>
                </c:pt>
                <c:pt idx="21">
                  <c:v>68.129259321149718</c:v>
                </c:pt>
                <c:pt idx="22">
                  <c:v>68.700679599323138</c:v>
                </c:pt>
                <c:pt idx="23">
                  <c:v>67.366722202211022</c:v>
                </c:pt>
                <c:pt idx="24">
                  <c:v>66.134148696885845</c:v>
                </c:pt>
                <c:pt idx="25">
                  <c:v>68.415557923798033</c:v>
                </c:pt>
                <c:pt idx="26">
                  <c:v>68.045766128821526</c:v>
                </c:pt>
                <c:pt idx="27">
                  <c:v>64.805779891938087</c:v>
                </c:pt>
                <c:pt idx="28">
                  <c:v>65.234137047618105</c:v>
                </c:pt>
                <c:pt idx="29">
                  <c:v>62.529640147226658</c:v>
                </c:pt>
                <c:pt idx="30">
                  <c:v>60.545938021442836</c:v>
                </c:pt>
                <c:pt idx="31">
                  <c:v>61.115394510978973</c:v>
                </c:pt>
                <c:pt idx="32">
                  <c:v>61.009516981980269</c:v>
                </c:pt>
                <c:pt idx="33">
                  <c:v>61.443512231167617</c:v>
                </c:pt>
                <c:pt idx="34">
                  <c:v>62.45746651551265</c:v>
                </c:pt>
                <c:pt idx="35">
                  <c:v>61.937647462211366</c:v>
                </c:pt>
                <c:pt idx="36">
                  <c:v>62.295027400705457</c:v>
                </c:pt>
                <c:pt idx="37">
                  <c:v>63.1811630466728</c:v>
                </c:pt>
                <c:pt idx="38">
                  <c:v>64.409866393648713</c:v>
                </c:pt>
                <c:pt idx="39">
                  <c:v>67.081545611605563</c:v>
                </c:pt>
                <c:pt idx="40">
                  <c:v>68.384435401365849</c:v>
                </c:pt>
                <c:pt idx="41">
                  <c:v>67.66250198325136</c:v>
                </c:pt>
                <c:pt idx="42">
                  <c:v>68.276161543188991</c:v>
                </c:pt>
                <c:pt idx="43">
                  <c:v>67.598727652679898</c:v>
                </c:pt>
                <c:pt idx="44">
                  <c:v>66.644184012319059</c:v>
                </c:pt>
                <c:pt idx="45">
                  <c:v>67.977186534665336</c:v>
                </c:pt>
                <c:pt idx="46">
                  <c:v>71.554349558116158</c:v>
                </c:pt>
                <c:pt idx="47">
                  <c:v>70.933694454296656</c:v>
                </c:pt>
                <c:pt idx="48">
                  <c:v>70.590073296019327</c:v>
                </c:pt>
                <c:pt idx="49">
                  <c:v>72.042168059165348</c:v>
                </c:pt>
                <c:pt idx="50">
                  <c:v>71.650857637795639</c:v>
                </c:pt>
                <c:pt idx="51">
                  <c:v>70.243261935320973</c:v>
                </c:pt>
                <c:pt idx="52">
                  <c:v>68.355528305515818</c:v>
                </c:pt>
                <c:pt idx="53">
                  <c:v>68.641701901399571</c:v>
                </c:pt>
                <c:pt idx="54">
                  <c:v>68.62428576226651</c:v>
                </c:pt>
                <c:pt idx="55">
                  <c:v>68.695071742791924</c:v>
                </c:pt>
                <c:pt idx="56">
                  <c:v>65.950941007252865</c:v>
                </c:pt>
                <c:pt idx="57">
                  <c:v>65.749252660818115</c:v>
                </c:pt>
                <c:pt idx="58">
                  <c:v>67.8681382908713</c:v>
                </c:pt>
                <c:pt idx="59">
                  <c:v>66.669472528015405</c:v>
                </c:pt>
                <c:pt idx="60">
                  <c:v>66.405346678298486</c:v>
                </c:pt>
                <c:pt idx="61">
                  <c:v>64.930500127107351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5A39-4566-8EE6-6D0A89D219EA}"/>
            </c:ext>
          </c:extLst>
        </c:ser>
        <c:ser>
          <c:idx val="90"/>
          <c:order val="89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Carlo'!$E$91:$BN$91</c:f>
              <c:numCache>
                <c:formatCode>General</c:formatCode>
                <c:ptCount val="62"/>
                <c:pt idx="1">
                  <c:v>60.99</c:v>
                </c:pt>
                <c:pt idx="2">
                  <c:v>58.925387839952037</c:v>
                </c:pt>
                <c:pt idx="3">
                  <c:v>57.864401097183944</c:v>
                </c:pt>
                <c:pt idx="4">
                  <c:v>59.218171910325296</c:v>
                </c:pt>
                <c:pt idx="5">
                  <c:v>60.127280590307329</c:v>
                </c:pt>
                <c:pt idx="6">
                  <c:v>59.610267343636501</c:v>
                </c:pt>
                <c:pt idx="7">
                  <c:v>59.242997342908019</c:v>
                </c:pt>
                <c:pt idx="8">
                  <c:v>59.078335287535651</c:v>
                </c:pt>
                <c:pt idx="9">
                  <c:v>58.557097492880509</c:v>
                </c:pt>
                <c:pt idx="10">
                  <c:v>56.932205963612496</c:v>
                </c:pt>
                <c:pt idx="11">
                  <c:v>56.809100021322664</c:v>
                </c:pt>
                <c:pt idx="12">
                  <c:v>56.776524619305761</c:v>
                </c:pt>
                <c:pt idx="13">
                  <c:v>56.853190877010157</c:v>
                </c:pt>
                <c:pt idx="14">
                  <c:v>58.034122302679535</c:v>
                </c:pt>
                <c:pt idx="15">
                  <c:v>55.728434372075462</c:v>
                </c:pt>
                <c:pt idx="16">
                  <c:v>57.425847984160939</c:v>
                </c:pt>
                <c:pt idx="17">
                  <c:v>56.789018077811171</c:v>
                </c:pt>
                <c:pt idx="18">
                  <c:v>57.879002305721336</c:v>
                </c:pt>
                <c:pt idx="19">
                  <c:v>60.458942905200622</c:v>
                </c:pt>
                <c:pt idx="20">
                  <c:v>61.689954311504842</c:v>
                </c:pt>
                <c:pt idx="21">
                  <c:v>62.933702275912346</c:v>
                </c:pt>
                <c:pt idx="22">
                  <c:v>62.814652277270916</c:v>
                </c:pt>
                <c:pt idx="23">
                  <c:v>63.971241796727661</c:v>
                </c:pt>
                <c:pt idx="24">
                  <c:v>62.34961196515286</c:v>
                </c:pt>
                <c:pt idx="25">
                  <c:v>62.619658402339347</c:v>
                </c:pt>
                <c:pt idx="26">
                  <c:v>61.602227799508903</c:v>
                </c:pt>
                <c:pt idx="27">
                  <c:v>60.778402907126107</c:v>
                </c:pt>
                <c:pt idx="28">
                  <c:v>60.66208051756756</c:v>
                </c:pt>
                <c:pt idx="29">
                  <c:v>61.199688162296184</c:v>
                </c:pt>
                <c:pt idx="30">
                  <c:v>59.987886565800927</c:v>
                </c:pt>
                <c:pt idx="31">
                  <c:v>60.5558287136517</c:v>
                </c:pt>
                <c:pt idx="32">
                  <c:v>62.240755865544656</c:v>
                </c:pt>
                <c:pt idx="33">
                  <c:v>61.825489137656838</c:v>
                </c:pt>
                <c:pt idx="34">
                  <c:v>61.420620700903648</c:v>
                </c:pt>
                <c:pt idx="35">
                  <c:v>61.722157760535403</c:v>
                </c:pt>
                <c:pt idx="36">
                  <c:v>61.856422043844525</c:v>
                </c:pt>
                <c:pt idx="37">
                  <c:v>61.836893560937298</c:v>
                </c:pt>
                <c:pt idx="38">
                  <c:v>61.584613570032246</c:v>
                </c:pt>
                <c:pt idx="39">
                  <c:v>62.295974143616526</c:v>
                </c:pt>
                <c:pt idx="40">
                  <c:v>63.681847182223727</c:v>
                </c:pt>
                <c:pt idx="41">
                  <c:v>62.94807837435755</c:v>
                </c:pt>
                <c:pt idx="42">
                  <c:v>63.441572442547077</c:v>
                </c:pt>
                <c:pt idx="43">
                  <c:v>63.257830119758047</c:v>
                </c:pt>
                <c:pt idx="44">
                  <c:v>64.458789233717411</c:v>
                </c:pt>
                <c:pt idx="45">
                  <c:v>64.753645772456466</c:v>
                </c:pt>
                <c:pt idx="46">
                  <c:v>66.153499306914071</c:v>
                </c:pt>
                <c:pt idx="47">
                  <c:v>67.041036512505798</c:v>
                </c:pt>
                <c:pt idx="48">
                  <c:v>67.664573319942065</c:v>
                </c:pt>
                <c:pt idx="49">
                  <c:v>68.490863014705212</c:v>
                </c:pt>
                <c:pt idx="50">
                  <c:v>70.322197285230317</c:v>
                </c:pt>
                <c:pt idx="51">
                  <c:v>71.815949501647012</c:v>
                </c:pt>
                <c:pt idx="52">
                  <c:v>73.421443883809772</c:v>
                </c:pt>
                <c:pt idx="53">
                  <c:v>73.408812573192932</c:v>
                </c:pt>
                <c:pt idx="54">
                  <c:v>74.076567049021747</c:v>
                </c:pt>
                <c:pt idx="55">
                  <c:v>74.426609362667321</c:v>
                </c:pt>
                <c:pt idx="56">
                  <c:v>75.464558308801173</c:v>
                </c:pt>
                <c:pt idx="57">
                  <c:v>77.89138003781224</c:v>
                </c:pt>
                <c:pt idx="58">
                  <c:v>80.563144113262723</c:v>
                </c:pt>
                <c:pt idx="59">
                  <c:v>79.86069169379482</c:v>
                </c:pt>
                <c:pt idx="60">
                  <c:v>81.962381561961593</c:v>
                </c:pt>
                <c:pt idx="61">
                  <c:v>83.963947678841947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A39-4566-8EE6-6D0A89D219EA}"/>
            </c:ext>
          </c:extLst>
        </c:ser>
        <c:ser>
          <c:idx val="91"/>
          <c:order val="90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Carlo'!$E$92:$BN$92</c:f>
              <c:numCache>
                <c:formatCode>General</c:formatCode>
                <c:ptCount val="62"/>
                <c:pt idx="1">
                  <c:v>60.99</c:v>
                </c:pt>
                <c:pt idx="2">
                  <c:v>58.424246633166888</c:v>
                </c:pt>
                <c:pt idx="3">
                  <c:v>58.23250174746974</c:v>
                </c:pt>
                <c:pt idx="4">
                  <c:v>59.182277470009282</c:v>
                </c:pt>
                <c:pt idx="5">
                  <c:v>58.106214606420124</c:v>
                </c:pt>
                <c:pt idx="6">
                  <c:v>57.863362126992804</c:v>
                </c:pt>
                <c:pt idx="7">
                  <c:v>58.85342369302586</c:v>
                </c:pt>
                <c:pt idx="8">
                  <c:v>60.012399535752671</c:v>
                </c:pt>
                <c:pt idx="9">
                  <c:v>60.058026955874404</c:v>
                </c:pt>
                <c:pt idx="10">
                  <c:v>61.311155204911735</c:v>
                </c:pt>
                <c:pt idx="11">
                  <c:v>61.93564611701705</c:v>
                </c:pt>
                <c:pt idx="12">
                  <c:v>62.360906156431618</c:v>
                </c:pt>
                <c:pt idx="13">
                  <c:v>60.23468394174013</c:v>
                </c:pt>
                <c:pt idx="14">
                  <c:v>58.712404879565014</c:v>
                </c:pt>
                <c:pt idx="15">
                  <c:v>58.596998263301678</c:v>
                </c:pt>
                <c:pt idx="16">
                  <c:v>56.944132695063182</c:v>
                </c:pt>
                <c:pt idx="17">
                  <c:v>56.877424887615291</c:v>
                </c:pt>
                <c:pt idx="18">
                  <c:v>56.190704158797651</c:v>
                </c:pt>
                <c:pt idx="19">
                  <c:v>56.488908983203657</c:v>
                </c:pt>
                <c:pt idx="20">
                  <c:v>56.30859389666572</c:v>
                </c:pt>
                <c:pt idx="21">
                  <c:v>58.081006132676855</c:v>
                </c:pt>
                <c:pt idx="22">
                  <c:v>58.50528235454987</c:v>
                </c:pt>
                <c:pt idx="23">
                  <c:v>57.881751648183482</c:v>
                </c:pt>
                <c:pt idx="24">
                  <c:v>58.667689310855863</c:v>
                </c:pt>
                <c:pt idx="25">
                  <c:v>58.779552091623508</c:v>
                </c:pt>
                <c:pt idx="26">
                  <c:v>59.894581336786025</c:v>
                </c:pt>
                <c:pt idx="27">
                  <c:v>60.770427303452294</c:v>
                </c:pt>
                <c:pt idx="28">
                  <c:v>60.490044095347379</c:v>
                </c:pt>
                <c:pt idx="29">
                  <c:v>60.128902056963788</c:v>
                </c:pt>
                <c:pt idx="30">
                  <c:v>58.330287101460584</c:v>
                </c:pt>
                <c:pt idx="31">
                  <c:v>59.060379974969869</c:v>
                </c:pt>
                <c:pt idx="32">
                  <c:v>60.300048553737362</c:v>
                </c:pt>
                <c:pt idx="33">
                  <c:v>60.074701655087246</c:v>
                </c:pt>
                <c:pt idx="34">
                  <c:v>60.010696116406571</c:v>
                </c:pt>
                <c:pt idx="35">
                  <c:v>61.508402630102772</c:v>
                </c:pt>
                <c:pt idx="36">
                  <c:v>62.297082838906817</c:v>
                </c:pt>
                <c:pt idx="37">
                  <c:v>63.337023558419851</c:v>
                </c:pt>
                <c:pt idx="38">
                  <c:v>63.309361587281707</c:v>
                </c:pt>
                <c:pt idx="39">
                  <c:v>64.389734349727021</c:v>
                </c:pt>
                <c:pt idx="40">
                  <c:v>63.922253090805</c:v>
                </c:pt>
                <c:pt idx="41">
                  <c:v>64.977284872303713</c:v>
                </c:pt>
                <c:pt idx="42">
                  <c:v>64.188502120568188</c:v>
                </c:pt>
                <c:pt idx="43">
                  <c:v>62.862090048270119</c:v>
                </c:pt>
                <c:pt idx="44">
                  <c:v>61.749074091082022</c:v>
                </c:pt>
                <c:pt idx="45">
                  <c:v>61.68124293312497</c:v>
                </c:pt>
                <c:pt idx="46">
                  <c:v>61.462702465842952</c:v>
                </c:pt>
                <c:pt idx="47">
                  <c:v>62.286529857940259</c:v>
                </c:pt>
                <c:pt idx="48">
                  <c:v>62.286568130479999</c:v>
                </c:pt>
                <c:pt idx="49">
                  <c:v>62.093482021768992</c:v>
                </c:pt>
                <c:pt idx="50">
                  <c:v>63.311588355136969</c:v>
                </c:pt>
                <c:pt idx="51">
                  <c:v>63.736163523145137</c:v>
                </c:pt>
                <c:pt idx="52">
                  <c:v>62.51639031540217</c:v>
                </c:pt>
                <c:pt idx="53">
                  <c:v>62.447991061315413</c:v>
                </c:pt>
                <c:pt idx="54">
                  <c:v>64.328024552526628</c:v>
                </c:pt>
                <c:pt idx="55">
                  <c:v>63.688099145809979</c:v>
                </c:pt>
                <c:pt idx="56">
                  <c:v>61.668012848450097</c:v>
                </c:pt>
                <c:pt idx="57">
                  <c:v>61.372878644390951</c:v>
                </c:pt>
                <c:pt idx="58">
                  <c:v>60.535021634387817</c:v>
                </c:pt>
                <c:pt idx="59">
                  <c:v>58.994973743506733</c:v>
                </c:pt>
                <c:pt idx="60">
                  <c:v>61.168293175382892</c:v>
                </c:pt>
                <c:pt idx="61">
                  <c:v>61.00724664918387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5A39-4566-8EE6-6D0A89D219EA}"/>
            </c:ext>
          </c:extLst>
        </c:ser>
        <c:ser>
          <c:idx val="92"/>
          <c:order val="91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Carlo'!$E$93:$BN$93</c:f>
              <c:numCache>
                <c:formatCode>General</c:formatCode>
                <c:ptCount val="62"/>
                <c:pt idx="1">
                  <c:v>60.99</c:v>
                </c:pt>
                <c:pt idx="2">
                  <c:v>59.647845411710151</c:v>
                </c:pt>
                <c:pt idx="3">
                  <c:v>59.409918730445753</c:v>
                </c:pt>
                <c:pt idx="4">
                  <c:v>59.732452311029192</c:v>
                </c:pt>
                <c:pt idx="5">
                  <c:v>58.599546472290768</c:v>
                </c:pt>
                <c:pt idx="6">
                  <c:v>60.237757674260386</c:v>
                </c:pt>
                <c:pt idx="7">
                  <c:v>57.618190542310955</c:v>
                </c:pt>
                <c:pt idx="8">
                  <c:v>56.901104960468551</c:v>
                </c:pt>
                <c:pt idx="9">
                  <c:v>56.215391356942106</c:v>
                </c:pt>
                <c:pt idx="10">
                  <c:v>53.67592490411225</c:v>
                </c:pt>
                <c:pt idx="11">
                  <c:v>54.057670366965183</c:v>
                </c:pt>
                <c:pt idx="12">
                  <c:v>53.356531129143029</c:v>
                </c:pt>
                <c:pt idx="13">
                  <c:v>53.203353682521623</c:v>
                </c:pt>
                <c:pt idx="14">
                  <c:v>51.799748115907356</c:v>
                </c:pt>
                <c:pt idx="15">
                  <c:v>51.907848178474914</c:v>
                </c:pt>
                <c:pt idx="16">
                  <c:v>50.958046762881096</c:v>
                </c:pt>
                <c:pt idx="17">
                  <c:v>50.402110608457875</c:v>
                </c:pt>
                <c:pt idx="18">
                  <c:v>51.25446584614965</c:v>
                </c:pt>
                <c:pt idx="19">
                  <c:v>52.147007413547371</c:v>
                </c:pt>
                <c:pt idx="20">
                  <c:v>51.452846226499105</c:v>
                </c:pt>
                <c:pt idx="21">
                  <c:v>50.923451793723004</c:v>
                </c:pt>
                <c:pt idx="22">
                  <c:v>51.129017058271629</c:v>
                </c:pt>
                <c:pt idx="23">
                  <c:v>51.06480999316851</c:v>
                </c:pt>
                <c:pt idx="24">
                  <c:v>52.360453991722004</c:v>
                </c:pt>
                <c:pt idx="25">
                  <c:v>53.767474685188759</c:v>
                </c:pt>
                <c:pt idx="26">
                  <c:v>53.870010455040621</c:v>
                </c:pt>
                <c:pt idx="27">
                  <c:v>54.738356606542361</c:v>
                </c:pt>
                <c:pt idx="28">
                  <c:v>55.092823667715301</c:v>
                </c:pt>
                <c:pt idx="29">
                  <c:v>54.028647647577749</c:v>
                </c:pt>
                <c:pt idx="30">
                  <c:v>54.135946136958729</c:v>
                </c:pt>
                <c:pt idx="31">
                  <c:v>53.870238000972378</c:v>
                </c:pt>
                <c:pt idx="32">
                  <c:v>54.606823425435174</c:v>
                </c:pt>
                <c:pt idx="33">
                  <c:v>53.732221673422131</c:v>
                </c:pt>
                <c:pt idx="34">
                  <c:v>55.330745063374287</c:v>
                </c:pt>
                <c:pt idx="35">
                  <c:v>55.086726812660437</c:v>
                </c:pt>
                <c:pt idx="36">
                  <c:v>55.987476409977482</c:v>
                </c:pt>
                <c:pt idx="37">
                  <c:v>57.698179644888839</c:v>
                </c:pt>
                <c:pt idx="38">
                  <c:v>59.845475799300104</c:v>
                </c:pt>
                <c:pt idx="39">
                  <c:v>60.754198851411481</c:v>
                </c:pt>
                <c:pt idx="40">
                  <c:v>61.684791657524372</c:v>
                </c:pt>
                <c:pt idx="41">
                  <c:v>62.26881111133055</c:v>
                </c:pt>
                <c:pt idx="42">
                  <c:v>62.557682067223013</c:v>
                </c:pt>
                <c:pt idx="43">
                  <c:v>63.752528064405865</c:v>
                </c:pt>
                <c:pt idx="44">
                  <c:v>66.277013458469469</c:v>
                </c:pt>
                <c:pt idx="45">
                  <c:v>65.112074855001026</c:v>
                </c:pt>
                <c:pt idx="46">
                  <c:v>65.940815463944148</c:v>
                </c:pt>
                <c:pt idx="47">
                  <c:v>67.207754587160551</c:v>
                </c:pt>
                <c:pt idx="48">
                  <c:v>68.182584084713369</c:v>
                </c:pt>
                <c:pt idx="49">
                  <c:v>68.530044422343735</c:v>
                </c:pt>
                <c:pt idx="50">
                  <c:v>69.010878372375601</c:v>
                </c:pt>
                <c:pt idx="51">
                  <c:v>69.368131311709007</c:v>
                </c:pt>
                <c:pt idx="52">
                  <c:v>70.168531005907283</c:v>
                </c:pt>
                <c:pt idx="53">
                  <c:v>70.685207854508221</c:v>
                </c:pt>
                <c:pt idx="54">
                  <c:v>70.909369683577296</c:v>
                </c:pt>
                <c:pt idx="55">
                  <c:v>71.535972245477424</c:v>
                </c:pt>
                <c:pt idx="56">
                  <c:v>74.142417368740581</c:v>
                </c:pt>
                <c:pt idx="57">
                  <c:v>74.680531816878513</c:v>
                </c:pt>
                <c:pt idx="58">
                  <c:v>74.339379213434057</c:v>
                </c:pt>
                <c:pt idx="59">
                  <c:v>75.425877334026993</c:v>
                </c:pt>
                <c:pt idx="60">
                  <c:v>75.989376698303602</c:v>
                </c:pt>
                <c:pt idx="61">
                  <c:v>74.351590402215706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A39-4566-8EE6-6D0A89D219EA}"/>
            </c:ext>
          </c:extLst>
        </c:ser>
        <c:ser>
          <c:idx val="93"/>
          <c:order val="92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Carlo'!$E$94:$BN$94</c:f>
              <c:numCache>
                <c:formatCode>General</c:formatCode>
                <c:ptCount val="62"/>
                <c:pt idx="1">
                  <c:v>60.99</c:v>
                </c:pt>
                <c:pt idx="2">
                  <c:v>63.181169552907392</c:v>
                </c:pt>
                <c:pt idx="3">
                  <c:v>61.843292942601508</c:v>
                </c:pt>
                <c:pt idx="4">
                  <c:v>61.441193616236923</c:v>
                </c:pt>
                <c:pt idx="5">
                  <c:v>62.022829948634424</c:v>
                </c:pt>
                <c:pt idx="6">
                  <c:v>62.725844975519507</c:v>
                </c:pt>
                <c:pt idx="7">
                  <c:v>62.632981900274153</c:v>
                </c:pt>
                <c:pt idx="8">
                  <c:v>61.983782672166853</c:v>
                </c:pt>
                <c:pt idx="9">
                  <c:v>62.65610047439025</c:v>
                </c:pt>
                <c:pt idx="10">
                  <c:v>64.931315890306919</c:v>
                </c:pt>
                <c:pt idx="11">
                  <c:v>64.880091778636853</c:v>
                </c:pt>
                <c:pt idx="12">
                  <c:v>65.566417788544925</c:v>
                </c:pt>
                <c:pt idx="13">
                  <c:v>65.60587118862432</c:v>
                </c:pt>
                <c:pt idx="14">
                  <c:v>68.50139726238865</c:v>
                </c:pt>
                <c:pt idx="15">
                  <c:v>69.28029837838433</c:v>
                </c:pt>
                <c:pt idx="16">
                  <c:v>69.939903818849317</c:v>
                </c:pt>
                <c:pt idx="17">
                  <c:v>69.802712051496329</c:v>
                </c:pt>
                <c:pt idx="18">
                  <c:v>67.665505711748395</c:v>
                </c:pt>
                <c:pt idx="19">
                  <c:v>67.904412673938921</c:v>
                </c:pt>
                <c:pt idx="20">
                  <c:v>67.410407181508077</c:v>
                </c:pt>
                <c:pt idx="21">
                  <c:v>67.77757373118601</c:v>
                </c:pt>
                <c:pt idx="22">
                  <c:v>67.252858981211872</c:v>
                </c:pt>
                <c:pt idx="23">
                  <c:v>68.114759055590255</c:v>
                </c:pt>
                <c:pt idx="24">
                  <c:v>67.561815470701617</c:v>
                </c:pt>
                <c:pt idx="25">
                  <c:v>67.716554615865974</c:v>
                </c:pt>
                <c:pt idx="26">
                  <c:v>66.335842893636865</c:v>
                </c:pt>
                <c:pt idx="27">
                  <c:v>67.00408185605454</c:v>
                </c:pt>
                <c:pt idx="28">
                  <c:v>66.571119246190364</c:v>
                </c:pt>
                <c:pt idx="29">
                  <c:v>66.814956112222077</c:v>
                </c:pt>
                <c:pt idx="30">
                  <c:v>66.773879082855501</c:v>
                </c:pt>
                <c:pt idx="31">
                  <c:v>68.485460494414554</c:v>
                </c:pt>
                <c:pt idx="32">
                  <c:v>68.755858671422516</c:v>
                </c:pt>
                <c:pt idx="33">
                  <c:v>68.850653396184029</c:v>
                </c:pt>
                <c:pt idx="34">
                  <c:v>68.840328828555712</c:v>
                </c:pt>
                <c:pt idx="35">
                  <c:v>68.251831546826025</c:v>
                </c:pt>
                <c:pt idx="36">
                  <c:v>67.471586509362382</c:v>
                </c:pt>
                <c:pt idx="37">
                  <c:v>68.287966364797612</c:v>
                </c:pt>
                <c:pt idx="38">
                  <c:v>67.730905336951238</c:v>
                </c:pt>
                <c:pt idx="39">
                  <c:v>70.351334980735146</c:v>
                </c:pt>
                <c:pt idx="40">
                  <c:v>68.548843228773293</c:v>
                </c:pt>
                <c:pt idx="41">
                  <c:v>69.976203044261496</c:v>
                </c:pt>
                <c:pt idx="42">
                  <c:v>69.554795424464828</c:v>
                </c:pt>
                <c:pt idx="43">
                  <c:v>70.968879315220093</c:v>
                </c:pt>
                <c:pt idx="44">
                  <c:v>72.076278739665796</c:v>
                </c:pt>
                <c:pt idx="45">
                  <c:v>73.104089594664245</c:v>
                </c:pt>
                <c:pt idx="46">
                  <c:v>74.276655317610164</c:v>
                </c:pt>
                <c:pt idx="47">
                  <c:v>75.48314009072871</c:v>
                </c:pt>
                <c:pt idx="48">
                  <c:v>74.800443766955055</c:v>
                </c:pt>
                <c:pt idx="49">
                  <c:v>76.402800766585173</c:v>
                </c:pt>
                <c:pt idx="50">
                  <c:v>74.999557127786062</c:v>
                </c:pt>
                <c:pt idx="51">
                  <c:v>75.123431876430075</c:v>
                </c:pt>
                <c:pt idx="52">
                  <c:v>73.787386559536174</c:v>
                </c:pt>
                <c:pt idx="53">
                  <c:v>74.48822460429983</c:v>
                </c:pt>
                <c:pt idx="54">
                  <c:v>77.428028569876204</c:v>
                </c:pt>
                <c:pt idx="55">
                  <c:v>78.859811048620912</c:v>
                </c:pt>
                <c:pt idx="56">
                  <c:v>80.883997575719732</c:v>
                </c:pt>
                <c:pt idx="57">
                  <c:v>79.577915008556772</c:v>
                </c:pt>
                <c:pt idx="58">
                  <c:v>79.895707049719576</c:v>
                </c:pt>
                <c:pt idx="59">
                  <c:v>80.359605331633233</c:v>
                </c:pt>
                <c:pt idx="60">
                  <c:v>78.093195654534199</c:v>
                </c:pt>
                <c:pt idx="61">
                  <c:v>77.013999386159043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5A39-4566-8EE6-6D0A89D219EA}"/>
            </c:ext>
          </c:extLst>
        </c:ser>
        <c:ser>
          <c:idx val="94"/>
          <c:order val="93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Carlo'!$E$95:$BN$95</c:f>
              <c:numCache>
                <c:formatCode>General</c:formatCode>
                <c:ptCount val="62"/>
                <c:pt idx="1">
                  <c:v>60.99</c:v>
                </c:pt>
                <c:pt idx="2">
                  <c:v>62.204535320398136</c:v>
                </c:pt>
                <c:pt idx="3">
                  <c:v>63.279222539454146</c:v>
                </c:pt>
                <c:pt idx="4">
                  <c:v>61.891432949208252</c:v>
                </c:pt>
                <c:pt idx="5">
                  <c:v>60.830838838448948</c:v>
                </c:pt>
                <c:pt idx="6">
                  <c:v>60.138991019101837</c:v>
                </c:pt>
                <c:pt idx="7">
                  <c:v>61.328313497139234</c:v>
                </c:pt>
                <c:pt idx="8">
                  <c:v>61.509622135832622</c:v>
                </c:pt>
                <c:pt idx="9">
                  <c:v>60.887046071441048</c:v>
                </c:pt>
                <c:pt idx="10">
                  <c:v>62.213745443603742</c:v>
                </c:pt>
                <c:pt idx="11">
                  <c:v>62.614673198912477</c:v>
                </c:pt>
                <c:pt idx="12">
                  <c:v>63.034796943855113</c:v>
                </c:pt>
                <c:pt idx="13">
                  <c:v>63.205315160071265</c:v>
                </c:pt>
                <c:pt idx="14">
                  <c:v>64.329526475578632</c:v>
                </c:pt>
                <c:pt idx="15">
                  <c:v>62.736660647053135</c:v>
                </c:pt>
                <c:pt idx="16">
                  <c:v>63.440291926262219</c:v>
                </c:pt>
                <c:pt idx="17">
                  <c:v>63.112188244752907</c:v>
                </c:pt>
                <c:pt idx="18">
                  <c:v>60.529303693862992</c:v>
                </c:pt>
                <c:pt idx="19">
                  <c:v>60.206838869153636</c:v>
                </c:pt>
                <c:pt idx="20">
                  <c:v>59.394274616271076</c:v>
                </c:pt>
                <c:pt idx="21">
                  <c:v>60.338250419851299</c:v>
                </c:pt>
                <c:pt idx="22">
                  <c:v>59.751369497006841</c:v>
                </c:pt>
                <c:pt idx="23">
                  <c:v>59.695203969143073</c:v>
                </c:pt>
                <c:pt idx="24">
                  <c:v>60.275579936421096</c:v>
                </c:pt>
                <c:pt idx="25">
                  <c:v>60.278953145310268</c:v>
                </c:pt>
                <c:pt idx="26">
                  <c:v>59.316340849000689</c:v>
                </c:pt>
                <c:pt idx="27">
                  <c:v>58.736444040544853</c:v>
                </c:pt>
                <c:pt idx="28">
                  <c:v>59.444990113925321</c:v>
                </c:pt>
                <c:pt idx="29">
                  <c:v>59.22730706037931</c:v>
                </c:pt>
                <c:pt idx="30">
                  <c:v>58.51246282732717</c:v>
                </c:pt>
                <c:pt idx="31">
                  <c:v>57.964458385424713</c:v>
                </c:pt>
                <c:pt idx="32">
                  <c:v>58.692119545157247</c:v>
                </c:pt>
                <c:pt idx="33">
                  <c:v>57.961713389707725</c:v>
                </c:pt>
                <c:pt idx="34">
                  <c:v>60.579467304489164</c:v>
                </c:pt>
                <c:pt idx="35">
                  <c:v>60.885699145827374</c:v>
                </c:pt>
                <c:pt idx="36">
                  <c:v>59.86659868594402</c:v>
                </c:pt>
                <c:pt idx="37">
                  <c:v>59.621862350859686</c:v>
                </c:pt>
                <c:pt idx="38">
                  <c:v>58.884843976548645</c:v>
                </c:pt>
                <c:pt idx="39">
                  <c:v>58.677634970486857</c:v>
                </c:pt>
                <c:pt idx="40">
                  <c:v>59.088962660194007</c:v>
                </c:pt>
                <c:pt idx="41">
                  <c:v>58.859332667552287</c:v>
                </c:pt>
                <c:pt idx="42">
                  <c:v>59.554725190105145</c:v>
                </c:pt>
                <c:pt idx="43">
                  <c:v>58.435741425979749</c:v>
                </c:pt>
                <c:pt idx="44">
                  <c:v>58.115420682111008</c:v>
                </c:pt>
                <c:pt idx="45">
                  <c:v>59.581970575736442</c:v>
                </c:pt>
                <c:pt idx="46">
                  <c:v>59.267669903723068</c:v>
                </c:pt>
                <c:pt idx="47">
                  <c:v>59.287315487634501</c:v>
                </c:pt>
                <c:pt idx="48">
                  <c:v>59.326441989175528</c:v>
                </c:pt>
                <c:pt idx="49">
                  <c:v>60.643050775019134</c:v>
                </c:pt>
                <c:pt idx="50">
                  <c:v>60.581867351717825</c:v>
                </c:pt>
                <c:pt idx="51">
                  <c:v>60.802471743574905</c:v>
                </c:pt>
                <c:pt idx="52">
                  <c:v>61.364966625596864</c:v>
                </c:pt>
                <c:pt idx="53">
                  <c:v>61.689656711098827</c:v>
                </c:pt>
                <c:pt idx="54">
                  <c:v>64.028036649748273</c:v>
                </c:pt>
                <c:pt idx="55">
                  <c:v>63.986632933251748</c:v>
                </c:pt>
                <c:pt idx="56">
                  <c:v>64.264151348965811</c:v>
                </c:pt>
                <c:pt idx="57">
                  <c:v>63.885640401809496</c:v>
                </c:pt>
                <c:pt idx="58">
                  <c:v>65.999112419898438</c:v>
                </c:pt>
                <c:pt idx="59">
                  <c:v>68.57051350523993</c:v>
                </c:pt>
                <c:pt idx="60">
                  <c:v>69.681492722038186</c:v>
                </c:pt>
                <c:pt idx="61">
                  <c:v>67.618723139145757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A39-4566-8EE6-6D0A89D219EA}"/>
            </c:ext>
          </c:extLst>
        </c:ser>
        <c:ser>
          <c:idx val="95"/>
          <c:order val="94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Carlo'!$E$96:$BN$96</c:f>
              <c:numCache>
                <c:formatCode>General</c:formatCode>
                <c:ptCount val="62"/>
                <c:pt idx="1">
                  <c:v>60.99</c:v>
                </c:pt>
                <c:pt idx="2">
                  <c:v>59.846952887360949</c:v>
                </c:pt>
                <c:pt idx="3">
                  <c:v>59.147562019851094</c:v>
                </c:pt>
                <c:pt idx="4">
                  <c:v>61.27328923144227</c:v>
                </c:pt>
                <c:pt idx="5">
                  <c:v>60.766172975720039</c:v>
                </c:pt>
                <c:pt idx="6">
                  <c:v>63.228858760885309</c:v>
                </c:pt>
                <c:pt idx="7">
                  <c:v>63.736475799336773</c:v>
                </c:pt>
                <c:pt idx="8">
                  <c:v>62.960744434122873</c:v>
                </c:pt>
                <c:pt idx="9">
                  <c:v>63.496180801926776</c:v>
                </c:pt>
                <c:pt idx="10">
                  <c:v>63.512368433908428</c:v>
                </c:pt>
                <c:pt idx="11">
                  <c:v>63.353660504490776</c:v>
                </c:pt>
                <c:pt idx="12">
                  <c:v>63.873826246232724</c:v>
                </c:pt>
                <c:pt idx="13">
                  <c:v>64.884648124709784</c:v>
                </c:pt>
                <c:pt idx="14">
                  <c:v>64.372592445452341</c:v>
                </c:pt>
                <c:pt idx="15">
                  <c:v>64.388534589321964</c:v>
                </c:pt>
                <c:pt idx="16">
                  <c:v>65.493077194267613</c:v>
                </c:pt>
                <c:pt idx="17">
                  <c:v>65.807276214070583</c:v>
                </c:pt>
                <c:pt idx="18">
                  <c:v>65.348498200456135</c:v>
                </c:pt>
                <c:pt idx="19">
                  <c:v>65.939435052638842</c:v>
                </c:pt>
                <c:pt idx="20">
                  <c:v>66.155750633316856</c:v>
                </c:pt>
                <c:pt idx="21">
                  <c:v>66.26372570761464</c:v>
                </c:pt>
                <c:pt idx="22">
                  <c:v>65.777281261655816</c:v>
                </c:pt>
                <c:pt idx="23">
                  <c:v>67.522646391267813</c:v>
                </c:pt>
                <c:pt idx="24">
                  <c:v>67.449843207941015</c:v>
                </c:pt>
                <c:pt idx="25">
                  <c:v>66.653477735584701</c:v>
                </c:pt>
                <c:pt idx="26">
                  <c:v>65.175698430437109</c:v>
                </c:pt>
                <c:pt idx="27">
                  <c:v>66.831028298191811</c:v>
                </c:pt>
                <c:pt idx="28">
                  <c:v>66.706363255461397</c:v>
                </c:pt>
                <c:pt idx="29">
                  <c:v>68.1817674779996</c:v>
                </c:pt>
                <c:pt idx="30">
                  <c:v>68.958094034211243</c:v>
                </c:pt>
                <c:pt idx="31">
                  <c:v>69.670496135860034</c:v>
                </c:pt>
                <c:pt idx="32">
                  <c:v>69.437117321263102</c:v>
                </c:pt>
                <c:pt idx="33">
                  <c:v>70.920266518534618</c:v>
                </c:pt>
                <c:pt idx="34">
                  <c:v>67.019528278895265</c:v>
                </c:pt>
                <c:pt idx="35">
                  <c:v>67.986526390942188</c:v>
                </c:pt>
                <c:pt idx="36">
                  <c:v>69.044927754206711</c:v>
                </c:pt>
                <c:pt idx="37">
                  <c:v>68.603523304098957</c:v>
                </c:pt>
                <c:pt idx="38">
                  <c:v>70.237865239316235</c:v>
                </c:pt>
                <c:pt idx="39">
                  <c:v>68.638725048812177</c:v>
                </c:pt>
                <c:pt idx="40">
                  <c:v>69.856206501103685</c:v>
                </c:pt>
                <c:pt idx="41">
                  <c:v>70.636651703477213</c:v>
                </c:pt>
                <c:pt idx="42">
                  <c:v>69.464219528345865</c:v>
                </c:pt>
                <c:pt idx="43">
                  <c:v>68.766041112898961</c:v>
                </c:pt>
                <c:pt idx="44">
                  <c:v>70.916633966725797</c:v>
                </c:pt>
                <c:pt idx="45">
                  <c:v>69.790900929303973</c:v>
                </c:pt>
                <c:pt idx="46">
                  <c:v>70.203838941424152</c:v>
                </c:pt>
                <c:pt idx="47">
                  <c:v>71.334292175704533</c:v>
                </c:pt>
                <c:pt idx="48">
                  <c:v>74.204783295541731</c:v>
                </c:pt>
                <c:pt idx="49">
                  <c:v>75.306600387085624</c:v>
                </c:pt>
                <c:pt idx="50">
                  <c:v>74.389058042852199</c:v>
                </c:pt>
                <c:pt idx="51">
                  <c:v>76.343042233396929</c:v>
                </c:pt>
                <c:pt idx="52">
                  <c:v>75.556469407388747</c:v>
                </c:pt>
                <c:pt idx="53">
                  <c:v>74.915584927047931</c:v>
                </c:pt>
                <c:pt idx="54">
                  <c:v>75.635542208541835</c:v>
                </c:pt>
                <c:pt idx="55">
                  <c:v>77.634733610836719</c:v>
                </c:pt>
                <c:pt idx="56">
                  <c:v>76.780581880254616</c:v>
                </c:pt>
                <c:pt idx="57">
                  <c:v>75.471142648263765</c:v>
                </c:pt>
                <c:pt idx="58">
                  <c:v>75.012181993125623</c:v>
                </c:pt>
                <c:pt idx="59">
                  <c:v>73.9394827069939</c:v>
                </c:pt>
                <c:pt idx="60">
                  <c:v>74.85772055751508</c:v>
                </c:pt>
                <c:pt idx="61">
                  <c:v>75.111460142232218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5A39-4566-8EE6-6D0A89D219EA}"/>
            </c:ext>
          </c:extLst>
        </c:ser>
        <c:ser>
          <c:idx val="96"/>
          <c:order val="95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Carlo'!$E$97:$BN$97</c:f>
              <c:numCache>
                <c:formatCode>General</c:formatCode>
                <c:ptCount val="62"/>
                <c:pt idx="1">
                  <c:v>60.99</c:v>
                </c:pt>
                <c:pt idx="2">
                  <c:v>60.805345917347189</c:v>
                </c:pt>
                <c:pt idx="3">
                  <c:v>62.326826511693014</c:v>
                </c:pt>
                <c:pt idx="4">
                  <c:v>63.723294594530245</c:v>
                </c:pt>
                <c:pt idx="5">
                  <c:v>64.993775599147796</c:v>
                </c:pt>
                <c:pt idx="6">
                  <c:v>66.876274317694609</c:v>
                </c:pt>
                <c:pt idx="7">
                  <c:v>66.924169796023563</c:v>
                </c:pt>
                <c:pt idx="8">
                  <c:v>67.058724146557893</c:v>
                </c:pt>
                <c:pt idx="9">
                  <c:v>65.886315183306749</c:v>
                </c:pt>
                <c:pt idx="10">
                  <c:v>67.847092998179534</c:v>
                </c:pt>
                <c:pt idx="11">
                  <c:v>68.900643546127043</c:v>
                </c:pt>
                <c:pt idx="12">
                  <c:v>67.818130700674558</c:v>
                </c:pt>
                <c:pt idx="13">
                  <c:v>67.680216160717166</c:v>
                </c:pt>
                <c:pt idx="14">
                  <c:v>67.066833650201232</c:v>
                </c:pt>
                <c:pt idx="15">
                  <c:v>68.382382916606716</c:v>
                </c:pt>
                <c:pt idx="16">
                  <c:v>67.683068398464442</c:v>
                </c:pt>
                <c:pt idx="17">
                  <c:v>66.763921720586055</c:v>
                </c:pt>
                <c:pt idx="18">
                  <c:v>68.033453896376997</c:v>
                </c:pt>
                <c:pt idx="19">
                  <c:v>66.74857127622198</c:v>
                </c:pt>
                <c:pt idx="20">
                  <c:v>68.065415994594787</c:v>
                </c:pt>
                <c:pt idx="21">
                  <c:v>69.861297943681535</c:v>
                </c:pt>
                <c:pt idx="22">
                  <c:v>70.295340493697665</c:v>
                </c:pt>
                <c:pt idx="23">
                  <c:v>69.671468307593415</c:v>
                </c:pt>
                <c:pt idx="24">
                  <c:v>69.258406946020074</c:v>
                </c:pt>
                <c:pt idx="25">
                  <c:v>68.333906031871038</c:v>
                </c:pt>
                <c:pt idx="26">
                  <c:v>66.500656010963155</c:v>
                </c:pt>
                <c:pt idx="27">
                  <c:v>67.067235863207841</c:v>
                </c:pt>
                <c:pt idx="28">
                  <c:v>67.077576653253928</c:v>
                </c:pt>
                <c:pt idx="29">
                  <c:v>64.66475010926743</c:v>
                </c:pt>
                <c:pt idx="30">
                  <c:v>63.053418245145636</c:v>
                </c:pt>
                <c:pt idx="31">
                  <c:v>63.228877399557703</c:v>
                </c:pt>
                <c:pt idx="32">
                  <c:v>61.95369204929127</c:v>
                </c:pt>
                <c:pt idx="33">
                  <c:v>63.014241868679633</c:v>
                </c:pt>
                <c:pt idx="34">
                  <c:v>64.034902381801743</c:v>
                </c:pt>
                <c:pt idx="35">
                  <c:v>64.156366266476866</c:v>
                </c:pt>
                <c:pt idx="36">
                  <c:v>65.493198273923269</c:v>
                </c:pt>
                <c:pt idx="37">
                  <c:v>65.409498967611086</c:v>
                </c:pt>
                <c:pt idx="38">
                  <c:v>65.971355777062982</c:v>
                </c:pt>
                <c:pt idx="39">
                  <c:v>67.42962323066044</c:v>
                </c:pt>
                <c:pt idx="40">
                  <c:v>66.367643433796033</c:v>
                </c:pt>
                <c:pt idx="41">
                  <c:v>68.919347682157053</c:v>
                </c:pt>
                <c:pt idx="42">
                  <c:v>69.898257405611986</c:v>
                </c:pt>
                <c:pt idx="43">
                  <c:v>68.971910811056432</c:v>
                </c:pt>
                <c:pt idx="44">
                  <c:v>69.348537263618809</c:v>
                </c:pt>
                <c:pt idx="45">
                  <c:v>68.422575254776618</c:v>
                </c:pt>
                <c:pt idx="46">
                  <c:v>70.027456098945365</c:v>
                </c:pt>
                <c:pt idx="47">
                  <c:v>69.291178854162411</c:v>
                </c:pt>
                <c:pt idx="48">
                  <c:v>68.299178682393133</c:v>
                </c:pt>
                <c:pt idx="49">
                  <c:v>69.074629645148249</c:v>
                </c:pt>
                <c:pt idx="50">
                  <c:v>69.070049766752376</c:v>
                </c:pt>
                <c:pt idx="51">
                  <c:v>68.143193407610823</c:v>
                </c:pt>
                <c:pt idx="52">
                  <c:v>67.349756048117669</c:v>
                </c:pt>
                <c:pt idx="53">
                  <c:v>66.809021787457212</c:v>
                </c:pt>
                <c:pt idx="54">
                  <c:v>66.03750042602411</c:v>
                </c:pt>
                <c:pt idx="55">
                  <c:v>65.856871849257516</c:v>
                </c:pt>
                <c:pt idx="56">
                  <c:v>63.266920833607315</c:v>
                </c:pt>
                <c:pt idx="57">
                  <c:v>63.701075262212242</c:v>
                </c:pt>
                <c:pt idx="58">
                  <c:v>64.144764839794306</c:v>
                </c:pt>
                <c:pt idx="59">
                  <c:v>65.385937902184665</c:v>
                </c:pt>
                <c:pt idx="60">
                  <c:v>63.936942384740654</c:v>
                </c:pt>
                <c:pt idx="61">
                  <c:v>64.325655211087266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5A39-4566-8EE6-6D0A89D219EA}"/>
            </c:ext>
          </c:extLst>
        </c:ser>
        <c:ser>
          <c:idx val="97"/>
          <c:order val="96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Carlo'!$E$98:$BN$98</c:f>
              <c:numCache>
                <c:formatCode>General</c:formatCode>
                <c:ptCount val="62"/>
                <c:pt idx="1">
                  <c:v>60.99</c:v>
                </c:pt>
                <c:pt idx="2">
                  <c:v>61.35981496129606</c:v>
                </c:pt>
                <c:pt idx="3">
                  <c:v>62.650979513798021</c:v>
                </c:pt>
                <c:pt idx="4">
                  <c:v>61.436816390568453</c:v>
                </c:pt>
                <c:pt idx="5">
                  <c:v>63.552099206896933</c:v>
                </c:pt>
                <c:pt idx="6">
                  <c:v>63.192297032663838</c:v>
                </c:pt>
                <c:pt idx="7">
                  <c:v>62.196771659642422</c:v>
                </c:pt>
                <c:pt idx="8">
                  <c:v>62.279145164193316</c:v>
                </c:pt>
                <c:pt idx="9">
                  <c:v>62.625647614316854</c:v>
                </c:pt>
                <c:pt idx="10">
                  <c:v>60.98382914801887</c:v>
                </c:pt>
                <c:pt idx="11">
                  <c:v>61.31260703533912</c:v>
                </c:pt>
                <c:pt idx="12">
                  <c:v>62.246583824191099</c:v>
                </c:pt>
                <c:pt idx="13">
                  <c:v>62.490062048158563</c:v>
                </c:pt>
                <c:pt idx="14">
                  <c:v>64.698489378759689</c:v>
                </c:pt>
                <c:pt idx="15">
                  <c:v>65.136592624293016</c:v>
                </c:pt>
                <c:pt idx="16">
                  <c:v>66.832439325341198</c:v>
                </c:pt>
                <c:pt idx="17">
                  <c:v>65.942318845685563</c:v>
                </c:pt>
                <c:pt idx="18">
                  <c:v>64.511309866001781</c:v>
                </c:pt>
                <c:pt idx="19">
                  <c:v>66.614080050060238</c:v>
                </c:pt>
                <c:pt idx="20">
                  <c:v>66.052733003695721</c:v>
                </c:pt>
                <c:pt idx="21">
                  <c:v>66.591744733352783</c:v>
                </c:pt>
                <c:pt idx="22">
                  <c:v>66.180054970581992</c:v>
                </c:pt>
                <c:pt idx="23">
                  <c:v>67.289556683113446</c:v>
                </c:pt>
                <c:pt idx="24">
                  <c:v>65.955205940928025</c:v>
                </c:pt>
                <c:pt idx="25">
                  <c:v>68.240458515557535</c:v>
                </c:pt>
                <c:pt idx="26">
                  <c:v>69.138181511468105</c:v>
                </c:pt>
                <c:pt idx="27">
                  <c:v>69.679798303057581</c:v>
                </c:pt>
                <c:pt idx="28">
                  <c:v>69.937467166402314</c:v>
                </c:pt>
                <c:pt idx="29">
                  <c:v>70.461492657264174</c:v>
                </c:pt>
                <c:pt idx="30">
                  <c:v>70.203818896982071</c:v>
                </c:pt>
                <c:pt idx="31">
                  <c:v>69.965510680505332</c:v>
                </c:pt>
                <c:pt idx="32">
                  <c:v>72.298142677210649</c:v>
                </c:pt>
                <c:pt idx="33">
                  <c:v>72.248954422580795</c:v>
                </c:pt>
                <c:pt idx="34">
                  <c:v>74.488553355757887</c:v>
                </c:pt>
                <c:pt idx="35">
                  <c:v>73.333902803171583</c:v>
                </c:pt>
                <c:pt idx="36">
                  <c:v>74.931822885913618</c:v>
                </c:pt>
                <c:pt idx="37">
                  <c:v>74.889427114632767</c:v>
                </c:pt>
                <c:pt idx="38">
                  <c:v>72.983836711020771</c:v>
                </c:pt>
                <c:pt idx="39">
                  <c:v>73.442518954770406</c:v>
                </c:pt>
                <c:pt idx="40">
                  <c:v>75.088771960696818</c:v>
                </c:pt>
                <c:pt idx="41">
                  <c:v>76.397071460731738</c:v>
                </c:pt>
                <c:pt idx="42">
                  <c:v>79.254504388781768</c:v>
                </c:pt>
                <c:pt idx="43">
                  <c:v>78.797920274676926</c:v>
                </c:pt>
                <c:pt idx="44">
                  <c:v>79.881758082148608</c:v>
                </c:pt>
                <c:pt idx="45">
                  <c:v>78.377914180279731</c:v>
                </c:pt>
                <c:pt idx="46">
                  <c:v>76.787815729855822</c:v>
                </c:pt>
                <c:pt idx="47">
                  <c:v>75.874292215703363</c:v>
                </c:pt>
                <c:pt idx="48">
                  <c:v>74.854257754774807</c:v>
                </c:pt>
                <c:pt idx="49">
                  <c:v>74.47587045304347</c:v>
                </c:pt>
                <c:pt idx="50">
                  <c:v>73.40989819217431</c:v>
                </c:pt>
                <c:pt idx="51">
                  <c:v>73.671247662285197</c:v>
                </c:pt>
                <c:pt idx="52">
                  <c:v>75.916131758677835</c:v>
                </c:pt>
                <c:pt idx="53">
                  <c:v>75.311214990384642</c:v>
                </c:pt>
                <c:pt idx="54">
                  <c:v>77.829198009217905</c:v>
                </c:pt>
                <c:pt idx="55">
                  <c:v>78.767900627218879</c:v>
                </c:pt>
                <c:pt idx="56">
                  <c:v>78.427119620353906</c:v>
                </c:pt>
                <c:pt idx="57">
                  <c:v>78.776394988437048</c:v>
                </c:pt>
                <c:pt idx="58">
                  <c:v>79.513228477790307</c:v>
                </c:pt>
                <c:pt idx="59">
                  <c:v>78.195616489169879</c:v>
                </c:pt>
                <c:pt idx="60">
                  <c:v>78.885873277201057</c:v>
                </c:pt>
                <c:pt idx="61">
                  <c:v>81.268383038842799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5A39-4566-8EE6-6D0A89D219EA}"/>
            </c:ext>
          </c:extLst>
        </c:ser>
        <c:ser>
          <c:idx val="98"/>
          <c:order val="97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Carlo'!$E$99:$BN$99</c:f>
              <c:numCache>
                <c:formatCode>General</c:formatCode>
                <c:ptCount val="62"/>
                <c:pt idx="1">
                  <c:v>60.99</c:v>
                </c:pt>
                <c:pt idx="2">
                  <c:v>60.503403333492777</c:v>
                </c:pt>
                <c:pt idx="3">
                  <c:v>62.01194974773675</c:v>
                </c:pt>
                <c:pt idx="4">
                  <c:v>62.804210893280363</c:v>
                </c:pt>
                <c:pt idx="5">
                  <c:v>62.939152453140103</c:v>
                </c:pt>
                <c:pt idx="6">
                  <c:v>62.944339352808136</c:v>
                </c:pt>
                <c:pt idx="7">
                  <c:v>65.849897982296483</c:v>
                </c:pt>
                <c:pt idx="8">
                  <c:v>65.653177250575069</c:v>
                </c:pt>
                <c:pt idx="9">
                  <c:v>67.274690196588082</c:v>
                </c:pt>
                <c:pt idx="10">
                  <c:v>68.68904821282085</c:v>
                </c:pt>
                <c:pt idx="11">
                  <c:v>68.655751200474811</c:v>
                </c:pt>
                <c:pt idx="12">
                  <c:v>66.815198508076264</c:v>
                </c:pt>
                <c:pt idx="13">
                  <c:v>67.334872069274709</c:v>
                </c:pt>
                <c:pt idx="14">
                  <c:v>65.543988946069319</c:v>
                </c:pt>
                <c:pt idx="15">
                  <c:v>62.312348348415959</c:v>
                </c:pt>
                <c:pt idx="16">
                  <c:v>62.277002080031068</c:v>
                </c:pt>
                <c:pt idx="17">
                  <c:v>60.27855033810993</c:v>
                </c:pt>
                <c:pt idx="18">
                  <c:v>61.031581908387935</c:v>
                </c:pt>
                <c:pt idx="19">
                  <c:v>60.133058613848114</c:v>
                </c:pt>
                <c:pt idx="20">
                  <c:v>59.047833802288991</c:v>
                </c:pt>
                <c:pt idx="21">
                  <c:v>60.397504735654742</c:v>
                </c:pt>
                <c:pt idx="22">
                  <c:v>59.782747940088925</c:v>
                </c:pt>
                <c:pt idx="23">
                  <c:v>60.557198120873458</c:v>
                </c:pt>
                <c:pt idx="24">
                  <c:v>59.911694037656616</c:v>
                </c:pt>
                <c:pt idx="25">
                  <c:v>61.774631470013588</c:v>
                </c:pt>
                <c:pt idx="26">
                  <c:v>62.819570889370532</c:v>
                </c:pt>
                <c:pt idx="27">
                  <c:v>62.195574774114192</c:v>
                </c:pt>
                <c:pt idx="28">
                  <c:v>59.629690572474402</c:v>
                </c:pt>
                <c:pt idx="29">
                  <c:v>59.647247684747406</c:v>
                </c:pt>
                <c:pt idx="30">
                  <c:v>58.654950078416938</c:v>
                </c:pt>
                <c:pt idx="31">
                  <c:v>59.060191497605203</c:v>
                </c:pt>
                <c:pt idx="32">
                  <c:v>57.277534162101851</c:v>
                </c:pt>
                <c:pt idx="33">
                  <c:v>55.893085880667378</c:v>
                </c:pt>
                <c:pt idx="34">
                  <c:v>57.082923410833587</c:v>
                </c:pt>
                <c:pt idx="35">
                  <c:v>56.87115035105419</c:v>
                </c:pt>
                <c:pt idx="36">
                  <c:v>58.098839200343697</c:v>
                </c:pt>
                <c:pt idx="37">
                  <c:v>58.272364191522058</c:v>
                </c:pt>
                <c:pt idx="38">
                  <c:v>60.269176188137131</c:v>
                </c:pt>
                <c:pt idx="39">
                  <c:v>60.703836873529319</c:v>
                </c:pt>
                <c:pt idx="40">
                  <c:v>59.846830195091989</c:v>
                </c:pt>
                <c:pt idx="41">
                  <c:v>57.774775453503096</c:v>
                </c:pt>
                <c:pt idx="42">
                  <c:v>56.252670384826075</c:v>
                </c:pt>
                <c:pt idx="43">
                  <c:v>54.546428463079884</c:v>
                </c:pt>
                <c:pt idx="44">
                  <c:v>53.495001786391207</c:v>
                </c:pt>
                <c:pt idx="45">
                  <c:v>49.986354032700753</c:v>
                </c:pt>
                <c:pt idx="46">
                  <c:v>48.954586801382497</c:v>
                </c:pt>
                <c:pt idx="47">
                  <c:v>50.230098964906091</c:v>
                </c:pt>
                <c:pt idx="48">
                  <c:v>50.70948736721337</c:v>
                </c:pt>
                <c:pt idx="49">
                  <c:v>50.106339876791942</c:v>
                </c:pt>
                <c:pt idx="50">
                  <c:v>50.317028799867273</c:v>
                </c:pt>
                <c:pt idx="51">
                  <c:v>49.174167629356845</c:v>
                </c:pt>
                <c:pt idx="52">
                  <c:v>49.325983027159381</c:v>
                </c:pt>
                <c:pt idx="53">
                  <c:v>48.904770487571263</c:v>
                </c:pt>
                <c:pt idx="54">
                  <c:v>47.783447965419263</c:v>
                </c:pt>
                <c:pt idx="55">
                  <c:v>47.982314440298623</c:v>
                </c:pt>
                <c:pt idx="56">
                  <c:v>46.83188792654046</c:v>
                </c:pt>
                <c:pt idx="57">
                  <c:v>46.125191824147585</c:v>
                </c:pt>
                <c:pt idx="58">
                  <c:v>47.814956772097787</c:v>
                </c:pt>
                <c:pt idx="59">
                  <c:v>48.684758150477521</c:v>
                </c:pt>
                <c:pt idx="60">
                  <c:v>47.976906380278976</c:v>
                </c:pt>
                <c:pt idx="61">
                  <c:v>49.301010133567324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5A39-4566-8EE6-6D0A89D219EA}"/>
            </c:ext>
          </c:extLst>
        </c:ser>
        <c:ser>
          <c:idx val="99"/>
          <c:order val="98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Carlo'!$E$100:$BN$100</c:f>
              <c:numCache>
                <c:formatCode>General</c:formatCode>
                <c:ptCount val="62"/>
                <c:pt idx="1">
                  <c:v>60.99</c:v>
                </c:pt>
                <c:pt idx="2">
                  <c:v>62.058943134813433</c:v>
                </c:pt>
                <c:pt idx="3">
                  <c:v>61.627113363170849</c:v>
                </c:pt>
                <c:pt idx="4">
                  <c:v>61.804754139929202</c:v>
                </c:pt>
                <c:pt idx="5">
                  <c:v>60.748785283323933</c:v>
                </c:pt>
                <c:pt idx="6">
                  <c:v>60.823927522024903</c:v>
                </c:pt>
                <c:pt idx="7">
                  <c:v>60.827448723212278</c:v>
                </c:pt>
                <c:pt idx="8">
                  <c:v>61.220793619814557</c:v>
                </c:pt>
                <c:pt idx="9">
                  <c:v>62.43898715007473</c:v>
                </c:pt>
                <c:pt idx="10">
                  <c:v>65.29682525659662</c:v>
                </c:pt>
                <c:pt idx="11">
                  <c:v>65.078199895481916</c:v>
                </c:pt>
                <c:pt idx="12">
                  <c:v>63.265504976769996</c:v>
                </c:pt>
                <c:pt idx="13">
                  <c:v>62.387925019177246</c:v>
                </c:pt>
                <c:pt idx="14">
                  <c:v>64.439734709491489</c:v>
                </c:pt>
                <c:pt idx="15">
                  <c:v>65.99481269457813</c:v>
                </c:pt>
                <c:pt idx="16">
                  <c:v>67.302943100121965</c:v>
                </c:pt>
                <c:pt idx="17">
                  <c:v>68.997187478540368</c:v>
                </c:pt>
                <c:pt idx="18">
                  <c:v>68.195144641775613</c:v>
                </c:pt>
                <c:pt idx="19">
                  <c:v>66.843152368925743</c:v>
                </c:pt>
                <c:pt idx="20">
                  <c:v>65.617492020951147</c:v>
                </c:pt>
                <c:pt idx="21">
                  <c:v>65.5629248028836</c:v>
                </c:pt>
                <c:pt idx="22">
                  <c:v>67.338262280959455</c:v>
                </c:pt>
                <c:pt idx="23">
                  <c:v>67.391633085246951</c:v>
                </c:pt>
                <c:pt idx="24">
                  <c:v>67.983881072561033</c:v>
                </c:pt>
                <c:pt idx="25">
                  <c:v>68.390597344256548</c:v>
                </c:pt>
                <c:pt idx="26">
                  <c:v>67.782429844987945</c:v>
                </c:pt>
                <c:pt idx="27">
                  <c:v>68.526956157047834</c:v>
                </c:pt>
                <c:pt idx="28">
                  <c:v>68.714340474631783</c:v>
                </c:pt>
                <c:pt idx="29">
                  <c:v>67.556362536821979</c:v>
                </c:pt>
                <c:pt idx="30">
                  <c:v>68.440378807732714</c:v>
                </c:pt>
                <c:pt idx="31">
                  <c:v>68.442571385892336</c:v>
                </c:pt>
                <c:pt idx="32">
                  <c:v>69.313806540717636</c:v>
                </c:pt>
                <c:pt idx="33">
                  <c:v>69.218613962042468</c:v>
                </c:pt>
                <c:pt idx="34">
                  <c:v>70.621845683327422</c:v>
                </c:pt>
                <c:pt idx="35">
                  <c:v>72.032304068052326</c:v>
                </c:pt>
                <c:pt idx="36">
                  <c:v>72.821206744135395</c:v>
                </c:pt>
                <c:pt idx="37">
                  <c:v>71.891463210846382</c:v>
                </c:pt>
                <c:pt idx="38">
                  <c:v>69.666755249536592</c:v>
                </c:pt>
                <c:pt idx="39">
                  <c:v>69.495891098545727</c:v>
                </c:pt>
                <c:pt idx="40">
                  <c:v>70.920471837705122</c:v>
                </c:pt>
                <c:pt idx="41">
                  <c:v>69.562624942298385</c:v>
                </c:pt>
                <c:pt idx="42">
                  <c:v>68.880162474898881</c:v>
                </c:pt>
                <c:pt idx="43">
                  <c:v>68.058310765226253</c:v>
                </c:pt>
                <c:pt idx="44">
                  <c:v>66.783024318072364</c:v>
                </c:pt>
                <c:pt idx="45">
                  <c:v>71.10801891874101</c:v>
                </c:pt>
                <c:pt idx="46">
                  <c:v>69.954569658091813</c:v>
                </c:pt>
                <c:pt idx="47">
                  <c:v>71.558503948045782</c:v>
                </c:pt>
                <c:pt idx="48">
                  <c:v>71.87065050993634</c:v>
                </c:pt>
                <c:pt idx="49">
                  <c:v>70.076603646525797</c:v>
                </c:pt>
                <c:pt idx="50">
                  <c:v>69.783733845608481</c:v>
                </c:pt>
                <c:pt idx="51">
                  <c:v>70.878556398915308</c:v>
                </c:pt>
                <c:pt idx="52">
                  <c:v>73.888707458966863</c:v>
                </c:pt>
                <c:pt idx="53">
                  <c:v>71.347918285165704</c:v>
                </c:pt>
                <c:pt idx="54">
                  <c:v>71.337401062301197</c:v>
                </c:pt>
                <c:pt idx="55">
                  <c:v>70.174670717879408</c:v>
                </c:pt>
                <c:pt idx="56">
                  <c:v>73.684643195441055</c:v>
                </c:pt>
                <c:pt idx="57">
                  <c:v>71.107142199793159</c:v>
                </c:pt>
                <c:pt idx="58">
                  <c:v>67.355090481647196</c:v>
                </c:pt>
                <c:pt idx="59">
                  <c:v>66.744676381844727</c:v>
                </c:pt>
                <c:pt idx="60">
                  <c:v>68.960872785399388</c:v>
                </c:pt>
                <c:pt idx="61">
                  <c:v>68.357028677230232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5A39-4566-8EE6-6D0A89D219EA}"/>
            </c:ext>
          </c:extLst>
        </c:ser>
        <c:ser>
          <c:idx val="100"/>
          <c:order val="99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Carlo'!$E$101:$BN$101</c:f>
              <c:numCache>
                <c:formatCode>General</c:formatCode>
                <c:ptCount val="62"/>
                <c:pt idx="1">
                  <c:v>60.99</c:v>
                </c:pt>
                <c:pt idx="2">
                  <c:v>62.729865850830549</c:v>
                </c:pt>
                <c:pt idx="3">
                  <c:v>65.527414120345497</c:v>
                </c:pt>
                <c:pt idx="4">
                  <c:v>65.541993334676633</c:v>
                </c:pt>
                <c:pt idx="5">
                  <c:v>65.501987413910953</c:v>
                </c:pt>
                <c:pt idx="6">
                  <c:v>65.119786439371438</c:v>
                </c:pt>
                <c:pt idx="7">
                  <c:v>65.577034453716664</c:v>
                </c:pt>
                <c:pt idx="8">
                  <c:v>65.154938010502022</c:v>
                </c:pt>
                <c:pt idx="9">
                  <c:v>64.77265309559391</c:v>
                </c:pt>
                <c:pt idx="10">
                  <c:v>65.776555420155503</c:v>
                </c:pt>
                <c:pt idx="11">
                  <c:v>66.556059210388412</c:v>
                </c:pt>
                <c:pt idx="12">
                  <c:v>64.824358605447273</c:v>
                </c:pt>
                <c:pt idx="13">
                  <c:v>65.902952697113378</c:v>
                </c:pt>
                <c:pt idx="14">
                  <c:v>64.597432667604991</c:v>
                </c:pt>
                <c:pt idx="15">
                  <c:v>61.780969336939755</c:v>
                </c:pt>
                <c:pt idx="16">
                  <c:v>64.185561258973394</c:v>
                </c:pt>
                <c:pt idx="17">
                  <c:v>66.491614712647674</c:v>
                </c:pt>
                <c:pt idx="18">
                  <c:v>65.536666365757398</c:v>
                </c:pt>
                <c:pt idx="19">
                  <c:v>66.609633972285977</c:v>
                </c:pt>
                <c:pt idx="20">
                  <c:v>64.995136551522435</c:v>
                </c:pt>
                <c:pt idx="21">
                  <c:v>63.641300491734157</c:v>
                </c:pt>
                <c:pt idx="22">
                  <c:v>66.037803253504848</c:v>
                </c:pt>
                <c:pt idx="23">
                  <c:v>64.557462110821263</c:v>
                </c:pt>
                <c:pt idx="24">
                  <c:v>65.733884107263648</c:v>
                </c:pt>
                <c:pt idx="25">
                  <c:v>66.044259866533537</c:v>
                </c:pt>
                <c:pt idx="26">
                  <c:v>66.184731761652316</c:v>
                </c:pt>
                <c:pt idx="27">
                  <c:v>64.279231936227632</c:v>
                </c:pt>
                <c:pt idx="28">
                  <c:v>64.216129571734513</c:v>
                </c:pt>
                <c:pt idx="29">
                  <c:v>64.902690171477644</c:v>
                </c:pt>
                <c:pt idx="30">
                  <c:v>64.191514306144001</c:v>
                </c:pt>
                <c:pt idx="31">
                  <c:v>64.196922754747064</c:v>
                </c:pt>
                <c:pt idx="32">
                  <c:v>63.679268535943343</c:v>
                </c:pt>
                <c:pt idx="33">
                  <c:v>63.991522793032452</c:v>
                </c:pt>
                <c:pt idx="34">
                  <c:v>62.687270887935874</c:v>
                </c:pt>
                <c:pt idx="35">
                  <c:v>62.692120119492337</c:v>
                </c:pt>
                <c:pt idx="36">
                  <c:v>61.958560249002467</c:v>
                </c:pt>
                <c:pt idx="37">
                  <c:v>62.287517033968406</c:v>
                </c:pt>
                <c:pt idx="38">
                  <c:v>63.429813681673139</c:v>
                </c:pt>
                <c:pt idx="39">
                  <c:v>65.066905019043574</c:v>
                </c:pt>
                <c:pt idx="40">
                  <c:v>65.261563965009856</c:v>
                </c:pt>
                <c:pt idx="41">
                  <c:v>64.931548723148609</c:v>
                </c:pt>
                <c:pt idx="42">
                  <c:v>64.450788962820809</c:v>
                </c:pt>
                <c:pt idx="43">
                  <c:v>63.875272466073227</c:v>
                </c:pt>
                <c:pt idx="44">
                  <c:v>64.234008345347448</c:v>
                </c:pt>
                <c:pt idx="45">
                  <c:v>64.717920481423391</c:v>
                </c:pt>
                <c:pt idx="46">
                  <c:v>67.506188005127228</c:v>
                </c:pt>
                <c:pt idx="47">
                  <c:v>66.379693397617331</c:v>
                </c:pt>
                <c:pt idx="48">
                  <c:v>67.858457696639348</c:v>
                </c:pt>
                <c:pt idx="49">
                  <c:v>71.140456168360203</c:v>
                </c:pt>
                <c:pt idx="50">
                  <c:v>70.835252590070667</c:v>
                </c:pt>
                <c:pt idx="51">
                  <c:v>68.349678936506066</c:v>
                </c:pt>
                <c:pt idx="52">
                  <c:v>69.910616268698121</c:v>
                </c:pt>
                <c:pt idx="53">
                  <c:v>72.477288392276762</c:v>
                </c:pt>
                <c:pt idx="54">
                  <c:v>72.486404651318381</c:v>
                </c:pt>
                <c:pt idx="55">
                  <c:v>72.528616343597974</c:v>
                </c:pt>
                <c:pt idx="56">
                  <c:v>70.588457237953719</c:v>
                </c:pt>
                <c:pt idx="57">
                  <c:v>72.46483233355076</c:v>
                </c:pt>
                <c:pt idx="58">
                  <c:v>74.481337557264069</c:v>
                </c:pt>
                <c:pt idx="59">
                  <c:v>74.843747577627482</c:v>
                </c:pt>
                <c:pt idx="60">
                  <c:v>73.281324530117431</c:v>
                </c:pt>
                <c:pt idx="61">
                  <c:v>76.910044215412128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A39-4566-8EE6-6D0A89D219EA}"/>
            </c:ext>
          </c:extLst>
        </c:ser>
        <c:ser>
          <c:idx val="101"/>
          <c:order val="100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'Monte Carlo'!$E$102:$BN$102</c:f>
              <c:numCache>
                <c:formatCode>General</c:formatCode>
                <c:ptCount val="62"/>
                <c:pt idx="1">
                  <c:v>60.99</c:v>
                </c:pt>
                <c:pt idx="2">
                  <c:v>60.460412696300573</c:v>
                </c:pt>
                <c:pt idx="3">
                  <c:v>61.910952975046854</c:v>
                </c:pt>
                <c:pt idx="4">
                  <c:v>62.440747831292789</c:v>
                </c:pt>
                <c:pt idx="5">
                  <c:v>62.91717571185319</c:v>
                </c:pt>
                <c:pt idx="6">
                  <c:v>63.248901059079429</c:v>
                </c:pt>
                <c:pt idx="7">
                  <c:v>64.880960024719329</c:v>
                </c:pt>
                <c:pt idx="8">
                  <c:v>65.765827970646853</c:v>
                </c:pt>
                <c:pt idx="9">
                  <c:v>64.685092002473638</c:v>
                </c:pt>
                <c:pt idx="10">
                  <c:v>64.590665854049121</c:v>
                </c:pt>
                <c:pt idx="11">
                  <c:v>63.366432578620248</c:v>
                </c:pt>
                <c:pt idx="12">
                  <c:v>62.513996385733172</c:v>
                </c:pt>
                <c:pt idx="13">
                  <c:v>63.268759514891322</c:v>
                </c:pt>
                <c:pt idx="14">
                  <c:v>63.489182823895021</c:v>
                </c:pt>
                <c:pt idx="15">
                  <c:v>64.714595786883933</c:v>
                </c:pt>
                <c:pt idx="16">
                  <c:v>64.378627469919152</c:v>
                </c:pt>
                <c:pt idx="17">
                  <c:v>64.293488986758717</c:v>
                </c:pt>
                <c:pt idx="18">
                  <c:v>62.836475346632817</c:v>
                </c:pt>
                <c:pt idx="19">
                  <c:v>62.44586145001351</c:v>
                </c:pt>
                <c:pt idx="20">
                  <c:v>62.469783756920542</c:v>
                </c:pt>
                <c:pt idx="21">
                  <c:v>62.812344193940632</c:v>
                </c:pt>
                <c:pt idx="22">
                  <c:v>64.751787442172173</c:v>
                </c:pt>
                <c:pt idx="23">
                  <c:v>65.564909480722122</c:v>
                </c:pt>
                <c:pt idx="24">
                  <c:v>64.985422031703337</c:v>
                </c:pt>
                <c:pt idx="25">
                  <c:v>64.634328678660054</c:v>
                </c:pt>
                <c:pt idx="26">
                  <c:v>64.164868446053106</c:v>
                </c:pt>
                <c:pt idx="27">
                  <c:v>64.933510359083968</c:v>
                </c:pt>
                <c:pt idx="28">
                  <c:v>65.940608285991033</c:v>
                </c:pt>
                <c:pt idx="29">
                  <c:v>66.777772862069241</c:v>
                </c:pt>
                <c:pt idx="30">
                  <c:v>67.201846526376883</c:v>
                </c:pt>
                <c:pt idx="31">
                  <c:v>67.872696280394237</c:v>
                </c:pt>
                <c:pt idx="32">
                  <c:v>67.748773829146202</c:v>
                </c:pt>
                <c:pt idx="33">
                  <c:v>68.566629517913611</c:v>
                </c:pt>
                <c:pt idx="34">
                  <c:v>68.857449500318822</c:v>
                </c:pt>
                <c:pt idx="35">
                  <c:v>70.978234326418857</c:v>
                </c:pt>
                <c:pt idx="36">
                  <c:v>71.110121188979207</c:v>
                </c:pt>
                <c:pt idx="37">
                  <c:v>70.518851775109496</c:v>
                </c:pt>
                <c:pt idx="38">
                  <c:v>71.772014353372199</c:v>
                </c:pt>
                <c:pt idx="39">
                  <c:v>72.407609671684412</c:v>
                </c:pt>
                <c:pt idx="40">
                  <c:v>72.392733265029335</c:v>
                </c:pt>
                <c:pt idx="41">
                  <c:v>73.386939447529727</c:v>
                </c:pt>
                <c:pt idx="42">
                  <c:v>69.937661585060255</c:v>
                </c:pt>
                <c:pt idx="43">
                  <c:v>71.946913775556268</c:v>
                </c:pt>
                <c:pt idx="44">
                  <c:v>71.187708834112271</c:v>
                </c:pt>
                <c:pt idx="45">
                  <c:v>72.011682248291763</c:v>
                </c:pt>
                <c:pt idx="46">
                  <c:v>70.097835254725183</c:v>
                </c:pt>
                <c:pt idx="47">
                  <c:v>70.707148654673006</c:v>
                </c:pt>
                <c:pt idx="48">
                  <c:v>74.455719021131245</c:v>
                </c:pt>
                <c:pt idx="49">
                  <c:v>74.326483777978538</c:v>
                </c:pt>
                <c:pt idx="50">
                  <c:v>72.287486355655304</c:v>
                </c:pt>
                <c:pt idx="51">
                  <c:v>76.020132900037481</c:v>
                </c:pt>
                <c:pt idx="52">
                  <c:v>77.938022199958866</c:v>
                </c:pt>
                <c:pt idx="53">
                  <c:v>78.679506769252228</c:v>
                </c:pt>
                <c:pt idx="54">
                  <c:v>79.903915869434996</c:v>
                </c:pt>
                <c:pt idx="55">
                  <c:v>81.698131909364278</c:v>
                </c:pt>
                <c:pt idx="56">
                  <c:v>81.13025825781412</c:v>
                </c:pt>
                <c:pt idx="57">
                  <c:v>81.019443383730021</c:v>
                </c:pt>
                <c:pt idx="58">
                  <c:v>80.016786100893057</c:v>
                </c:pt>
                <c:pt idx="59">
                  <c:v>80.12343060581378</c:v>
                </c:pt>
                <c:pt idx="60">
                  <c:v>83.101234851550714</c:v>
                </c:pt>
                <c:pt idx="61">
                  <c:v>84.306764433292969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5A39-4566-8EE6-6D0A89D21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901071"/>
        <c:axId val="1945922191"/>
      </c:lineChart>
      <c:catAx>
        <c:axId val="194590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922191"/>
        <c:crosses val="autoZero"/>
        <c:auto val="1"/>
        <c:lblAlgn val="ctr"/>
        <c:lblOffset val="100"/>
        <c:noMultiLvlLbl val="0"/>
      </c:catAx>
      <c:valAx>
        <c:axId val="194592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90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209</xdr:row>
      <xdr:rowOff>57150</xdr:rowOff>
    </xdr:from>
    <xdr:to>
      <xdr:col>11</xdr:col>
      <xdr:colOff>370336</xdr:colOff>
      <xdr:row>248</xdr:row>
      <xdr:rowOff>180077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972A2B-D2EE-7EB6-824F-AF5CED397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37880925"/>
          <a:ext cx="9114286" cy="71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27016</xdr:colOff>
      <xdr:row>0</xdr:row>
      <xdr:rowOff>0</xdr:rowOff>
    </xdr:from>
    <xdr:to>
      <xdr:col>26</xdr:col>
      <xdr:colOff>31779</xdr:colOff>
      <xdr:row>36</xdr:row>
      <xdr:rowOff>169070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25A81C-1DB4-8E9B-D299-2B549575F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169861</xdr:colOff>
      <xdr:row>37</xdr:row>
      <xdr:rowOff>157160</xdr:rowOff>
    </xdr:from>
    <xdr:to>
      <xdr:col>24</xdr:col>
      <xdr:colOff>415130</xdr:colOff>
      <xdr:row>73</xdr:row>
      <xdr:rowOff>16668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915D71-B92A-6221-7B2F-86F535EE1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80961</xdr:colOff>
      <xdr:row>6</xdr:row>
      <xdr:rowOff>161923</xdr:rowOff>
    </xdr:from>
    <xdr:to>
      <xdr:col>24</xdr:col>
      <xdr:colOff>466725</xdr:colOff>
      <xdr:row>34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A9C11-5196-3106-9A84-DDC8E50B4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</xdr:colOff>
      <xdr:row>2</xdr:row>
      <xdr:rowOff>0</xdr:rowOff>
    </xdr:from>
    <xdr:to>
      <xdr:col>21</xdr:col>
      <xdr:colOff>380999</xdr:colOff>
      <xdr:row>33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9FC7D7-73BE-5901-C832-A71295740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523874</xdr:colOff>
      <xdr:row>5</xdr:row>
      <xdr:rowOff>85725</xdr:rowOff>
    </xdr:from>
    <xdr:to>
      <xdr:col>20</xdr:col>
      <xdr:colOff>238125</xdr:colOff>
      <xdr:row>34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34B27-3CBF-C86A-9509-F3C7F0626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304419</xdr:colOff>
      <xdr:row>104</xdr:row>
      <xdr:rowOff>101027</xdr:rowOff>
    </xdr:from>
    <xdr:to>
      <xdr:col>44</xdr:col>
      <xdr:colOff>424896</xdr:colOff>
      <xdr:row>164</xdr:row>
      <xdr:rowOff>95926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9FA6A9-E0C1-C7FD-6EFF-048EF383B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eidi Luong" id="{A565C2A2-E17E-4A9A-A581-036214EBB91B}" userId="S::w1982156@westminster.ac.uk::9cdb7287-63a6-4fde-99e3-7adaa928dd0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04-08T11:43:36.28" personId="{A565C2A2-E17E-4A9A-A581-036214EBB91B}" id="{24E61288-A05B-4415-AC5F-9F4F87BA746F}">
    <text>BRISTOL-MYERS SQUIBB CO</text>
  </threadedComment>
  <threadedComment ref="D1" dT="2025-04-08T11:48:58.53" personId="{A565C2A2-E17E-4A9A-A581-036214EBB91B}" id="{62984D9C-D9EE-4E68-8517-7479F75A98CD}">
    <text xml:space="preserve"> NETFLIX INC</text>
  </threadedComment>
  <threadedComment ref="E1" dT="2025-04-08T11:55:57.55" personId="{A565C2A2-E17E-4A9A-A581-036214EBB91B}" id="{080B9AF8-31C9-46A9-8FCB-79360F785379}">
    <text>S&amp;P 500 INDEX</text>
  </threadedComment>
  <threadedComment ref="E192" dT="2025-03-26T12:55:34.85" personId="{A565C2A2-E17E-4A9A-A581-036214EBB91B}" id="{8DD0012D-81F8-4422-A839-FD6126BE03F7}">
    <text xml:space="preserve">Found on Bloomberg on 26 March 2025, 12:55 10 year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5-04-08T11:43:36.28" personId="{A565C2A2-E17E-4A9A-A581-036214EBB91B}" id="{3AACACB0-C02C-4CE2-9218-B2390A9FC022}">
    <text>BRISTOL-MYERS SQUIBB CO</text>
  </threadedComment>
  <threadedComment ref="C1" dT="2025-04-08T11:55:57.55" personId="{A565C2A2-E17E-4A9A-A581-036214EBB91B}" id="{AEEC41BB-E16B-4F9A-ABE7-072A08C926D2}">
    <text>S&amp;P 500 INDEX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4" dT="2025-04-08T11:43:36.28" personId="{A565C2A2-E17E-4A9A-A581-036214EBB91B}" id="{48B24D5A-D624-4DA7-A7F6-52B823268AA7}">
    <text>BRISTOL-MYERS SQUIBB CO</text>
  </threadedComment>
  <threadedComment ref="C14" dT="2025-04-08T12:50:28.65" personId="{A565C2A2-E17E-4A9A-A581-036214EBB91B}" id="{F7607D63-BB2B-4014-BE5D-56D343AFA6D3}">
    <text>9th day stops here</text>
  </threadedComment>
  <threadedComment ref="D17" dT="2025-04-08T12:50:47.63" personId="{A565C2A2-E17E-4A9A-A581-036214EBB91B}" id="{9578CE7F-DA84-465D-9581-0D25AE1EE71F}">
    <text>12th day stops here</text>
  </threadedComment>
  <threadedComment ref="E31" dT="2025-04-08T12:57:49.85" personId="{A565C2A2-E17E-4A9A-A581-036214EBB91B}" id="{6C2D5754-F5B7-4B63-8983-85BE822D6C89}">
    <text>26th day ends here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dT="2025-04-08T11:43:36.28" personId="{A565C2A2-E17E-4A9A-A581-036214EBB91B}" id="{8503D5CB-6532-4FD3-A627-30CB9A2C11BE}">
    <text>BRISTOL-MYERS SQUIBB CO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" dT="2025-04-08T11:43:36.28" personId="{A565C2A2-E17E-4A9A-A581-036214EBB91B}" id="{1E384016-80D5-467E-9F04-C632E25E3A61}">
    <text>BRISTOL-MYERS SQUIBB CO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" dT="2025-04-08T11:43:36.28" personId="{A565C2A2-E17E-4A9A-A581-036214EBB91B}" id="{D3BD89B1-5A99-497E-B5F4-29B17B4D5F64}">
    <text>BRISTOL-MYERS SQUIBB CO</text>
  </threadedComment>
  <threadedComment ref="A183" dT="2025-03-21T15:37:30.44" personId="{A565C2A2-E17E-4A9A-A581-036214EBB91B}" id="{7CC274F1-2EE9-4001-8D68-9AF1E0B447EC}">
    <text>Don’t have the remainder of the data till 31 of March 2025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4" dT="2025-04-08T11:43:36.28" personId="{A565C2A2-E17E-4A9A-A581-036214EBB91B}" id="{8B042BE1-6F5F-4620-8D4A-D26E0BD25A77}">
    <text>BRISTOL-MYERS SQUIBB CO</text>
  </threadedComment>
  <threadedComment ref="B4" dT="2025-04-09T12:35:45.39" personId="{A565C2A2-E17E-4A9A-A581-036214EBB91B}" id="{A3218517-7A8F-4F8F-93C6-5E5C5F849B65}">
    <text>31/03/2025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5-04-08T11:43:36.28" personId="{A565C2A2-E17E-4A9A-A581-036214EBB91B}" id="{89859E04-E631-4606-82DA-34EE41153C0A}">
    <text>BRISTOL-MYERS SQUIBB CO</text>
  </threadedComment>
  <threadedComment ref="B6" dT="2025-04-09T16:01:16.68" personId="{A565C2A2-E17E-4A9A-A581-036214EBB91B}" id="{4FB8E336-E44C-47DB-B557-D04FA15585BA}">
    <text xml:space="preserve">60 days </text>
  </threadedComment>
  <threadedComment ref="B6" dT="2025-04-10T13:06:49.40" personId="{A565C2A2-E17E-4A9A-A581-036214EBB91B}" id="{DF14ACFD-0C03-4E1C-A00D-B3360FDCDE09}" parentId="{4FB8E336-E44C-47DB-B557-D04FA15585BA}">
    <text xml:space="preserve">3 months </text>
  </threadedComment>
  <threadedComment ref="B6" dT="2025-04-10T13:07:30.61" personId="{A565C2A2-E17E-4A9A-A581-036214EBB91B}" id="{171BF873-7423-448A-A05F-6874F4875716}" parentId="{4FB8E336-E44C-47DB-B557-D04FA15585BA}">
    <text>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A6FC-6B38-44EC-B56D-CAF3ACCCD70B}">
  <dimension ref="B1:O203"/>
  <sheetViews>
    <sheetView tabSelected="1" workbookViewId="0">
      <selection activeCell="AU28" sqref="AU28"/>
    </sheetView>
  </sheetViews>
  <sheetFormatPr defaultRowHeight="14.25"/>
  <cols>
    <col min="2" max="2" width="9.85546875" bestFit="1" customWidth="1"/>
    <col min="4" max="4" width="15.42578125" bestFit="1" customWidth="1"/>
    <col min="5" max="5" width="15.42578125" customWidth="1"/>
    <col min="6" max="6" width="20.28515625" bestFit="1" customWidth="1"/>
    <col min="7" max="7" width="12.5703125" bestFit="1" customWidth="1"/>
    <col min="9" max="9" width="9.85546875" bestFit="1" customWidth="1"/>
    <col min="10" max="10" width="9.5703125" bestFit="1" customWidth="1"/>
    <col min="11" max="11" width="9.5703125" customWidth="1"/>
    <col min="15" max="15" width="9.85546875" bestFit="1" customWidth="1"/>
  </cols>
  <sheetData>
    <row r="1" spans="2:14">
      <c r="C1" t="s">
        <v>0</v>
      </c>
      <c r="D1" t="s">
        <v>1</v>
      </c>
      <c r="E1" t="s">
        <v>2</v>
      </c>
      <c r="F1" t="s">
        <v>0</v>
      </c>
      <c r="G1" t="s">
        <v>1</v>
      </c>
      <c r="H1" t="s">
        <v>2</v>
      </c>
      <c r="I1" t="s">
        <v>0</v>
      </c>
      <c r="J1" t="s">
        <v>1</v>
      </c>
      <c r="K1" t="s">
        <v>2</v>
      </c>
      <c r="L1" t="s">
        <v>3</v>
      </c>
      <c r="M1" t="s">
        <v>1</v>
      </c>
      <c r="N1" t="s">
        <v>2</v>
      </c>
    </row>
    <row r="2" spans="2:14">
      <c r="B2" t="s">
        <v>4</v>
      </c>
      <c r="C2" t="s">
        <v>5</v>
      </c>
      <c r="D2" t="s">
        <v>5</v>
      </c>
      <c r="E2" t="s">
        <v>5</v>
      </c>
      <c r="F2" t="s">
        <v>6</v>
      </c>
      <c r="I2" t="s">
        <v>7</v>
      </c>
      <c r="L2" t="s">
        <v>8</v>
      </c>
    </row>
    <row r="3" spans="2:14">
      <c r="B3" s="1">
        <v>45474</v>
      </c>
      <c r="C3">
        <v>41.3</v>
      </c>
      <c r="D3">
        <v>673.61</v>
      </c>
      <c r="E3">
        <v>5475.09</v>
      </c>
      <c r="F3">
        <f t="shared" ref="F3:F34" si="0">LN(C4/C3)</f>
        <v>-2.0795856462486256E-2</v>
      </c>
      <c r="G3">
        <f t="shared" ref="G3:H66" si="1">LN(D4/D3)</f>
        <v>8.8236518651834753E-3</v>
      </c>
      <c r="H3">
        <f t="shared" si="1"/>
        <v>6.1762197767835335E-3</v>
      </c>
      <c r="I3" s="4">
        <f t="shared" ref="I3:I34" si="2">F3-$F$194</f>
        <v>-2.288060200441875E-2</v>
      </c>
      <c r="J3" s="4">
        <f t="shared" ref="J3:J34" si="3">G3-$G$194</f>
        <v>7.084346976634689E-3</v>
      </c>
      <c r="K3" s="4">
        <f t="shared" ref="K3:K34" si="4">H3-$H$194</f>
        <v>6.0442854477978491E-3</v>
      </c>
      <c r="L3">
        <f>I3^2</f>
        <v>5.2352194808461135E-4</v>
      </c>
      <c r="M3">
        <f t="shared" ref="M3:N66" si="5">J3^2</f>
        <v>5.0187972085353055E-5</v>
      </c>
      <c r="N3">
        <f t="shared" si="5"/>
        <v>3.6533386574460848E-5</v>
      </c>
    </row>
    <row r="4" spans="2:14">
      <c r="B4" s="1">
        <v>45475</v>
      </c>
      <c r="C4">
        <v>40.450000000000003</v>
      </c>
      <c r="D4">
        <v>679.58</v>
      </c>
      <c r="E4">
        <v>5509.01</v>
      </c>
      <c r="F4">
        <f t="shared" si="0"/>
        <v>-9.688313266828499E-3</v>
      </c>
      <c r="G4">
        <f t="shared" si="1"/>
        <v>4.3022186776209073E-3</v>
      </c>
      <c r="H4">
        <f t="shared" si="1"/>
        <v>5.0715161981972666E-3</v>
      </c>
      <c r="I4" s="4">
        <f t="shared" si="2"/>
        <v>-1.1773058808760995E-2</v>
      </c>
      <c r="J4" s="4">
        <f t="shared" si="3"/>
        <v>2.562913789072121E-3</v>
      </c>
      <c r="K4" s="4">
        <f t="shared" si="4"/>
        <v>4.9395818692115822E-3</v>
      </c>
      <c r="L4">
        <f t="shared" ref="L4:L67" si="6">I4^2</f>
        <v>1.3860491371454485E-4</v>
      </c>
      <c r="M4">
        <f t="shared" si="5"/>
        <v>6.5685270902160168E-6</v>
      </c>
      <c r="N4">
        <f t="shared" si="5"/>
        <v>2.439946904264379E-5</v>
      </c>
    </row>
    <row r="5" spans="2:14">
      <c r="B5" s="1">
        <v>45476</v>
      </c>
      <c r="C5">
        <v>40.06</v>
      </c>
      <c r="D5">
        <v>682.51</v>
      </c>
      <c r="E5">
        <v>5537.02</v>
      </c>
      <c r="F5">
        <f t="shared" si="0"/>
        <v>-1.0035207146022459E-2</v>
      </c>
      <c r="G5">
        <f t="shared" si="1"/>
        <v>1.1856004179541635E-2</v>
      </c>
      <c r="H5">
        <f t="shared" si="1"/>
        <v>5.4339884131971751E-3</v>
      </c>
      <c r="I5" s="4">
        <f t="shared" si="2"/>
        <v>-1.2119952687954953E-2</v>
      </c>
      <c r="J5" s="4">
        <f t="shared" si="3"/>
        <v>1.0116699290992848E-2</v>
      </c>
      <c r="K5" s="4">
        <f t="shared" si="4"/>
        <v>5.3020540842114907E-3</v>
      </c>
      <c r="L5">
        <f t="shared" si="6"/>
        <v>1.468932531582665E-4</v>
      </c>
      <c r="M5">
        <f t="shared" si="5"/>
        <v>1.0234760454437519E-4</v>
      </c>
      <c r="N5">
        <f t="shared" si="5"/>
        <v>2.811177751190375E-5</v>
      </c>
    </row>
    <row r="6" spans="2:14">
      <c r="B6" s="1">
        <v>45478</v>
      </c>
      <c r="C6">
        <v>39.659999999999997</v>
      </c>
      <c r="D6">
        <v>690.65</v>
      </c>
      <c r="E6">
        <v>5567.19</v>
      </c>
      <c r="F6">
        <f>LN(C7/C6)</f>
        <v>8.286299767077154E-3</v>
      </c>
      <c r="G6">
        <f t="shared" si="1"/>
        <v>-7.1346360084071775E-3</v>
      </c>
      <c r="H6">
        <f t="shared" si="1"/>
        <v>1.0161544279964853E-3</v>
      </c>
      <c r="I6" s="4">
        <f t="shared" si="2"/>
        <v>6.2015542251446587E-3</v>
      </c>
      <c r="J6" s="4">
        <f t="shared" si="3"/>
        <v>-8.8739408969559647E-3</v>
      </c>
      <c r="K6" s="4">
        <f t="shared" si="4"/>
        <v>8.8422009901080098E-4</v>
      </c>
      <c r="L6">
        <f t="shared" si="6"/>
        <v>3.8459274807409568E-5</v>
      </c>
      <c r="M6">
        <f t="shared" si="5"/>
        <v>7.8746827042667635E-5</v>
      </c>
      <c r="N6">
        <f t="shared" si="5"/>
        <v>7.8184518349467071E-7</v>
      </c>
    </row>
    <row r="7" spans="2:14">
      <c r="B7" s="1">
        <v>45481</v>
      </c>
      <c r="C7">
        <v>39.99</v>
      </c>
      <c r="D7">
        <v>685.74</v>
      </c>
      <c r="E7">
        <v>5572.85</v>
      </c>
      <c r="F7">
        <f t="shared" si="0"/>
        <v>2.152216653074884E-2</v>
      </c>
      <c r="G7" s="2">
        <f t="shared" si="1"/>
        <v>0</v>
      </c>
      <c r="H7">
        <f t="shared" si="1"/>
        <v>7.4081850375864739E-4</v>
      </c>
      <c r="I7" s="4">
        <f t="shared" si="2"/>
        <v>1.9437420988816345E-2</v>
      </c>
      <c r="J7" s="4">
        <f t="shared" si="3"/>
        <v>-1.7393048885487863E-3</v>
      </c>
      <c r="K7" s="4">
        <f t="shared" si="4"/>
        <v>6.088841747729631E-4</v>
      </c>
      <c r="L7">
        <f t="shared" si="6"/>
        <v>3.7781333469647817E-4</v>
      </c>
      <c r="M7">
        <f t="shared" si="5"/>
        <v>3.0251814953297061E-6</v>
      </c>
      <c r="N7">
        <f t="shared" si="5"/>
        <v>3.707399382889523E-7</v>
      </c>
    </row>
    <row r="8" spans="2:14">
      <c r="B8" s="1">
        <v>45482</v>
      </c>
      <c r="C8">
        <v>40.86</v>
      </c>
      <c r="D8">
        <v>685.74</v>
      </c>
      <c r="E8">
        <v>5576.98</v>
      </c>
      <c r="F8">
        <f t="shared" si="0"/>
        <v>6.3430317574336443E-3</v>
      </c>
      <c r="G8">
        <f t="shared" si="1"/>
        <v>-1.1867616675536643E-2</v>
      </c>
      <c r="H8">
        <f t="shared" si="1"/>
        <v>1.0156283642139425E-2</v>
      </c>
      <c r="I8" s="4">
        <f t="shared" si="2"/>
        <v>4.2582862155011491E-3</v>
      </c>
      <c r="J8" s="4">
        <f t="shared" si="3"/>
        <v>-1.3606921564085429E-2</v>
      </c>
      <c r="K8" s="4">
        <f t="shared" si="4"/>
        <v>1.0024349313153741E-2</v>
      </c>
      <c r="L8">
        <f t="shared" si="6"/>
        <v>1.8133001493127098E-5</v>
      </c>
      <c r="M8">
        <f t="shared" si="5"/>
        <v>1.8514831445117305E-4</v>
      </c>
      <c r="N8">
        <f t="shared" si="5"/>
        <v>1.0048757915212588E-4</v>
      </c>
    </row>
    <row r="9" spans="2:14">
      <c r="B9" s="1">
        <v>45483</v>
      </c>
      <c r="C9">
        <v>41.12</v>
      </c>
      <c r="D9">
        <v>677.65</v>
      </c>
      <c r="E9">
        <v>5633.91</v>
      </c>
      <c r="F9">
        <f t="shared" si="0"/>
        <v>-9.0387814600379202E-3</v>
      </c>
      <c r="G9">
        <f t="shared" si="1"/>
        <v>-3.7436722882786676E-2</v>
      </c>
      <c r="H9">
        <f t="shared" si="1"/>
        <v>-8.8016292301766504E-3</v>
      </c>
      <c r="I9" s="4">
        <f t="shared" si="2"/>
        <v>-1.1123527001970415E-2</v>
      </c>
      <c r="J9" s="4">
        <f t="shared" si="3"/>
        <v>-3.9176027771335463E-2</v>
      </c>
      <c r="K9" s="4">
        <f t="shared" si="4"/>
        <v>-8.9335635591623348E-3</v>
      </c>
      <c r="L9">
        <f t="shared" si="6"/>
        <v>1.2373285296356492E-4</v>
      </c>
      <c r="M9">
        <f t="shared" si="5"/>
        <v>1.5347611519404474E-3</v>
      </c>
      <c r="N9">
        <f t="shared" si="5"/>
        <v>7.9808557865593204E-5</v>
      </c>
    </row>
    <row r="10" spans="2:14">
      <c r="B10" s="1">
        <v>45484</v>
      </c>
      <c r="C10">
        <v>40.75</v>
      </c>
      <c r="D10">
        <v>652.75</v>
      </c>
      <c r="E10">
        <v>5584.54</v>
      </c>
      <c r="F10">
        <f t="shared" si="0"/>
        <v>-7.142007947272289E-3</v>
      </c>
      <c r="G10">
        <f t="shared" si="1"/>
        <v>-7.9209857757581107E-3</v>
      </c>
      <c r="H10">
        <f t="shared" si="1"/>
        <v>5.5018536287759819E-3</v>
      </c>
      <c r="I10" s="4">
        <f t="shared" si="2"/>
        <v>-9.2267534892047851E-3</v>
      </c>
      <c r="J10" s="4">
        <f t="shared" si="3"/>
        <v>-9.6602906643068961E-3</v>
      </c>
      <c r="K10" s="4">
        <f t="shared" si="4"/>
        <v>5.3699192997902975E-3</v>
      </c>
      <c r="L10">
        <f t="shared" si="6"/>
        <v>8.5132979950552681E-5</v>
      </c>
      <c r="M10">
        <f t="shared" si="5"/>
        <v>9.3321215718894973E-5</v>
      </c>
      <c r="N10">
        <f t="shared" si="5"/>
        <v>2.8836033286260321E-5</v>
      </c>
    </row>
    <row r="11" spans="2:14">
      <c r="B11" s="1">
        <v>45485</v>
      </c>
      <c r="C11">
        <v>40.46</v>
      </c>
      <c r="D11">
        <v>647.6</v>
      </c>
      <c r="E11">
        <v>5615.35</v>
      </c>
      <c r="F11">
        <f t="shared" si="0"/>
        <v>-7.6913913468287659E-3</v>
      </c>
      <c r="G11">
        <f t="shared" si="1"/>
        <v>1.3573307576639323E-2</v>
      </c>
      <c r="H11">
        <f t="shared" si="1"/>
        <v>2.822195662042845E-3</v>
      </c>
      <c r="I11" s="4">
        <f t="shared" si="2"/>
        <v>-9.7761368887612603E-3</v>
      </c>
      <c r="J11" s="4">
        <f t="shared" si="3"/>
        <v>1.1834002688090536E-2</v>
      </c>
      <c r="K11" s="4">
        <f t="shared" si="4"/>
        <v>2.6902613330571606E-3</v>
      </c>
      <c r="L11">
        <f t="shared" si="6"/>
        <v>9.5572852467798688E-5</v>
      </c>
      <c r="M11">
        <f t="shared" si="5"/>
        <v>1.4004361962173404E-4</v>
      </c>
      <c r="N11">
        <f t="shared" si="5"/>
        <v>7.2375060401424909E-6</v>
      </c>
    </row>
    <row r="12" spans="2:14">
      <c r="B12" s="1">
        <v>45488</v>
      </c>
      <c r="C12">
        <v>40.15</v>
      </c>
      <c r="D12">
        <v>656.45</v>
      </c>
      <c r="E12">
        <v>5631.22</v>
      </c>
      <c r="F12">
        <f t="shared" si="0"/>
        <v>2.5815815962710129E-2</v>
      </c>
      <c r="G12">
        <f t="shared" si="1"/>
        <v>-1.9805449610354526E-4</v>
      </c>
      <c r="H12">
        <f t="shared" si="1"/>
        <v>6.3690536600414091E-3</v>
      </c>
      <c r="I12" s="4">
        <f t="shared" si="2"/>
        <v>2.3731070420777635E-2</v>
      </c>
      <c r="J12" s="4">
        <f t="shared" si="3"/>
        <v>-1.9373593846523315E-3</v>
      </c>
      <c r="K12" s="4">
        <f t="shared" si="4"/>
        <v>6.2371193310557247E-3</v>
      </c>
      <c r="L12">
        <f t="shared" si="6"/>
        <v>5.6316370331590724E-4</v>
      </c>
      <c r="M12">
        <f t="shared" si="5"/>
        <v>3.7533613853004607E-6</v>
      </c>
      <c r="N12">
        <f t="shared" si="5"/>
        <v>3.8901657549829011E-5</v>
      </c>
    </row>
    <row r="13" spans="2:14">
      <c r="B13" s="1">
        <v>45489</v>
      </c>
      <c r="C13">
        <v>41.2</v>
      </c>
      <c r="D13">
        <v>656.32</v>
      </c>
      <c r="E13">
        <v>5667.2</v>
      </c>
      <c r="F13">
        <f t="shared" si="0"/>
        <v>4.6244161173956071E-2</v>
      </c>
      <c r="G13">
        <f t="shared" si="1"/>
        <v>-1.3591459280318546E-2</v>
      </c>
      <c r="H13">
        <f t="shared" si="1"/>
        <v>-1.4025410555021933E-2</v>
      </c>
      <c r="I13" s="4">
        <f t="shared" si="2"/>
        <v>4.4159415632023573E-2</v>
      </c>
      <c r="J13" s="4">
        <f t="shared" si="3"/>
        <v>-1.5330764168867334E-2</v>
      </c>
      <c r="K13" s="4">
        <f t="shared" si="4"/>
        <v>-1.4157344884007618E-2</v>
      </c>
      <c r="L13">
        <f t="shared" si="6"/>
        <v>1.9500539889618078E-3</v>
      </c>
      <c r="M13">
        <f t="shared" si="5"/>
        <v>2.350323300014265E-4</v>
      </c>
      <c r="N13">
        <f t="shared" si="5"/>
        <v>2.0043041416473666E-4</v>
      </c>
    </row>
    <row r="14" spans="2:14">
      <c r="B14" s="1">
        <v>45490</v>
      </c>
      <c r="C14">
        <v>43.15</v>
      </c>
      <c r="D14">
        <v>647.46</v>
      </c>
      <c r="E14">
        <v>5588.27</v>
      </c>
      <c r="F14">
        <f t="shared" si="0"/>
        <v>-1.7769932164891145E-2</v>
      </c>
      <c r="G14">
        <f t="shared" si="1"/>
        <v>-6.8500849028063967E-3</v>
      </c>
      <c r="H14">
        <f t="shared" si="1"/>
        <v>-7.8470804696827295E-3</v>
      </c>
      <c r="I14" s="4">
        <f t="shared" si="2"/>
        <v>-1.9854677706823639E-2</v>
      </c>
      <c r="J14" s="4">
        <f t="shared" si="3"/>
        <v>-8.5893897913551821E-3</v>
      </c>
      <c r="K14" s="4">
        <f t="shared" si="4"/>
        <v>-7.9790147986684139E-3</v>
      </c>
      <c r="L14">
        <f t="shared" si="6"/>
        <v>3.9420822684183959E-4</v>
      </c>
      <c r="M14">
        <f t="shared" si="5"/>
        <v>7.3777616987836617E-5</v>
      </c>
      <c r="N14">
        <f t="shared" si="5"/>
        <v>6.3664677157369544E-5</v>
      </c>
    </row>
    <row r="15" spans="2:14">
      <c r="B15" s="1">
        <v>45491</v>
      </c>
      <c r="C15">
        <v>42.39</v>
      </c>
      <c r="D15">
        <v>643.04</v>
      </c>
      <c r="E15">
        <v>5544.59</v>
      </c>
      <c r="F15">
        <f t="shared" si="0"/>
        <v>5.8802944930433599E-3</v>
      </c>
      <c r="G15">
        <f t="shared" si="1"/>
        <v>-1.5199527954080538E-2</v>
      </c>
      <c r="H15">
        <f t="shared" si="1"/>
        <v>-7.1659074070294041E-3</v>
      </c>
      <c r="I15" s="4">
        <f t="shared" si="2"/>
        <v>3.7955489511108647E-3</v>
      </c>
      <c r="J15" s="4">
        <f t="shared" si="3"/>
        <v>-1.6938832842629325E-2</v>
      </c>
      <c r="K15" s="4">
        <f t="shared" si="4"/>
        <v>-7.2978417360150885E-3</v>
      </c>
      <c r="L15">
        <f t="shared" si="6"/>
        <v>1.4406191840278786E-5</v>
      </c>
      <c r="M15">
        <f t="shared" si="5"/>
        <v>2.8692405807053783E-4</v>
      </c>
      <c r="N15">
        <f t="shared" si="5"/>
        <v>5.3258494003923723E-5</v>
      </c>
    </row>
    <row r="16" spans="2:14">
      <c r="B16" s="1">
        <v>45492</v>
      </c>
      <c r="C16">
        <v>42.64</v>
      </c>
      <c r="D16">
        <v>633.34</v>
      </c>
      <c r="E16">
        <v>5505</v>
      </c>
      <c r="F16">
        <f t="shared" si="0"/>
        <v>7.0331734231949042E-4</v>
      </c>
      <c r="G16">
        <f t="shared" si="1"/>
        <v>2.211139082688246E-2</v>
      </c>
      <c r="H16">
        <f t="shared" si="1"/>
        <v>1.0734189165974961E-2</v>
      </c>
      <c r="I16" s="4">
        <f t="shared" si="2"/>
        <v>-1.3814281996130048E-3</v>
      </c>
      <c r="J16" s="4">
        <f t="shared" si="3"/>
        <v>2.0372085938333673E-2</v>
      </c>
      <c r="K16" s="4">
        <f t="shared" si="4"/>
        <v>1.0602254836989277E-2</v>
      </c>
      <c r="L16">
        <f t="shared" si="6"/>
        <v>1.9083438706860278E-6</v>
      </c>
      <c r="M16">
        <f t="shared" si="5"/>
        <v>4.1502188547885258E-4</v>
      </c>
      <c r="N16">
        <f t="shared" si="5"/>
        <v>1.1240780762846252E-4</v>
      </c>
    </row>
    <row r="17" spans="2:14">
      <c r="B17" s="1">
        <v>45495</v>
      </c>
      <c r="C17">
        <v>42.67</v>
      </c>
      <c r="D17">
        <v>647.5</v>
      </c>
      <c r="E17">
        <v>5564.41</v>
      </c>
      <c r="F17">
        <f t="shared" si="0"/>
        <v>7.2387940144556786E-3</v>
      </c>
      <c r="G17">
        <f t="shared" si="1"/>
        <v>-7.3473894001403733E-3</v>
      </c>
      <c r="H17">
        <f t="shared" si="1"/>
        <v>-1.5593317997995005E-3</v>
      </c>
      <c r="I17" s="4">
        <f t="shared" si="2"/>
        <v>5.1540484725231834E-3</v>
      </c>
      <c r="J17" s="4">
        <f t="shared" si="3"/>
        <v>-9.0866942886891587E-3</v>
      </c>
      <c r="K17" s="4">
        <f t="shared" si="4"/>
        <v>-1.6912661287851846E-3</v>
      </c>
      <c r="L17">
        <f t="shared" si="6"/>
        <v>2.6564215657118558E-5</v>
      </c>
      <c r="M17">
        <f t="shared" si="5"/>
        <v>8.2568013096096174E-5</v>
      </c>
      <c r="N17">
        <f t="shared" si="5"/>
        <v>2.8603811183760247E-6</v>
      </c>
    </row>
    <row r="18" spans="2:14">
      <c r="B18" s="1">
        <v>45496</v>
      </c>
      <c r="C18">
        <v>42.98</v>
      </c>
      <c r="D18">
        <v>642.76</v>
      </c>
      <c r="E18">
        <v>5555.74</v>
      </c>
      <c r="F18">
        <f t="shared" si="0"/>
        <v>3.8343355197647436E-2</v>
      </c>
      <c r="G18">
        <f t="shared" si="1"/>
        <v>-1.0588564227482403E-2</v>
      </c>
      <c r="H18">
        <f t="shared" si="1"/>
        <v>-2.3421178443889513E-2</v>
      </c>
      <c r="I18" s="4">
        <f t="shared" si="2"/>
        <v>3.6258609655714938E-2</v>
      </c>
      <c r="J18" s="4">
        <f t="shared" si="3"/>
        <v>-1.232786911603119E-2</v>
      </c>
      <c r="K18" s="4">
        <f t="shared" si="4"/>
        <v>-2.3553112772875195E-2</v>
      </c>
      <c r="L18">
        <f t="shared" si="6"/>
        <v>1.3146867741655045E-3</v>
      </c>
      <c r="M18">
        <f t="shared" si="5"/>
        <v>1.5197635694199564E-4</v>
      </c>
      <c r="N18">
        <f t="shared" si="5"/>
        <v>5.5474912129177664E-4</v>
      </c>
    </row>
    <row r="19" spans="2:14">
      <c r="B19" s="1">
        <v>45497</v>
      </c>
      <c r="C19">
        <v>44.66</v>
      </c>
      <c r="D19">
        <v>635.99</v>
      </c>
      <c r="E19">
        <v>5427.13</v>
      </c>
      <c r="F19">
        <f t="shared" si="0"/>
        <v>1.3566315035855592E-2</v>
      </c>
      <c r="G19">
        <f t="shared" si="1"/>
        <v>-2.9919397476580656E-3</v>
      </c>
      <c r="H19">
        <f t="shared" si="1"/>
        <v>-5.1559504042484414E-3</v>
      </c>
      <c r="I19" s="4">
        <f t="shared" si="2"/>
        <v>1.1481569493923097E-2</v>
      </c>
      <c r="J19" s="4">
        <f t="shared" si="3"/>
        <v>-4.7312446362068519E-3</v>
      </c>
      <c r="K19" s="4">
        <f t="shared" si="4"/>
        <v>-5.2878847332341258E-3</v>
      </c>
      <c r="L19">
        <f t="shared" si="6"/>
        <v>1.318264380437855E-4</v>
      </c>
      <c r="M19">
        <f t="shared" si="5"/>
        <v>2.2384675807636108E-5</v>
      </c>
      <c r="N19">
        <f t="shared" si="5"/>
        <v>2.7961724951970544E-5</v>
      </c>
    </row>
    <row r="20" spans="2:14">
      <c r="B20" s="1">
        <v>45498</v>
      </c>
      <c r="C20">
        <v>45.27</v>
      </c>
      <c r="D20">
        <v>634.09</v>
      </c>
      <c r="E20">
        <v>5399.22</v>
      </c>
      <c r="F20">
        <f t="shared" si="0"/>
        <v>0.10833818535175073</v>
      </c>
      <c r="G20">
        <f t="shared" si="1"/>
        <v>-4.298838665468532E-3</v>
      </c>
      <c r="H20">
        <f t="shared" si="1"/>
        <v>1.1029442312488889E-2</v>
      </c>
      <c r="I20" s="4">
        <f t="shared" si="2"/>
        <v>0.10625343980981823</v>
      </c>
      <c r="J20" s="4">
        <f t="shared" si="3"/>
        <v>-6.0381435540173183E-3</v>
      </c>
      <c r="K20" s="4">
        <f t="shared" si="4"/>
        <v>1.0897507983503205E-2</v>
      </c>
      <c r="L20">
        <f t="shared" si="6"/>
        <v>1.1289793471418666E-2</v>
      </c>
      <c r="M20">
        <f t="shared" si="5"/>
        <v>3.6459177578920892E-5</v>
      </c>
      <c r="N20">
        <f t="shared" si="5"/>
        <v>1.1875568025051608E-4</v>
      </c>
    </row>
    <row r="21" spans="2:14">
      <c r="B21" s="1">
        <v>45499</v>
      </c>
      <c r="C21">
        <v>50.45</v>
      </c>
      <c r="D21">
        <v>631.37</v>
      </c>
      <c r="E21">
        <v>5459.1</v>
      </c>
      <c r="F21">
        <f t="shared" si="0"/>
        <v>-2.9570695275596387E-2</v>
      </c>
      <c r="G21">
        <f t="shared" si="1"/>
        <v>-7.0093187883341328E-3</v>
      </c>
      <c r="H21">
        <f t="shared" si="1"/>
        <v>8.129903108684501E-4</v>
      </c>
      <c r="I21" s="4">
        <f t="shared" si="2"/>
        <v>-3.1655440817528885E-2</v>
      </c>
      <c r="J21" s="4">
        <f t="shared" si="3"/>
        <v>-8.7486236768829183E-3</v>
      </c>
      <c r="K21" s="4">
        <f t="shared" si="4"/>
        <v>6.8105598188276581E-4</v>
      </c>
      <c r="L21">
        <f t="shared" si="6"/>
        <v>1.0020669333520738E-3</v>
      </c>
      <c r="M21">
        <f t="shared" si="5"/>
        <v>7.6538416239716392E-5</v>
      </c>
      <c r="N21">
        <f t="shared" si="5"/>
        <v>4.6383725045829822E-7</v>
      </c>
    </row>
    <row r="22" spans="2:14">
      <c r="B22" s="1">
        <v>45502</v>
      </c>
      <c r="C22">
        <v>48.98</v>
      </c>
      <c r="D22">
        <v>626.96</v>
      </c>
      <c r="E22">
        <v>5463.54</v>
      </c>
      <c r="F22">
        <f t="shared" si="0"/>
        <v>1.4281344873504659E-3</v>
      </c>
      <c r="G22">
        <f t="shared" si="1"/>
        <v>-7.0106086067454644E-3</v>
      </c>
      <c r="H22">
        <f t="shared" si="1"/>
        <v>-4.9724964337360253E-3</v>
      </c>
      <c r="I22" s="4">
        <f t="shared" si="2"/>
        <v>-6.566110545820293E-4</v>
      </c>
      <c r="J22" s="4">
        <f t="shared" si="3"/>
        <v>-8.7499134952942516E-3</v>
      </c>
      <c r="K22" s="4">
        <f t="shared" si="4"/>
        <v>-5.1044307627217097E-3</v>
      </c>
      <c r="L22">
        <f t="shared" si="6"/>
        <v>4.3113807699932464E-7</v>
      </c>
      <c r="M22">
        <f t="shared" si="5"/>
        <v>7.6560986175132467E-5</v>
      </c>
      <c r="N22">
        <f t="shared" si="5"/>
        <v>2.6055213411419735E-5</v>
      </c>
    </row>
    <row r="23" spans="2:14">
      <c r="B23" s="1">
        <v>45503</v>
      </c>
      <c r="C23">
        <v>49.05</v>
      </c>
      <c r="D23">
        <v>622.58000000000004</v>
      </c>
      <c r="E23">
        <v>5436.44</v>
      </c>
      <c r="F23">
        <f t="shared" si="0"/>
        <v>-3.0848114188790941E-2</v>
      </c>
      <c r="G23">
        <f t="shared" si="1"/>
        <v>9.2252019232898445E-3</v>
      </c>
      <c r="H23">
        <f t="shared" si="1"/>
        <v>1.567000529191805E-2</v>
      </c>
      <c r="I23" s="4">
        <f t="shared" si="2"/>
        <v>-3.2932859730723435E-2</v>
      </c>
      <c r="J23" s="4">
        <f t="shared" si="3"/>
        <v>7.4858970347410582E-3</v>
      </c>
      <c r="K23" s="4">
        <f t="shared" si="4"/>
        <v>1.5538070962932365E-2</v>
      </c>
      <c r="L23">
        <f t="shared" si="6"/>
        <v>1.0845732500435051E-3</v>
      </c>
      <c r="M23">
        <f t="shared" si="5"/>
        <v>5.603865441474497E-5</v>
      </c>
      <c r="N23">
        <f t="shared" si="5"/>
        <v>2.4143164924912193E-4</v>
      </c>
    </row>
    <row r="24" spans="2:14">
      <c r="B24" s="1">
        <v>45504</v>
      </c>
      <c r="C24">
        <v>47.56</v>
      </c>
      <c r="D24">
        <v>628.35</v>
      </c>
      <c r="E24">
        <v>5522.3</v>
      </c>
      <c r="F24">
        <f t="shared" si="0"/>
        <v>1.274434881954823E-2</v>
      </c>
      <c r="G24">
        <f t="shared" si="1"/>
        <v>-5.5857151293608491E-3</v>
      </c>
      <c r="H24">
        <f t="shared" si="1"/>
        <v>-1.3788191433053192E-2</v>
      </c>
      <c r="I24" s="4">
        <f t="shared" si="2"/>
        <v>1.0659603277615736E-2</v>
      </c>
      <c r="J24" s="4">
        <f t="shared" si="3"/>
        <v>-7.3250200179096354E-3</v>
      </c>
      <c r="K24" s="4">
        <f t="shared" si="4"/>
        <v>-1.3920125762038877E-2</v>
      </c>
      <c r="L24">
        <f t="shared" si="6"/>
        <v>1.1362714203615614E-4</v>
      </c>
      <c r="M24">
        <f t="shared" si="5"/>
        <v>5.3655918262776873E-5</v>
      </c>
      <c r="N24">
        <f t="shared" si="5"/>
        <v>1.9376990123097843E-4</v>
      </c>
    </row>
    <row r="25" spans="2:14">
      <c r="B25" s="1">
        <v>45505</v>
      </c>
      <c r="C25">
        <v>48.17</v>
      </c>
      <c r="D25">
        <v>624.85</v>
      </c>
      <c r="E25">
        <v>5446.68</v>
      </c>
      <c r="F25">
        <f t="shared" si="0"/>
        <v>1.2378949079831838E-2</v>
      </c>
      <c r="G25">
        <f t="shared" si="1"/>
        <v>-1.8103183955220092E-2</v>
      </c>
      <c r="H25">
        <f t="shared" si="1"/>
        <v>-1.8552885294602865E-2</v>
      </c>
      <c r="I25" s="4">
        <f t="shared" si="2"/>
        <v>1.0294203537899341E-2</v>
      </c>
      <c r="J25" s="4">
        <f t="shared" si="3"/>
        <v>-1.984248884376888E-2</v>
      </c>
      <c r="K25" s="4">
        <f t="shared" si="4"/>
        <v>-1.8684819623588547E-2</v>
      </c>
      <c r="L25">
        <f t="shared" si="6"/>
        <v>1.0597062647969931E-4</v>
      </c>
      <c r="M25">
        <f t="shared" si="5"/>
        <v>3.9372436351509246E-4</v>
      </c>
      <c r="N25">
        <f t="shared" si="5"/>
        <v>3.4912248436603968E-4</v>
      </c>
    </row>
    <row r="26" spans="2:14">
      <c r="B26" s="1">
        <v>45506</v>
      </c>
      <c r="C26">
        <v>48.77</v>
      </c>
      <c r="D26">
        <v>613.64</v>
      </c>
      <c r="E26">
        <v>5346.56</v>
      </c>
      <c r="F26">
        <f t="shared" si="0"/>
        <v>-2.4492714588942102E-2</v>
      </c>
      <c r="G26">
        <f t="shared" si="1"/>
        <v>-2.4898373279193895E-2</v>
      </c>
      <c r="H26">
        <f t="shared" si="1"/>
        <v>-3.0427045496882188E-2</v>
      </c>
      <c r="I26" s="4">
        <f t="shared" si="2"/>
        <v>-2.6577460130874597E-2</v>
      </c>
      <c r="J26" s="4">
        <f t="shared" si="3"/>
        <v>-2.6637678167742682E-2</v>
      </c>
      <c r="K26" s="4">
        <f t="shared" si="4"/>
        <v>-3.0558979825867871E-2</v>
      </c>
      <c r="L26">
        <f t="shared" si="6"/>
        <v>7.0636138700822871E-4</v>
      </c>
      <c r="M26">
        <f t="shared" si="5"/>
        <v>7.095658981682351E-4</v>
      </c>
      <c r="N26">
        <f t="shared" si="5"/>
        <v>9.3385124799779946E-4</v>
      </c>
    </row>
    <row r="27" spans="2:14">
      <c r="B27" s="1">
        <v>45509</v>
      </c>
      <c r="C27">
        <v>47.59</v>
      </c>
      <c r="D27">
        <v>598.54999999999995</v>
      </c>
      <c r="E27">
        <v>5186.33</v>
      </c>
      <c r="F27">
        <f t="shared" si="0"/>
        <v>-5.9009654899624606E-3</v>
      </c>
      <c r="G27">
        <f t="shared" si="1"/>
        <v>1.8243726865653044E-2</v>
      </c>
      <c r="H27">
        <f t="shared" si="1"/>
        <v>1.0300905557719547E-2</v>
      </c>
      <c r="I27" s="4">
        <f t="shared" si="2"/>
        <v>-7.9857110318949549E-3</v>
      </c>
      <c r="J27" s="4">
        <f t="shared" si="3"/>
        <v>1.6504421977104257E-2</v>
      </c>
      <c r="K27" s="4">
        <f t="shared" si="4"/>
        <v>1.0168971228733862E-2</v>
      </c>
      <c r="L27">
        <f t="shared" si="6"/>
        <v>6.3771580684928781E-5</v>
      </c>
      <c r="M27">
        <f t="shared" si="5"/>
        <v>2.7239594479832197E-4</v>
      </c>
      <c r="N27">
        <f t="shared" si="5"/>
        <v>1.0340797585081707E-4</v>
      </c>
    </row>
    <row r="28" spans="2:14">
      <c r="B28" s="1">
        <v>45510</v>
      </c>
      <c r="C28">
        <v>47.31</v>
      </c>
      <c r="D28">
        <v>609.57000000000005</v>
      </c>
      <c r="E28">
        <v>5240.03</v>
      </c>
      <c r="F28">
        <f t="shared" si="0"/>
        <v>-1.7269377049746178E-2</v>
      </c>
      <c r="G28">
        <f t="shared" si="1"/>
        <v>3.128457569801684E-3</v>
      </c>
      <c r="H28">
        <f t="shared" si="1"/>
        <v>-7.7647563892511828E-3</v>
      </c>
      <c r="I28" s="4">
        <f t="shared" si="2"/>
        <v>-1.9354122591678673E-2</v>
      </c>
      <c r="J28" s="4">
        <f t="shared" si="3"/>
        <v>1.3891526812528977E-3</v>
      </c>
      <c r="K28" s="4">
        <f t="shared" si="4"/>
        <v>-7.8966907182368672E-3</v>
      </c>
      <c r="L28">
        <f t="shared" si="6"/>
        <v>3.7458206129372681E-4</v>
      </c>
      <c r="M28">
        <f t="shared" si="5"/>
        <v>1.9297451718321146E-6</v>
      </c>
      <c r="N28">
        <f t="shared" si="5"/>
        <v>6.2357724299488292E-5</v>
      </c>
    </row>
    <row r="29" spans="2:14">
      <c r="B29" s="1">
        <v>45511</v>
      </c>
      <c r="C29">
        <v>46.5</v>
      </c>
      <c r="D29">
        <v>611.48</v>
      </c>
      <c r="E29">
        <v>5199.5</v>
      </c>
      <c r="F29">
        <f t="shared" si="0"/>
        <v>7.4986960911206041E-3</v>
      </c>
      <c r="G29">
        <f t="shared" si="1"/>
        <v>3.0392972544444917E-2</v>
      </c>
      <c r="H29">
        <f t="shared" si="1"/>
        <v>2.2781128575607587E-2</v>
      </c>
      <c r="I29" s="4">
        <f t="shared" si="2"/>
        <v>5.4139505491881089E-3</v>
      </c>
      <c r="J29" s="4">
        <f t="shared" si="3"/>
        <v>2.865366765589613E-2</v>
      </c>
      <c r="K29" s="4">
        <f t="shared" si="4"/>
        <v>2.2649194246621904E-2</v>
      </c>
      <c r="L29">
        <f t="shared" si="6"/>
        <v>2.9310860549054225E-5</v>
      </c>
      <c r="M29">
        <f t="shared" si="5"/>
        <v>8.2103267013454797E-4</v>
      </c>
      <c r="N29">
        <f t="shared" si="5"/>
        <v>5.1298600002121079E-4</v>
      </c>
    </row>
    <row r="30" spans="2:14">
      <c r="B30" s="1">
        <v>45512</v>
      </c>
      <c r="C30">
        <v>46.85</v>
      </c>
      <c r="D30">
        <v>630.35</v>
      </c>
      <c r="E30">
        <v>5319.31</v>
      </c>
      <c r="F30">
        <f t="shared" si="0"/>
        <v>-2.7786701644596729E-3</v>
      </c>
      <c r="G30">
        <f t="shared" si="1"/>
        <v>5.6790920575881471E-3</v>
      </c>
      <c r="H30">
        <f t="shared" si="1"/>
        <v>4.660780212150723E-3</v>
      </c>
      <c r="I30" s="4">
        <f t="shared" si="2"/>
        <v>-4.8634157063921681E-3</v>
      </c>
      <c r="J30" s="4">
        <f t="shared" si="3"/>
        <v>3.9397871690393608E-3</v>
      </c>
      <c r="K30" s="4">
        <f t="shared" si="4"/>
        <v>4.5288458831650386E-3</v>
      </c>
      <c r="L30">
        <f t="shared" si="6"/>
        <v>2.365281233318203E-5</v>
      </c>
      <c r="M30">
        <f t="shared" si="5"/>
        <v>1.5521922937327179E-5</v>
      </c>
      <c r="N30">
        <f t="shared" si="5"/>
        <v>2.0510445033460918E-5</v>
      </c>
    </row>
    <row r="31" spans="2:14">
      <c r="B31" s="1">
        <v>45513</v>
      </c>
      <c r="C31">
        <v>46.72</v>
      </c>
      <c r="D31">
        <v>633.94000000000005</v>
      </c>
      <c r="E31">
        <v>5344.16</v>
      </c>
      <c r="F31">
        <f t="shared" si="0"/>
        <v>7.2510447792448222E-3</v>
      </c>
      <c r="G31">
        <f t="shared" si="1"/>
        <v>-1.2627460086212276E-3</v>
      </c>
      <c r="H31">
        <f t="shared" si="1"/>
        <v>4.3036707511422095E-5</v>
      </c>
      <c r="I31" s="4">
        <f t="shared" si="2"/>
        <v>5.166299237312327E-3</v>
      </c>
      <c r="J31" s="4">
        <f t="shared" si="3"/>
        <v>-3.0020508971700137E-3</v>
      </c>
      <c r="K31" s="4">
        <f t="shared" si="4"/>
        <v>-8.8897621474262189E-5</v>
      </c>
      <c r="L31">
        <f t="shared" si="6"/>
        <v>2.6690647809453931E-5</v>
      </c>
      <c r="M31">
        <f t="shared" si="5"/>
        <v>9.012309589199284E-6</v>
      </c>
      <c r="N31">
        <f t="shared" si="5"/>
        <v>7.9027871037812011E-9</v>
      </c>
    </row>
    <row r="32" spans="2:14">
      <c r="B32" s="1">
        <v>45516</v>
      </c>
      <c r="C32">
        <v>47.06</v>
      </c>
      <c r="D32">
        <v>633.14</v>
      </c>
      <c r="E32">
        <v>5344.39</v>
      </c>
      <c r="F32">
        <f t="shared" si="0"/>
        <v>4.1620655531126843E-2</v>
      </c>
      <c r="G32">
        <f t="shared" si="1"/>
        <v>2.3229993347270668E-2</v>
      </c>
      <c r="H32">
        <f t="shared" si="1"/>
        <v>1.6707226654933075E-2</v>
      </c>
      <c r="I32" s="4">
        <f t="shared" si="2"/>
        <v>3.9535909989194346E-2</v>
      </c>
      <c r="J32" s="4">
        <f t="shared" si="3"/>
        <v>2.1490688458721881E-2</v>
      </c>
      <c r="K32" s="4">
        <f t="shared" si="4"/>
        <v>1.6575292325947392E-2</v>
      </c>
      <c r="L32">
        <f t="shared" si="6"/>
        <v>1.5630881786736772E-3</v>
      </c>
      <c r="M32">
        <f t="shared" si="5"/>
        <v>4.6184969042984184E-4</v>
      </c>
      <c r="N32">
        <f t="shared" si="5"/>
        <v>2.7474031569061052E-4</v>
      </c>
    </row>
    <row r="33" spans="2:14">
      <c r="B33" s="1">
        <v>45517</v>
      </c>
      <c r="C33">
        <v>49.06</v>
      </c>
      <c r="D33">
        <v>648.02</v>
      </c>
      <c r="E33">
        <v>5434.43</v>
      </c>
      <c r="F33">
        <f t="shared" si="0"/>
        <v>-1.3337634878740427E-2</v>
      </c>
      <c r="G33">
        <f t="shared" si="1"/>
        <v>2.0860495310134855E-2</v>
      </c>
      <c r="H33">
        <f t="shared" si="1"/>
        <v>3.816476067632372E-3</v>
      </c>
      <c r="I33" s="4">
        <f t="shared" si="2"/>
        <v>-1.5422380420672923E-2</v>
      </c>
      <c r="J33" s="4">
        <f t="shared" si="3"/>
        <v>1.9121190421586068E-2</v>
      </c>
      <c r="K33" s="4">
        <f t="shared" si="4"/>
        <v>3.6845417386466876E-3</v>
      </c>
      <c r="L33">
        <f t="shared" si="6"/>
        <v>2.3784981783995553E-4</v>
      </c>
      <c r="M33">
        <f t="shared" si="5"/>
        <v>3.6561992313855477E-4</v>
      </c>
      <c r="N33">
        <f t="shared" si="5"/>
        <v>1.3575847823829555E-5</v>
      </c>
    </row>
    <row r="34" spans="2:14">
      <c r="B34" s="1">
        <v>45518</v>
      </c>
      <c r="C34">
        <v>48.41</v>
      </c>
      <c r="D34">
        <v>661.68</v>
      </c>
      <c r="E34">
        <v>5455.21</v>
      </c>
      <c r="F34">
        <f t="shared" si="0"/>
        <v>1.4356276099550197E-2</v>
      </c>
      <c r="G34">
        <f t="shared" si="1"/>
        <v>2.3247047981671157E-3</v>
      </c>
      <c r="H34">
        <f t="shared" si="1"/>
        <v>1.6004444012785939E-2</v>
      </c>
      <c r="I34" s="4">
        <f t="shared" si="2"/>
        <v>1.2271530557617701E-2</v>
      </c>
      <c r="J34" s="4">
        <f t="shared" si="3"/>
        <v>5.8539990961832935E-4</v>
      </c>
      <c r="K34" s="4">
        <f t="shared" si="4"/>
        <v>1.5872509683800256E-2</v>
      </c>
      <c r="L34">
        <f t="shared" si="6"/>
        <v>1.5059046222654502E-4</v>
      </c>
      <c r="M34">
        <f t="shared" si="5"/>
        <v>3.4269305418114818E-7</v>
      </c>
      <c r="N34">
        <f t="shared" si="5"/>
        <v>2.5193656366233292E-4</v>
      </c>
    </row>
    <row r="35" spans="2:14">
      <c r="B35" s="1">
        <v>45519</v>
      </c>
      <c r="C35">
        <v>49.11</v>
      </c>
      <c r="D35">
        <v>663.22</v>
      </c>
      <c r="E35">
        <v>5543.22</v>
      </c>
      <c r="F35">
        <f t="shared" ref="F35:F66" si="7">LN(C36/C35)</f>
        <v>5.0776995459790985E-3</v>
      </c>
      <c r="G35">
        <f t="shared" si="1"/>
        <v>1.6227202904431044E-2</v>
      </c>
      <c r="H35">
        <f t="shared" si="1"/>
        <v>1.9878411263283945E-3</v>
      </c>
      <c r="I35" s="4">
        <f t="shared" ref="I35:I66" si="8">F35-$F$194</f>
        <v>2.9929540040466033E-3</v>
      </c>
      <c r="J35" s="4">
        <f t="shared" ref="J35:J66" si="9">G35-$G$194</f>
        <v>1.4487898015882256E-2</v>
      </c>
      <c r="K35" s="4">
        <f t="shared" ref="K35:K66" si="10">H35-$H$194</f>
        <v>1.8559067973427101E-3</v>
      </c>
      <c r="L35">
        <f t="shared" si="6"/>
        <v>8.9577736703385951E-6</v>
      </c>
      <c r="M35">
        <f t="shared" si="5"/>
        <v>2.0989918891860503E-4</v>
      </c>
      <c r="N35">
        <f t="shared" si="5"/>
        <v>3.4443900404228751E-6</v>
      </c>
    </row>
    <row r="36" spans="2:14">
      <c r="B36" s="1">
        <v>45520</v>
      </c>
      <c r="C36">
        <v>49.36</v>
      </c>
      <c r="D36">
        <v>674.07</v>
      </c>
      <c r="E36">
        <v>5554.25</v>
      </c>
      <c r="F36">
        <f t="shared" si="7"/>
        <v>-1.2162985484880202E-3</v>
      </c>
      <c r="G36">
        <f t="shared" si="1"/>
        <v>2.1224927117935138E-2</v>
      </c>
      <c r="H36">
        <f t="shared" si="1"/>
        <v>9.6753274361777754E-3</v>
      </c>
      <c r="I36" s="4">
        <f t="shared" si="8"/>
        <v>-3.3010440904205152E-3</v>
      </c>
      <c r="J36" s="4">
        <f t="shared" si="9"/>
        <v>1.9485622229386351E-2</v>
      </c>
      <c r="K36" s="4">
        <f t="shared" si="10"/>
        <v>9.543393107192091E-3</v>
      </c>
      <c r="L36">
        <f t="shared" si="6"/>
        <v>1.0896892086900207E-5</v>
      </c>
      <c r="M36">
        <f t="shared" si="5"/>
        <v>3.7968947366635549E-4</v>
      </c>
      <c r="N36">
        <f t="shared" si="5"/>
        <v>9.1076351998401516E-5</v>
      </c>
    </row>
    <row r="37" spans="2:14">
      <c r="B37" s="1">
        <v>45523</v>
      </c>
      <c r="C37">
        <v>49.3</v>
      </c>
      <c r="D37">
        <v>688.53</v>
      </c>
      <c r="E37">
        <v>5608.25</v>
      </c>
      <c r="F37">
        <f t="shared" si="7"/>
        <v>-6.5120295246227419E-3</v>
      </c>
      <c r="G37">
        <f t="shared" si="1"/>
        <v>1.4433552422298939E-2</v>
      </c>
      <c r="H37">
        <f t="shared" si="1"/>
        <v>-1.9865481747165059E-3</v>
      </c>
      <c r="I37" s="4">
        <f t="shared" si="8"/>
        <v>-8.596775066555238E-3</v>
      </c>
      <c r="J37" s="4">
        <f t="shared" si="9"/>
        <v>1.2694247533750154E-2</v>
      </c>
      <c r="K37" s="4">
        <f t="shared" si="10"/>
        <v>-2.1184825037021903E-3</v>
      </c>
      <c r="L37">
        <f t="shared" si="6"/>
        <v>7.3904541544945812E-5</v>
      </c>
      <c r="M37">
        <f t="shared" si="5"/>
        <v>1.6114392044812187E-4</v>
      </c>
      <c r="N37">
        <f t="shared" si="5"/>
        <v>4.4879681184923004E-6</v>
      </c>
    </row>
    <row r="38" spans="2:14">
      <c r="B38" s="1">
        <v>45524</v>
      </c>
      <c r="C38">
        <v>48.98</v>
      </c>
      <c r="D38">
        <v>698.54</v>
      </c>
      <c r="E38">
        <v>5597.12</v>
      </c>
      <c r="F38">
        <f t="shared" si="7"/>
        <v>-1.1086132839130181E-2</v>
      </c>
      <c r="G38">
        <f t="shared" si="1"/>
        <v>-2.0348802573509545E-3</v>
      </c>
      <c r="H38">
        <f t="shared" si="1"/>
        <v>4.2307182841846242E-3</v>
      </c>
      <c r="I38" s="4">
        <f t="shared" si="8"/>
        <v>-1.3170878381062675E-2</v>
      </c>
      <c r="J38" s="4">
        <f t="shared" si="9"/>
        <v>-3.7741851458997409E-3</v>
      </c>
      <c r="K38" s="4">
        <f t="shared" si="10"/>
        <v>4.0987839551989399E-3</v>
      </c>
      <c r="L38">
        <f t="shared" si="6"/>
        <v>1.7347203732874414E-4</v>
      </c>
      <c r="M38">
        <f t="shared" si="5"/>
        <v>1.4244473515530249E-5</v>
      </c>
      <c r="N38">
        <f t="shared" si="5"/>
        <v>1.6800029911396265E-5</v>
      </c>
    </row>
    <row r="39" spans="2:14">
      <c r="B39" s="1">
        <v>45525</v>
      </c>
      <c r="C39">
        <v>48.44</v>
      </c>
      <c r="D39">
        <v>697.12</v>
      </c>
      <c r="E39">
        <v>5620.85</v>
      </c>
      <c r="F39">
        <f t="shared" si="7"/>
        <v>-1.707307762617476E-2</v>
      </c>
      <c r="G39">
        <f t="shared" si="1"/>
        <v>-1.1774348193133768E-2</v>
      </c>
      <c r="H39">
        <f t="shared" si="1"/>
        <v>-8.9729494254644684E-3</v>
      </c>
      <c r="I39" s="4">
        <f t="shared" si="8"/>
        <v>-1.9157823168107255E-2</v>
      </c>
      <c r="J39" s="4">
        <f t="shared" si="9"/>
        <v>-1.3513653081682554E-2</v>
      </c>
      <c r="K39" s="4">
        <f t="shared" si="10"/>
        <v>-9.1048837544501528E-3</v>
      </c>
      <c r="L39">
        <f t="shared" si="6"/>
        <v>3.6702218854046709E-4</v>
      </c>
      <c r="M39">
        <f t="shared" si="5"/>
        <v>1.8261881961206838E-4</v>
      </c>
      <c r="N39">
        <f t="shared" si="5"/>
        <v>8.2898908182050306E-5</v>
      </c>
    </row>
    <row r="40" spans="2:14">
      <c r="B40" s="1">
        <v>45526</v>
      </c>
      <c r="C40">
        <v>47.62</v>
      </c>
      <c r="D40">
        <v>688.96</v>
      </c>
      <c r="E40">
        <v>5570.64</v>
      </c>
      <c r="F40">
        <f t="shared" si="7"/>
        <v>1.0237214652645717E-2</v>
      </c>
      <c r="G40">
        <f t="shared" si="1"/>
        <v>-3.2420123039748902E-3</v>
      </c>
      <c r="H40">
        <f t="shared" si="1"/>
        <v>1.1417986208502448E-2</v>
      </c>
      <c r="I40" s="4">
        <f t="shared" si="8"/>
        <v>8.1524691107132223E-3</v>
      </c>
      <c r="J40" s="4">
        <f t="shared" si="9"/>
        <v>-4.9813171925236766E-3</v>
      </c>
      <c r="K40" s="4">
        <f t="shared" si="10"/>
        <v>1.1286051879516763E-2</v>
      </c>
      <c r="L40">
        <f t="shared" si="6"/>
        <v>6.6462752601133244E-5</v>
      </c>
      <c r="M40">
        <f t="shared" si="5"/>
        <v>2.4813520972531961E-5</v>
      </c>
      <c r="N40">
        <f t="shared" si="5"/>
        <v>1.2737496702714386E-4</v>
      </c>
    </row>
    <row r="41" spans="2:14">
      <c r="B41" s="1">
        <v>45527</v>
      </c>
      <c r="C41">
        <v>48.11</v>
      </c>
      <c r="D41">
        <v>686.73</v>
      </c>
      <c r="E41">
        <v>5634.61</v>
      </c>
      <c r="F41">
        <f t="shared" si="7"/>
        <v>2.6984967075677109E-3</v>
      </c>
      <c r="G41">
        <f t="shared" si="1"/>
        <v>2.4869665297568115E-3</v>
      </c>
      <c r="H41">
        <f t="shared" si="1"/>
        <v>-3.1587066155747872E-3</v>
      </c>
      <c r="I41" s="4">
        <f t="shared" si="8"/>
        <v>6.1375116563521567E-4</v>
      </c>
      <c r="J41" s="4">
        <f t="shared" si="9"/>
        <v>7.476616412080252E-4</v>
      </c>
      <c r="K41" s="4">
        <f t="shared" si="10"/>
        <v>-3.2906409445604716E-3</v>
      </c>
      <c r="L41">
        <f t="shared" si="6"/>
        <v>3.7669049331858593E-7</v>
      </c>
      <c r="M41">
        <f t="shared" si="5"/>
        <v>5.5899792973387778E-7</v>
      </c>
      <c r="N41">
        <f t="shared" si="5"/>
        <v>1.0828317826017832E-5</v>
      </c>
    </row>
    <row r="42" spans="2:14">
      <c r="B42" s="1">
        <v>45530</v>
      </c>
      <c r="C42">
        <v>48.24</v>
      </c>
      <c r="D42">
        <v>688.44</v>
      </c>
      <c r="E42">
        <v>5616.84</v>
      </c>
      <c r="F42">
        <f t="shared" si="7"/>
        <v>-2.4906613124519189E-3</v>
      </c>
      <c r="G42">
        <f t="shared" si="1"/>
        <v>1.0519112138172547E-2</v>
      </c>
      <c r="H42">
        <f t="shared" si="1"/>
        <v>1.5939320118754585E-3</v>
      </c>
      <c r="I42" s="4">
        <f t="shared" si="8"/>
        <v>-4.5754068543844145E-3</v>
      </c>
      <c r="J42" s="4">
        <f t="shared" si="9"/>
        <v>8.7798072496237597E-3</v>
      </c>
      <c r="K42" s="4">
        <f t="shared" si="10"/>
        <v>1.4619976828897743E-3</v>
      </c>
      <c r="L42">
        <f t="shared" si="6"/>
        <v>2.0934347883147883E-5</v>
      </c>
      <c r="M42">
        <f t="shared" si="5"/>
        <v>7.708501534054593E-5</v>
      </c>
      <c r="N42">
        <f t="shared" si="5"/>
        <v>2.137437224775069E-6</v>
      </c>
    </row>
    <row r="43" spans="2:14">
      <c r="B43" s="1">
        <v>45531</v>
      </c>
      <c r="C43">
        <v>48.12</v>
      </c>
      <c r="D43">
        <v>695.72</v>
      </c>
      <c r="E43">
        <v>5625.8</v>
      </c>
      <c r="F43">
        <f t="shared" si="7"/>
        <v>1.9346147723865139E-2</v>
      </c>
      <c r="G43">
        <f t="shared" si="1"/>
        <v>-1.7223308409169705E-2</v>
      </c>
      <c r="H43">
        <f t="shared" si="1"/>
        <v>-5.9939669454233853E-3</v>
      </c>
      <c r="I43" s="4">
        <f t="shared" si="8"/>
        <v>1.7261402181932645E-2</v>
      </c>
      <c r="J43" s="4">
        <f t="shared" si="9"/>
        <v>-1.8962613297718492E-2</v>
      </c>
      <c r="K43" s="4">
        <f t="shared" si="10"/>
        <v>-6.1259012744090697E-3</v>
      </c>
      <c r="L43">
        <f t="shared" si="6"/>
        <v>2.9795600528642905E-4</v>
      </c>
      <c r="M43">
        <f t="shared" si="5"/>
        <v>3.595807030788102E-4</v>
      </c>
      <c r="N43">
        <f t="shared" si="5"/>
        <v>3.7526666423806662E-5</v>
      </c>
    </row>
    <row r="44" spans="2:14">
      <c r="B44" s="1">
        <v>45532</v>
      </c>
      <c r="C44">
        <v>49.06</v>
      </c>
      <c r="D44">
        <v>683.84</v>
      </c>
      <c r="E44">
        <v>5592.18</v>
      </c>
      <c r="F44">
        <f t="shared" si="7"/>
        <v>1.3363227812167158E-2</v>
      </c>
      <c r="G44">
        <f t="shared" si="1"/>
        <v>1.2555384647224416E-2</v>
      </c>
      <c r="H44">
        <f t="shared" si="1"/>
        <v>-3.934142455813639E-5</v>
      </c>
      <c r="I44" s="4">
        <f t="shared" si="8"/>
        <v>1.1278482270234664E-2</v>
      </c>
      <c r="J44" s="4">
        <f t="shared" si="9"/>
        <v>1.0816079758675629E-2</v>
      </c>
      <c r="K44" s="4">
        <f t="shared" si="10"/>
        <v>-1.7127575354382069E-4</v>
      </c>
      <c r="L44">
        <f t="shared" si="6"/>
        <v>1.2720416231999765E-4</v>
      </c>
      <c r="M44">
        <f t="shared" si="5"/>
        <v>1.1698758134603264E-4</v>
      </c>
      <c r="N44">
        <f t="shared" si="5"/>
        <v>2.9335383752003604E-8</v>
      </c>
    </row>
    <row r="45" spans="2:14">
      <c r="B45" s="1">
        <v>45533</v>
      </c>
      <c r="C45">
        <v>49.72</v>
      </c>
      <c r="D45">
        <v>692.48</v>
      </c>
      <c r="E45">
        <v>5591.96</v>
      </c>
      <c r="F45">
        <f t="shared" si="7"/>
        <v>4.6152384520522245E-3</v>
      </c>
      <c r="G45">
        <f t="shared" si="1"/>
        <v>1.2727692387673115E-2</v>
      </c>
      <c r="H45">
        <f t="shared" si="1"/>
        <v>1.0042467382856683E-2</v>
      </c>
      <c r="I45" s="4">
        <f t="shared" si="8"/>
        <v>2.5304929101197292E-3</v>
      </c>
      <c r="J45" s="4">
        <f t="shared" si="9"/>
        <v>1.0988387499124327E-2</v>
      </c>
      <c r="K45" s="4">
        <f t="shared" si="10"/>
        <v>9.9105330538709988E-3</v>
      </c>
      <c r="L45">
        <f t="shared" si="6"/>
        <v>6.4033943681662161E-6</v>
      </c>
      <c r="M45">
        <f t="shared" si="5"/>
        <v>1.2074465983091179E-4</v>
      </c>
      <c r="N45">
        <f t="shared" si="5"/>
        <v>9.8218665411869621E-5</v>
      </c>
    </row>
    <row r="46" spans="2:14">
      <c r="B46" s="1">
        <v>45534</v>
      </c>
      <c r="C46">
        <v>49.95</v>
      </c>
      <c r="D46">
        <v>701.35</v>
      </c>
      <c r="E46">
        <v>5648.4</v>
      </c>
      <c r="F46">
        <f t="shared" si="7"/>
        <v>1.1346792387727865E-2</v>
      </c>
      <c r="G46">
        <f t="shared" si="1"/>
        <v>-3.7820396556687515E-2</v>
      </c>
      <c r="H46">
        <f t="shared" si="1"/>
        <v>-2.137801245458143E-2</v>
      </c>
      <c r="I46" s="4">
        <f t="shared" si="8"/>
        <v>9.2620468457953707E-3</v>
      </c>
      <c r="J46" s="4">
        <f t="shared" si="9"/>
        <v>-3.9559701445236302E-2</v>
      </c>
      <c r="K46" s="4">
        <f t="shared" si="10"/>
        <v>-2.1509946783567113E-2</v>
      </c>
      <c r="L46">
        <f t="shared" si="6"/>
        <v>8.5785511773707972E-5</v>
      </c>
      <c r="M46">
        <f t="shared" si="5"/>
        <v>1.5649699784362312E-3</v>
      </c>
      <c r="N46">
        <f t="shared" si="5"/>
        <v>4.6267781063188919E-4</v>
      </c>
    </row>
    <row r="47" spans="2:14">
      <c r="B47" s="1">
        <v>45538</v>
      </c>
      <c r="C47">
        <v>50.52</v>
      </c>
      <c r="D47">
        <v>675.32</v>
      </c>
      <c r="E47">
        <v>5528.93</v>
      </c>
      <c r="F47">
        <f t="shared" si="7"/>
        <v>-1.1146612224913434E-2</v>
      </c>
      <c r="G47">
        <f t="shared" si="1"/>
        <v>6.4354465644715642E-3</v>
      </c>
      <c r="H47">
        <f t="shared" si="1"/>
        <v>-1.6037653903594354E-3</v>
      </c>
      <c r="I47" s="4">
        <f t="shared" si="8"/>
        <v>-1.323135776684593E-2</v>
      </c>
      <c r="J47" s="4">
        <f t="shared" si="9"/>
        <v>4.6961416759227778E-3</v>
      </c>
      <c r="K47" s="4">
        <f t="shared" si="10"/>
        <v>-1.7356997193451198E-3</v>
      </c>
      <c r="L47">
        <f t="shared" si="6"/>
        <v>1.750688283542741E-4</v>
      </c>
      <c r="M47">
        <f t="shared" si="5"/>
        <v>2.2053746640338796E-5</v>
      </c>
      <c r="N47">
        <f t="shared" si="5"/>
        <v>3.0126535157347274E-6</v>
      </c>
    </row>
    <row r="48" spans="2:14">
      <c r="B48" s="1">
        <v>45539</v>
      </c>
      <c r="C48">
        <v>49.96</v>
      </c>
      <c r="D48">
        <v>679.68</v>
      </c>
      <c r="E48">
        <v>5520.07</v>
      </c>
      <c r="F48">
        <f t="shared" si="7"/>
        <v>-3.2077012267697313E-3</v>
      </c>
      <c r="G48">
        <f t="shared" si="1"/>
        <v>5.7801085153629025E-3</v>
      </c>
      <c r="H48">
        <f t="shared" si="1"/>
        <v>-3.0226412501879545E-3</v>
      </c>
      <c r="I48" s="4">
        <f t="shared" si="8"/>
        <v>-5.2924467687022261E-3</v>
      </c>
      <c r="J48" s="4">
        <f t="shared" si="9"/>
        <v>4.0408036268141162E-3</v>
      </c>
      <c r="K48" s="4">
        <f t="shared" si="10"/>
        <v>-3.1545755791736389E-3</v>
      </c>
      <c r="L48">
        <f t="shared" si="6"/>
        <v>2.8009992799546636E-5</v>
      </c>
      <c r="M48">
        <f t="shared" si="5"/>
        <v>1.6328093950474116E-5</v>
      </c>
      <c r="N48">
        <f t="shared" si="5"/>
        <v>9.9513470847186999E-6</v>
      </c>
    </row>
    <row r="49" spans="2:14">
      <c r="B49" s="1">
        <v>45540</v>
      </c>
      <c r="C49">
        <v>49.8</v>
      </c>
      <c r="D49">
        <v>683.62</v>
      </c>
      <c r="E49">
        <v>5503.41</v>
      </c>
      <c r="F49">
        <f t="shared" si="7"/>
        <v>-2.2335953942063076E-2</v>
      </c>
      <c r="G49">
        <f t="shared" si="1"/>
        <v>-2.6457942139220116E-2</v>
      </c>
      <c r="H49">
        <f t="shared" si="1"/>
        <v>-1.7410901670867562E-2</v>
      </c>
      <c r="I49" s="4">
        <f t="shared" si="8"/>
        <v>-2.442069948399557E-2</v>
      </c>
      <c r="J49" s="4">
        <f t="shared" si="9"/>
        <v>-2.8197247027768903E-2</v>
      </c>
      <c r="K49" s="4">
        <f t="shared" si="10"/>
        <v>-1.7542835999853245E-2</v>
      </c>
      <c r="L49">
        <f t="shared" si="6"/>
        <v>5.9637056328762145E-4</v>
      </c>
      <c r="M49">
        <f t="shared" si="5"/>
        <v>7.9508473994502229E-4</v>
      </c>
      <c r="N49">
        <f t="shared" si="5"/>
        <v>3.0775109491774699E-4</v>
      </c>
    </row>
    <row r="50" spans="2:14">
      <c r="B50" s="1">
        <v>45541</v>
      </c>
      <c r="C50">
        <v>48.7</v>
      </c>
      <c r="D50">
        <v>665.77</v>
      </c>
      <c r="E50">
        <v>5408.42</v>
      </c>
      <c r="F50">
        <f t="shared" si="7"/>
        <v>-4.1152321451066549E-3</v>
      </c>
      <c r="G50">
        <f t="shared" si="1"/>
        <v>1.4390454045160261E-2</v>
      </c>
      <c r="H50">
        <f t="shared" si="1"/>
        <v>1.1513555690021488E-2</v>
      </c>
      <c r="I50" s="4">
        <f t="shared" si="8"/>
        <v>-6.1999776870391501E-3</v>
      </c>
      <c r="J50" s="4">
        <f t="shared" si="9"/>
        <v>1.2651149156611474E-2</v>
      </c>
      <c r="K50" s="4">
        <f t="shared" si="10"/>
        <v>1.1381621361035803E-2</v>
      </c>
      <c r="L50">
        <f t="shared" si="6"/>
        <v>3.843972331978333E-5</v>
      </c>
      <c r="M50">
        <f t="shared" si="5"/>
        <v>1.6005157498283121E-4</v>
      </c>
      <c r="N50">
        <f t="shared" si="5"/>
        <v>1.2954130480598649E-4</v>
      </c>
    </row>
    <row r="51" spans="2:14">
      <c r="B51" s="1">
        <v>45544</v>
      </c>
      <c r="C51">
        <v>48.5</v>
      </c>
      <c r="D51">
        <v>675.42</v>
      </c>
      <c r="E51">
        <v>5471.05</v>
      </c>
      <c r="F51">
        <f t="shared" si="7"/>
        <v>1.5954521281826901E-2</v>
      </c>
      <c r="G51">
        <f t="shared" si="1"/>
        <v>-2.6685658960245093E-3</v>
      </c>
      <c r="H51">
        <f t="shared" si="1"/>
        <v>4.4626607244902189E-3</v>
      </c>
      <c r="I51" s="4">
        <f t="shared" si="8"/>
        <v>1.3869775739894407E-2</v>
      </c>
      <c r="J51" s="4">
        <f t="shared" si="9"/>
        <v>-4.4078707845732956E-3</v>
      </c>
      <c r="K51" s="4">
        <f t="shared" si="10"/>
        <v>4.3307263955045345E-3</v>
      </c>
      <c r="L51">
        <f t="shared" si="6"/>
        <v>1.9237067907496345E-4</v>
      </c>
      <c r="M51">
        <f t="shared" si="5"/>
        <v>1.9429324853494802E-5</v>
      </c>
      <c r="N51">
        <f t="shared" si="5"/>
        <v>1.8755191112719697E-5</v>
      </c>
    </row>
    <row r="52" spans="2:14">
      <c r="B52" s="1">
        <v>45545</v>
      </c>
      <c r="C52">
        <v>49.28</v>
      </c>
      <c r="D52">
        <v>673.62</v>
      </c>
      <c r="E52">
        <v>5495.52</v>
      </c>
      <c r="F52">
        <f t="shared" si="7"/>
        <v>-1.4100570807452698E-2</v>
      </c>
      <c r="G52">
        <f t="shared" si="1"/>
        <v>1.1586075925991673E-2</v>
      </c>
      <c r="H52">
        <f t="shared" si="1"/>
        <v>1.0608580303038784E-2</v>
      </c>
      <c r="I52" s="4">
        <f t="shared" si="8"/>
        <v>-1.6185316349385193E-2</v>
      </c>
      <c r="J52" s="4">
        <f t="shared" si="9"/>
        <v>9.8467710374428863E-3</v>
      </c>
      <c r="K52" s="4">
        <f t="shared" si="10"/>
        <v>1.04766459740531E-2</v>
      </c>
      <c r="L52">
        <f t="shared" si="6"/>
        <v>2.6196446532967562E-4</v>
      </c>
      <c r="M52">
        <f t="shared" si="5"/>
        <v>9.6958899863824056E-5</v>
      </c>
      <c r="N52">
        <f t="shared" si="5"/>
        <v>1.0976011086564303E-4</v>
      </c>
    </row>
    <row r="53" spans="2:14">
      <c r="B53" s="1">
        <v>45546</v>
      </c>
      <c r="C53">
        <v>48.59</v>
      </c>
      <c r="D53">
        <v>681.47</v>
      </c>
      <c r="E53">
        <v>5554.13</v>
      </c>
      <c r="F53">
        <f t="shared" si="7"/>
        <v>-7.2291959988816353E-3</v>
      </c>
      <c r="G53">
        <f t="shared" si="1"/>
        <v>7.7908993985856007E-3</v>
      </c>
      <c r="H53">
        <f t="shared" si="1"/>
        <v>7.46737294203047E-3</v>
      </c>
      <c r="I53" s="4">
        <f t="shared" si="8"/>
        <v>-9.3139415408141305E-3</v>
      </c>
      <c r="J53" s="4">
        <f t="shared" si="9"/>
        <v>6.0515945100368144E-3</v>
      </c>
      <c r="K53" s="4">
        <f t="shared" si="10"/>
        <v>7.3354386130447856E-3</v>
      </c>
      <c r="L53">
        <f t="shared" si="6"/>
        <v>8.6749507025703099E-5</v>
      </c>
      <c r="M53">
        <f t="shared" si="5"/>
        <v>3.6621796113907715E-5</v>
      </c>
      <c r="N53">
        <f t="shared" si="5"/>
        <v>5.3808659645748408E-5</v>
      </c>
    </row>
    <row r="54" spans="2:14">
      <c r="B54" s="1">
        <v>45547</v>
      </c>
      <c r="C54">
        <v>48.24</v>
      </c>
      <c r="D54">
        <v>686.8</v>
      </c>
      <c r="E54">
        <v>5595.76</v>
      </c>
      <c r="F54">
        <f t="shared" si="7"/>
        <v>1.8281293761626828E-2</v>
      </c>
      <c r="G54">
        <f t="shared" si="1"/>
        <v>1.4828361246029558E-2</v>
      </c>
      <c r="H54">
        <f t="shared" si="1"/>
        <v>5.3930968783714164E-3</v>
      </c>
      <c r="I54" s="4">
        <f t="shared" si="8"/>
        <v>1.6196548219694334E-2</v>
      </c>
      <c r="J54" s="4">
        <f t="shared" si="9"/>
        <v>1.3089056357480772E-2</v>
      </c>
      <c r="K54" s="4">
        <f t="shared" si="10"/>
        <v>5.261162549385732E-3</v>
      </c>
      <c r="L54">
        <f t="shared" si="6"/>
        <v>2.6232817423288369E-4</v>
      </c>
      <c r="M54">
        <f t="shared" si="5"/>
        <v>1.7132339632930783E-4</v>
      </c>
      <c r="N54">
        <f t="shared" si="5"/>
        <v>2.7679831371058975E-5</v>
      </c>
    </row>
    <row r="55" spans="2:14">
      <c r="B55" s="1">
        <v>45548</v>
      </c>
      <c r="C55">
        <v>49.13</v>
      </c>
      <c r="D55">
        <v>697.06</v>
      </c>
      <c r="E55">
        <v>5626.02</v>
      </c>
      <c r="F55">
        <f t="shared" si="7"/>
        <v>1.7353139244922062E-2</v>
      </c>
      <c r="G55">
        <f t="shared" si="1"/>
        <v>-8.0369704948951711E-4</v>
      </c>
      <c r="H55">
        <f t="shared" si="1"/>
        <v>1.2558720767880025E-3</v>
      </c>
      <c r="I55" s="4">
        <f t="shared" si="8"/>
        <v>1.5268393702989567E-2</v>
      </c>
      <c r="J55" s="4">
        <f t="shared" si="9"/>
        <v>-2.5430019380383033E-3</v>
      </c>
      <c r="K55" s="4">
        <f t="shared" si="10"/>
        <v>1.1239377478023181E-3</v>
      </c>
      <c r="L55">
        <f t="shared" si="6"/>
        <v>2.3312384626949148E-4</v>
      </c>
      <c r="M55">
        <f t="shared" si="5"/>
        <v>6.4668588568665669E-6</v>
      </c>
      <c r="N55">
        <f t="shared" si="5"/>
        <v>1.2632360609349471E-6</v>
      </c>
    </row>
    <row r="56" spans="2:14">
      <c r="B56" s="1">
        <v>45551</v>
      </c>
      <c r="C56">
        <v>49.99</v>
      </c>
      <c r="D56">
        <v>696.5</v>
      </c>
      <c r="E56">
        <v>5633.09</v>
      </c>
      <c r="F56">
        <f t="shared" si="7"/>
        <v>-1.0052356461684319E-2</v>
      </c>
      <c r="G56">
        <f t="shared" si="1"/>
        <v>1.4835566129447511E-2</v>
      </c>
      <c r="H56">
        <f t="shared" si="1"/>
        <v>2.6447349073670164E-4</v>
      </c>
      <c r="I56" s="4">
        <f t="shared" si="8"/>
        <v>-1.2137102003616815E-2</v>
      </c>
      <c r="J56" s="4">
        <f t="shared" si="9"/>
        <v>1.3096261240898726E-2</v>
      </c>
      <c r="K56" s="4">
        <f t="shared" si="10"/>
        <v>1.3253916175101735E-4</v>
      </c>
      <c r="L56">
        <f t="shared" si="6"/>
        <v>1.4730924504619932E-4</v>
      </c>
      <c r="M56">
        <f t="shared" si="5"/>
        <v>1.7151205848986624E-4</v>
      </c>
      <c r="N56">
        <f t="shared" si="5"/>
        <v>1.756662939766234E-8</v>
      </c>
    </row>
    <row r="57" spans="2:14">
      <c r="B57" s="1">
        <v>45552</v>
      </c>
      <c r="C57">
        <v>49.49</v>
      </c>
      <c r="D57">
        <v>706.91</v>
      </c>
      <c r="E57">
        <v>5634.58</v>
      </c>
      <c r="F57">
        <f t="shared" si="7"/>
        <v>5.0388094114638829E-3</v>
      </c>
      <c r="G57">
        <f t="shared" si="1"/>
        <v>-2.3530834221497061E-2</v>
      </c>
      <c r="H57">
        <f t="shared" si="1"/>
        <v>-2.9006031263851696E-3</v>
      </c>
      <c r="I57" s="4">
        <f t="shared" si="8"/>
        <v>2.9540638695313877E-3</v>
      </c>
      <c r="J57" s="4">
        <f t="shared" si="9"/>
        <v>-2.5270139110045848E-2</v>
      </c>
      <c r="K57" s="4">
        <f t="shared" si="10"/>
        <v>-3.032537455370854E-3</v>
      </c>
      <c r="L57">
        <f t="shared" si="6"/>
        <v>8.7264933452707559E-6</v>
      </c>
      <c r="M57">
        <f t="shared" si="5"/>
        <v>6.3857993064106878E-4</v>
      </c>
      <c r="N57">
        <f t="shared" si="5"/>
        <v>9.1962834182271346E-6</v>
      </c>
    </row>
    <row r="58" spans="2:14">
      <c r="B58" s="1">
        <v>45553</v>
      </c>
      <c r="C58">
        <v>49.74</v>
      </c>
      <c r="D58">
        <v>690.47</v>
      </c>
      <c r="E58">
        <v>5618.26</v>
      </c>
      <c r="F58">
        <f t="shared" si="7"/>
        <v>-1.4581060275292103E-2</v>
      </c>
      <c r="G58">
        <f t="shared" si="1"/>
        <v>1.9860273210285925E-2</v>
      </c>
      <c r="H58">
        <f t="shared" si="1"/>
        <v>1.6834291247586949E-2</v>
      </c>
      <c r="I58" s="4">
        <f t="shared" si="8"/>
        <v>-1.6665805817224599E-2</v>
      </c>
      <c r="J58" s="4">
        <f t="shared" si="9"/>
        <v>1.8120968321737138E-2</v>
      </c>
      <c r="K58" s="4">
        <f t="shared" si="10"/>
        <v>1.6702356918601266E-2</v>
      </c>
      <c r="L58">
        <f t="shared" si="6"/>
        <v>2.7774908353743732E-4</v>
      </c>
      <c r="M58">
        <f t="shared" si="5"/>
        <v>3.2836949291740087E-4</v>
      </c>
      <c r="N58">
        <f t="shared" si="5"/>
        <v>2.789687266363476E-4</v>
      </c>
    </row>
    <row r="59" spans="2:14">
      <c r="B59" s="1">
        <v>45554</v>
      </c>
      <c r="C59">
        <v>49.02</v>
      </c>
      <c r="D59">
        <v>704.32</v>
      </c>
      <c r="E59">
        <v>5713.64</v>
      </c>
      <c r="F59">
        <f t="shared" si="7"/>
        <v>7.9244547576919708E-3</v>
      </c>
      <c r="G59">
        <f t="shared" si="1"/>
        <v>-4.6821162135237127E-3</v>
      </c>
      <c r="H59">
        <f t="shared" si="1"/>
        <v>-1.942855451501775E-3</v>
      </c>
      <c r="I59" s="4">
        <f t="shared" si="8"/>
        <v>5.8397092157594756E-3</v>
      </c>
      <c r="J59" s="4">
        <f t="shared" si="9"/>
        <v>-6.421421102072499E-3</v>
      </c>
      <c r="K59" s="4">
        <f t="shared" si="10"/>
        <v>-2.0747897804874594E-3</v>
      </c>
      <c r="L59">
        <f t="shared" si="6"/>
        <v>3.4102203724626151E-5</v>
      </c>
      <c r="M59">
        <f t="shared" si="5"/>
        <v>4.1234648970141988E-5</v>
      </c>
      <c r="N59">
        <f t="shared" si="5"/>
        <v>4.3047526332152E-6</v>
      </c>
    </row>
    <row r="60" spans="2:14">
      <c r="B60" s="1">
        <v>45555</v>
      </c>
      <c r="C60">
        <v>49.41</v>
      </c>
      <c r="D60">
        <v>701.03</v>
      </c>
      <c r="E60">
        <v>5702.55</v>
      </c>
      <c r="F60">
        <f t="shared" si="7"/>
        <v>1.2070152573153791E-2</v>
      </c>
      <c r="G60">
        <f t="shared" si="1"/>
        <v>6.1718057114667803E-3</v>
      </c>
      <c r="H60">
        <f t="shared" si="1"/>
        <v>2.8053309143568263E-3</v>
      </c>
      <c r="I60" s="4">
        <f t="shared" si="8"/>
        <v>9.9854070312212946E-3</v>
      </c>
      <c r="J60" s="4">
        <f t="shared" si="9"/>
        <v>4.432500822917994E-3</v>
      </c>
      <c r="K60" s="4">
        <f t="shared" si="10"/>
        <v>2.6733965853711419E-3</v>
      </c>
      <c r="L60">
        <f t="shared" si="6"/>
        <v>9.9708353579163671E-5</v>
      </c>
      <c r="M60">
        <f t="shared" si="5"/>
        <v>1.9647063545168693E-5</v>
      </c>
      <c r="N60">
        <f t="shared" si="5"/>
        <v>7.1470493026740814E-6</v>
      </c>
    </row>
    <row r="61" spans="2:14">
      <c r="B61" s="1">
        <v>45558</v>
      </c>
      <c r="C61">
        <v>50.01</v>
      </c>
      <c r="D61">
        <v>705.37</v>
      </c>
      <c r="E61">
        <v>5718.57</v>
      </c>
      <c r="F61">
        <f t="shared" si="7"/>
        <v>1.8425484120498728E-2</v>
      </c>
      <c r="G61">
        <f t="shared" si="1"/>
        <v>2.3662697035777149E-2</v>
      </c>
      <c r="H61">
        <f t="shared" si="1"/>
        <v>2.5079697029956895E-3</v>
      </c>
      <c r="I61" s="4">
        <f t="shared" si="8"/>
        <v>1.6340738578566234E-2</v>
      </c>
      <c r="J61" s="4">
        <f t="shared" si="9"/>
        <v>2.1923392147228361E-2</v>
      </c>
      <c r="K61" s="4">
        <f t="shared" si="10"/>
        <v>2.3760353740100051E-3</v>
      </c>
      <c r="L61">
        <f t="shared" si="6"/>
        <v>2.6701973729304282E-4</v>
      </c>
      <c r="M61">
        <f t="shared" si="5"/>
        <v>4.8063512324115419E-4</v>
      </c>
      <c r="N61">
        <f t="shared" si="5"/>
        <v>5.6455440985468649E-6</v>
      </c>
    </row>
    <row r="62" spans="2:14">
      <c r="B62" s="1">
        <v>45559</v>
      </c>
      <c r="C62">
        <v>50.94</v>
      </c>
      <c r="D62">
        <v>722.26</v>
      </c>
      <c r="E62">
        <v>5732.93</v>
      </c>
      <c r="F62">
        <f t="shared" si="7"/>
        <v>-1.962596445674834E-2</v>
      </c>
      <c r="G62">
        <f t="shared" si="1"/>
        <v>-9.6965003233961164E-4</v>
      </c>
      <c r="H62">
        <f t="shared" si="1"/>
        <v>-1.8629115860669923E-3</v>
      </c>
      <c r="I62" s="4">
        <f t="shared" si="8"/>
        <v>-2.1710709998680834E-2</v>
      </c>
      <c r="J62" s="4">
        <f t="shared" si="9"/>
        <v>-2.7089549208883981E-3</v>
      </c>
      <c r="K62" s="4">
        <f t="shared" si="10"/>
        <v>-1.9948459150526767E-3</v>
      </c>
      <c r="L62">
        <f t="shared" si="6"/>
        <v>4.7135492864681992E-4</v>
      </c>
      <c r="M62">
        <f t="shared" si="5"/>
        <v>7.3384367634054666E-6</v>
      </c>
      <c r="N62">
        <f t="shared" si="5"/>
        <v>3.9794102248023513E-6</v>
      </c>
    </row>
    <row r="63" spans="2:14">
      <c r="B63" s="1">
        <v>45560</v>
      </c>
      <c r="C63">
        <v>49.95</v>
      </c>
      <c r="D63">
        <v>721.56</v>
      </c>
      <c r="E63">
        <v>5722.26</v>
      </c>
      <c r="F63">
        <f t="shared" si="7"/>
        <v>3.3976249333050167E-3</v>
      </c>
      <c r="G63">
        <f t="shared" si="1"/>
        <v>-1.4138505845979896E-2</v>
      </c>
      <c r="H63">
        <f t="shared" si="1"/>
        <v>4.0304808028723289E-3</v>
      </c>
      <c r="I63" s="4">
        <f t="shared" si="8"/>
        <v>1.3128793913725215E-3</v>
      </c>
      <c r="J63" s="4">
        <f t="shared" si="9"/>
        <v>-1.5877810734528684E-2</v>
      </c>
      <c r="K63" s="4">
        <f t="shared" si="10"/>
        <v>3.8985464738866445E-3</v>
      </c>
      <c r="L63">
        <f t="shared" si="6"/>
        <v>1.7236522962906825E-6</v>
      </c>
      <c r="M63">
        <f t="shared" si="5"/>
        <v>2.5210487372151431E-4</v>
      </c>
      <c r="N63">
        <f t="shared" si="5"/>
        <v>1.519866460905399E-5</v>
      </c>
    </row>
    <row r="64" spans="2:14">
      <c r="B64" s="1">
        <v>45561</v>
      </c>
      <c r="C64">
        <v>50.12</v>
      </c>
      <c r="D64">
        <v>711.43</v>
      </c>
      <c r="E64">
        <v>5745.37</v>
      </c>
      <c r="F64">
        <f t="shared" si="7"/>
        <v>1.5639237886377007E-2</v>
      </c>
      <c r="G64">
        <f t="shared" si="1"/>
        <v>-5.7514360885542563E-3</v>
      </c>
      <c r="H64">
        <f t="shared" si="1"/>
        <v>-1.2539688882457197E-3</v>
      </c>
      <c r="I64" s="4">
        <f t="shared" si="8"/>
        <v>1.3554492344444512E-2</v>
      </c>
      <c r="J64" s="4">
        <f t="shared" si="9"/>
        <v>-7.4907409771030426E-3</v>
      </c>
      <c r="K64" s="4">
        <f t="shared" si="10"/>
        <v>-1.3859032172314038E-3</v>
      </c>
      <c r="L64">
        <f t="shared" si="6"/>
        <v>1.837242627156049E-4</v>
      </c>
      <c r="M64">
        <f t="shared" si="5"/>
        <v>5.6111200386050647E-5</v>
      </c>
      <c r="N64">
        <f t="shared" si="5"/>
        <v>1.9207277275323555E-6</v>
      </c>
    </row>
    <row r="65" spans="2:14">
      <c r="B65" s="1">
        <v>45562</v>
      </c>
      <c r="C65">
        <v>50.91</v>
      </c>
      <c r="D65">
        <v>707.35</v>
      </c>
      <c r="E65">
        <v>5738.17</v>
      </c>
      <c r="F65">
        <f t="shared" si="7"/>
        <v>1.6171808843638648E-2</v>
      </c>
      <c r="G65">
        <f t="shared" si="1"/>
        <v>2.7106791879895056E-3</v>
      </c>
      <c r="H65">
        <f t="shared" si="1"/>
        <v>4.227593432856073E-3</v>
      </c>
      <c r="I65" s="4">
        <f t="shared" si="8"/>
        <v>1.4087063301706153E-2</v>
      </c>
      <c r="J65" s="4">
        <f t="shared" si="9"/>
        <v>9.7137429944071929E-4</v>
      </c>
      <c r="K65" s="4">
        <f t="shared" si="10"/>
        <v>4.0956591038703886E-3</v>
      </c>
      <c r="L65">
        <f t="shared" si="6"/>
        <v>1.9844535246627627E-4</v>
      </c>
      <c r="M65">
        <f t="shared" si="5"/>
        <v>9.4356802961394814E-7</v>
      </c>
      <c r="N65">
        <f t="shared" si="5"/>
        <v>1.6774423495116395E-5</v>
      </c>
    </row>
    <row r="66" spans="2:14">
      <c r="B66" s="1">
        <v>45565</v>
      </c>
      <c r="C66">
        <v>51.74</v>
      </c>
      <c r="D66">
        <v>709.27</v>
      </c>
      <c r="E66">
        <v>5762.48</v>
      </c>
      <c r="F66">
        <f t="shared" si="7"/>
        <v>2.2172162106370536E-2</v>
      </c>
      <c r="G66">
        <f t="shared" si="1"/>
        <v>-4.4369155733020096E-3</v>
      </c>
      <c r="H66">
        <f t="shared" si="1"/>
        <v>-9.3678520838370288E-3</v>
      </c>
      <c r="I66" s="4">
        <f t="shared" si="8"/>
        <v>2.0087416564438042E-2</v>
      </c>
      <c r="J66" s="4">
        <f t="shared" si="9"/>
        <v>-6.1762204618507959E-3</v>
      </c>
      <c r="K66" s="4">
        <f t="shared" si="10"/>
        <v>-9.4997864128227132E-3</v>
      </c>
      <c r="L66">
        <f t="shared" si="6"/>
        <v>4.0350430423325985E-4</v>
      </c>
      <c r="M66">
        <f t="shared" si="5"/>
        <v>3.8145699193384459E-5</v>
      </c>
      <c r="N66">
        <f t="shared" si="5"/>
        <v>9.0245941889251029E-5</v>
      </c>
    </row>
    <row r="67" spans="2:14">
      <c r="B67" s="1">
        <v>45566</v>
      </c>
      <c r="C67">
        <v>52.9</v>
      </c>
      <c r="D67">
        <v>706.13</v>
      </c>
      <c r="E67">
        <v>5708.75</v>
      </c>
      <c r="F67">
        <f t="shared" ref="F67:F98" si="11">LN(C68/C67)</f>
        <v>1.6126357350640427E-2</v>
      </c>
      <c r="G67">
        <f t="shared" ref="G67:H130" si="12">LN(D68/D67)</f>
        <v>6.9996475512304843E-3</v>
      </c>
      <c r="H67">
        <f t="shared" si="12"/>
        <v>1.3837448536698041E-4</v>
      </c>
      <c r="I67" s="4">
        <f t="shared" ref="I67:I98" si="13">F67-$F$194</f>
        <v>1.4041611808707933E-2</v>
      </c>
      <c r="J67" s="4">
        <f t="shared" ref="J67:J98" si="14">G67-$G$194</f>
        <v>5.260342662681698E-3</v>
      </c>
      <c r="K67" s="4">
        <f t="shared" ref="K67:K98" si="15">H67-$H$194</f>
        <v>6.4401563812961225E-6</v>
      </c>
      <c r="L67">
        <f t="shared" si="6"/>
        <v>1.9716686218644607E-4</v>
      </c>
      <c r="M67">
        <f t="shared" ref="M67:N130" si="16">J67^2</f>
        <v>2.7671204928829175E-5</v>
      </c>
      <c r="N67">
        <f t="shared" si="16"/>
        <v>4.147561421554917E-11</v>
      </c>
    </row>
    <row r="68" spans="2:14">
      <c r="B68" s="1">
        <v>45567</v>
      </c>
      <c r="C68">
        <v>53.76</v>
      </c>
      <c r="D68">
        <v>711.09</v>
      </c>
      <c r="E68">
        <v>5709.54</v>
      </c>
      <c r="F68">
        <f t="shared" si="11"/>
        <v>8.1512122307065577E-3</v>
      </c>
      <c r="G68">
        <f t="shared" si="12"/>
        <v>-6.051263625320079E-3</v>
      </c>
      <c r="H68">
        <f t="shared" si="12"/>
        <v>-1.6828115331257495E-3</v>
      </c>
      <c r="I68" s="4">
        <f t="shared" si="13"/>
        <v>6.0664666887740625E-3</v>
      </c>
      <c r="J68" s="4">
        <f t="shared" si="14"/>
        <v>-7.7905685138688653E-3</v>
      </c>
      <c r="K68" s="4">
        <f t="shared" si="15"/>
        <v>-1.8147458621114339E-3</v>
      </c>
      <c r="L68">
        <f t="shared" ref="L68:L131" si="17">I68^2</f>
        <v>3.680201808600534E-5</v>
      </c>
      <c r="M68">
        <f t="shared" si="16"/>
        <v>6.0692957769284944E-5</v>
      </c>
      <c r="N68">
        <f t="shared" si="16"/>
        <v>3.2933025440505715E-6</v>
      </c>
    </row>
    <row r="69" spans="2:14">
      <c r="B69" s="1">
        <v>45568</v>
      </c>
      <c r="C69">
        <v>54.2</v>
      </c>
      <c r="D69">
        <v>706.8</v>
      </c>
      <c r="E69">
        <v>5699.94</v>
      </c>
      <c r="F69">
        <f t="shared" si="11"/>
        <v>-4.4378771060454448E-3</v>
      </c>
      <c r="G69">
        <f t="shared" si="12"/>
        <v>1.8086718068217336E-2</v>
      </c>
      <c r="H69">
        <f t="shared" si="12"/>
        <v>8.9302759844378885E-3</v>
      </c>
      <c r="I69" s="4">
        <f t="shared" si="13"/>
        <v>-6.52262264797794E-3</v>
      </c>
      <c r="J69" s="4">
        <f t="shared" si="14"/>
        <v>1.6347413179668549E-2</v>
      </c>
      <c r="K69" s="4">
        <f t="shared" si="15"/>
        <v>8.7983416554522041E-3</v>
      </c>
      <c r="L69">
        <f t="shared" si="17"/>
        <v>4.2544606207914756E-5</v>
      </c>
      <c r="M69">
        <f t="shared" si="16"/>
        <v>2.6723791766680098E-4</v>
      </c>
      <c r="N69">
        <f t="shared" si="16"/>
        <v>7.7410815886065434E-5</v>
      </c>
    </row>
    <row r="70" spans="2:14">
      <c r="B70" s="1">
        <v>45569</v>
      </c>
      <c r="C70">
        <v>53.96</v>
      </c>
      <c r="D70">
        <v>719.7</v>
      </c>
      <c r="E70">
        <v>5751.07</v>
      </c>
      <c r="F70">
        <f t="shared" si="11"/>
        <v>-9.6835021111648916E-3</v>
      </c>
      <c r="G70">
        <f t="shared" si="12"/>
        <v>-2.5015021095854895E-2</v>
      </c>
      <c r="H70">
        <f t="shared" si="12"/>
        <v>-9.6322841074211688E-3</v>
      </c>
      <c r="I70" s="4">
        <f t="shared" si="13"/>
        <v>-1.1768247653097388E-2</v>
      </c>
      <c r="J70" s="4">
        <f t="shared" si="14"/>
        <v>-2.6754325984403683E-2</v>
      </c>
      <c r="K70" s="4">
        <f t="shared" si="15"/>
        <v>-9.7642184364068532E-3</v>
      </c>
      <c r="L70">
        <f t="shared" si="17"/>
        <v>1.3849165282463216E-4</v>
      </c>
      <c r="M70">
        <f t="shared" si="16"/>
        <v>7.1579395887973803E-4</v>
      </c>
      <c r="N70">
        <f t="shared" si="16"/>
        <v>9.5339961673867495E-5</v>
      </c>
    </row>
    <row r="71" spans="2:14">
      <c r="B71" s="1">
        <v>45572</v>
      </c>
      <c r="C71">
        <v>53.44</v>
      </c>
      <c r="D71">
        <v>701.92</v>
      </c>
      <c r="E71">
        <v>5695.94</v>
      </c>
      <c r="F71">
        <f t="shared" si="11"/>
        <v>-1.8127384592556715E-2</v>
      </c>
      <c r="G71">
        <f t="shared" si="12"/>
        <v>2.7873236242182055E-2</v>
      </c>
      <c r="H71">
        <f t="shared" si="12"/>
        <v>9.6427168941927138E-3</v>
      </c>
      <c r="I71" s="4">
        <f t="shared" si="13"/>
        <v>-2.021213013448921E-2</v>
      </c>
      <c r="J71" s="4">
        <f t="shared" si="14"/>
        <v>2.6133931353633268E-2</v>
      </c>
      <c r="K71" s="4">
        <f t="shared" si="15"/>
        <v>9.5107825652070294E-3</v>
      </c>
      <c r="L71">
        <f t="shared" si="17"/>
        <v>4.0853020457352679E-4</v>
      </c>
      <c r="M71">
        <f t="shared" si="16"/>
        <v>6.8298236799641595E-4</v>
      </c>
      <c r="N71">
        <f t="shared" si="16"/>
        <v>9.0454985002646002E-5</v>
      </c>
    </row>
    <row r="72" spans="2:14">
      <c r="B72" s="1">
        <v>45573</v>
      </c>
      <c r="C72">
        <v>52.48</v>
      </c>
      <c r="D72">
        <v>721.76</v>
      </c>
      <c r="E72">
        <v>5751.13</v>
      </c>
      <c r="F72">
        <f t="shared" si="11"/>
        <v>6.0790460763821925E-3</v>
      </c>
      <c r="G72">
        <f t="shared" si="12"/>
        <v>7.8251008248556905E-3</v>
      </c>
      <c r="H72">
        <f t="shared" si="12"/>
        <v>7.0882038963943272E-3</v>
      </c>
      <c r="I72" s="4">
        <f t="shared" si="13"/>
        <v>3.9943005344496973E-3</v>
      </c>
      <c r="J72" s="4">
        <f t="shared" si="14"/>
        <v>6.0857959363069042E-3</v>
      </c>
      <c r="K72" s="4">
        <f t="shared" si="15"/>
        <v>6.9562695674086428E-3</v>
      </c>
      <c r="L72">
        <f t="shared" si="17"/>
        <v>1.5954436759505136E-5</v>
      </c>
      <c r="M72">
        <f t="shared" si="16"/>
        <v>3.7036912178369625E-5</v>
      </c>
      <c r="N72">
        <f t="shared" si="16"/>
        <v>4.8389686294455626E-5</v>
      </c>
    </row>
    <row r="73" spans="2:14">
      <c r="B73" s="1">
        <v>45574</v>
      </c>
      <c r="C73">
        <v>52.8</v>
      </c>
      <c r="D73">
        <v>727.43</v>
      </c>
      <c r="E73">
        <v>5792.04</v>
      </c>
      <c r="F73">
        <f t="shared" si="11"/>
        <v>-7.6045993852193036E-3</v>
      </c>
      <c r="G73">
        <f t="shared" si="12"/>
        <v>3.9239410444969636E-3</v>
      </c>
      <c r="H73">
        <f t="shared" si="12"/>
        <v>-2.0722279710146596E-3</v>
      </c>
      <c r="I73" s="4">
        <f t="shared" si="13"/>
        <v>-9.6893449271517988E-3</v>
      </c>
      <c r="J73" s="4">
        <f t="shared" si="14"/>
        <v>2.1846361559481773E-3</v>
      </c>
      <c r="K73" s="4">
        <f t="shared" si="15"/>
        <v>-2.204162300000344E-3</v>
      </c>
      <c r="L73">
        <f t="shared" si="17"/>
        <v>9.3883405117322293E-5</v>
      </c>
      <c r="M73">
        <f t="shared" si="16"/>
        <v>4.7726351338760287E-6</v>
      </c>
      <c r="N73">
        <f t="shared" si="16"/>
        <v>4.8583314447428062E-6</v>
      </c>
    </row>
    <row r="74" spans="2:14">
      <c r="B74" s="1">
        <v>45575</v>
      </c>
      <c r="C74">
        <v>52.4</v>
      </c>
      <c r="D74">
        <v>730.29</v>
      </c>
      <c r="E74">
        <v>5780.05</v>
      </c>
      <c r="F74">
        <f t="shared" si="11"/>
        <v>-3.8240964384033942E-3</v>
      </c>
      <c r="G74">
        <f t="shared" si="12"/>
        <v>-1.0322991992848338E-2</v>
      </c>
      <c r="H74">
        <f t="shared" si="12"/>
        <v>6.0336118627852325E-3</v>
      </c>
      <c r="I74" s="4">
        <f t="shared" si="13"/>
        <v>-5.9088419803358895E-3</v>
      </c>
      <c r="J74" s="4">
        <f t="shared" si="14"/>
        <v>-1.2062296881397126E-2</v>
      </c>
      <c r="K74" s="4">
        <f t="shared" si="15"/>
        <v>5.9016775337995481E-3</v>
      </c>
      <c r="L74">
        <f t="shared" si="17"/>
        <v>3.4914413548579758E-5</v>
      </c>
      <c r="M74">
        <f t="shared" si="16"/>
        <v>1.4549900605496282E-4</v>
      </c>
      <c r="N74">
        <f t="shared" si="16"/>
        <v>3.4829797712954315E-5</v>
      </c>
    </row>
    <row r="75" spans="2:14">
      <c r="B75" s="1">
        <v>45576</v>
      </c>
      <c r="C75">
        <v>52.2</v>
      </c>
      <c r="D75">
        <v>722.79</v>
      </c>
      <c r="E75">
        <v>5815.03</v>
      </c>
      <c r="F75">
        <f t="shared" si="11"/>
        <v>8.9635386067048132E-3</v>
      </c>
      <c r="G75">
        <f t="shared" si="12"/>
        <v>-1.363730312229418E-2</v>
      </c>
      <c r="H75">
        <f t="shared" si="12"/>
        <v>7.6780609629941675E-3</v>
      </c>
      <c r="I75" s="4">
        <f t="shared" si="13"/>
        <v>6.878793064772318E-3</v>
      </c>
      <c r="J75" s="4">
        <f t="shared" si="14"/>
        <v>-1.5376608010842965E-2</v>
      </c>
      <c r="K75" s="4">
        <f t="shared" si="15"/>
        <v>7.5461266340084831E-3</v>
      </c>
      <c r="L75">
        <f t="shared" si="17"/>
        <v>4.7317794027959737E-5</v>
      </c>
      <c r="M75">
        <f t="shared" si="16"/>
        <v>2.3644007391912004E-4</v>
      </c>
      <c r="N75">
        <f t="shared" si="16"/>
        <v>5.6944027176492199E-5</v>
      </c>
    </row>
    <row r="76" spans="2:14">
      <c r="B76" s="1">
        <v>45579</v>
      </c>
      <c r="C76">
        <v>52.67</v>
      </c>
      <c r="D76">
        <v>713</v>
      </c>
      <c r="E76">
        <v>5859.85</v>
      </c>
      <c r="F76">
        <f t="shared" si="11"/>
        <v>1.7072943538157231E-3</v>
      </c>
      <c r="G76">
        <f t="shared" si="12"/>
        <v>-9.8945119342145754E-3</v>
      </c>
      <c r="H76">
        <f t="shared" si="12"/>
        <v>-7.6385090687541464E-3</v>
      </c>
      <c r="I76" s="4">
        <f t="shared" si="13"/>
        <v>-3.7745118811677216E-4</v>
      </c>
      <c r="J76" s="4">
        <f t="shared" si="14"/>
        <v>-1.1633816822763363E-2</v>
      </c>
      <c r="K76" s="4">
        <f t="shared" si="15"/>
        <v>-7.7704433977398308E-3</v>
      </c>
      <c r="L76">
        <f t="shared" si="17"/>
        <v>1.4246939941076293E-7</v>
      </c>
      <c r="M76">
        <f t="shared" si="16"/>
        <v>1.3534569386561182E-4</v>
      </c>
      <c r="N76">
        <f t="shared" si="16"/>
        <v>6.0379790597478528E-5</v>
      </c>
    </row>
    <row r="77" spans="2:14">
      <c r="B77" s="1">
        <v>45580</v>
      </c>
      <c r="C77">
        <v>52.76</v>
      </c>
      <c r="D77">
        <v>705.98</v>
      </c>
      <c r="E77">
        <v>5815.26</v>
      </c>
      <c r="F77">
        <f t="shared" si="11"/>
        <v>1.149546249673955E-2</v>
      </c>
      <c r="G77">
        <f t="shared" si="12"/>
        <v>-5.6535044542702492E-3</v>
      </c>
      <c r="H77">
        <f t="shared" si="12"/>
        <v>4.6681557065759915E-3</v>
      </c>
      <c r="I77" s="4">
        <f t="shared" si="13"/>
        <v>9.4107169548070559E-3</v>
      </c>
      <c r="J77" s="4">
        <f t="shared" si="14"/>
        <v>-7.3928093428190355E-3</v>
      </c>
      <c r="K77" s="4">
        <f t="shared" si="15"/>
        <v>4.5362213775903071E-3</v>
      </c>
      <c r="L77">
        <f t="shared" si="17"/>
        <v>8.8561593603492987E-5</v>
      </c>
      <c r="M77">
        <f t="shared" si="16"/>
        <v>5.4653629979272423E-5</v>
      </c>
      <c r="N77">
        <f t="shared" si="16"/>
        <v>2.0577304386507305E-5</v>
      </c>
    </row>
    <row r="78" spans="2:14">
      <c r="B78" s="1">
        <v>45581</v>
      </c>
      <c r="C78">
        <v>53.37</v>
      </c>
      <c r="D78">
        <v>702</v>
      </c>
      <c r="E78">
        <v>5842.47</v>
      </c>
      <c r="F78">
        <f t="shared" si="11"/>
        <v>-3.5664045309796505E-3</v>
      </c>
      <c r="G78">
        <f t="shared" si="12"/>
        <v>-2.0653416465094419E-2</v>
      </c>
      <c r="H78">
        <f t="shared" si="12"/>
        <v>-1.7117513483320916E-4</v>
      </c>
      <c r="I78" s="4">
        <f t="shared" si="13"/>
        <v>-5.6511500729121457E-3</v>
      </c>
      <c r="J78" s="4">
        <f t="shared" si="14"/>
        <v>-2.2392721353643206E-2</v>
      </c>
      <c r="K78" s="4">
        <f t="shared" si="15"/>
        <v>-3.0310946381889342E-4</v>
      </c>
      <c r="L78">
        <f t="shared" si="17"/>
        <v>3.193549714657495E-5</v>
      </c>
      <c r="M78">
        <f t="shared" si="16"/>
        <v>5.0143396962190839E-4</v>
      </c>
      <c r="N78">
        <f t="shared" si="16"/>
        <v>9.1875347056577058E-8</v>
      </c>
    </row>
    <row r="79" spans="2:14">
      <c r="B79" s="1">
        <v>45582</v>
      </c>
      <c r="C79">
        <v>53.18</v>
      </c>
      <c r="D79">
        <v>687.65</v>
      </c>
      <c r="E79">
        <v>5841.47</v>
      </c>
      <c r="F79">
        <f t="shared" si="11"/>
        <v>7.5187973466945299E-4</v>
      </c>
      <c r="G79">
        <f t="shared" si="12"/>
        <v>0.10514381218223251</v>
      </c>
      <c r="H79">
        <f t="shared" si="12"/>
        <v>3.9637370431245362E-3</v>
      </c>
      <c r="I79" s="4">
        <f t="shared" si="13"/>
        <v>-1.3328658072630424E-3</v>
      </c>
      <c r="J79" s="4">
        <f t="shared" si="14"/>
        <v>0.10340450729368372</v>
      </c>
      <c r="K79" s="4">
        <f t="shared" si="15"/>
        <v>3.8318027141388518E-3</v>
      </c>
      <c r="L79">
        <f t="shared" si="17"/>
        <v>1.7765312601709615E-6</v>
      </c>
      <c r="M79">
        <f t="shared" si="16"/>
        <v>1.069249212864949E-2</v>
      </c>
      <c r="N79">
        <f t="shared" si="16"/>
        <v>1.4682712040081872E-5</v>
      </c>
    </row>
    <row r="80" spans="2:14">
      <c r="B80" s="1">
        <v>45583</v>
      </c>
      <c r="C80">
        <v>53.22</v>
      </c>
      <c r="D80">
        <v>763.89</v>
      </c>
      <c r="E80">
        <v>5864.67</v>
      </c>
      <c r="F80">
        <f t="shared" si="11"/>
        <v>-2.0885513292898807E-2</v>
      </c>
      <c r="G80">
        <f t="shared" si="12"/>
        <v>1.0651419746356314E-2</v>
      </c>
      <c r="H80">
        <f t="shared" si="12"/>
        <v>-1.8244427413090425E-3</v>
      </c>
      <c r="I80" s="4">
        <f t="shared" si="13"/>
        <v>-2.2970258834831302E-2</v>
      </c>
      <c r="J80" s="4">
        <f t="shared" si="14"/>
        <v>8.9121148578075286E-3</v>
      </c>
      <c r="K80" s="4">
        <f t="shared" si="15"/>
        <v>-1.9563770702947267E-3</v>
      </c>
      <c r="L80">
        <f t="shared" si="17"/>
        <v>5.2763279093914544E-4</v>
      </c>
      <c r="M80">
        <f t="shared" si="16"/>
        <v>7.9425791238753709E-5</v>
      </c>
      <c r="N80">
        <f t="shared" si="16"/>
        <v>3.8274112411749779E-6</v>
      </c>
    </row>
    <row r="81" spans="2:14">
      <c r="B81" s="1">
        <v>45586</v>
      </c>
      <c r="C81">
        <v>52.12</v>
      </c>
      <c r="D81">
        <v>772.07</v>
      </c>
      <c r="E81">
        <v>5853.98</v>
      </c>
      <c r="F81">
        <f t="shared" si="11"/>
        <v>1.2204575592469451E-2</v>
      </c>
      <c r="G81">
        <f t="shared" si="12"/>
        <v>-1.0193343527552672E-2</v>
      </c>
      <c r="H81">
        <f t="shared" si="12"/>
        <v>-4.7500338350551163E-4</v>
      </c>
      <c r="I81" s="4">
        <f t="shared" si="13"/>
        <v>1.0119830050536956E-2</v>
      </c>
      <c r="J81" s="4">
        <f t="shared" si="14"/>
        <v>-1.1932648416101459E-2</v>
      </c>
      <c r="K81" s="4">
        <f t="shared" si="15"/>
        <v>-6.0693771249119592E-4</v>
      </c>
      <c r="L81">
        <f t="shared" si="17"/>
        <v>1.0241096025175081E-4</v>
      </c>
      <c r="M81">
        <f t="shared" si="16"/>
        <v>1.4238809822228867E-4</v>
      </c>
      <c r="N81">
        <f t="shared" si="16"/>
        <v>3.6837338684404558E-7</v>
      </c>
    </row>
    <row r="82" spans="2:14">
      <c r="B82" s="1">
        <v>45587</v>
      </c>
      <c r="C82">
        <v>52.76</v>
      </c>
      <c r="D82">
        <v>764.24</v>
      </c>
      <c r="E82">
        <v>5851.2</v>
      </c>
      <c r="F82">
        <f t="shared" si="11"/>
        <v>5.6700208604799213E-3</v>
      </c>
      <c r="G82">
        <f t="shared" si="12"/>
        <v>-1.975578446994718E-2</v>
      </c>
      <c r="H82">
        <f t="shared" si="12"/>
        <v>-9.2337774119530536E-3</v>
      </c>
      <c r="I82" s="4">
        <f t="shared" si="13"/>
        <v>3.585275318547426E-3</v>
      </c>
      <c r="J82" s="4">
        <f t="shared" si="14"/>
        <v>-2.1495089358495967E-2</v>
      </c>
      <c r="K82" s="4">
        <f t="shared" si="15"/>
        <v>-9.365711740938738E-3</v>
      </c>
      <c r="L82">
        <f t="shared" si="17"/>
        <v>1.2854199109785347E-5</v>
      </c>
      <c r="M82">
        <f t="shared" si="16"/>
        <v>4.6203886652972656E-4</v>
      </c>
      <c r="N82">
        <f t="shared" si="16"/>
        <v>8.7716556414357729E-5</v>
      </c>
    </row>
    <row r="83" spans="2:14">
      <c r="B83" s="1">
        <v>45588</v>
      </c>
      <c r="C83">
        <v>53.06</v>
      </c>
      <c r="D83">
        <v>749.29</v>
      </c>
      <c r="E83">
        <v>5797.42</v>
      </c>
      <c r="F83">
        <f t="shared" si="11"/>
        <v>-2.6420094628386965E-3</v>
      </c>
      <c r="G83">
        <f t="shared" si="12"/>
        <v>6.9954535727537728E-3</v>
      </c>
      <c r="H83">
        <f t="shared" si="12"/>
        <v>2.1434831869283494E-3</v>
      </c>
      <c r="I83" s="4">
        <f t="shared" si="13"/>
        <v>-4.7267550047711913E-3</v>
      </c>
      <c r="J83" s="4">
        <f t="shared" si="14"/>
        <v>5.2561486842049865E-3</v>
      </c>
      <c r="K83" s="4">
        <f t="shared" si="15"/>
        <v>2.011548857942665E-3</v>
      </c>
      <c r="L83">
        <f t="shared" si="17"/>
        <v>2.2342212875129505E-5</v>
      </c>
      <c r="M83">
        <f t="shared" si="16"/>
        <v>2.7627098990469811E-5</v>
      </c>
      <c r="N83">
        <f t="shared" si="16"/>
        <v>4.0463288078904397E-6</v>
      </c>
    </row>
    <row r="84" spans="2:14">
      <c r="B84" s="1">
        <v>45589</v>
      </c>
      <c r="C84">
        <v>52.92</v>
      </c>
      <c r="D84">
        <v>754.55</v>
      </c>
      <c r="E84">
        <v>5809.86</v>
      </c>
      <c r="F84">
        <f t="shared" si="11"/>
        <v>-1.907726685092034E-2</v>
      </c>
      <c r="G84">
        <f t="shared" si="12"/>
        <v>1.7227327885279201E-4</v>
      </c>
      <c r="H84">
        <f t="shared" si="12"/>
        <v>-2.9953572187414154E-4</v>
      </c>
      <c r="I84" s="4">
        <f t="shared" si="13"/>
        <v>-2.1162012392852834E-2</v>
      </c>
      <c r="J84" s="4">
        <f t="shared" si="14"/>
        <v>-1.5670316096959942E-3</v>
      </c>
      <c r="K84" s="4">
        <f t="shared" si="15"/>
        <v>-4.3147005085982583E-4</v>
      </c>
      <c r="L84">
        <f t="shared" si="17"/>
        <v>4.4783076851525694E-4</v>
      </c>
      <c r="M84">
        <f t="shared" si="16"/>
        <v>2.4555880657864185E-6</v>
      </c>
      <c r="N84">
        <f t="shared" si="16"/>
        <v>1.8616640478898068E-7</v>
      </c>
    </row>
    <row r="85" spans="2:14">
      <c r="B85" s="1">
        <v>45590</v>
      </c>
      <c r="C85">
        <v>51.92</v>
      </c>
      <c r="D85">
        <v>754.68</v>
      </c>
      <c r="E85">
        <v>5808.12</v>
      </c>
      <c r="F85">
        <f t="shared" si="11"/>
        <v>1.377221462122709E-2</v>
      </c>
      <c r="G85">
        <f t="shared" si="12"/>
        <v>-7.3946340408662338E-3</v>
      </c>
      <c r="H85">
        <f t="shared" si="12"/>
        <v>2.6479514493707988E-3</v>
      </c>
      <c r="I85" s="4">
        <f t="shared" si="13"/>
        <v>1.1687469079294594E-2</v>
      </c>
      <c r="J85" s="4">
        <f t="shared" si="14"/>
        <v>-9.1339389294150201E-3</v>
      </c>
      <c r="K85" s="4">
        <f t="shared" si="15"/>
        <v>2.5160171203851144E-3</v>
      </c>
      <c r="L85">
        <f t="shared" si="17"/>
        <v>1.3659693347946723E-4</v>
      </c>
      <c r="M85">
        <f t="shared" si="16"/>
        <v>8.3428840366283209E-5</v>
      </c>
      <c r="N85">
        <f t="shared" si="16"/>
        <v>6.3303421500710034E-6</v>
      </c>
    </row>
    <row r="86" spans="2:14">
      <c r="B86" s="1">
        <v>45593</v>
      </c>
      <c r="C86">
        <v>52.64</v>
      </c>
      <c r="D86">
        <v>749.12</v>
      </c>
      <c r="E86">
        <v>5823.52</v>
      </c>
      <c r="F86">
        <f t="shared" si="11"/>
        <v>-2.6631174194836618E-3</v>
      </c>
      <c r="G86">
        <f t="shared" si="12"/>
        <v>1.3682135270997079E-2</v>
      </c>
      <c r="H86">
        <f t="shared" si="12"/>
        <v>1.6128426925638532E-3</v>
      </c>
      <c r="I86" s="4">
        <f t="shared" si="13"/>
        <v>-4.747862961416157E-3</v>
      </c>
      <c r="J86" s="4">
        <f t="shared" si="14"/>
        <v>1.1942830382448293E-2</v>
      </c>
      <c r="K86" s="4">
        <f t="shared" si="15"/>
        <v>1.4809083635781688E-3</v>
      </c>
      <c r="L86">
        <f t="shared" si="17"/>
        <v>2.2542202700387402E-5</v>
      </c>
      <c r="M86">
        <f t="shared" si="16"/>
        <v>1.4263119754393005E-4</v>
      </c>
      <c r="N86">
        <f t="shared" si="16"/>
        <v>2.1930895813157701E-6</v>
      </c>
    </row>
    <row r="87" spans="2:14">
      <c r="B87" s="1">
        <v>45594</v>
      </c>
      <c r="C87">
        <v>52.5</v>
      </c>
      <c r="D87">
        <v>759.44</v>
      </c>
      <c r="E87">
        <v>5832.92</v>
      </c>
      <c r="F87">
        <f t="shared" si="11"/>
        <v>3.0429844705852005E-3</v>
      </c>
      <c r="G87">
        <f t="shared" si="12"/>
        <v>-7.5338386184969569E-3</v>
      </c>
      <c r="H87">
        <f t="shared" si="12"/>
        <v>-3.3056916281390038E-3</v>
      </c>
      <c r="I87" s="4">
        <f t="shared" si="13"/>
        <v>9.5823892865270523E-4</v>
      </c>
      <c r="J87" s="4">
        <f t="shared" si="14"/>
        <v>-9.2731435070457433E-3</v>
      </c>
      <c r="K87" s="4">
        <f t="shared" si="15"/>
        <v>-3.4376259571246882E-3</v>
      </c>
      <c r="L87">
        <f t="shared" si="17"/>
        <v>9.1822184438548426E-7</v>
      </c>
      <c r="M87">
        <f t="shared" si="16"/>
        <v>8.5991190502264622E-5</v>
      </c>
      <c r="N87">
        <f t="shared" si="16"/>
        <v>1.1817272221097429E-5</v>
      </c>
    </row>
    <row r="88" spans="2:14">
      <c r="B88" s="1">
        <v>45595</v>
      </c>
      <c r="C88">
        <v>52.66</v>
      </c>
      <c r="D88">
        <v>753.74</v>
      </c>
      <c r="E88">
        <v>5813.67</v>
      </c>
      <c r="F88">
        <f t="shared" si="11"/>
        <v>5.7379936333299152E-2</v>
      </c>
      <c r="G88">
        <f t="shared" si="12"/>
        <v>3.0335769768380727E-3</v>
      </c>
      <c r="H88">
        <f t="shared" si="12"/>
        <v>-1.8790182599519829E-2</v>
      </c>
      <c r="I88" s="4">
        <f t="shared" si="13"/>
        <v>5.5295190791366654E-2</v>
      </c>
      <c r="J88" s="4">
        <f t="shared" si="14"/>
        <v>1.2942720882892864E-3</v>
      </c>
      <c r="K88" s="4">
        <f t="shared" si="15"/>
        <v>-1.8922116928505511E-2</v>
      </c>
      <c r="L88">
        <f t="shared" si="17"/>
        <v>3.0575581246536396E-3</v>
      </c>
      <c r="M88">
        <f t="shared" si="16"/>
        <v>1.6751402385247104E-6</v>
      </c>
      <c r="N88">
        <f t="shared" si="16"/>
        <v>3.5804650905603484E-4</v>
      </c>
    </row>
    <row r="89" spans="2:14">
      <c r="B89" s="1">
        <v>45596</v>
      </c>
      <c r="C89">
        <v>55.77</v>
      </c>
      <c r="D89">
        <v>756.03</v>
      </c>
      <c r="E89">
        <v>5705.45</v>
      </c>
      <c r="F89">
        <f t="shared" si="11"/>
        <v>-2.6343607151021697E-2</v>
      </c>
      <c r="G89">
        <f t="shared" si="12"/>
        <v>9.2584632339990055E-5</v>
      </c>
      <c r="H89">
        <f t="shared" si="12"/>
        <v>4.0842263302362366E-3</v>
      </c>
      <c r="I89" s="4">
        <f t="shared" si="13"/>
        <v>-2.8428352692954191E-2</v>
      </c>
      <c r="J89" s="4">
        <f t="shared" si="14"/>
        <v>-1.6467202562087963E-3</v>
      </c>
      <c r="K89" s="4">
        <f t="shared" si="15"/>
        <v>3.9522920012505522E-3</v>
      </c>
      <c r="L89">
        <f t="shared" si="17"/>
        <v>8.0817123683499584E-4</v>
      </c>
      <c r="M89">
        <f t="shared" si="16"/>
        <v>2.7116876022083637E-6</v>
      </c>
      <c r="N89">
        <f t="shared" si="16"/>
        <v>1.5620612063149095E-5</v>
      </c>
    </row>
    <row r="90" spans="2:14">
      <c r="B90" s="1">
        <v>45597</v>
      </c>
      <c r="C90">
        <v>54.32</v>
      </c>
      <c r="D90">
        <v>756.1</v>
      </c>
      <c r="E90">
        <v>5728.8</v>
      </c>
      <c r="F90">
        <f t="shared" si="11"/>
        <v>2.0589230545935498E-2</v>
      </c>
      <c r="G90">
        <f t="shared" si="12"/>
        <v>-7.8062467165601092E-4</v>
      </c>
      <c r="H90">
        <f t="shared" si="12"/>
        <v>-2.8160686495115016E-3</v>
      </c>
      <c r="I90" s="4">
        <f t="shared" si="13"/>
        <v>1.8504485004003004E-2</v>
      </c>
      <c r="J90" s="4">
        <f t="shared" si="14"/>
        <v>-2.5199295602047972E-3</v>
      </c>
      <c r="K90" s="4">
        <f t="shared" si="15"/>
        <v>-2.948002978497186E-3</v>
      </c>
      <c r="L90">
        <f t="shared" si="17"/>
        <v>3.4241596526337205E-4</v>
      </c>
      <c r="M90">
        <f t="shared" si="16"/>
        <v>6.3500449883939426E-6</v>
      </c>
      <c r="N90">
        <f t="shared" si="16"/>
        <v>8.6907215612282799E-6</v>
      </c>
    </row>
    <row r="91" spans="2:14">
      <c r="B91" s="1">
        <v>45600</v>
      </c>
      <c r="C91">
        <v>55.45</v>
      </c>
      <c r="D91">
        <v>755.51</v>
      </c>
      <c r="E91">
        <v>5712.69</v>
      </c>
      <c r="F91">
        <f t="shared" si="11"/>
        <v>8.9767209615581253E-3</v>
      </c>
      <c r="G91">
        <f t="shared" si="12"/>
        <v>1.105696328774349E-2</v>
      </c>
      <c r="H91">
        <f t="shared" si="12"/>
        <v>1.219106130274809E-2</v>
      </c>
      <c r="I91" s="4">
        <f t="shared" si="13"/>
        <v>6.8919754196256301E-3</v>
      </c>
      <c r="J91" s="4">
        <f t="shared" si="14"/>
        <v>9.3176583991947046E-3</v>
      </c>
      <c r="K91" s="4">
        <f t="shared" si="15"/>
        <v>1.2059126973762406E-2</v>
      </c>
      <c r="L91">
        <f t="shared" si="17"/>
        <v>4.7499325184723882E-5</v>
      </c>
      <c r="M91">
        <f t="shared" si="16"/>
        <v>8.6818758044083621E-5</v>
      </c>
      <c r="N91">
        <f t="shared" si="16"/>
        <v>1.4542254336932404E-4</v>
      </c>
    </row>
    <row r="92" spans="2:14">
      <c r="B92" s="1">
        <v>45601</v>
      </c>
      <c r="C92">
        <v>55.95</v>
      </c>
      <c r="D92">
        <v>763.91</v>
      </c>
      <c r="E92">
        <v>5782.76</v>
      </c>
      <c r="F92">
        <f t="shared" si="11"/>
        <v>-1.2047255298519776E-2</v>
      </c>
      <c r="G92">
        <f t="shared" si="12"/>
        <v>2.1113133036456656E-2</v>
      </c>
      <c r="H92">
        <f t="shared" si="12"/>
        <v>2.4981233838896531E-2</v>
      </c>
      <c r="I92" s="4">
        <f t="shared" si="13"/>
        <v>-1.4132000840452272E-2</v>
      </c>
      <c r="J92" s="4">
        <f t="shared" si="14"/>
        <v>1.9373828147907869E-2</v>
      </c>
      <c r="K92" s="4">
        <f t="shared" si="15"/>
        <v>2.4849299509910848E-2</v>
      </c>
      <c r="L92">
        <f t="shared" si="17"/>
        <v>1.9971344775454375E-4</v>
      </c>
      <c r="M92">
        <f t="shared" si="16"/>
        <v>3.7534521710466727E-4</v>
      </c>
      <c r="N92">
        <f t="shared" si="16"/>
        <v>6.1748768613325547E-4</v>
      </c>
    </row>
    <row r="93" spans="2:14">
      <c r="B93" s="1">
        <v>45602</v>
      </c>
      <c r="C93">
        <v>55.28</v>
      </c>
      <c r="D93">
        <v>780.21</v>
      </c>
      <c r="E93">
        <v>5929.04</v>
      </c>
      <c r="F93">
        <f t="shared" si="11"/>
        <v>-1.0364671383679941E-2</v>
      </c>
      <c r="G93">
        <f t="shared" si="12"/>
        <v>2.0714233583603872E-2</v>
      </c>
      <c r="H93">
        <f t="shared" si="12"/>
        <v>7.4037444129894632E-3</v>
      </c>
      <c r="I93" s="4">
        <f t="shared" si="13"/>
        <v>-1.2449416925612435E-2</v>
      </c>
      <c r="J93" s="4">
        <f t="shared" si="14"/>
        <v>1.8974928695055085E-2</v>
      </c>
      <c r="K93" s="4">
        <f t="shared" si="15"/>
        <v>7.2718100840037788E-3</v>
      </c>
      <c r="L93">
        <f t="shared" si="17"/>
        <v>1.5498798178772538E-4</v>
      </c>
      <c r="M93">
        <f t="shared" si="16"/>
        <v>3.6004791898242488E-4</v>
      </c>
      <c r="N93">
        <f t="shared" si="16"/>
        <v>5.2879221897819048E-5</v>
      </c>
    </row>
    <row r="94" spans="2:14">
      <c r="B94" s="1">
        <v>45603</v>
      </c>
      <c r="C94">
        <v>54.71</v>
      </c>
      <c r="D94">
        <v>796.54</v>
      </c>
      <c r="E94">
        <v>5973.1</v>
      </c>
      <c r="F94">
        <f t="shared" si="11"/>
        <v>-1.0473223889579405E-2</v>
      </c>
      <c r="G94">
        <f t="shared" si="12"/>
        <v>-1.8849199463619674E-3</v>
      </c>
      <c r="H94">
        <f t="shared" si="12"/>
        <v>3.7498038697994338E-3</v>
      </c>
      <c r="I94" s="4">
        <f t="shared" si="13"/>
        <v>-1.2557969431511901E-2</v>
      </c>
      <c r="J94" s="4">
        <f t="shared" si="14"/>
        <v>-3.6242248349107539E-3</v>
      </c>
      <c r="K94" s="4">
        <f t="shared" si="15"/>
        <v>3.6178695408137494E-3</v>
      </c>
      <c r="L94">
        <f t="shared" si="17"/>
        <v>1.5770259624278734E-4</v>
      </c>
      <c r="M94">
        <f t="shared" si="16"/>
        <v>1.3135005653983882E-5</v>
      </c>
      <c r="N94">
        <f t="shared" si="16"/>
        <v>1.3088980014347889E-5</v>
      </c>
    </row>
    <row r="95" spans="2:14">
      <c r="B95" s="1">
        <v>45604</v>
      </c>
      <c r="C95">
        <v>54.14</v>
      </c>
      <c r="D95">
        <v>795.04</v>
      </c>
      <c r="E95">
        <v>5995.54</v>
      </c>
      <c r="F95">
        <f t="shared" si="11"/>
        <v>9.9766769015646739E-2</v>
      </c>
      <c r="G95">
        <f t="shared" si="12"/>
        <v>1.2996284092940751E-2</v>
      </c>
      <c r="H95">
        <f t="shared" si="12"/>
        <v>9.6858443383637458E-4</v>
      </c>
      <c r="I95" s="4">
        <f t="shared" si="13"/>
        <v>9.7682023473714241E-2</v>
      </c>
      <c r="J95" s="4">
        <f t="shared" si="14"/>
        <v>1.1256979204391965E-2</v>
      </c>
      <c r="K95" s="4">
        <f t="shared" si="15"/>
        <v>8.3665010485069029E-4</v>
      </c>
      <c r="L95">
        <f t="shared" si="17"/>
        <v>9.5417777099192601E-3</v>
      </c>
      <c r="M95">
        <f t="shared" si="16"/>
        <v>1.2671958080811316E-4</v>
      </c>
      <c r="N95">
        <f t="shared" si="16"/>
        <v>6.9998339794667101E-7</v>
      </c>
    </row>
    <row r="96" spans="2:14">
      <c r="B96" s="1">
        <v>45607</v>
      </c>
      <c r="C96">
        <v>59.82</v>
      </c>
      <c r="D96">
        <v>805.44</v>
      </c>
      <c r="E96">
        <v>6001.35</v>
      </c>
      <c r="F96">
        <f t="shared" si="11"/>
        <v>-1.3463683687008586E-2</v>
      </c>
      <c r="G96">
        <f t="shared" si="12"/>
        <v>1.7305686236933168E-2</v>
      </c>
      <c r="H96">
        <f t="shared" si="12"/>
        <v>-2.8968743715661891E-3</v>
      </c>
      <c r="I96" s="4">
        <f t="shared" si="13"/>
        <v>-1.554842922894108E-2</v>
      </c>
      <c r="J96" s="4">
        <f t="shared" si="14"/>
        <v>1.5566381348384381E-2</v>
      </c>
      <c r="K96" s="4">
        <f t="shared" si="15"/>
        <v>-3.0288087005518735E-3</v>
      </c>
      <c r="L96">
        <f t="shared" si="17"/>
        <v>2.4175365148738933E-4</v>
      </c>
      <c r="M96">
        <f t="shared" si="16"/>
        <v>2.4231222828332915E-4</v>
      </c>
      <c r="N96">
        <f t="shared" si="16"/>
        <v>9.1736821445387277E-6</v>
      </c>
    </row>
    <row r="97" spans="2:14">
      <c r="B97" s="1">
        <v>45608</v>
      </c>
      <c r="C97">
        <v>59.02</v>
      </c>
      <c r="D97">
        <v>819.5</v>
      </c>
      <c r="E97">
        <v>5983.99</v>
      </c>
      <c r="F97">
        <f t="shared" si="11"/>
        <v>-1.0389261462575494E-2</v>
      </c>
      <c r="G97">
        <f t="shared" si="12"/>
        <v>1.3297407399440733E-2</v>
      </c>
      <c r="H97">
        <f t="shared" si="12"/>
        <v>2.322595101076364E-4</v>
      </c>
      <c r="I97" s="4">
        <f t="shared" si="13"/>
        <v>-1.247400700450799E-2</v>
      </c>
      <c r="J97" s="4">
        <f t="shared" si="14"/>
        <v>1.1558102510891947E-2</v>
      </c>
      <c r="K97" s="4">
        <f t="shared" si="15"/>
        <v>1.0032518112195211E-4</v>
      </c>
      <c r="L97">
        <f t="shared" si="17"/>
        <v>1.556008507485144E-4</v>
      </c>
      <c r="M97">
        <f t="shared" si="16"/>
        <v>1.3358973365228675E-4</v>
      </c>
      <c r="N97">
        <f t="shared" si="16"/>
        <v>1.0065141967152496E-8</v>
      </c>
    </row>
    <row r="98" spans="2:14">
      <c r="B98" s="1">
        <v>45609</v>
      </c>
      <c r="C98">
        <v>58.41</v>
      </c>
      <c r="D98">
        <v>830.47</v>
      </c>
      <c r="E98">
        <v>5985.38</v>
      </c>
      <c r="F98">
        <f t="shared" si="11"/>
        <v>1.5396461855928362E-3</v>
      </c>
      <c r="G98">
        <f t="shared" si="12"/>
        <v>8.1428498835014393E-3</v>
      </c>
      <c r="H98">
        <f t="shared" si="12"/>
        <v>-6.0681150291174617E-3</v>
      </c>
      <c r="I98" s="4">
        <f t="shared" si="13"/>
        <v>-5.4509935633965901E-4</v>
      </c>
      <c r="J98" s="4">
        <f t="shared" si="14"/>
        <v>6.403544994952653E-3</v>
      </c>
      <c r="K98" s="4">
        <f t="shared" si="15"/>
        <v>-6.2000493581031461E-3</v>
      </c>
      <c r="L98">
        <f t="shared" si="17"/>
        <v>2.9713330828191056E-7</v>
      </c>
      <c r="M98">
        <f t="shared" si="16"/>
        <v>4.1005388502383175E-5</v>
      </c>
      <c r="N98">
        <f t="shared" si="16"/>
        <v>3.8440612042915235E-5</v>
      </c>
    </row>
    <row r="99" spans="2:14">
      <c r="B99" s="1">
        <v>45610</v>
      </c>
      <c r="C99">
        <v>58.5</v>
      </c>
      <c r="D99">
        <v>837.26</v>
      </c>
      <c r="E99">
        <v>5949.17</v>
      </c>
      <c r="F99">
        <f t="shared" ref="F99:F130" si="18">LN(C100/C99)</f>
        <v>-3.9754188759424984E-2</v>
      </c>
      <c r="G99">
        <f t="shared" si="12"/>
        <v>-1.6012670424958148E-2</v>
      </c>
      <c r="H99">
        <f t="shared" si="12"/>
        <v>-1.3291463960568205E-2</v>
      </c>
      <c r="I99" s="4">
        <f t="shared" ref="I99:I130" si="19">F99-$F$194</f>
        <v>-4.1838934301357482E-2</v>
      </c>
      <c r="J99" s="4">
        <f t="shared" ref="J99:J130" si="20">G99-$G$194</f>
        <v>-1.7751975313506935E-2</v>
      </c>
      <c r="K99" s="4">
        <f t="shared" ref="K99:K130" si="21">H99-$H$194</f>
        <v>-1.3423398289553889E-2</v>
      </c>
      <c r="L99">
        <f t="shared" si="17"/>
        <v>1.7504964234733077E-3</v>
      </c>
      <c r="M99">
        <f t="shared" si="16"/>
        <v>3.1513262753135964E-4</v>
      </c>
      <c r="N99">
        <f t="shared" si="16"/>
        <v>1.8018762163999827E-4</v>
      </c>
    </row>
    <row r="100" spans="2:14">
      <c r="B100" s="1">
        <v>45611</v>
      </c>
      <c r="C100">
        <v>56.22</v>
      </c>
      <c r="D100">
        <v>823.96</v>
      </c>
      <c r="E100">
        <v>5870.62</v>
      </c>
      <c r="F100">
        <f t="shared" si="18"/>
        <v>1.0263760248719901E-2</v>
      </c>
      <c r="G100">
        <f t="shared" si="12"/>
        <v>2.7637739745086976E-2</v>
      </c>
      <c r="H100">
        <f t="shared" si="12"/>
        <v>3.9101598241076656E-3</v>
      </c>
      <c r="I100" s="4">
        <f t="shared" si="19"/>
        <v>8.1790147067874047E-3</v>
      </c>
      <c r="J100" s="4">
        <f t="shared" si="20"/>
        <v>2.5898434856538189E-2</v>
      </c>
      <c r="K100" s="4">
        <f t="shared" si="21"/>
        <v>3.7782254951219812E-3</v>
      </c>
      <c r="L100">
        <f t="shared" si="17"/>
        <v>6.6896281573844662E-5</v>
      </c>
      <c r="M100">
        <f t="shared" si="16"/>
        <v>6.7072892801835226E-4</v>
      </c>
      <c r="N100">
        <f t="shared" si="16"/>
        <v>1.427498789198974E-5</v>
      </c>
    </row>
    <row r="101" spans="2:14">
      <c r="B101" s="1">
        <v>45614</v>
      </c>
      <c r="C101">
        <v>56.8</v>
      </c>
      <c r="D101">
        <v>847.05</v>
      </c>
      <c r="E101">
        <v>5893.62</v>
      </c>
      <c r="F101">
        <f t="shared" si="18"/>
        <v>2.4864360121922856E-2</v>
      </c>
      <c r="G101">
        <f t="shared" si="12"/>
        <v>2.8249578393200477E-2</v>
      </c>
      <c r="H101">
        <f t="shared" si="12"/>
        <v>3.9557737052673715E-3</v>
      </c>
      <c r="I101" s="4">
        <f t="shared" si="19"/>
        <v>2.2779614579990361E-2</v>
      </c>
      <c r="J101" s="4">
        <f t="shared" si="20"/>
        <v>2.6510273504651689E-2</v>
      </c>
      <c r="K101" s="4">
        <f t="shared" si="21"/>
        <v>3.8238393762816871E-3</v>
      </c>
      <c r="L101">
        <f t="shared" si="17"/>
        <v>5.1891084041290943E-4</v>
      </c>
      <c r="M101">
        <f t="shared" si="16"/>
        <v>7.027946012914374E-4</v>
      </c>
      <c r="N101">
        <f t="shared" si="16"/>
        <v>1.4621747575602321E-5</v>
      </c>
    </row>
    <row r="102" spans="2:14">
      <c r="B102" s="1">
        <v>45615</v>
      </c>
      <c r="C102">
        <v>58.23</v>
      </c>
      <c r="D102">
        <v>871.32</v>
      </c>
      <c r="E102">
        <v>5916.98</v>
      </c>
      <c r="F102">
        <f t="shared" si="18"/>
        <v>-6.0287840857454139E-3</v>
      </c>
      <c r="G102">
        <f t="shared" si="12"/>
        <v>1.4278061801736431E-2</v>
      </c>
      <c r="H102">
        <f t="shared" si="12"/>
        <v>2.1970426117316337E-5</v>
      </c>
      <c r="I102" s="4">
        <f t="shared" si="19"/>
        <v>-8.1135296276779092E-3</v>
      </c>
      <c r="J102" s="4">
        <f t="shared" si="20"/>
        <v>1.2538756913187645E-2</v>
      </c>
      <c r="K102" s="4">
        <f t="shared" si="21"/>
        <v>-1.0996390286836795E-4</v>
      </c>
      <c r="L102">
        <f t="shared" si="17"/>
        <v>6.5829363019207233E-5</v>
      </c>
      <c r="M102">
        <f t="shared" si="16"/>
        <v>1.5722042492801095E-4</v>
      </c>
      <c r="N102">
        <f t="shared" si="16"/>
        <v>1.2092059934043861E-8</v>
      </c>
    </row>
    <row r="103" spans="2:14">
      <c r="B103" s="1">
        <v>45616</v>
      </c>
      <c r="C103">
        <v>57.88</v>
      </c>
      <c r="D103">
        <v>883.85</v>
      </c>
      <c r="E103">
        <v>5917.11</v>
      </c>
      <c r="F103">
        <f t="shared" si="18"/>
        <v>6.0287840857452656E-3</v>
      </c>
      <c r="G103">
        <f t="shared" si="12"/>
        <v>1.530347100968441E-2</v>
      </c>
      <c r="H103">
        <f t="shared" si="12"/>
        <v>5.3262353051749837E-3</v>
      </c>
      <c r="I103" s="4">
        <f t="shared" si="19"/>
        <v>3.9440385438127704E-3</v>
      </c>
      <c r="J103" s="4">
        <f t="shared" si="20"/>
        <v>1.3564166121135625E-2</v>
      </c>
      <c r="K103" s="4">
        <f t="shared" si="21"/>
        <v>5.1943009761892993E-3</v>
      </c>
      <c r="L103">
        <f t="shared" si="17"/>
        <v>1.5555440035080757E-5</v>
      </c>
      <c r="M103">
        <f t="shared" si="16"/>
        <v>1.8398660256176348E-4</v>
      </c>
      <c r="N103">
        <f t="shared" si="16"/>
        <v>2.6980762631241109E-5</v>
      </c>
    </row>
    <row r="104" spans="2:14">
      <c r="B104" s="1">
        <v>45617</v>
      </c>
      <c r="C104">
        <v>58.23</v>
      </c>
      <c r="D104">
        <v>897.48</v>
      </c>
      <c r="E104">
        <v>5948.71</v>
      </c>
      <c r="F104">
        <f t="shared" si="18"/>
        <v>1.0930937191141328E-2</v>
      </c>
      <c r="G104">
        <f t="shared" si="12"/>
        <v>3.453519560634254E-4</v>
      </c>
      <c r="H104">
        <f t="shared" si="12"/>
        <v>3.4619792004100735E-3</v>
      </c>
      <c r="I104" s="4">
        <f t="shared" si="19"/>
        <v>8.8461916492088323E-3</v>
      </c>
      <c r="J104" s="4">
        <f t="shared" si="20"/>
        <v>-1.393952932485361E-3</v>
      </c>
      <c r="K104" s="4">
        <f t="shared" si="21"/>
        <v>3.3300448714243891E-3</v>
      </c>
      <c r="L104">
        <f t="shared" si="17"/>
        <v>7.8255106694532077E-5</v>
      </c>
      <c r="M104">
        <f t="shared" si="16"/>
        <v>1.9431047779845373E-6</v>
      </c>
      <c r="N104">
        <f t="shared" si="16"/>
        <v>1.1089198845699877E-5</v>
      </c>
    </row>
    <row r="105" spans="2:14">
      <c r="B105" s="1">
        <v>45618</v>
      </c>
      <c r="C105">
        <v>58.87</v>
      </c>
      <c r="D105">
        <v>897.79</v>
      </c>
      <c r="E105">
        <v>5969.34</v>
      </c>
      <c r="F105">
        <f t="shared" si="18"/>
        <v>-1.5299620493986225E-3</v>
      </c>
      <c r="G105">
        <f t="shared" si="12"/>
        <v>-3.6524832602377391E-2</v>
      </c>
      <c r="H105">
        <f t="shared" si="12"/>
        <v>3.015882072251307E-3</v>
      </c>
      <c r="I105" s="4">
        <f t="shared" si="19"/>
        <v>-3.6147075913311177E-3</v>
      </c>
      <c r="J105" s="4">
        <f t="shared" si="20"/>
        <v>-3.8264137490926178E-2</v>
      </c>
      <c r="K105" s="4">
        <f t="shared" si="21"/>
        <v>2.8839477432656226E-3</v>
      </c>
      <c r="L105">
        <f t="shared" si="17"/>
        <v>1.3066110970826812E-5</v>
      </c>
      <c r="M105">
        <f t="shared" si="16"/>
        <v>1.4641442179245024E-3</v>
      </c>
      <c r="N105">
        <f t="shared" si="16"/>
        <v>8.317154585886877E-6</v>
      </c>
    </row>
    <row r="106" spans="2:14">
      <c r="B106" s="1">
        <v>45621</v>
      </c>
      <c r="C106">
        <v>58.78</v>
      </c>
      <c r="D106">
        <v>865.59</v>
      </c>
      <c r="E106">
        <v>5987.37</v>
      </c>
      <c r="F106">
        <f t="shared" si="18"/>
        <v>-6.8073522029723187E-4</v>
      </c>
      <c r="G106">
        <f t="shared" si="12"/>
        <v>8.0659053442466728E-3</v>
      </c>
      <c r="H106">
        <f t="shared" si="12"/>
        <v>5.7057361888066833E-3</v>
      </c>
      <c r="I106" s="4">
        <f t="shared" si="19"/>
        <v>-2.7654807622297271E-3</v>
      </c>
      <c r="J106" s="4">
        <f t="shared" si="20"/>
        <v>6.3266004556978865E-3</v>
      </c>
      <c r="K106" s="4">
        <f t="shared" si="21"/>
        <v>5.5738018598209989E-3</v>
      </c>
      <c r="L106">
        <f t="shared" si="17"/>
        <v>7.6478838462627116E-6</v>
      </c>
      <c r="M106">
        <f t="shared" si="16"/>
        <v>4.0025873326036702E-5</v>
      </c>
      <c r="N106">
        <f t="shared" si="16"/>
        <v>3.1067267172544023E-5</v>
      </c>
    </row>
    <row r="107" spans="2:14">
      <c r="B107" s="1">
        <v>45622</v>
      </c>
      <c r="C107">
        <v>58.74</v>
      </c>
      <c r="D107">
        <v>872.6</v>
      </c>
      <c r="E107">
        <v>6021.63</v>
      </c>
      <c r="F107">
        <f t="shared" si="18"/>
        <v>8.9823500292727908E-3</v>
      </c>
      <c r="G107">
        <f t="shared" si="12"/>
        <v>5.4173418429128411E-3</v>
      </c>
      <c r="H107">
        <f t="shared" si="12"/>
        <v>-3.8085396153748753E-3</v>
      </c>
      <c r="I107" s="4">
        <f t="shared" si="19"/>
        <v>6.8976044873402956E-3</v>
      </c>
      <c r="J107" s="4">
        <f t="shared" si="20"/>
        <v>3.6780369543640548E-3</v>
      </c>
      <c r="K107" s="4">
        <f t="shared" si="21"/>
        <v>-3.9404739443605593E-3</v>
      </c>
      <c r="L107">
        <f t="shared" si="17"/>
        <v>4.757694766377698E-5</v>
      </c>
      <c r="M107">
        <f t="shared" si="16"/>
        <v>1.3527955837667612E-5</v>
      </c>
      <c r="N107">
        <f t="shared" si="16"/>
        <v>1.5527334906184462E-5</v>
      </c>
    </row>
    <row r="108" spans="2:14">
      <c r="B108" s="1">
        <v>45623</v>
      </c>
      <c r="C108">
        <v>59.27</v>
      </c>
      <c r="D108">
        <v>877.34</v>
      </c>
      <c r="E108">
        <v>5998.74</v>
      </c>
      <c r="F108">
        <f t="shared" si="18"/>
        <v>-8.4395312630165581E-4</v>
      </c>
      <c r="G108">
        <f t="shared" si="12"/>
        <v>1.073615164592938E-2</v>
      </c>
      <c r="H108">
        <f t="shared" si="12"/>
        <v>5.5921788939180331E-3</v>
      </c>
      <c r="I108" s="4">
        <f t="shared" si="19"/>
        <v>-2.9286986682341512E-3</v>
      </c>
      <c r="J108" s="4">
        <f t="shared" si="20"/>
        <v>8.9968467573805951E-3</v>
      </c>
      <c r="K108" s="4">
        <f t="shared" si="21"/>
        <v>5.4602445649323487E-3</v>
      </c>
      <c r="L108">
        <f t="shared" si="17"/>
        <v>8.5772758893164897E-6</v>
      </c>
      <c r="M108">
        <f t="shared" si="16"/>
        <v>8.0943251575789729E-5</v>
      </c>
      <c r="N108">
        <f t="shared" si="16"/>
        <v>2.9814270708873252E-5</v>
      </c>
    </row>
    <row r="109" spans="2:14">
      <c r="B109" s="1">
        <v>45625</v>
      </c>
      <c r="C109">
        <v>59.22</v>
      </c>
      <c r="D109">
        <v>886.81</v>
      </c>
      <c r="E109">
        <v>6032.38</v>
      </c>
      <c r="F109">
        <f t="shared" si="18"/>
        <v>1.2084739215071827E-2</v>
      </c>
      <c r="G109">
        <f t="shared" si="12"/>
        <v>1.2249739907294553E-2</v>
      </c>
      <c r="H109">
        <f t="shared" si="12"/>
        <v>2.4454606033056034E-3</v>
      </c>
      <c r="I109" s="4">
        <f t="shared" si="19"/>
        <v>9.9999936731393312E-3</v>
      </c>
      <c r="J109" s="4">
        <f t="shared" si="20"/>
        <v>1.0510435018745767E-2</v>
      </c>
      <c r="K109" s="4">
        <f t="shared" si="21"/>
        <v>2.313526274319919E-3</v>
      </c>
      <c r="L109">
        <f t="shared" si="17"/>
        <v>9.9999873462826647E-5</v>
      </c>
      <c r="M109">
        <f t="shared" si="16"/>
        <v>1.1046924428327734E-4</v>
      </c>
      <c r="N109">
        <f t="shared" si="16"/>
        <v>5.352403821968605E-6</v>
      </c>
    </row>
    <row r="110" spans="2:14">
      <c r="B110" s="1">
        <v>45628</v>
      </c>
      <c r="C110">
        <v>59.94</v>
      </c>
      <c r="D110">
        <v>897.74</v>
      </c>
      <c r="E110">
        <v>6047.15</v>
      </c>
      <c r="F110">
        <f t="shared" si="18"/>
        <v>-2.1074707318274048E-2</v>
      </c>
      <c r="G110">
        <f t="shared" si="12"/>
        <v>4.922478285244513E-3</v>
      </c>
      <c r="H110">
        <f t="shared" si="12"/>
        <v>4.5135046310470323E-4</v>
      </c>
      <c r="I110" s="4">
        <f t="shared" si="19"/>
        <v>-2.3159452860206542E-2</v>
      </c>
      <c r="J110" s="4">
        <f t="shared" si="20"/>
        <v>3.1831733966957267E-3</v>
      </c>
      <c r="K110" s="4">
        <f t="shared" si="21"/>
        <v>3.1941613411901894E-4</v>
      </c>
      <c r="L110">
        <f t="shared" si="17"/>
        <v>5.3636025678412895E-4</v>
      </c>
      <c r="M110">
        <f t="shared" si="16"/>
        <v>1.013259287343141E-5</v>
      </c>
      <c r="N110">
        <f t="shared" si="16"/>
        <v>1.020266667355391E-7</v>
      </c>
    </row>
    <row r="111" spans="2:14">
      <c r="B111" s="1">
        <v>45629</v>
      </c>
      <c r="C111">
        <v>58.69</v>
      </c>
      <c r="D111">
        <v>902.17</v>
      </c>
      <c r="E111">
        <v>6049.88</v>
      </c>
      <c r="F111">
        <f t="shared" si="18"/>
        <v>-5.4672953545434567E-3</v>
      </c>
      <c r="G111">
        <f t="shared" si="12"/>
        <v>9.8057844107316341E-3</v>
      </c>
      <c r="H111">
        <f t="shared" si="12"/>
        <v>6.0331237505021089E-3</v>
      </c>
      <c r="I111" s="4">
        <f t="shared" si="19"/>
        <v>-7.5520408964759519E-3</v>
      </c>
      <c r="J111" s="4">
        <f t="shared" si="20"/>
        <v>8.066479522182847E-3</v>
      </c>
      <c r="K111" s="4">
        <f t="shared" si="21"/>
        <v>5.9011894215164245E-3</v>
      </c>
      <c r="L111">
        <f t="shared" si="17"/>
        <v>5.70333217020453E-5</v>
      </c>
      <c r="M111">
        <f t="shared" si="16"/>
        <v>6.5068091881795217E-5</v>
      </c>
      <c r="N111">
        <f t="shared" si="16"/>
        <v>3.4824036588617353E-5</v>
      </c>
    </row>
    <row r="112" spans="2:14">
      <c r="B112" s="1">
        <v>45630</v>
      </c>
      <c r="C112">
        <v>58.37</v>
      </c>
      <c r="D112">
        <v>911.06</v>
      </c>
      <c r="E112">
        <v>6086.49</v>
      </c>
      <c r="F112">
        <f t="shared" si="18"/>
        <v>8.0198365175371353E-3</v>
      </c>
      <c r="G112">
        <f t="shared" si="12"/>
        <v>7.4470116104779207E-3</v>
      </c>
      <c r="H112">
        <f t="shared" si="12"/>
        <v>-1.8714648272306858E-3</v>
      </c>
      <c r="I112" s="4">
        <f t="shared" si="19"/>
        <v>5.9350909756046401E-3</v>
      </c>
      <c r="J112" s="4">
        <f t="shared" si="20"/>
        <v>5.7077067219291344E-3</v>
      </c>
      <c r="K112" s="4">
        <f t="shared" si="21"/>
        <v>-2.00339915621637E-3</v>
      </c>
      <c r="L112">
        <f t="shared" si="17"/>
        <v>3.5225304888703642E-5</v>
      </c>
      <c r="M112">
        <f t="shared" si="16"/>
        <v>3.2577916023555026E-5</v>
      </c>
      <c r="N112">
        <f t="shared" si="16"/>
        <v>4.0136081791284637E-6</v>
      </c>
    </row>
    <row r="113" spans="2:14">
      <c r="B113" s="1">
        <v>45631</v>
      </c>
      <c r="C113">
        <v>58.84</v>
      </c>
      <c r="D113">
        <v>917.87</v>
      </c>
      <c r="E113">
        <v>6075.11</v>
      </c>
      <c r="F113">
        <f t="shared" si="18"/>
        <v>9.1355736023768994E-3</v>
      </c>
      <c r="G113">
        <f t="shared" si="12"/>
        <v>1.8212647360291819E-2</v>
      </c>
      <c r="H113">
        <f t="shared" si="12"/>
        <v>2.4923196558419955E-3</v>
      </c>
      <c r="I113" s="4">
        <f t="shared" si="19"/>
        <v>7.0508280604444041E-3</v>
      </c>
      <c r="J113" s="4">
        <f t="shared" si="20"/>
        <v>1.6473342471743032E-2</v>
      </c>
      <c r="K113" s="4">
        <f t="shared" si="21"/>
        <v>2.3603853268563111E-3</v>
      </c>
      <c r="L113">
        <f t="shared" si="17"/>
        <v>4.9714176337950195E-5</v>
      </c>
      <c r="M113">
        <f t="shared" si="16"/>
        <v>2.7137101219133281E-4</v>
      </c>
      <c r="N113">
        <f t="shared" si="16"/>
        <v>5.571418891238575E-6</v>
      </c>
    </row>
    <row r="114" spans="2:14">
      <c r="B114" s="1">
        <v>45632</v>
      </c>
      <c r="C114">
        <v>59.38</v>
      </c>
      <c r="D114">
        <v>934.74</v>
      </c>
      <c r="E114">
        <v>6090.27</v>
      </c>
      <c r="F114">
        <f t="shared" si="18"/>
        <v>-1.1347399259519162E-2</v>
      </c>
      <c r="G114">
        <f t="shared" si="12"/>
        <v>-2.2777070319036547E-2</v>
      </c>
      <c r="H114">
        <f t="shared" si="12"/>
        <v>-6.1631802121963038E-3</v>
      </c>
      <c r="I114" s="4">
        <f t="shared" si="19"/>
        <v>-1.3432144801451659E-2</v>
      </c>
      <c r="J114" s="4">
        <f t="shared" si="20"/>
        <v>-2.4516375207585334E-2</v>
      </c>
      <c r="K114" s="4">
        <f t="shared" si="21"/>
        <v>-6.2951145411819882E-3</v>
      </c>
      <c r="L114">
        <f t="shared" si="17"/>
        <v>1.8042251396716482E-4</v>
      </c>
      <c r="M114">
        <f t="shared" si="16"/>
        <v>6.0105265331910479E-4</v>
      </c>
      <c r="N114">
        <f t="shared" si="16"/>
        <v>3.9628467086600911E-5</v>
      </c>
    </row>
    <row r="115" spans="2:14">
      <c r="B115" s="1">
        <v>45635</v>
      </c>
      <c r="C115">
        <v>58.71</v>
      </c>
      <c r="D115">
        <v>913.69</v>
      </c>
      <c r="E115">
        <v>6052.85</v>
      </c>
      <c r="F115">
        <f t="shared" si="18"/>
        <v>-1.0100231374012485E-2</v>
      </c>
      <c r="G115">
        <f t="shared" si="12"/>
        <v>-3.7218671066295908E-4</v>
      </c>
      <c r="H115">
        <f t="shared" si="12"/>
        <v>-2.9682940713745675E-3</v>
      </c>
      <c r="I115" s="4">
        <f t="shared" si="19"/>
        <v>-1.218497691594498E-2</v>
      </c>
      <c r="J115" s="4">
        <f t="shared" si="20"/>
        <v>-2.1114915992117454E-3</v>
      </c>
      <c r="K115" s="4">
        <f t="shared" si="21"/>
        <v>-3.1002284003602519E-3</v>
      </c>
      <c r="L115">
        <f t="shared" si="17"/>
        <v>1.4847366244211203E-4</v>
      </c>
      <c r="M115">
        <f t="shared" si="16"/>
        <v>4.4583967735417737E-6</v>
      </c>
      <c r="N115">
        <f t="shared" si="16"/>
        <v>9.611416134400286E-6</v>
      </c>
    </row>
    <row r="116" spans="2:14">
      <c r="B116" s="1">
        <v>45636</v>
      </c>
      <c r="C116">
        <v>58.12</v>
      </c>
      <c r="D116">
        <v>913.35</v>
      </c>
      <c r="E116">
        <v>6034.91</v>
      </c>
      <c r="F116">
        <f t="shared" si="18"/>
        <v>-2.561785122806676E-2</v>
      </c>
      <c r="G116">
        <f t="shared" si="12"/>
        <v>2.5094429448724122E-2</v>
      </c>
      <c r="H116">
        <f t="shared" si="12"/>
        <v>8.1326619328850828E-3</v>
      </c>
      <c r="I116" s="4">
        <f t="shared" si="19"/>
        <v>-2.7702596769999255E-2</v>
      </c>
      <c r="J116" s="4">
        <f t="shared" si="20"/>
        <v>2.3355124560175335E-2</v>
      </c>
      <c r="K116" s="4">
        <f t="shared" si="21"/>
        <v>8.0007276038993984E-3</v>
      </c>
      <c r="L116">
        <f t="shared" si="17"/>
        <v>7.6743386780117313E-4</v>
      </c>
      <c r="M116">
        <f t="shared" si="16"/>
        <v>5.4546184322130508E-4</v>
      </c>
      <c r="N116">
        <f t="shared" si="16"/>
        <v>6.4011642191797808E-5</v>
      </c>
    </row>
    <row r="117" spans="2:14">
      <c r="B117" s="1">
        <v>45637</v>
      </c>
      <c r="C117">
        <v>56.65</v>
      </c>
      <c r="D117">
        <v>936.56</v>
      </c>
      <c r="E117">
        <v>6084.19</v>
      </c>
      <c r="F117">
        <f t="shared" si="18"/>
        <v>-6.5527552278269365E-3</v>
      </c>
      <c r="G117">
        <f t="shared" si="12"/>
        <v>-1.1825432765722911E-2</v>
      </c>
      <c r="H117">
        <f t="shared" si="12"/>
        <v>-5.4287410919564485E-3</v>
      </c>
      <c r="I117" s="4">
        <f t="shared" si="19"/>
        <v>-8.6375007697594326E-3</v>
      </c>
      <c r="J117" s="4">
        <f t="shared" si="20"/>
        <v>-1.3564737654271696E-2</v>
      </c>
      <c r="K117" s="4">
        <f t="shared" si="21"/>
        <v>-5.5606754209421329E-3</v>
      </c>
      <c r="L117">
        <f t="shared" si="17"/>
        <v>7.4606419547594796E-5</v>
      </c>
      <c r="M117">
        <f t="shared" si="16"/>
        <v>1.8400210762921639E-4</v>
      </c>
      <c r="N117">
        <f t="shared" si="16"/>
        <v>3.092111113706997E-5</v>
      </c>
    </row>
    <row r="118" spans="2:14">
      <c r="B118" s="1">
        <v>45638</v>
      </c>
      <c r="C118">
        <v>56.28</v>
      </c>
      <c r="D118">
        <v>925.55</v>
      </c>
      <c r="E118">
        <v>6051.25</v>
      </c>
      <c r="F118">
        <f t="shared" si="18"/>
        <v>-8.9238500468453962E-3</v>
      </c>
      <c r="G118">
        <f t="shared" si="12"/>
        <v>-7.2435011627863385E-3</v>
      </c>
      <c r="H118">
        <f t="shared" si="12"/>
        <v>-2.6441167577320025E-5</v>
      </c>
      <c r="I118" s="4">
        <f t="shared" si="19"/>
        <v>-1.1008595588777891E-2</v>
      </c>
      <c r="J118" s="4">
        <f t="shared" si="20"/>
        <v>-8.9828060513351248E-3</v>
      </c>
      <c r="K118" s="4">
        <f t="shared" si="21"/>
        <v>-1.5837549656300433E-4</v>
      </c>
      <c r="L118">
        <f t="shared" si="17"/>
        <v>1.2118917683726003E-4</v>
      </c>
      <c r="M118">
        <f t="shared" si="16"/>
        <v>8.069080455590294E-5</v>
      </c>
      <c r="N118">
        <f t="shared" si="16"/>
        <v>2.5082797911578196E-8</v>
      </c>
    </row>
    <row r="119" spans="2:14">
      <c r="B119" s="1">
        <v>45639</v>
      </c>
      <c r="C119">
        <v>55.78</v>
      </c>
      <c r="D119">
        <v>918.87</v>
      </c>
      <c r="E119">
        <v>6051.09</v>
      </c>
      <c r="F119">
        <f t="shared" si="18"/>
        <v>1.6121812717143542E-3</v>
      </c>
      <c r="G119">
        <f t="shared" si="12"/>
        <v>2.4022403465107731E-3</v>
      </c>
      <c r="H119">
        <f t="shared" si="12"/>
        <v>3.7921163249597686E-3</v>
      </c>
      <c r="I119" s="4">
        <f t="shared" si="19"/>
        <v>-4.7256427021814102E-4</v>
      </c>
      <c r="J119" s="4">
        <f t="shared" si="20"/>
        <v>6.6293545796198682E-4</v>
      </c>
      <c r="K119" s="4">
        <f t="shared" si="21"/>
        <v>3.6601819959740842E-3</v>
      </c>
      <c r="L119">
        <f t="shared" si="17"/>
        <v>2.2331698948680421E-7</v>
      </c>
      <c r="M119">
        <f t="shared" si="16"/>
        <v>4.3948342142326918E-7</v>
      </c>
      <c r="N119">
        <f t="shared" si="16"/>
        <v>1.3396932243652832E-5</v>
      </c>
    </row>
    <row r="120" spans="2:14">
      <c r="B120" s="1">
        <v>45642</v>
      </c>
      <c r="C120">
        <v>55.87</v>
      </c>
      <c r="D120">
        <v>921.08</v>
      </c>
      <c r="E120">
        <v>6074.08</v>
      </c>
      <c r="F120">
        <f t="shared" si="18"/>
        <v>3.1362683244010647E-2</v>
      </c>
      <c r="G120">
        <f t="shared" si="12"/>
        <v>-2.1193241313484756E-3</v>
      </c>
      <c r="H120">
        <f t="shared" si="12"/>
        <v>-3.8714440227630084E-3</v>
      </c>
      <c r="I120" s="4">
        <f t="shared" si="19"/>
        <v>2.9277937702078153E-2</v>
      </c>
      <c r="J120" s="4">
        <f t="shared" si="20"/>
        <v>-3.8586290198972619E-3</v>
      </c>
      <c r="K120" s="4">
        <f t="shared" si="21"/>
        <v>-4.0033783517486928E-3</v>
      </c>
      <c r="L120">
        <f t="shared" si="17"/>
        <v>8.5719763608676938E-4</v>
      </c>
      <c r="M120">
        <f t="shared" si="16"/>
        <v>1.4889017913193304E-5</v>
      </c>
      <c r="N120">
        <f t="shared" si="16"/>
        <v>1.6027038227250081E-5</v>
      </c>
    </row>
    <row r="121" spans="2:14">
      <c r="B121" s="1">
        <v>45643</v>
      </c>
      <c r="C121">
        <v>57.65</v>
      </c>
      <c r="D121">
        <v>919.13</v>
      </c>
      <c r="E121">
        <v>6050.61</v>
      </c>
      <c r="F121">
        <f t="shared" si="18"/>
        <v>-1.4149943486168066E-2</v>
      </c>
      <c r="G121">
        <f t="shared" si="12"/>
        <v>-3.2711853577285774E-2</v>
      </c>
      <c r="H121">
        <f t="shared" si="12"/>
        <v>-2.9936554508987644E-2</v>
      </c>
      <c r="I121" s="4">
        <f t="shared" si="19"/>
        <v>-1.623468902810056E-2</v>
      </c>
      <c r="J121" s="4">
        <f t="shared" si="20"/>
        <v>-3.4451158465834561E-2</v>
      </c>
      <c r="K121" s="4">
        <f t="shared" si="21"/>
        <v>-3.0068488837973327E-2</v>
      </c>
      <c r="L121">
        <f t="shared" si="17"/>
        <v>2.6356512783912872E-4</v>
      </c>
      <c r="M121">
        <f t="shared" si="16"/>
        <v>1.1868823196380443E-3</v>
      </c>
      <c r="N121">
        <f t="shared" si="16"/>
        <v>9.0411402099932654E-4</v>
      </c>
    </row>
    <row r="122" spans="2:14">
      <c r="B122" s="1">
        <v>45644</v>
      </c>
      <c r="C122">
        <v>56.84</v>
      </c>
      <c r="D122">
        <v>889.55</v>
      </c>
      <c r="E122">
        <v>5872.16</v>
      </c>
      <c r="F122">
        <f t="shared" si="18"/>
        <v>-9.5457680832552669E-3</v>
      </c>
      <c r="G122">
        <f t="shared" si="12"/>
        <v>1.3943148096593392E-2</v>
      </c>
      <c r="H122">
        <f t="shared" si="12"/>
        <v>-8.6547345775283581E-4</v>
      </c>
      <c r="I122" s="4">
        <f t="shared" si="19"/>
        <v>-1.1630513625187761E-2</v>
      </c>
      <c r="J122" s="4">
        <f t="shared" si="20"/>
        <v>1.2203843208044605E-2</v>
      </c>
      <c r="K122" s="4">
        <f t="shared" si="21"/>
        <v>-9.974077867385201E-4</v>
      </c>
      <c r="L122">
        <f t="shared" si="17"/>
        <v>1.3526884718567816E-4</v>
      </c>
      <c r="M122">
        <f t="shared" si="16"/>
        <v>1.4893378904653643E-4</v>
      </c>
      <c r="N122">
        <f t="shared" si="16"/>
        <v>9.9482229304663326E-7</v>
      </c>
    </row>
    <row r="123" spans="2:14">
      <c r="B123" s="1">
        <v>45645</v>
      </c>
      <c r="C123">
        <v>56.3</v>
      </c>
      <c r="D123">
        <v>902.04</v>
      </c>
      <c r="E123">
        <v>5867.08</v>
      </c>
      <c r="F123">
        <f t="shared" si="18"/>
        <v>1.8129511774646608E-2</v>
      </c>
      <c r="G123">
        <f t="shared" si="12"/>
        <v>7.7412331879038992E-3</v>
      </c>
      <c r="H123">
        <f t="shared" si="12"/>
        <v>1.0810476252410672E-2</v>
      </c>
      <c r="I123" s="4">
        <f t="shared" si="19"/>
        <v>1.6044766232714114E-2</v>
      </c>
      <c r="J123" s="4">
        <f t="shared" si="20"/>
        <v>6.0019282993551129E-3</v>
      </c>
      <c r="K123" s="4">
        <f t="shared" si="21"/>
        <v>1.0678541923424987E-2</v>
      </c>
      <c r="L123">
        <f t="shared" si="17"/>
        <v>2.5743452346244306E-4</v>
      </c>
      <c r="M123">
        <f t="shared" si="16"/>
        <v>3.602314331059976E-5</v>
      </c>
      <c r="N123">
        <f t="shared" si="16"/>
        <v>1.1403125761034502E-4</v>
      </c>
    </row>
    <row r="124" spans="2:14">
      <c r="B124" s="1">
        <v>45646</v>
      </c>
      <c r="C124">
        <v>57.33</v>
      </c>
      <c r="D124">
        <v>909.05</v>
      </c>
      <c r="E124">
        <v>5930.85</v>
      </c>
      <c r="F124">
        <f t="shared" si="18"/>
        <v>4.3512382637384689E-3</v>
      </c>
      <c r="G124">
        <f t="shared" si="12"/>
        <v>2.6366398136488966E-3</v>
      </c>
      <c r="H124">
        <f t="shared" si="12"/>
        <v>7.2608954754625398E-3</v>
      </c>
      <c r="I124" s="4">
        <f t="shared" si="19"/>
        <v>2.2664927218059737E-3</v>
      </c>
      <c r="J124" s="4">
        <f t="shared" si="20"/>
        <v>8.973349251001103E-4</v>
      </c>
      <c r="K124" s="4">
        <f t="shared" si="21"/>
        <v>7.1289611464768554E-3</v>
      </c>
      <c r="L124">
        <f t="shared" si="17"/>
        <v>5.136989257999451E-6</v>
      </c>
      <c r="M124">
        <f t="shared" si="16"/>
        <v>8.0520996780442061E-7</v>
      </c>
      <c r="N124">
        <f t="shared" si="16"/>
        <v>5.0822087027976604E-5</v>
      </c>
    </row>
    <row r="125" spans="2:14">
      <c r="B125" s="1">
        <v>45649</v>
      </c>
      <c r="C125">
        <v>57.58</v>
      </c>
      <c r="D125">
        <v>911.45</v>
      </c>
      <c r="E125">
        <v>5974.07</v>
      </c>
      <c r="F125">
        <f t="shared" si="18"/>
        <v>3.1212094005409678E-3</v>
      </c>
      <c r="G125">
        <f t="shared" si="12"/>
        <v>2.242482378320702E-2</v>
      </c>
      <c r="H125">
        <f t="shared" si="12"/>
        <v>1.0982197273831982E-2</v>
      </c>
      <c r="I125" s="4">
        <f t="shared" si="19"/>
        <v>1.0364638586084726E-3</v>
      </c>
      <c r="J125" s="4">
        <f t="shared" si="20"/>
        <v>2.0685518894658233E-2</v>
      </c>
      <c r="K125" s="4">
        <f t="shared" si="21"/>
        <v>1.0850262944846298E-2</v>
      </c>
      <c r="L125">
        <f t="shared" si="17"/>
        <v>1.0742573302015638E-6</v>
      </c>
      <c r="M125">
        <f t="shared" si="16"/>
        <v>4.2789069194126275E-4</v>
      </c>
      <c r="N125">
        <f t="shared" si="16"/>
        <v>1.1772820597230465E-4</v>
      </c>
    </row>
    <row r="126" spans="2:14">
      <c r="B126" s="1">
        <v>45650</v>
      </c>
      <c r="C126">
        <v>57.76</v>
      </c>
      <c r="D126">
        <v>932.12</v>
      </c>
      <c r="E126">
        <v>6040.04</v>
      </c>
      <c r="F126">
        <f t="shared" si="18"/>
        <v>4.146515961848618E-3</v>
      </c>
      <c r="G126">
        <f t="shared" si="12"/>
        <v>-8.5979864461994317E-3</v>
      </c>
      <c r="H126">
        <f t="shared" si="12"/>
        <v>-4.0570874146761795E-4</v>
      </c>
      <c r="I126" s="4">
        <f t="shared" si="19"/>
        <v>2.0617704199161228E-3</v>
      </c>
      <c r="J126" s="4">
        <f t="shared" si="20"/>
        <v>-1.0337291334748217E-2</v>
      </c>
      <c r="K126" s="4">
        <f t="shared" si="21"/>
        <v>-5.3764307045330224E-4</v>
      </c>
      <c r="L126">
        <f t="shared" si="17"/>
        <v>4.2508972644411056E-6</v>
      </c>
      <c r="M126">
        <f t="shared" si="16"/>
        <v>1.0685959213946058E-4</v>
      </c>
      <c r="N126">
        <f t="shared" si="16"/>
        <v>2.890600712064545E-7</v>
      </c>
    </row>
    <row r="127" spans="2:14">
      <c r="B127" s="1">
        <v>45652</v>
      </c>
      <c r="C127">
        <v>58</v>
      </c>
      <c r="D127">
        <v>924.14</v>
      </c>
      <c r="E127">
        <v>6037.59</v>
      </c>
      <c r="F127">
        <f t="shared" si="18"/>
        <v>-5.5325175697256666E-3</v>
      </c>
      <c r="G127">
        <f t="shared" si="12"/>
        <v>-1.8114914275951348E-2</v>
      </c>
      <c r="H127">
        <f t="shared" si="12"/>
        <v>-1.111730467559637E-2</v>
      </c>
      <c r="I127" s="4">
        <f t="shared" si="19"/>
        <v>-7.6172631116581619E-3</v>
      </c>
      <c r="J127" s="4">
        <f t="shared" si="20"/>
        <v>-1.9854219164500135E-2</v>
      </c>
      <c r="K127" s="4">
        <f t="shared" si="21"/>
        <v>-1.1249239004582055E-2</v>
      </c>
      <c r="L127">
        <f t="shared" si="17"/>
        <v>5.8022697312228184E-5</v>
      </c>
      <c r="M127">
        <f t="shared" si="16"/>
        <v>3.9419001863200446E-4</v>
      </c>
      <c r="N127">
        <f t="shared" si="16"/>
        <v>1.2654537818221025E-4</v>
      </c>
    </row>
    <row r="128" spans="2:14">
      <c r="B128" s="1">
        <v>45653</v>
      </c>
      <c r="C128">
        <v>57.68</v>
      </c>
      <c r="D128">
        <v>907.55</v>
      </c>
      <c r="E128">
        <v>5970.84</v>
      </c>
      <c r="F128">
        <f t="shared" si="18"/>
        <v>-2.8487947240051402E-2</v>
      </c>
      <c r="G128">
        <f t="shared" si="12"/>
        <v>-7.8762340373592764E-3</v>
      </c>
      <c r="H128">
        <f t="shared" si="12"/>
        <v>-1.0759690191101295E-2</v>
      </c>
      <c r="I128" s="4">
        <f t="shared" si="19"/>
        <v>-3.0572692781983896E-2</v>
      </c>
      <c r="J128" s="4">
        <f t="shared" si="20"/>
        <v>-9.6155389259080619E-3</v>
      </c>
      <c r="K128" s="4">
        <f t="shared" si="21"/>
        <v>-1.0891624520086979E-2</v>
      </c>
      <c r="L128">
        <f t="shared" si="17"/>
        <v>9.3468954394157022E-4</v>
      </c>
      <c r="M128">
        <f t="shared" si="16"/>
        <v>9.2458588835653158E-5</v>
      </c>
      <c r="N128">
        <f t="shared" si="16"/>
        <v>1.1862748468655993E-4</v>
      </c>
    </row>
    <row r="129" spans="2:14">
      <c r="B129" s="1">
        <v>45656</v>
      </c>
      <c r="C129">
        <v>56.06</v>
      </c>
      <c r="D129">
        <v>900.43</v>
      </c>
      <c r="E129">
        <v>5906.94</v>
      </c>
      <c r="F129">
        <f t="shared" si="18"/>
        <v>8.8794758516750928E-3</v>
      </c>
      <c r="G129">
        <f t="shared" si="12"/>
        <v>-1.016891698385981E-2</v>
      </c>
      <c r="H129">
        <f t="shared" si="12"/>
        <v>-4.2939964541344501E-3</v>
      </c>
      <c r="I129" s="4">
        <f t="shared" si="19"/>
        <v>6.7947303097425976E-3</v>
      </c>
      <c r="J129" s="4">
        <f t="shared" si="20"/>
        <v>-1.1908221872408597E-2</v>
      </c>
      <c r="K129" s="4">
        <f t="shared" si="21"/>
        <v>-4.4259307831201345E-3</v>
      </c>
      <c r="L129">
        <f t="shared" si="17"/>
        <v>4.6168359982134734E-5</v>
      </c>
      <c r="M129">
        <f t="shared" si="16"/>
        <v>1.4180574816251052E-4</v>
      </c>
      <c r="N129">
        <f t="shared" si="16"/>
        <v>1.9588863296970405E-5</v>
      </c>
    </row>
    <row r="130" spans="2:14">
      <c r="B130" s="1">
        <v>45657</v>
      </c>
      <c r="C130">
        <v>56.56</v>
      </c>
      <c r="D130">
        <v>891.32</v>
      </c>
      <c r="E130">
        <v>5881.63</v>
      </c>
      <c r="F130">
        <f t="shared" si="18"/>
        <v>4.058232301023844E-3</v>
      </c>
      <c r="G130">
        <f t="shared" si="12"/>
        <v>-5.162970890602827E-3</v>
      </c>
      <c r="H130">
        <f t="shared" si="12"/>
        <v>-2.2263497925529528E-3</v>
      </c>
      <c r="I130" s="4">
        <f t="shared" si="19"/>
        <v>1.9734867590913488E-3</v>
      </c>
      <c r="J130" s="4">
        <f t="shared" si="20"/>
        <v>-6.9022757791516133E-3</v>
      </c>
      <c r="K130" s="4">
        <f t="shared" si="21"/>
        <v>-2.3582841215386372E-3</v>
      </c>
      <c r="L130">
        <f t="shared" si="17"/>
        <v>3.8946499883088752E-6</v>
      </c>
      <c r="M130">
        <f t="shared" si="16"/>
        <v>4.7641410931463011E-5</v>
      </c>
      <c r="N130">
        <f t="shared" si="16"/>
        <v>5.5615039979012617E-6</v>
      </c>
    </row>
    <row r="131" spans="2:14">
      <c r="B131" s="1">
        <v>45659</v>
      </c>
      <c r="C131">
        <v>56.79</v>
      </c>
      <c r="D131">
        <v>886.73</v>
      </c>
      <c r="E131">
        <v>5868.55</v>
      </c>
      <c r="F131">
        <f t="shared" ref="F131:F162" si="22">LN(C132/C131)</f>
        <v>-3.8814445342767916E-3</v>
      </c>
      <c r="G131">
        <f t="shared" ref="G131:H184" si="23">LN(D132/D131)</f>
        <v>-6.4261611134251977E-3</v>
      </c>
      <c r="H131">
        <f t="shared" si="23"/>
        <v>1.2517287272659085E-2</v>
      </c>
      <c r="I131" s="4">
        <f t="shared" ref="I131:I162" si="24">F131-$F$194</f>
        <v>-5.9661900762092868E-3</v>
      </c>
      <c r="J131" s="4">
        <f t="shared" ref="J131:J162" si="25">G131-$G$194</f>
        <v>-8.1654660019739832E-3</v>
      </c>
      <c r="K131" s="4">
        <f t="shared" ref="K131:K162" si="26">H131-$H$194</f>
        <v>1.23853529436734E-2</v>
      </c>
      <c r="L131">
        <f t="shared" si="17"/>
        <v>3.5595424025458179E-5</v>
      </c>
      <c r="M131">
        <f t="shared" ref="M131:N184" si="27">J131^2</f>
        <v>6.6674835029392982E-5</v>
      </c>
      <c r="N131">
        <f t="shared" si="27"/>
        <v>1.5339696753935937E-4</v>
      </c>
    </row>
    <row r="132" spans="2:14">
      <c r="B132" s="1">
        <v>45660</v>
      </c>
      <c r="C132">
        <v>56.57</v>
      </c>
      <c r="D132">
        <v>881.05</v>
      </c>
      <c r="E132">
        <v>5942.47</v>
      </c>
      <c r="F132">
        <f t="shared" si="22"/>
        <v>1.9426054674152751E-3</v>
      </c>
      <c r="G132">
        <f t="shared" si="23"/>
        <v>8.3955440478531383E-4</v>
      </c>
      <c r="H132">
        <f t="shared" si="23"/>
        <v>5.5228222624888485E-3</v>
      </c>
      <c r="I132" s="4">
        <f t="shared" si="24"/>
        <v>-1.421400745172201E-4</v>
      </c>
      <c r="J132" s="4">
        <f t="shared" si="25"/>
        <v>-8.9975048376347247E-4</v>
      </c>
      <c r="K132" s="4">
        <f t="shared" si="26"/>
        <v>5.3908879335031641E-3</v>
      </c>
      <c r="L132">
        <f t="shared" ref="L132:M189" si="28">I132^2</f>
        <v>2.0203800783760882E-8</v>
      </c>
      <c r="M132">
        <f t="shared" si="27"/>
        <v>8.0955093303260276E-7</v>
      </c>
      <c r="N132">
        <f t="shared" si="27"/>
        <v>2.9061672711590014E-5</v>
      </c>
    </row>
    <row r="133" spans="2:14">
      <c r="B133" s="1">
        <v>45663</v>
      </c>
      <c r="C133">
        <v>56.68</v>
      </c>
      <c r="D133">
        <v>881.79</v>
      </c>
      <c r="E133">
        <v>5975.38</v>
      </c>
      <c r="F133">
        <f t="shared" si="22"/>
        <v>8.0829819801473551E-3</v>
      </c>
      <c r="G133">
        <f t="shared" si="23"/>
        <v>-2.9529033711394883E-3</v>
      </c>
      <c r="H133">
        <f t="shared" si="23"/>
        <v>-1.116600476981219E-2</v>
      </c>
      <c r="I133" s="4">
        <f t="shared" si="24"/>
        <v>5.9982364382148599E-3</v>
      </c>
      <c r="J133" s="4">
        <f t="shared" si="25"/>
        <v>-4.6922082596882742E-3</v>
      </c>
      <c r="K133" s="4">
        <f t="shared" si="26"/>
        <v>-1.1297939098797874E-2</v>
      </c>
      <c r="L133">
        <f t="shared" si="28"/>
        <v>3.597884036872849E-5</v>
      </c>
      <c r="M133">
        <f t="shared" si="27"/>
        <v>2.2016818352286862E-5</v>
      </c>
      <c r="N133">
        <f t="shared" si="27"/>
        <v>1.2764342788014571E-4</v>
      </c>
    </row>
    <row r="134" spans="2:14">
      <c r="B134" s="1">
        <v>45664</v>
      </c>
      <c r="C134">
        <v>57.14</v>
      </c>
      <c r="D134">
        <v>879.19</v>
      </c>
      <c r="E134">
        <v>5909.03</v>
      </c>
      <c r="F134">
        <f t="shared" si="22"/>
        <v>-5.7920302335914969E-3</v>
      </c>
      <c r="G134">
        <f t="shared" si="23"/>
        <v>-4.7771426907709533E-3</v>
      </c>
      <c r="H134">
        <f t="shared" si="23"/>
        <v>1.559107735282887E-3</v>
      </c>
      <c r="I134" s="4">
        <f t="shared" si="24"/>
        <v>-7.8767757755239913E-3</v>
      </c>
      <c r="J134" s="4">
        <f t="shared" si="25"/>
        <v>-6.5164475793197396E-3</v>
      </c>
      <c r="K134" s="4">
        <f t="shared" si="26"/>
        <v>1.4271734062972028E-3</v>
      </c>
      <c r="L134">
        <f t="shared" si="28"/>
        <v>6.2043596617881579E-5</v>
      </c>
      <c r="M134">
        <f t="shared" si="27"/>
        <v>4.2464089054022097E-5</v>
      </c>
      <c r="N134">
        <f t="shared" si="27"/>
        <v>2.0368239316419606E-6</v>
      </c>
    </row>
    <row r="135" spans="2:14">
      <c r="B135" s="1">
        <v>45665</v>
      </c>
      <c r="C135">
        <v>56.81</v>
      </c>
      <c r="D135">
        <v>875</v>
      </c>
      <c r="E135">
        <v>5918.25</v>
      </c>
      <c r="F135">
        <f t="shared" si="22"/>
        <v>-1.7401007246766485E-2</v>
      </c>
      <c r="G135">
        <f t="shared" si="23"/>
        <v>-4.3575782716876073E-2</v>
      </c>
      <c r="H135">
        <f t="shared" si="23"/>
        <v>-1.5531644353894208E-2</v>
      </c>
      <c r="I135" s="4">
        <f t="shared" si="24"/>
        <v>-1.948575278869898E-2</v>
      </c>
      <c r="J135" s="4">
        <f t="shared" si="25"/>
        <v>-4.531508760542486E-2</v>
      </c>
      <c r="K135" s="4">
        <f t="shared" si="26"/>
        <v>-1.5663578682879892E-2</v>
      </c>
      <c r="L135">
        <f t="shared" si="28"/>
        <v>3.7969456174229008E-4</v>
      </c>
      <c r="M135">
        <f t="shared" si="27"/>
        <v>2.0534571646873296E-3</v>
      </c>
      <c r="N135">
        <f t="shared" si="27"/>
        <v>2.4534769715476939E-4</v>
      </c>
    </row>
    <row r="136" spans="2:14">
      <c r="B136" s="1">
        <v>45667</v>
      </c>
      <c r="C136">
        <v>55.83</v>
      </c>
      <c r="D136">
        <v>837.69</v>
      </c>
      <c r="E136">
        <v>5827.04</v>
      </c>
      <c r="F136">
        <f t="shared" si="22"/>
        <v>-8.4540480128549624E-3</v>
      </c>
      <c r="G136">
        <f t="shared" si="23"/>
        <v>3.0989667109004803E-3</v>
      </c>
      <c r="H136">
        <f t="shared" si="23"/>
        <v>1.5741742695762329E-3</v>
      </c>
      <c r="I136" s="4">
        <f t="shared" si="24"/>
        <v>-1.0538793554787457E-2</v>
      </c>
      <c r="J136" s="4">
        <f t="shared" si="25"/>
        <v>1.359661822351694E-3</v>
      </c>
      <c r="K136" s="4">
        <f t="shared" si="26"/>
        <v>1.4422399405905487E-3</v>
      </c>
      <c r="L136">
        <f t="shared" si="28"/>
        <v>1.1106616959042964E-4</v>
      </c>
      <c r="M136">
        <f t="shared" si="27"/>
        <v>1.8486802711607295E-6</v>
      </c>
      <c r="N136">
        <f t="shared" si="27"/>
        <v>2.0800560462346296E-6</v>
      </c>
    </row>
    <row r="137" spans="2:14">
      <c r="B137" s="1">
        <v>45670</v>
      </c>
      <c r="C137">
        <v>55.36</v>
      </c>
      <c r="D137">
        <v>840.29</v>
      </c>
      <c r="E137">
        <v>5836.22</v>
      </c>
      <c r="F137">
        <f t="shared" si="22"/>
        <v>6.8407107443879895E-3</v>
      </c>
      <c r="G137">
        <f t="shared" si="23"/>
        <v>-1.4250940830209783E-2</v>
      </c>
      <c r="H137">
        <f t="shared" si="23"/>
        <v>1.1456334044923633E-3</v>
      </c>
      <c r="I137" s="4">
        <f t="shared" si="24"/>
        <v>4.7559652024554942E-3</v>
      </c>
      <c r="J137" s="4">
        <f t="shared" si="25"/>
        <v>-1.599024571875857E-2</v>
      </c>
      <c r="K137" s="4">
        <f t="shared" si="26"/>
        <v>1.0136990755066789E-3</v>
      </c>
      <c r="L137">
        <f t="shared" si="28"/>
        <v>2.2619205006967529E-5</v>
      </c>
      <c r="M137">
        <f t="shared" si="27"/>
        <v>2.5568795814627678E-4</v>
      </c>
      <c r="N137">
        <f t="shared" si="27"/>
        <v>1.0275858156830955E-6</v>
      </c>
    </row>
    <row r="138" spans="2:14">
      <c r="B138" s="1">
        <v>45671</v>
      </c>
      <c r="C138">
        <v>55.74</v>
      </c>
      <c r="D138">
        <v>828.4</v>
      </c>
      <c r="E138">
        <v>5842.91</v>
      </c>
      <c r="F138">
        <f t="shared" si="22"/>
        <v>3.0452329847516233E-3</v>
      </c>
      <c r="G138">
        <f t="shared" si="23"/>
        <v>2.3691063050727171E-2</v>
      </c>
      <c r="H138">
        <f t="shared" si="23"/>
        <v>1.8147132985426716E-2</v>
      </c>
      <c r="I138" s="4">
        <f t="shared" si="24"/>
        <v>9.6048744281912804E-4</v>
      </c>
      <c r="J138" s="4">
        <f t="shared" si="25"/>
        <v>2.1951758162178384E-2</v>
      </c>
      <c r="K138" s="4">
        <f t="shared" si="26"/>
        <v>1.8015198656441033E-2</v>
      </c>
      <c r="L138">
        <f t="shared" si="28"/>
        <v>9.2253612781322779E-7</v>
      </c>
      <c r="M138">
        <f t="shared" si="27"/>
        <v>4.818796864107653E-4</v>
      </c>
      <c r="N138">
        <f t="shared" si="27"/>
        <v>3.2454738263103483E-4</v>
      </c>
    </row>
    <row r="139" spans="2:14">
      <c r="B139" s="1">
        <v>45672</v>
      </c>
      <c r="C139">
        <v>55.91</v>
      </c>
      <c r="D139">
        <v>848.26</v>
      </c>
      <c r="E139">
        <v>5949.91</v>
      </c>
      <c r="F139">
        <f t="shared" si="22"/>
        <v>8.3712306474126343E-3</v>
      </c>
      <c r="G139">
        <f t="shared" si="23"/>
        <v>-6.9678449221444614E-3</v>
      </c>
      <c r="H139">
        <f t="shared" si="23"/>
        <v>-2.1148717634665781E-3</v>
      </c>
      <c r="I139" s="4">
        <f t="shared" si="24"/>
        <v>6.286485105480139E-3</v>
      </c>
      <c r="J139" s="4">
        <f t="shared" si="25"/>
        <v>-8.7071498106932477E-3</v>
      </c>
      <c r="K139" s="4">
        <f t="shared" si="26"/>
        <v>-2.2468060924522625E-3</v>
      </c>
      <c r="L139">
        <f t="shared" si="28"/>
        <v>3.9519894981423633E-5</v>
      </c>
      <c r="M139">
        <f t="shared" si="27"/>
        <v>7.5814457825855463E-5</v>
      </c>
      <c r="N139">
        <f t="shared" si="27"/>
        <v>5.0481376170806049E-6</v>
      </c>
    </row>
    <row r="140" spans="2:14">
      <c r="B140" s="1">
        <v>45673</v>
      </c>
      <c r="C140">
        <v>56.38</v>
      </c>
      <c r="D140">
        <v>842.37</v>
      </c>
      <c r="E140">
        <v>5937.34</v>
      </c>
      <c r="F140">
        <f t="shared" si="22"/>
        <v>-1.5975862100313272E-3</v>
      </c>
      <c r="G140">
        <f t="shared" si="23"/>
        <v>1.8501295163063418E-2</v>
      </c>
      <c r="H140">
        <f t="shared" si="23"/>
        <v>9.9414259357241096E-3</v>
      </c>
      <c r="I140" s="4">
        <f t="shared" si="24"/>
        <v>-3.6823317519638224E-3</v>
      </c>
      <c r="J140" s="4">
        <f t="shared" si="25"/>
        <v>1.6761990274514631E-2</v>
      </c>
      <c r="K140" s="4">
        <f t="shared" si="26"/>
        <v>9.8094916067384252E-3</v>
      </c>
      <c r="L140">
        <f t="shared" si="28"/>
        <v>1.3559567131520953E-5</v>
      </c>
      <c r="M140">
        <f t="shared" si="27"/>
        <v>2.8096431796292306E-4</v>
      </c>
      <c r="N140">
        <f t="shared" si="27"/>
        <v>9.6226125582671605E-5</v>
      </c>
    </row>
    <row r="141" spans="2:14">
      <c r="B141" s="1">
        <v>45674</v>
      </c>
      <c r="C141">
        <v>56.29</v>
      </c>
      <c r="D141">
        <v>858.1</v>
      </c>
      <c r="E141">
        <v>5996.66</v>
      </c>
      <c r="F141">
        <f t="shared" si="22"/>
        <v>1.3235876630105291E-2</v>
      </c>
      <c r="G141">
        <f t="shared" si="23"/>
        <v>1.3404685082669661E-2</v>
      </c>
      <c r="H141">
        <f t="shared" si="23"/>
        <v>8.7299967522312897E-3</v>
      </c>
      <c r="I141" s="4">
        <f t="shared" si="24"/>
        <v>1.1151131088172797E-2</v>
      </c>
      <c r="J141" s="4">
        <f t="shared" si="25"/>
        <v>1.1665380194120875E-2</v>
      </c>
      <c r="K141" s="4">
        <f t="shared" si="26"/>
        <v>8.5980624232456053E-3</v>
      </c>
      <c r="L141">
        <f t="shared" si="28"/>
        <v>1.2434772454561382E-4</v>
      </c>
      <c r="M141">
        <f t="shared" si="27"/>
        <v>1.3608109507338759E-4</v>
      </c>
      <c r="N141">
        <f t="shared" si="27"/>
        <v>7.3926677434028087E-5</v>
      </c>
    </row>
    <row r="142" spans="2:14">
      <c r="B142" s="1">
        <v>45678</v>
      </c>
      <c r="C142">
        <v>57.04</v>
      </c>
      <c r="D142">
        <v>869.68</v>
      </c>
      <c r="E142">
        <v>6049.24</v>
      </c>
      <c r="F142">
        <f t="shared" si="22"/>
        <v>8.7619387012741786E-4</v>
      </c>
      <c r="G142">
        <f t="shared" si="23"/>
        <v>9.2527861317309668E-2</v>
      </c>
      <c r="H142">
        <f t="shared" si="23"/>
        <v>6.1192005774427091E-3</v>
      </c>
      <c r="I142" s="4">
        <f t="shared" si="24"/>
        <v>-1.2085516718050773E-3</v>
      </c>
      <c r="J142" s="4">
        <f t="shared" si="25"/>
        <v>9.078855642876088E-2</v>
      </c>
      <c r="K142" s="4">
        <f t="shared" si="26"/>
        <v>5.9872662484570247E-3</v>
      </c>
      <c r="L142">
        <f t="shared" si="28"/>
        <v>1.4605971434228473E-6</v>
      </c>
      <c r="M142">
        <f t="shared" si="27"/>
        <v>8.2425619784182984E-3</v>
      </c>
      <c r="N142">
        <f t="shared" si="27"/>
        <v>3.5847357129912656E-5</v>
      </c>
    </row>
    <row r="143" spans="2:14">
      <c r="B143" s="1">
        <v>45679</v>
      </c>
      <c r="C143">
        <v>57.09</v>
      </c>
      <c r="D143">
        <v>953.99</v>
      </c>
      <c r="E143">
        <v>6086.37</v>
      </c>
      <c r="F143">
        <f t="shared" si="22"/>
        <v>3.5278544448163272E-2</v>
      </c>
      <c r="G143">
        <f t="shared" si="23"/>
        <v>3.1846309877631845E-2</v>
      </c>
      <c r="H143">
        <f t="shared" si="23"/>
        <v>5.2994450977238887E-3</v>
      </c>
      <c r="I143" s="4">
        <f t="shared" si="24"/>
        <v>3.3193798906230775E-2</v>
      </c>
      <c r="J143" s="4">
        <f t="shared" si="25"/>
        <v>3.0107004989083058E-2</v>
      </c>
      <c r="K143" s="4">
        <f t="shared" si="26"/>
        <v>5.1675107687382043E-3</v>
      </c>
      <c r="L143">
        <f t="shared" si="28"/>
        <v>1.1018282858272874E-3</v>
      </c>
      <c r="M143">
        <f t="shared" si="27"/>
        <v>9.0643174941267219E-4</v>
      </c>
      <c r="N143">
        <f t="shared" si="27"/>
        <v>2.6703167545025307E-5</v>
      </c>
    </row>
    <row r="144" spans="2:14">
      <c r="B144" s="1">
        <v>45680</v>
      </c>
      <c r="C144">
        <v>59.14</v>
      </c>
      <c r="D144">
        <v>984.86</v>
      </c>
      <c r="E144">
        <v>6118.71</v>
      </c>
      <c r="F144">
        <f t="shared" si="22"/>
        <v>8.9218671096593406E-3</v>
      </c>
      <c r="G144">
        <f t="shared" si="23"/>
        <v>-7.4091398582430681E-3</v>
      </c>
      <c r="H144">
        <f t="shared" si="23"/>
        <v>-2.8592607828964826E-3</v>
      </c>
      <c r="I144" s="4">
        <f t="shared" si="24"/>
        <v>6.8371215677268454E-3</v>
      </c>
      <c r="J144" s="4">
        <f t="shared" si="25"/>
        <v>-9.1484447467918544E-3</v>
      </c>
      <c r="K144" s="4">
        <f t="shared" si="26"/>
        <v>-2.991195111882167E-3</v>
      </c>
      <c r="L144">
        <f t="shared" si="28"/>
        <v>4.6746231331875594E-5</v>
      </c>
      <c r="M144">
        <f t="shared" si="27"/>
        <v>8.3694041285103471E-5</v>
      </c>
      <c r="N144">
        <f t="shared" si="27"/>
        <v>8.9472481973477696E-6</v>
      </c>
    </row>
    <row r="145" spans="2:14">
      <c r="B145" s="1">
        <v>45681</v>
      </c>
      <c r="C145">
        <v>59.67</v>
      </c>
      <c r="D145">
        <v>977.59</v>
      </c>
      <c r="E145">
        <v>6101.24</v>
      </c>
      <c r="F145">
        <f t="shared" si="22"/>
        <v>1.546551154127819E-2</v>
      </c>
      <c r="G145">
        <f t="shared" si="23"/>
        <v>-5.8477299003474774E-3</v>
      </c>
      <c r="H145">
        <f t="shared" si="23"/>
        <v>-1.4687984883634318E-2</v>
      </c>
      <c r="I145" s="4">
        <f t="shared" si="24"/>
        <v>1.3380765999345696E-2</v>
      </c>
      <c r="J145" s="4">
        <f t="shared" si="25"/>
        <v>-7.5870347888962637E-3</v>
      </c>
      <c r="K145" s="4">
        <f t="shared" si="26"/>
        <v>-1.4819919212620002E-2</v>
      </c>
      <c r="L145">
        <f t="shared" si="28"/>
        <v>1.7904489872924581E-4</v>
      </c>
      <c r="M145">
        <f t="shared" si="27"/>
        <v>5.7563096887922176E-5</v>
      </c>
      <c r="N145">
        <f t="shared" si="27"/>
        <v>2.1963000546858347E-4</v>
      </c>
    </row>
    <row r="146" spans="2:14">
      <c r="B146" s="1">
        <v>45684</v>
      </c>
      <c r="C146">
        <v>60.6</v>
      </c>
      <c r="D146">
        <v>971.89</v>
      </c>
      <c r="E146">
        <v>6012.28</v>
      </c>
      <c r="F146">
        <f t="shared" si="22"/>
        <v>-3.0833541769592316E-2</v>
      </c>
      <c r="G146">
        <f t="shared" si="23"/>
        <v>-6.1737287283158344E-5</v>
      </c>
      <c r="H146">
        <f t="shared" si="23"/>
        <v>9.1755762546756169E-3</v>
      </c>
      <c r="I146" s="4">
        <f t="shared" si="24"/>
        <v>-3.291828731152481E-2</v>
      </c>
      <c r="J146" s="4">
        <f t="shared" si="25"/>
        <v>-1.8010421758319446E-3</v>
      </c>
      <c r="K146" s="4">
        <f t="shared" si="26"/>
        <v>9.0436419256899325E-3</v>
      </c>
      <c r="L146">
        <f t="shared" si="28"/>
        <v>1.0836136395240953E-3</v>
      </c>
      <c r="M146">
        <f t="shared" si="27"/>
        <v>3.2437529191254652E-6</v>
      </c>
      <c r="N146">
        <f t="shared" si="27"/>
        <v>8.178745928009671E-5</v>
      </c>
    </row>
    <row r="147" spans="2:14">
      <c r="B147" s="1">
        <v>45685</v>
      </c>
      <c r="C147">
        <v>58.76</v>
      </c>
      <c r="D147">
        <v>971.83</v>
      </c>
      <c r="E147">
        <v>6067.7</v>
      </c>
      <c r="F147">
        <f t="shared" si="22"/>
        <v>4.9231913376947684E-3</v>
      </c>
      <c r="G147">
        <f t="shared" si="23"/>
        <v>6.4821404625081368E-3</v>
      </c>
      <c r="H147">
        <f t="shared" si="23"/>
        <v>-4.6898535700948913E-3</v>
      </c>
      <c r="I147" s="4">
        <f t="shared" si="24"/>
        <v>2.8384457957622731E-3</v>
      </c>
      <c r="J147" s="4">
        <f t="shared" si="25"/>
        <v>4.7428355739593505E-3</v>
      </c>
      <c r="K147" s="4">
        <f t="shared" si="26"/>
        <v>-4.8217878990805757E-3</v>
      </c>
      <c r="L147">
        <f t="shared" si="28"/>
        <v>8.0567745354805236E-6</v>
      </c>
      <c r="M147">
        <f t="shared" si="27"/>
        <v>2.2494489281614321E-5</v>
      </c>
      <c r="N147">
        <f t="shared" si="27"/>
        <v>2.3249638543719874E-5</v>
      </c>
    </row>
    <row r="148" spans="2:14">
      <c r="B148" s="1">
        <v>45686</v>
      </c>
      <c r="C148">
        <v>59.05</v>
      </c>
      <c r="D148">
        <v>978.15</v>
      </c>
      <c r="E148">
        <v>6039.31</v>
      </c>
      <c r="F148">
        <f t="shared" si="22"/>
        <v>1.5229717809600043E-3</v>
      </c>
      <c r="G148">
        <f t="shared" si="23"/>
        <v>-5.0323209218414685E-3</v>
      </c>
      <c r="H148">
        <f t="shared" si="23"/>
        <v>5.2615707224356184E-3</v>
      </c>
      <c r="I148" s="4">
        <f t="shared" si="24"/>
        <v>-5.6177376097249097E-4</v>
      </c>
      <c r="J148" s="4">
        <f t="shared" si="25"/>
        <v>-6.7716258103902548E-3</v>
      </c>
      <c r="K148" s="4">
        <f t="shared" si="26"/>
        <v>5.129636393449934E-3</v>
      </c>
      <c r="L148">
        <f t="shared" si="28"/>
        <v>3.1558975851717741E-7</v>
      </c>
      <c r="M148">
        <f t="shared" si="27"/>
        <v>4.5854916115943473E-5</v>
      </c>
      <c r="N148">
        <f t="shared" si="27"/>
        <v>2.6313169529006048E-5</v>
      </c>
    </row>
    <row r="149" spans="2:14">
      <c r="B149" s="1">
        <v>45687</v>
      </c>
      <c r="C149">
        <v>59.14</v>
      </c>
      <c r="D149">
        <v>973.24</v>
      </c>
      <c r="E149">
        <v>6071.17</v>
      </c>
      <c r="F149">
        <f t="shared" si="22"/>
        <v>-3.2178874409511354E-3</v>
      </c>
      <c r="G149">
        <f t="shared" si="23"/>
        <v>3.6102603315896153E-3</v>
      </c>
      <c r="H149">
        <f t="shared" si="23"/>
        <v>-5.0595812914254659E-3</v>
      </c>
      <c r="I149" s="4">
        <f t="shared" si="24"/>
        <v>-5.3026329828836302E-3</v>
      </c>
      <c r="J149" s="4">
        <f t="shared" si="25"/>
        <v>1.870955443040829E-3</v>
      </c>
      <c r="K149" s="4">
        <f t="shared" si="26"/>
        <v>-5.1915156204111503E-3</v>
      </c>
      <c r="L149">
        <f t="shared" si="28"/>
        <v>2.8117916551165346E-5</v>
      </c>
      <c r="M149">
        <f t="shared" si="27"/>
        <v>3.5004742698441047E-6</v>
      </c>
      <c r="N149">
        <f t="shared" si="27"/>
        <v>2.6951834436972969E-5</v>
      </c>
    </row>
    <row r="150" spans="2:14">
      <c r="B150" s="1">
        <v>45688</v>
      </c>
      <c r="C150">
        <v>58.95</v>
      </c>
      <c r="D150">
        <v>976.76</v>
      </c>
      <c r="E150">
        <v>6040.53</v>
      </c>
      <c r="F150">
        <f t="shared" si="22"/>
        <v>1.682125449014325E-2</v>
      </c>
      <c r="G150">
        <f t="shared" si="23"/>
        <v>2.2293817077356001E-3</v>
      </c>
      <c r="H150">
        <f t="shared" si="23"/>
        <v>-7.637696973119063E-3</v>
      </c>
      <c r="I150" s="4">
        <f t="shared" si="24"/>
        <v>1.4736508948210755E-2</v>
      </c>
      <c r="J150" s="4">
        <f t="shared" si="25"/>
        <v>4.9007681918681375E-4</v>
      </c>
      <c r="K150" s="4">
        <f t="shared" si="26"/>
        <v>-7.7696313021047474E-3</v>
      </c>
      <c r="L150">
        <f t="shared" si="28"/>
        <v>2.1716469598069565E-4</v>
      </c>
      <c r="M150">
        <f t="shared" si="27"/>
        <v>2.4017528870426494E-7</v>
      </c>
      <c r="N150">
        <f t="shared" si="27"/>
        <v>6.0367170570645912E-5</v>
      </c>
    </row>
    <row r="151" spans="2:14">
      <c r="B151" s="1">
        <v>45691</v>
      </c>
      <c r="C151">
        <v>59.95</v>
      </c>
      <c r="D151">
        <v>978.94</v>
      </c>
      <c r="E151">
        <v>5994.57</v>
      </c>
      <c r="F151">
        <f t="shared" si="22"/>
        <v>-1.3941604833577056E-2</v>
      </c>
      <c r="G151">
        <f t="shared" si="23"/>
        <v>1.6141721731574875E-2</v>
      </c>
      <c r="H151">
        <f t="shared" si="23"/>
        <v>7.1988974883324779E-3</v>
      </c>
      <c r="I151" s="4">
        <f t="shared" si="24"/>
        <v>-1.6026350375509552E-2</v>
      </c>
      <c r="J151" s="4">
        <f t="shared" si="25"/>
        <v>1.4402416843026088E-2</v>
      </c>
      <c r="K151" s="4">
        <f t="shared" si="26"/>
        <v>7.0669631593467935E-3</v>
      </c>
      <c r="L151">
        <f t="shared" si="28"/>
        <v>2.5684390635859514E-4</v>
      </c>
      <c r="M151">
        <f t="shared" si="27"/>
        <v>2.0742961092028154E-4</v>
      </c>
      <c r="N151">
        <f t="shared" si="27"/>
        <v>4.9941968295564811E-5</v>
      </c>
    </row>
    <row r="152" spans="2:14">
      <c r="B152" s="1">
        <v>45692</v>
      </c>
      <c r="C152">
        <v>59.12</v>
      </c>
      <c r="D152">
        <v>994.87</v>
      </c>
      <c r="E152">
        <v>6037.88</v>
      </c>
      <c r="F152">
        <f t="shared" si="22"/>
        <v>9.9302339189547787E-3</v>
      </c>
      <c r="G152">
        <f t="shared" si="23"/>
        <v>1.6191940910639836E-2</v>
      </c>
      <c r="H152">
        <f t="shared" si="23"/>
        <v>3.9010377290886913E-3</v>
      </c>
      <c r="I152" s="4">
        <f t="shared" si="24"/>
        <v>7.8454883770222826E-3</v>
      </c>
      <c r="J152" s="4">
        <f t="shared" si="25"/>
        <v>1.4452636022091049E-2</v>
      </c>
      <c r="K152" s="4">
        <f t="shared" si="26"/>
        <v>3.7691034001030069E-3</v>
      </c>
      <c r="L152">
        <f t="shared" si="28"/>
        <v>6.1551687873991729E-5</v>
      </c>
      <c r="M152">
        <f t="shared" si="27"/>
        <v>2.0887868798704379E-4</v>
      </c>
      <c r="N152">
        <f t="shared" si="27"/>
        <v>1.4206140440668048E-5</v>
      </c>
    </row>
    <row r="153" spans="2:14">
      <c r="B153" s="1">
        <v>45693</v>
      </c>
      <c r="C153">
        <v>59.71</v>
      </c>
      <c r="D153">
        <v>1011.11</v>
      </c>
      <c r="E153">
        <v>6061.48</v>
      </c>
      <c r="F153">
        <f t="shared" si="22"/>
        <v>-3.9106835865983174E-2</v>
      </c>
      <c r="G153">
        <f t="shared" si="23"/>
        <v>4.5096016309701305E-3</v>
      </c>
      <c r="H153">
        <f t="shared" si="23"/>
        <v>3.637700027498819E-3</v>
      </c>
      <c r="I153" s="4">
        <f t="shared" si="24"/>
        <v>-4.1191581407915671E-2</v>
      </c>
      <c r="J153" s="4">
        <f t="shared" si="25"/>
        <v>2.7702967424213442E-3</v>
      </c>
      <c r="K153" s="4">
        <f t="shared" si="26"/>
        <v>3.5057656985131346E-3</v>
      </c>
      <c r="L153">
        <f t="shared" si="28"/>
        <v>1.6967463788849441E-3</v>
      </c>
      <c r="M153">
        <f t="shared" si="27"/>
        <v>7.6745440410703113E-6</v>
      </c>
      <c r="N153">
        <f t="shared" si="27"/>
        <v>1.2290393132871286E-5</v>
      </c>
    </row>
    <row r="154" spans="2:14">
      <c r="B154" s="1">
        <v>45694</v>
      </c>
      <c r="C154">
        <v>57.42</v>
      </c>
      <c r="D154">
        <v>1015.68</v>
      </c>
      <c r="E154">
        <v>6083.57</v>
      </c>
      <c r="F154">
        <f t="shared" si="22"/>
        <v>-9.976454496372883E-3</v>
      </c>
      <c r="G154">
        <f t="shared" si="23"/>
        <v>-1.7244696603568757E-3</v>
      </c>
      <c r="H154">
        <f t="shared" si="23"/>
        <v>-9.5099134821077444E-3</v>
      </c>
      <c r="I154" s="4">
        <f t="shared" si="24"/>
        <v>-1.2061200038305377E-2</v>
      </c>
      <c r="J154" s="4">
        <f t="shared" si="25"/>
        <v>-3.463774548905662E-3</v>
      </c>
      <c r="K154" s="4">
        <f t="shared" si="26"/>
        <v>-9.6418478110934288E-3</v>
      </c>
      <c r="L154">
        <f t="shared" si="28"/>
        <v>1.4547254636401765E-4</v>
      </c>
      <c r="M154">
        <f t="shared" si="27"/>
        <v>1.1997734125646623E-5</v>
      </c>
      <c r="N154">
        <f t="shared" si="27"/>
        <v>9.2965229212287146E-5</v>
      </c>
    </row>
    <row r="155" spans="2:14">
      <c r="B155" s="1">
        <v>45695</v>
      </c>
      <c r="C155">
        <v>56.85</v>
      </c>
      <c r="D155">
        <v>1013.93</v>
      </c>
      <c r="E155">
        <v>6025.99</v>
      </c>
      <c r="F155">
        <f t="shared" si="22"/>
        <v>-2.3492804943029234E-2</v>
      </c>
      <c r="G155">
        <f t="shared" si="23"/>
        <v>1.3392116998095775E-2</v>
      </c>
      <c r="H155">
        <f t="shared" si="23"/>
        <v>6.6901608481496353E-3</v>
      </c>
      <c r="I155" s="4">
        <f t="shared" si="24"/>
        <v>-2.5577550484961728E-2</v>
      </c>
      <c r="J155" s="4">
        <f t="shared" si="25"/>
        <v>1.1652812109546988E-2</v>
      </c>
      <c r="K155" s="4">
        <f t="shared" si="26"/>
        <v>6.5582265191639509E-3</v>
      </c>
      <c r="L155">
        <f t="shared" si="28"/>
        <v>6.5421108881076595E-4</v>
      </c>
      <c r="M155">
        <f t="shared" si="27"/>
        <v>1.3578803006040493E-4</v>
      </c>
      <c r="N155">
        <f t="shared" si="27"/>
        <v>4.3010335076665311E-5</v>
      </c>
    </row>
    <row r="156" spans="2:14">
      <c r="B156" s="1">
        <v>45698</v>
      </c>
      <c r="C156">
        <v>55.53</v>
      </c>
      <c r="D156">
        <v>1027.5999999999999</v>
      </c>
      <c r="E156">
        <v>6066.44</v>
      </c>
      <c r="F156">
        <f t="shared" si="22"/>
        <v>7.3562725202978236E-3</v>
      </c>
      <c r="G156">
        <f t="shared" si="23"/>
        <v>-1.917845467429069E-2</v>
      </c>
      <c r="H156">
        <f t="shared" si="23"/>
        <v>3.3951548500248807E-4</v>
      </c>
      <c r="I156" s="4">
        <f t="shared" si="24"/>
        <v>5.2715269783653283E-3</v>
      </c>
      <c r="J156" s="4">
        <f t="shared" si="25"/>
        <v>-2.0917759562839477E-2</v>
      </c>
      <c r="K156" s="4">
        <f t="shared" si="26"/>
        <v>2.0758115601680378E-4</v>
      </c>
      <c r="L156">
        <f t="shared" si="28"/>
        <v>2.7788996683633488E-5</v>
      </c>
      <c r="M156">
        <f t="shared" si="27"/>
        <v>4.3755266512876241E-4</v>
      </c>
      <c r="N156">
        <f t="shared" si="27"/>
        <v>4.3089936333272634E-8</v>
      </c>
    </row>
    <row r="157" spans="2:14">
      <c r="B157" s="1">
        <v>45699</v>
      </c>
      <c r="C157">
        <v>55.94</v>
      </c>
      <c r="D157">
        <v>1008.08</v>
      </c>
      <c r="E157">
        <v>6068.5</v>
      </c>
      <c r="F157">
        <f t="shared" si="22"/>
        <v>3.7469934106384704E-3</v>
      </c>
      <c r="G157">
        <f t="shared" si="23"/>
        <v>1.8896203868245445E-2</v>
      </c>
      <c r="H157">
        <f t="shared" si="23"/>
        <v>-2.7276186894511618E-3</v>
      </c>
      <c r="I157" s="4">
        <f t="shared" si="24"/>
        <v>1.6622478687059752E-3</v>
      </c>
      <c r="J157" s="4">
        <f t="shared" si="25"/>
        <v>1.7156898979696657E-2</v>
      </c>
      <c r="K157" s="4">
        <f t="shared" si="26"/>
        <v>-2.8595530184368462E-3</v>
      </c>
      <c r="L157">
        <f t="shared" si="28"/>
        <v>2.7630679770175569E-6</v>
      </c>
      <c r="M157">
        <f t="shared" si="27"/>
        <v>2.9435918259951619E-4</v>
      </c>
      <c r="N157">
        <f t="shared" si="27"/>
        <v>8.1770434652512785E-6</v>
      </c>
    </row>
    <row r="158" spans="2:14">
      <c r="B158" s="1">
        <v>45700</v>
      </c>
      <c r="C158">
        <v>56.15</v>
      </c>
      <c r="D158">
        <v>1027.31</v>
      </c>
      <c r="E158">
        <v>6051.97</v>
      </c>
      <c r="F158">
        <f t="shared" si="22"/>
        <v>-3.2108482811839668E-3</v>
      </c>
      <c r="G158">
        <f t="shared" si="23"/>
        <v>1.5818775053114437E-2</v>
      </c>
      <c r="H158">
        <f t="shared" si="23"/>
        <v>1.0372377459622351E-2</v>
      </c>
      <c r="I158" s="4">
        <f t="shared" si="24"/>
        <v>-5.2955938231164616E-3</v>
      </c>
      <c r="J158" s="4">
        <f t="shared" si="25"/>
        <v>1.4079470164565649E-2</v>
      </c>
      <c r="K158" s="4">
        <f t="shared" si="26"/>
        <v>1.0240443130636667E-2</v>
      </c>
      <c r="L158">
        <f t="shared" si="28"/>
        <v>2.8043313939429221E-5</v>
      </c>
      <c r="M158">
        <f t="shared" si="27"/>
        <v>1.9823148011489429E-4</v>
      </c>
      <c r="N158">
        <f t="shared" si="27"/>
        <v>1.0486667551180369E-4</v>
      </c>
    </row>
    <row r="159" spans="2:14">
      <c r="B159" s="1">
        <v>45701</v>
      </c>
      <c r="C159">
        <v>55.97</v>
      </c>
      <c r="D159">
        <v>1043.69</v>
      </c>
      <c r="E159">
        <v>6115.07</v>
      </c>
      <c r="F159">
        <f t="shared" si="22"/>
        <v>-3.7685354988316738E-2</v>
      </c>
      <c r="G159">
        <f t="shared" si="23"/>
        <v>1.4184769941089685E-2</v>
      </c>
      <c r="H159">
        <f t="shared" si="23"/>
        <v>-7.1955976056534599E-5</v>
      </c>
      <c r="I159" s="4">
        <f t="shared" si="24"/>
        <v>-3.9770100530249236E-2</v>
      </c>
      <c r="J159" s="4">
        <f t="shared" si="25"/>
        <v>1.2445465052540898E-2</v>
      </c>
      <c r="K159" s="4">
        <f t="shared" si="26"/>
        <v>-2.0389030504221889E-4</v>
      </c>
      <c r="L159">
        <f t="shared" si="28"/>
        <v>1.5816608961861307E-3</v>
      </c>
      <c r="M159">
        <f t="shared" si="27"/>
        <v>1.5488960037401682E-4</v>
      </c>
      <c r="N159">
        <f t="shared" si="27"/>
        <v>4.1571256490209066E-8</v>
      </c>
    </row>
    <row r="160" spans="2:14">
      <c r="B160" s="1">
        <v>45702</v>
      </c>
      <c r="C160">
        <v>53.9</v>
      </c>
      <c r="D160">
        <v>1058.5999999999999</v>
      </c>
      <c r="E160">
        <v>6114.63</v>
      </c>
      <c r="F160">
        <f t="shared" si="22"/>
        <v>9.7849945311571044E-3</v>
      </c>
      <c r="G160">
        <f t="shared" si="23"/>
        <v>-2.172493473198938E-2</v>
      </c>
      <c r="H160">
        <f t="shared" si="23"/>
        <v>2.4419717448794743E-3</v>
      </c>
      <c r="I160" s="4">
        <f t="shared" si="24"/>
        <v>7.7002489892246092E-3</v>
      </c>
      <c r="J160" s="4">
        <f t="shared" si="25"/>
        <v>-2.3464239620538167E-2</v>
      </c>
      <c r="K160" s="4">
        <f t="shared" si="26"/>
        <v>2.3100374158937899E-3</v>
      </c>
      <c r="L160">
        <f t="shared" si="28"/>
        <v>5.9293834496054618E-5</v>
      </c>
      <c r="M160">
        <f t="shared" si="27"/>
        <v>5.505705409700331E-4</v>
      </c>
      <c r="N160">
        <f t="shared" si="27"/>
        <v>5.3362728628292589E-6</v>
      </c>
    </row>
    <row r="161" spans="2:14">
      <c r="B161" s="1">
        <v>45706</v>
      </c>
      <c r="C161">
        <v>54.43</v>
      </c>
      <c r="D161">
        <v>1035.8499999999999</v>
      </c>
      <c r="E161">
        <v>6129.58</v>
      </c>
      <c r="F161">
        <f t="shared" si="22"/>
        <v>1.0054010290990947E-2</v>
      </c>
      <c r="G161">
        <f t="shared" si="23"/>
        <v>7.1951752809087371E-3</v>
      </c>
      <c r="H161">
        <f t="shared" si="23"/>
        <v>2.3741775065794562E-3</v>
      </c>
      <c r="I161" s="4">
        <f t="shared" si="24"/>
        <v>7.9692647490584509E-3</v>
      </c>
      <c r="J161" s="4">
        <f t="shared" si="25"/>
        <v>5.4558703923599508E-3</v>
      </c>
      <c r="K161" s="4">
        <f t="shared" si="26"/>
        <v>2.2422431775937718E-3</v>
      </c>
      <c r="L161">
        <f t="shared" si="28"/>
        <v>6.3509180640585651E-5</v>
      </c>
      <c r="M161">
        <f t="shared" si="27"/>
        <v>2.9766521738229923E-5</v>
      </c>
      <c r="N161">
        <f t="shared" si="27"/>
        <v>5.027654467465815E-6</v>
      </c>
    </row>
    <row r="162" spans="2:14">
      <c r="B162" s="1">
        <v>45707</v>
      </c>
      <c r="C162">
        <v>54.98</v>
      </c>
      <c r="D162">
        <v>1043.33</v>
      </c>
      <c r="E162">
        <v>6144.15</v>
      </c>
      <c r="F162">
        <f t="shared" si="22"/>
        <v>1.4625159120337263E-2</v>
      </c>
      <c r="G162">
        <f t="shared" si="23"/>
        <v>-1.817378962020489E-2</v>
      </c>
      <c r="H162">
        <f t="shared" si="23"/>
        <v>-4.3436239711486854E-3</v>
      </c>
      <c r="I162" s="4">
        <f t="shared" si="24"/>
        <v>1.2540413578404769E-2</v>
      </c>
      <c r="J162" s="4">
        <f t="shared" si="25"/>
        <v>-1.9913094508753677E-2</v>
      </c>
      <c r="K162" s="4">
        <f t="shared" si="26"/>
        <v>-4.4755583001343698E-3</v>
      </c>
      <c r="L162">
        <f t="shared" si="28"/>
        <v>1.572619727174387E-4</v>
      </c>
      <c r="M162">
        <f t="shared" si="27"/>
        <v>3.9653133291455588E-4</v>
      </c>
      <c r="N162">
        <f t="shared" si="27"/>
        <v>2.0030622097901648E-5</v>
      </c>
    </row>
    <row r="163" spans="2:14">
      <c r="B163" s="1">
        <v>45708</v>
      </c>
      <c r="C163">
        <v>55.79</v>
      </c>
      <c r="D163">
        <v>1024.54</v>
      </c>
      <c r="E163">
        <v>6117.52</v>
      </c>
      <c r="F163">
        <f t="shared" ref="F163:G189" si="29">LN(C164/C163)</f>
        <v>7.1671746483207828E-4</v>
      </c>
      <c r="G163">
        <f t="shared" si="23"/>
        <v>-2.1098682226391736E-2</v>
      </c>
      <c r="H163">
        <f t="shared" si="23"/>
        <v>-1.7211373991262081E-2</v>
      </c>
      <c r="I163" s="4">
        <f t="shared" ref="I163:I189" si="30">F163-$F$194</f>
        <v>-1.3680280771004171E-3</v>
      </c>
      <c r="J163" s="4">
        <f t="shared" ref="J163:J189" si="31">G163-$G$194</f>
        <v>-2.2837987114940523E-2</v>
      </c>
      <c r="K163" s="4">
        <f t="shared" ref="K163:K189" si="32">H163-$H$194</f>
        <v>-1.7343308320247764E-2</v>
      </c>
      <c r="L163">
        <f t="shared" si="28"/>
        <v>1.8715008197350646E-6</v>
      </c>
      <c r="M163">
        <f t="shared" si="27"/>
        <v>5.215736554621893E-4</v>
      </c>
      <c r="N163">
        <f t="shared" si="27"/>
        <v>3.0079034349117533E-4</v>
      </c>
    </row>
    <row r="164" spans="2:14">
      <c r="B164" s="1">
        <v>45709</v>
      </c>
      <c r="C164">
        <v>55.83</v>
      </c>
      <c r="D164">
        <v>1003.15</v>
      </c>
      <c r="E164">
        <v>6013.13</v>
      </c>
      <c r="F164">
        <f t="shared" si="29"/>
        <v>3.606054244101406E-2</v>
      </c>
      <c r="G164">
        <f t="shared" si="23"/>
        <v>-1.4742034989735994E-2</v>
      </c>
      <c r="H164">
        <f t="shared" si="23"/>
        <v>-4.9815130548550111E-3</v>
      </c>
      <c r="I164" s="4">
        <f t="shared" si="30"/>
        <v>3.3975796899081562E-2</v>
      </c>
      <c r="J164" s="4">
        <f t="shared" si="31"/>
        <v>-1.6481339878284779E-2</v>
      </c>
      <c r="K164" s="4">
        <f t="shared" si="32"/>
        <v>-5.1134473838406955E-3</v>
      </c>
      <c r="L164">
        <f t="shared" si="28"/>
        <v>1.1543547749276403E-3</v>
      </c>
      <c r="M164">
        <f t="shared" si="27"/>
        <v>2.7163456418354015E-4</v>
      </c>
      <c r="N164">
        <f t="shared" si="27"/>
        <v>2.6147344147307252E-5</v>
      </c>
    </row>
    <row r="165" spans="2:14">
      <c r="B165" s="1">
        <v>45712</v>
      </c>
      <c r="C165">
        <v>57.88</v>
      </c>
      <c r="D165">
        <v>988.47</v>
      </c>
      <c r="E165">
        <v>5983.25</v>
      </c>
      <c r="F165">
        <f t="shared" si="29"/>
        <v>5.6852595203609607E-3</v>
      </c>
      <c r="G165">
        <f t="shared" si="23"/>
        <v>-1.1426021311876654E-2</v>
      </c>
      <c r="H165">
        <f t="shared" si="23"/>
        <v>-4.690715138395557E-3</v>
      </c>
      <c r="I165" s="4">
        <f t="shared" si="30"/>
        <v>3.6005139784284655E-3</v>
      </c>
      <c r="J165" s="4">
        <f t="shared" si="31"/>
        <v>-1.3165326200425442E-2</v>
      </c>
      <c r="K165" s="4">
        <f t="shared" si="32"/>
        <v>-4.8226494673812414E-3</v>
      </c>
      <c r="L165">
        <f t="shared" si="28"/>
        <v>1.2963700908858776E-5</v>
      </c>
      <c r="M165">
        <f t="shared" si="27"/>
        <v>1.7332581396360859E-4</v>
      </c>
      <c r="N165">
        <f t="shared" si="27"/>
        <v>2.3257947885232569E-5</v>
      </c>
    </row>
    <row r="166" spans="2:14">
      <c r="B166" s="1">
        <v>45713</v>
      </c>
      <c r="C166">
        <v>58.21</v>
      </c>
      <c r="D166">
        <v>977.24</v>
      </c>
      <c r="E166">
        <v>5955.25</v>
      </c>
      <c r="F166">
        <f t="shared" si="29"/>
        <v>-1.4361350730425399E-2</v>
      </c>
      <c r="G166">
        <f t="shared" si="23"/>
        <v>1.3033275528171269E-2</v>
      </c>
      <c r="H166">
        <f t="shared" si="23"/>
        <v>1.3600519191397061E-4</v>
      </c>
      <c r="I166" s="4">
        <f t="shared" si="30"/>
        <v>-1.6446096272357894E-2</v>
      </c>
      <c r="J166" s="4">
        <f t="shared" si="31"/>
        <v>1.1293970639622484E-2</v>
      </c>
      <c r="K166" s="4">
        <f t="shared" si="32"/>
        <v>4.0708629282863154E-6</v>
      </c>
      <c r="L166">
        <f t="shared" si="28"/>
        <v>2.7047408259966418E-4</v>
      </c>
      <c r="M166">
        <f t="shared" si="27"/>
        <v>1.2755377280865469E-4</v>
      </c>
      <c r="N166">
        <f t="shared" si="27"/>
        <v>1.6571924980895834E-11</v>
      </c>
    </row>
    <row r="167" spans="2:14">
      <c r="B167" s="1">
        <v>45714</v>
      </c>
      <c r="C167">
        <v>57.38</v>
      </c>
      <c r="D167">
        <v>990.06</v>
      </c>
      <c r="E167">
        <v>5956.06</v>
      </c>
      <c r="F167">
        <f t="shared" si="29"/>
        <v>2.4446044351362332E-2</v>
      </c>
      <c r="G167">
        <f t="shared" si="23"/>
        <v>-2.763944868445559E-2</v>
      </c>
      <c r="H167">
        <f t="shared" si="23"/>
        <v>-1.5991702852089028E-2</v>
      </c>
      <c r="I167" s="4">
        <f t="shared" si="30"/>
        <v>2.2361298809429837E-2</v>
      </c>
      <c r="J167" s="4">
        <f t="shared" si="31"/>
        <v>-2.9378753573004377E-2</v>
      </c>
      <c r="K167" s="4">
        <f t="shared" si="32"/>
        <v>-1.612363718107471E-2</v>
      </c>
      <c r="L167">
        <f t="shared" si="28"/>
        <v>5.0002768444460831E-4</v>
      </c>
      <c r="M167">
        <f t="shared" si="27"/>
        <v>8.631111615033174E-4</v>
      </c>
      <c r="N167">
        <f t="shared" si="27"/>
        <v>2.5997167594693483E-4</v>
      </c>
    </row>
    <row r="168" spans="2:14">
      <c r="B168" s="1">
        <v>45715</v>
      </c>
      <c r="C168">
        <v>58.8</v>
      </c>
      <c r="D168">
        <v>963.07</v>
      </c>
      <c r="E168">
        <v>5861.57</v>
      </c>
      <c r="F168">
        <f t="shared" si="29"/>
        <v>1.3849233345344131E-2</v>
      </c>
      <c r="G168">
        <f t="shared" si="23"/>
        <v>1.7997738364596845E-2</v>
      </c>
      <c r="H168">
        <f t="shared" si="23"/>
        <v>1.5729750431897126E-2</v>
      </c>
      <c r="I168" s="4">
        <f t="shared" si="30"/>
        <v>1.1764487803411636E-2</v>
      </c>
      <c r="J168" s="4">
        <f t="shared" si="31"/>
        <v>1.6258433476048058E-2</v>
      </c>
      <c r="K168" s="4">
        <f t="shared" si="32"/>
        <v>1.5597816102911442E-2</v>
      </c>
      <c r="L168">
        <f t="shared" si="28"/>
        <v>1.3840317327662116E-4</v>
      </c>
      <c r="M168">
        <f t="shared" si="27"/>
        <v>2.6433665909508011E-4</v>
      </c>
      <c r="N168">
        <f t="shared" si="27"/>
        <v>2.4329186718024349E-4</v>
      </c>
    </row>
    <row r="169" spans="2:14">
      <c r="B169" s="1">
        <v>45716</v>
      </c>
      <c r="C169">
        <v>59.62</v>
      </c>
      <c r="D169">
        <v>980.56</v>
      </c>
      <c r="E169">
        <v>5954.5</v>
      </c>
      <c r="F169">
        <f t="shared" si="29"/>
        <v>4.184456687335387E-3</v>
      </c>
      <c r="G169">
        <f t="shared" si="23"/>
        <v>-7.0205890481990513E-3</v>
      </c>
      <c r="H169">
        <f t="shared" si="23"/>
        <v>-1.7753439375493379E-2</v>
      </c>
      <c r="I169" s="4">
        <f t="shared" si="30"/>
        <v>2.0997111454028917E-3</v>
      </c>
      <c r="J169" s="4">
        <f t="shared" si="31"/>
        <v>-8.7598939367478368E-3</v>
      </c>
      <c r="K169" s="4">
        <f t="shared" si="32"/>
        <v>-1.7885373704479061E-2</v>
      </c>
      <c r="L169">
        <f t="shared" si="28"/>
        <v>4.4087868941291235E-6</v>
      </c>
      <c r="M169">
        <f t="shared" si="27"/>
        <v>7.6735741783071507E-5</v>
      </c>
      <c r="N169">
        <f t="shared" si="27"/>
        <v>3.1988659254887105E-4</v>
      </c>
    </row>
    <row r="170" spans="2:14">
      <c r="B170" s="1">
        <v>45719</v>
      </c>
      <c r="C170">
        <v>59.87</v>
      </c>
      <c r="D170">
        <v>973.7</v>
      </c>
      <c r="E170">
        <v>5849.72</v>
      </c>
      <c r="F170">
        <f t="shared" si="29"/>
        <v>-7.2081445277569663E-3</v>
      </c>
      <c r="G170">
        <f t="shared" si="23"/>
        <v>-1.1509136646623785E-3</v>
      </c>
      <c r="H170">
        <f t="shared" si="23"/>
        <v>-1.2310234603366469E-2</v>
      </c>
      <c r="I170" s="4">
        <f t="shared" si="30"/>
        <v>-9.2928900696894606E-3</v>
      </c>
      <c r="J170" s="4">
        <f t="shared" si="31"/>
        <v>-2.8902185532111648E-3</v>
      </c>
      <c r="K170" s="4">
        <f t="shared" si="32"/>
        <v>-1.2442168932352154E-2</v>
      </c>
      <c r="L170">
        <f t="shared" si="28"/>
        <v>8.6357805847332982E-5</v>
      </c>
      <c r="M170">
        <f t="shared" si="27"/>
        <v>8.3533632853260391E-6</v>
      </c>
      <c r="N170">
        <f t="shared" si="27"/>
        <v>1.5480756774118913E-4</v>
      </c>
    </row>
    <row r="171" spans="2:14">
      <c r="B171" s="1">
        <v>45720</v>
      </c>
      <c r="C171">
        <v>59.44</v>
      </c>
      <c r="D171">
        <v>972.58</v>
      </c>
      <c r="E171">
        <v>5778.15</v>
      </c>
      <c r="F171">
        <f t="shared" si="29"/>
        <v>6.3726527922982621E-3</v>
      </c>
      <c r="G171">
        <f t="shared" si="23"/>
        <v>1.8681470212527657E-2</v>
      </c>
      <c r="H171">
        <f t="shared" si="23"/>
        <v>1.1097475685101249E-2</v>
      </c>
      <c r="I171" s="4">
        <f t="shared" si="30"/>
        <v>4.2879072503657668E-3</v>
      </c>
      <c r="J171" s="4">
        <f t="shared" si="31"/>
        <v>1.694216532397887E-2</v>
      </c>
      <c r="K171" s="4">
        <f t="shared" si="32"/>
        <v>1.0965541356115565E-2</v>
      </c>
      <c r="L171">
        <f t="shared" si="28"/>
        <v>1.8386148587739311E-5</v>
      </c>
      <c r="M171">
        <f t="shared" si="27"/>
        <v>2.8703696586503206E-4</v>
      </c>
      <c r="N171">
        <f t="shared" si="27"/>
        <v>1.2024309723268078E-4</v>
      </c>
    </row>
    <row r="172" spans="2:14">
      <c r="B172" s="1">
        <v>45721</v>
      </c>
      <c r="C172">
        <v>59.82</v>
      </c>
      <c r="D172">
        <v>990.92</v>
      </c>
      <c r="E172">
        <v>5842.63</v>
      </c>
      <c r="F172">
        <f t="shared" si="29"/>
        <v>6.0000180000972011E-3</v>
      </c>
      <c r="G172">
        <f t="shared" si="23"/>
        <v>-8.919722641921897E-2</v>
      </c>
      <c r="H172">
        <f t="shared" si="23"/>
        <v>-1.7979700568310077E-2</v>
      </c>
      <c r="I172" s="4">
        <f t="shared" si="30"/>
        <v>3.9152724581647059E-3</v>
      </c>
      <c r="J172" s="4">
        <f t="shared" si="31"/>
        <v>-9.0936531307767757E-2</v>
      </c>
      <c r="K172" s="4">
        <f t="shared" si="32"/>
        <v>-1.811163489729576E-2</v>
      </c>
      <c r="L172">
        <f t="shared" si="28"/>
        <v>1.5329358421663099E-5</v>
      </c>
      <c r="M172">
        <f t="shared" si="27"/>
        <v>8.2694527262886248E-3</v>
      </c>
      <c r="N172">
        <f t="shared" si="27"/>
        <v>3.280313186529416E-4</v>
      </c>
    </row>
    <row r="173" spans="2:14">
      <c r="B173" s="1">
        <v>45722</v>
      </c>
      <c r="C173">
        <v>60.18</v>
      </c>
      <c r="D173">
        <v>906.36</v>
      </c>
      <c r="E173">
        <v>5738.52</v>
      </c>
      <c r="F173">
        <f t="shared" si="29"/>
        <v>1.5008115459776549E-2</v>
      </c>
      <c r="G173">
        <f t="shared" si="23"/>
        <v>-1.6968701472586434E-2</v>
      </c>
      <c r="H173">
        <f t="shared" si="23"/>
        <v>5.5054046005090125E-3</v>
      </c>
      <c r="I173" s="4">
        <f t="shared" si="30"/>
        <v>1.2923369917844055E-2</v>
      </c>
      <c r="J173" s="4">
        <f t="shared" si="31"/>
        <v>-1.8708006361135222E-2</v>
      </c>
      <c r="K173" s="4">
        <f t="shared" si="32"/>
        <v>5.3734702715233281E-3</v>
      </c>
      <c r="L173">
        <f t="shared" si="28"/>
        <v>1.6701349003343666E-4</v>
      </c>
      <c r="M173">
        <f t="shared" si="27"/>
        <v>3.4998950200827592E-4</v>
      </c>
      <c r="N173">
        <f t="shared" si="27"/>
        <v>2.887418275894499E-5</v>
      </c>
    </row>
    <row r="174" spans="2:14">
      <c r="B174" s="1">
        <v>45723</v>
      </c>
      <c r="C174">
        <v>61.09</v>
      </c>
      <c r="D174">
        <v>891.11</v>
      </c>
      <c r="E174">
        <v>5770.2</v>
      </c>
      <c r="F174">
        <f t="shared" si="29"/>
        <v>3.2531048934472527E-2</v>
      </c>
      <c r="G174">
        <f t="shared" si="23"/>
        <v>-2.7798056802264194E-2</v>
      </c>
      <c r="H174">
        <f t="shared" si="23"/>
        <v>-2.7343518375984407E-2</v>
      </c>
      <c r="I174" s="4">
        <f t="shared" si="30"/>
        <v>3.0446303392540033E-2</v>
      </c>
      <c r="J174" s="4">
        <f t="shared" si="31"/>
        <v>-2.9537361690812981E-2</v>
      </c>
      <c r="K174" s="4">
        <f t="shared" si="32"/>
        <v>-2.747545270497009E-2</v>
      </c>
      <c r="L174">
        <f t="shared" si="28"/>
        <v>9.2697739027059476E-4</v>
      </c>
      <c r="M174">
        <f t="shared" si="27"/>
        <v>8.7245573565390634E-4</v>
      </c>
      <c r="N174">
        <f t="shared" si="27"/>
        <v>7.5490050134304821E-4</v>
      </c>
    </row>
    <row r="175" spans="2:14">
      <c r="B175" s="1">
        <v>45726</v>
      </c>
      <c r="C175">
        <v>63.11</v>
      </c>
      <c r="D175">
        <v>866.68</v>
      </c>
      <c r="E175">
        <v>5614.56</v>
      </c>
      <c r="F175">
        <f t="shared" si="29"/>
        <v>-2.5679472375871305E-2</v>
      </c>
      <c r="G175">
        <f t="shared" si="23"/>
        <v>3.2265624038386925E-2</v>
      </c>
      <c r="H175">
        <f t="shared" si="23"/>
        <v>-7.596604935651537E-3</v>
      </c>
      <c r="I175" s="4">
        <f t="shared" si="30"/>
        <v>-2.7764217917803799E-2</v>
      </c>
      <c r="J175" s="4">
        <f t="shared" si="31"/>
        <v>3.0526319149838138E-2</v>
      </c>
      <c r="K175" s="4">
        <f t="shared" si="32"/>
        <v>-7.7285392646372214E-3</v>
      </c>
      <c r="L175">
        <f t="shared" si="28"/>
        <v>7.7085179658729756E-4</v>
      </c>
      <c r="M175">
        <f t="shared" si="27"/>
        <v>9.3185616083777463E-4</v>
      </c>
      <c r="N175">
        <f t="shared" si="27"/>
        <v>5.9730319165039245E-5</v>
      </c>
    </row>
    <row r="176" spans="2:14">
      <c r="B176" s="1">
        <v>45727</v>
      </c>
      <c r="C176">
        <v>61.51</v>
      </c>
      <c r="D176">
        <v>895.1</v>
      </c>
      <c r="E176">
        <v>5572.07</v>
      </c>
      <c r="F176">
        <f t="shared" si="29"/>
        <v>-2.8026892163811143E-2</v>
      </c>
      <c r="G176">
        <f t="shared" si="23"/>
        <v>2.7090339573712149E-2</v>
      </c>
      <c r="H176">
        <f t="shared" si="23"/>
        <v>4.8749712752344252E-3</v>
      </c>
      <c r="I176" s="4">
        <f t="shared" si="30"/>
        <v>-3.0111637705743637E-2</v>
      </c>
      <c r="J176" s="4">
        <f t="shared" si="31"/>
        <v>2.5351034685163362E-2</v>
      </c>
      <c r="K176" s="4">
        <f t="shared" si="32"/>
        <v>4.7430369462487408E-3</v>
      </c>
      <c r="L176">
        <f t="shared" si="28"/>
        <v>9.0671072532196191E-4</v>
      </c>
      <c r="M176">
        <f t="shared" si="27"/>
        <v>6.4267495960835586E-4</v>
      </c>
      <c r="N176">
        <f t="shared" si="27"/>
        <v>2.249639947348058E-5</v>
      </c>
    </row>
    <row r="177" spans="2:15">
      <c r="B177" s="1">
        <v>45728</v>
      </c>
      <c r="C177">
        <v>59.81</v>
      </c>
      <c r="D177">
        <v>919.68</v>
      </c>
      <c r="E177">
        <v>5599.3</v>
      </c>
      <c r="F177">
        <f t="shared" si="29"/>
        <v>7.8275027018290307E-3</v>
      </c>
      <c r="G177">
        <f t="shared" si="23"/>
        <v>-3.2613327728788312E-2</v>
      </c>
      <c r="H177">
        <f t="shared" si="23"/>
        <v>-1.3988405225352909E-2</v>
      </c>
      <c r="I177" s="4">
        <f t="shared" si="30"/>
        <v>5.7427571598965355E-3</v>
      </c>
      <c r="J177" s="4">
        <f t="shared" si="31"/>
        <v>-3.4352632617337099E-2</v>
      </c>
      <c r="K177" s="4">
        <f t="shared" si="32"/>
        <v>-1.4120339554338593E-2</v>
      </c>
      <c r="L177">
        <f t="shared" si="28"/>
        <v>3.2979259797542925E-5</v>
      </c>
      <c r="M177">
        <f t="shared" si="27"/>
        <v>1.1801033677417327E-3</v>
      </c>
      <c r="N177">
        <f t="shared" si="27"/>
        <v>1.9938398912981901E-4</v>
      </c>
    </row>
    <row r="178" spans="2:15">
      <c r="B178" s="1">
        <v>45729</v>
      </c>
      <c r="C178">
        <v>60.28</v>
      </c>
      <c r="D178">
        <v>890.17</v>
      </c>
      <c r="E178">
        <v>5521.52</v>
      </c>
      <c r="F178">
        <f t="shared" si="29"/>
        <v>-2.1293452689217396E-2</v>
      </c>
      <c r="G178">
        <f t="shared" si="23"/>
        <v>3.0784934898673386E-2</v>
      </c>
      <c r="H178">
        <f t="shared" si="23"/>
        <v>2.1042919881408308E-2</v>
      </c>
      <c r="I178" s="4">
        <f t="shared" si="30"/>
        <v>-2.337819823114989E-2</v>
      </c>
      <c r="J178" s="4">
        <f t="shared" si="31"/>
        <v>2.9045630010124598E-2</v>
      </c>
      <c r="K178" s="4">
        <f t="shared" si="32"/>
        <v>2.0910985552422625E-2</v>
      </c>
      <c r="L178">
        <f t="shared" si="28"/>
        <v>5.4654015253493985E-4</v>
      </c>
      <c r="M178">
        <f t="shared" si="27"/>
        <v>8.4364862268505067E-4</v>
      </c>
      <c r="N178">
        <f t="shared" si="27"/>
        <v>4.3726931677362773E-4</v>
      </c>
    </row>
    <row r="179" spans="2:15">
      <c r="B179" s="1">
        <v>45730</v>
      </c>
      <c r="C179">
        <v>59.01</v>
      </c>
      <c r="D179">
        <v>918</v>
      </c>
      <c r="E179">
        <v>5638.94</v>
      </c>
      <c r="F179">
        <f t="shared" si="29"/>
        <v>1.6470960595924497E-2</v>
      </c>
      <c r="G179">
        <f t="shared" si="23"/>
        <v>3.4285646384071375E-2</v>
      </c>
      <c r="H179">
        <f t="shared" si="23"/>
        <v>6.3956039343475201E-3</v>
      </c>
      <c r="I179" s="4">
        <f t="shared" si="30"/>
        <v>1.4386215053992003E-2</v>
      </c>
      <c r="J179" s="4">
        <f t="shared" si="31"/>
        <v>3.2546341495522588E-2</v>
      </c>
      <c r="K179" s="4">
        <f t="shared" si="32"/>
        <v>6.2636696053618357E-3</v>
      </c>
      <c r="L179">
        <f t="shared" si="28"/>
        <v>2.0696318357970613E-4</v>
      </c>
      <c r="M179">
        <f t="shared" si="27"/>
        <v>1.0592643447431755E-3</v>
      </c>
      <c r="N179">
        <f t="shared" si="27"/>
        <v>3.9233556925133691E-5</v>
      </c>
    </row>
    <row r="180" spans="2:15">
      <c r="B180" s="1">
        <v>45733</v>
      </c>
      <c r="C180">
        <v>59.99</v>
      </c>
      <c r="D180">
        <v>950.02</v>
      </c>
      <c r="E180">
        <v>5675.12</v>
      </c>
      <c r="F180">
        <f t="shared" si="29"/>
        <v>-1.5013765435980947E-3</v>
      </c>
      <c r="G180">
        <f t="shared" si="23"/>
        <v>-2.1319956464848241E-2</v>
      </c>
      <c r="H180">
        <f t="shared" si="23"/>
        <v>-1.071067425391002E-2</v>
      </c>
      <c r="I180" s="4">
        <f t="shared" si="30"/>
        <v>-3.5861220855305902E-3</v>
      </c>
      <c r="J180" s="4">
        <f t="shared" si="31"/>
        <v>-2.3059261353397028E-2</v>
      </c>
      <c r="K180" s="4">
        <f t="shared" si="32"/>
        <v>-1.0842608582895704E-2</v>
      </c>
      <c r="L180">
        <f t="shared" si="28"/>
        <v>1.286027161233027E-5</v>
      </c>
      <c r="M180">
        <f t="shared" si="27"/>
        <v>5.3172953416426977E-4</v>
      </c>
      <c r="N180">
        <f t="shared" si="27"/>
        <v>1.1756216088188359E-4</v>
      </c>
    </row>
    <row r="181" spans="2:15">
      <c r="B181" s="1">
        <v>45734</v>
      </c>
      <c r="C181">
        <v>59.9</v>
      </c>
      <c r="D181">
        <v>929.98</v>
      </c>
      <c r="E181">
        <v>5614.66</v>
      </c>
      <c r="F181">
        <f t="shared" si="29"/>
        <v>3.0005023344757162E-3</v>
      </c>
      <c r="G181">
        <f t="shared" si="23"/>
        <v>3.1238812758889588E-2</v>
      </c>
      <c r="H181">
        <f t="shared" si="23"/>
        <v>1.0740629118978858E-2</v>
      </c>
      <c r="I181" s="4">
        <f t="shared" si="30"/>
        <v>9.1575679254322093E-4</v>
      </c>
      <c r="J181" s="4">
        <f t="shared" si="31"/>
        <v>2.9499507870340801E-2</v>
      </c>
      <c r="K181" s="4">
        <f t="shared" si="32"/>
        <v>1.0608694789993173E-2</v>
      </c>
      <c r="L181">
        <f t="shared" si="28"/>
        <v>8.3861050308904782E-7</v>
      </c>
      <c r="M181">
        <f t="shared" si="27"/>
        <v>8.7022096459229883E-4</v>
      </c>
      <c r="N181">
        <f t="shared" si="27"/>
        <v>1.1254440514722831E-4</v>
      </c>
    </row>
    <row r="182" spans="2:15">
      <c r="B182" s="1">
        <v>45735</v>
      </c>
      <c r="C182">
        <v>60.08</v>
      </c>
      <c r="D182">
        <v>959.49</v>
      </c>
      <c r="E182">
        <v>5675.29</v>
      </c>
      <c r="F182">
        <f t="shared" si="29"/>
        <v>5.6431685026465707E-3</v>
      </c>
      <c r="G182">
        <f t="shared" si="23"/>
        <v>-9.0560888615473234E-3</v>
      </c>
      <c r="H182">
        <f t="shared" si="23"/>
        <v>-2.1873007738032347E-3</v>
      </c>
      <c r="I182" s="4">
        <f t="shared" si="30"/>
        <v>3.5584229607140755E-3</v>
      </c>
      <c r="J182" s="4">
        <f t="shared" si="31"/>
        <v>-1.0795393750096111E-2</v>
      </c>
      <c r="K182" s="4">
        <f t="shared" si="32"/>
        <v>-2.3192351027889191E-3</v>
      </c>
      <c r="L182">
        <f t="shared" si="28"/>
        <v>1.2662373967337127E-5</v>
      </c>
      <c r="M182">
        <f t="shared" si="27"/>
        <v>1.1654052621961417E-4</v>
      </c>
      <c r="N182">
        <f t="shared" si="27"/>
        <v>5.3788514620083278E-6</v>
      </c>
    </row>
    <row r="183" spans="2:15">
      <c r="B183" s="1">
        <v>45736</v>
      </c>
      <c r="C183">
        <v>60.42</v>
      </c>
      <c r="D183">
        <v>950.84</v>
      </c>
      <c r="E183">
        <v>5662.89</v>
      </c>
      <c r="F183">
        <f t="shared" si="29"/>
        <v>9.3897403498391374E-3</v>
      </c>
      <c r="G183">
        <f t="shared" si="23"/>
        <v>4.1979827403880289E-3</v>
      </c>
      <c r="H183">
        <f t="shared" si="23"/>
        <v>8.2432741231720308E-4</v>
      </c>
      <c r="I183" s="4">
        <f t="shared" si="30"/>
        <v>7.3049948079066422E-3</v>
      </c>
      <c r="J183" s="4">
        <f t="shared" si="31"/>
        <v>2.4586778518392426E-3</v>
      </c>
      <c r="K183" s="4">
        <f t="shared" si="32"/>
        <v>6.9239308333151879E-4</v>
      </c>
      <c r="L183">
        <f t="shared" si="28"/>
        <v>5.3362949143542998E-5</v>
      </c>
      <c r="M183">
        <f t="shared" si="27"/>
        <v>6.0450967791248325E-6</v>
      </c>
      <c r="N183">
        <f t="shared" si="27"/>
        <v>4.7940818184532749E-7</v>
      </c>
    </row>
    <row r="184" spans="2:15">
      <c r="B184" s="1">
        <v>45737</v>
      </c>
      <c r="C184">
        <v>60.99</v>
      </c>
      <c r="D184">
        <v>954.84</v>
      </c>
      <c r="E184">
        <v>5667.56</v>
      </c>
      <c r="F184">
        <f t="shared" si="29"/>
        <v>9.8328424834858981E-4</v>
      </c>
      <c r="G184">
        <f t="shared" si="23"/>
        <v>1.780172916422915E-2</v>
      </c>
      <c r="H184">
        <f t="shared" ref="H184:H189" si="33">LN(E185/E184)</f>
        <v>1.7492157944606672E-2</v>
      </c>
      <c r="I184" s="4">
        <f t="shared" si="30"/>
        <v>-1.1014612935839054E-3</v>
      </c>
      <c r="J184" s="4">
        <f t="shared" si="31"/>
        <v>1.6062424275680363E-2</v>
      </c>
      <c r="K184" s="4">
        <f t="shared" si="32"/>
        <v>1.7360223615620989E-2</v>
      </c>
      <c r="L184">
        <f t="shared" si="28"/>
        <v>1.2132169812635303E-6</v>
      </c>
      <c r="M184">
        <f t="shared" si="27"/>
        <v>2.5800147361196583E-4</v>
      </c>
      <c r="N184">
        <f t="shared" ref="N184:N189" si="34">K184^2</f>
        <v>3.013773639843647E-4</v>
      </c>
    </row>
    <row r="185" spans="2:15">
      <c r="B185" s="1">
        <v>45740</v>
      </c>
      <c r="C185">
        <v>61.05</v>
      </c>
      <c r="D185">
        <v>971.99</v>
      </c>
      <c r="E185">
        <v>5767.57</v>
      </c>
      <c r="F185">
        <f t="shared" si="29"/>
        <v>-3.0940591854079956E-2</v>
      </c>
      <c r="G185">
        <f t="shared" si="29"/>
        <v>2.5686056718867388E-2</v>
      </c>
      <c r="H185">
        <f t="shared" si="33"/>
        <v>1.5730819184730236E-3</v>
      </c>
      <c r="I185" s="4">
        <f t="shared" si="30"/>
        <v>-3.3025337396012454E-2</v>
      </c>
      <c r="J185" s="4">
        <f t="shared" si="31"/>
        <v>2.3946751830318601E-2</v>
      </c>
      <c r="K185" s="4">
        <f t="shared" si="32"/>
        <v>1.4411475894873394E-3</v>
      </c>
      <c r="L185">
        <f t="shared" si="28"/>
        <v>1.0906729101204586E-3</v>
      </c>
      <c r="M185">
        <f t="shared" si="28"/>
        <v>5.7344692322286721E-4</v>
      </c>
      <c r="N185">
        <f t="shared" si="34"/>
        <v>2.0769063746851688E-6</v>
      </c>
      <c r="O185" s="1"/>
    </row>
    <row r="186" spans="2:15">
      <c r="B186" s="1">
        <v>45741</v>
      </c>
      <c r="C186">
        <v>59.19</v>
      </c>
      <c r="D186">
        <v>997.28</v>
      </c>
      <c r="E186">
        <v>5776.65</v>
      </c>
      <c r="F186">
        <f t="shared" si="29"/>
        <v>3.3783784105104967E-4</v>
      </c>
      <c r="G186">
        <f t="shared" si="29"/>
        <v>-2.7065622889155656E-2</v>
      </c>
      <c r="H186">
        <f t="shared" si="33"/>
        <v>-1.1219691455108281E-2</v>
      </c>
      <c r="I186" s="4">
        <f t="shared" si="30"/>
        <v>-1.7469077008814456E-3</v>
      </c>
      <c r="J186" s="4">
        <f t="shared" si="31"/>
        <v>-2.8804927777704444E-2</v>
      </c>
      <c r="K186" s="4">
        <f t="shared" si="32"/>
        <v>-1.1351625784093966E-2</v>
      </c>
      <c r="L186">
        <f t="shared" si="28"/>
        <v>3.0516865153988981E-6</v>
      </c>
      <c r="M186">
        <f t="shared" si="28"/>
        <v>8.2972386427876909E-4</v>
      </c>
      <c r="N186">
        <f t="shared" si="34"/>
        <v>1.2885940794210695E-4</v>
      </c>
      <c r="O186" s="1"/>
    </row>
    <row r="187" spans="2:15">
      <c r="B187" s="1">
        <v>45742</v>
      </c>
      <c r="C187">
        <v>59.21</v>
      </c>
      <c r="D187">
        <v>970.65</v>
      </c>
      <c r="E187">
        <v>5712.2</v>
      </c>
      <c r="F187">
        <f t="shared" si="29"/>
        <v>-5.2493558861437901E-3</v>
      </c>
      <c r="G187">
        <f t="shared" si="29"/>
        <v>6.2340691892153162E-3</v>
      </c>
      <c r="H187">
        <f t="shared" si="33"/>
        <v>-3.3124371066493626E-3</v>
      </c>
      <c r="I187" s="4">
        <f t="shared" si="30"/>
        <v>-7.3341014280762853E-3</v>
      </c>
      <c r="J187" s="4">
        <f t="shared" si="31"/>
        <v>4.4947643006665299E-3</v>
      </c>
      <c r="K187" s="4">
        <f t="shared" si="32"/>
        <v>-3.444371435635047E-3</v>
      </c>
      <c r="L187">
        <f t="shared" si="28"/>
        <v>5.378904375731061E-5</v>
      </c>
      <c r="M187">
        <f t="shared" si="28"/>
        <v>2.0202906118546278E-5</v>
      </c>
      <c r="N187">
        <f t="shared" si="34"/>
        <v>1.1863694586618636E-5</v>
      </c>
      <c r="O187" s="1"/>
    </row>
    <row r="188" spans="2:15">
      <c r="B188" s="1">
        <v>45743</v>
      </c>
      <c r="C188">
        <v>58.9</v>
      </c>
      <c r="D188">
        <v>976.72</v>
      </c>
      <c r="E188">
        <v>5693.31</v>
      </c>
      <c r="F188">
        <f t="shared" si="29"/>
        <v>1.8836749354680035E-2</v>
      </c>
      <c r="G188">
        <f t="shared" si="29"/>
        <v>-4.4884193600983939E-2</v>
      </c>
      <c r="H188">
        <f t="shared" si="33"/>
        <v>-1.9934580336265845E-2</v>
      </c>
      <c r="I188" s="4">
        <f t="shared" si="30"/>
        <v>1.6752003812747541E-2</v>
      </c>
      <c r="J188" s="4">
        <f t="shared" si="31"/>
        <v>-4.6623498489532726E-2</v>
      </c>
      <c r="K188" s="4">
        <f t="shared" si="32"/>
        <v>-2.0066514665251528E-2</v>
      </c>
      <c r="L188">
        <f t="shared" si="28"/>
        <v>2.8062963174230816E-4</v>
      </c>
      <c r="M188">
        <f t="shared" si="28"/>
        <v>2.1737506114034603E-3</v>
      </c>
      <c r="N188">
        <f t="shared" si="34"/>
        <v>4.0266501081075466E-4</v>
      </c>
    </row>
    <row r="189" spans="2:15">
      <c r="B189" s="1">
        <v>45744</v>
      </c>
      <c r="C189">
        <v>60.02</v>
      </c>
      <c r="D189">
        <v>933.85</v>
      </c>
      <c r="E189">
        <v>5580.94</v>
      </c>
      <c r="F189">
        <f t="shared" si="29"/>
        <v>1.6032076296143966E-2</v>
      </c>
      <c r="G189">
        <f t="shared" si="29"/>
        <v>-1.4145031773703139E-3</v>
      </c>
      <c r="H189">
        <f t="shared" si="33"/>
        <v>5.523212456950013E-3</v>
      </c>
      <c r="I189" s="4">
        <f t="shared" si="30"/>
        <v>1.3947330754211472E-2</v>
      </c>
      <c r="J189" s="4">
        <f t="shared" si="31"/>
        <v>-3.1538080659191002E-3</v>
      </c>
      <c r="K189" s="4">
        <f t="shared" si="32"/>
        <v>5.3912781279643286E-3</v>
      </c>
      <c r="L189">
        <f t="shared" si="28"/>
        <v>1.9452803516737316E-4</v>
      </c>
      <c r="M189">
        <f t="shared" si="28"/>
        <v>9.9465053166563749E-6</v>
      </c>
      <c r="N189">
        <f t="shared" si="34"/>
        <v>2.9065879853066554E-5</v>
      </c>
    </row>
    <row r="190" spans="2:15">
      <c r="B190" s="1">
        <v>45747</v>
      </c>
      <c r="C190">
        <v>60.99</v>
      </c>
      <c r="D190">
        <v>932.53</v>
      </c>
      <c r="E190">
        <v>5611.85</v>
      </c>
    </row>
    <row r="192" spans="2:15">
      <c r="B192" t="s">
        <v>9</v>
      </c>
      <c r="C192">
        <f>COUNT(B3:B190)</f>
        <v>188</v>
      </c>
      <c r="E192" t="s">
        <v>10</v>
      </c>
      <c r="F192" s="13">
        <v>4.2049999999999997E-2</v>
      </c>
      <c r="J192" t="s">
        <v>11</v>
      </c>
      <c r="K192">
        <f>SUM(L3:L183)</f>
        <v>6.6320237694299941E-2</v>
      </c>
      <c r="L192">
        <f>SUM(M3:M183)</f>
        <v>7.1184011480199622E-2</v>
      </c>
      <c r="M192">
        <f>SUM(N3:N185)</f>
        <v>1.6176988158146555E-2</v>
      </c>
    </row>
    <row r="193" spans="5:13">
      <c r="J193" t="s">
        <v>12</v>
      </c>
      <c r="K193">
        <f>K192/($C$192-1)</f>
        <v>3.5465367750962535E-4</v>
      </c>
      <c r="L193">
        <f>L192/($C$192-1)</f>
        <v>3.8066316299571989E-4</v>
      </c>
      <c r="M193">
        <f>M192/($C$192-1)</f>
        <v>8.6507958064954834E-5</v>
      </c>
    </row>
    <row r="194" spans="5:13">
      <c r="E194" t="s">
        <v>13</v>
      </c>
      <c r="F194" s="3">
        <f>AVERAGE(F3:F189)</f>
        <v>2.0847455419324952E-3</v>
      </c>
      <c r="G194" s="3">
        <f t="shared" ref="G194:H194" si="35">AVERAGE(G3:G189)</f>
        <v>1.7393048885487863E-3</v>
      </c>
      <c r="H194" s="3">
        <f t="shared" si="35"/>
        <v>1.3193432898568429E-4</v>
      </c>
      <c r="J194" t="s">
        <v>14</v>
      </c>
      <c r="K194" s="3">
        <f>SQRT(K193)</f>
        <v>1.8832250994228635E-2</v>
      </c>
      <c r="L194" s="3">
        <f>SQRT(L193)</f>
        <v>1.9510591046806344E-2</v>
      </c>
      <c r="M194" s="3">
        <f>SQRT(M193)</f>
        <v>9.3009654372519217E-3</v>
      </c>
    </row>
    <row r="195" spans="5:13">
      <c r="E195" t="s">
        <v>15</v>
      </c>
      <c r="F195" s="5">
        <f>F194*252</f>
        <v>0.52535587656698879</v>
      </c>
      <c r="G195" s="5">
        <f>G194*252</f>
        <v>0.43830483191429415</v>
      </c>
      <c r="H195" s="5">
        <f>H194*252</f>
        <v>3.3247450904392441E-2</v>
      </c>
      <c r="J195" t="s">
        <v>16</v>
      </c>
      <c r="K195" s="5">
        <f>K194*SQRT(252)</f>
        <v>0.2989527165496671</v>
      </c>
      <c r="L195" s="5">
        <f t="shared" ref="L195:M195" si="36">L194*SQRT(252)</f>
        <v>0.30972103105039772</v>
      </c>
      <c r="M195" s="5">
        <f t="shared" si="36"/>
        <v>0.14764824899865431</v>
      </c>
    </row>
    <row r="198" spans="5:13">
      <c r="E198" t="s">
        <v>17</v>
      </c>
      <c r="F198">
        <v>1.645</v>
      </c>
    </row>
    <row r="199" spans="5:13">
      <c r="E199" t="s">
        <v>18</v>
      </c>
      <c r="F199" s="4">
        <f>K194</f>
        <v>1.8832250994228635E-2</v>
      </c>
      <c r="G199" s="4">
        <f>L194</f>
        <v>1.9510591046806344E-2</v>
      </c>
    </row>
    <row r="200" spans="5:13">
      <c r="E200" t="s">
        <v>19</v>
      </c>
      <c r="F200" s="6">
        <f>C190</f>
        <v>60.99</v>
      </c>
      <c r="G200" s="6">
        <f>D190</f>
        <v>932.53</v>
      </c>
    </row>
    <row r="203" spans="5:13">
      <c r="E203" t="s">
        <v>20</v>
      </c>
      <c r="F203" s="6">
        <f>F198*F199*F200</f>
        <v>1.8894124354870174</v>
      </c>
      <c r="G203" s="6">
        <f>F198*G199*G200</f>
        <v>29.929477866304836</v>
      </c>
      <c r="H203" t="s">
        <v>21</v>
      </c>
    </row>
  </sheetData>
  <sortState xmlns:xlrd2="http://schemas.microsoft.com/office/spreadsheetml/2017/richdata2" ref="B185:C190">
    <sortCondition ref="B184:B190"/>
  </sortState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F749-BC31-4F96-8388-4977A2E0FF4F}">
  <dimension ref="A1:L190"/>
  <sheetViews>
    <sheetView zoomScale="175" zoomScaleNormal="175" workbookViewId="0">
      <selection activeCell="K11" sqref="K11"/>
    </sheetView>
  </sheetViews>
  <sheetFormatPr defaultRowHeight="14.25"/>
  <cols>
    <col min="6" max="6" width="11.5703125" bestFit="1" customWidth="1"/>
    <col min="7" max="7" width="9.42578125" bestFit="1" customWidth="1"/>
    <col min="8" max="8" width="6.42578125" bestFit="1" customWidth="1"/>
    <col min="10" max="10" width="9.42578125" bestFit="1" customWidth="1"/>
    <col min="11" max="11" width="10.140625" bestFit="1" customWidth="1"/>
  </cols>
  <sheetData>
    <row r="1" spans="1:12">
      <c r="B1" t="s">
        <v>3</v>
      </c>
      <c r="C1" t="s">
        <v>2</v>
      </c>
      <c r="D1" t="s">
        <v>3</v>
      </c>
      <c r="E1" t="s">
        <v>2</v>
      </c>
      <c r="F1" t="s">
        <v>22</v>
      </c>
      <c r="G1" t="s">
        <v>23</v>
      </c>
      <c r="H1" t="s">
        <v>24</v>
      </c>
    </row>
    <row r="2" spans="1:12">
      <c r="A2" t="s">
        <v>4</v>
      </c>
      <c r="B2" t="s">
        <v>5</v>
      </c>
      <c r="C2" t="s">
        <v>5</v>
      </c>
      <c r="D2" t="s">
        <v>6</v>
      </c>
      <c r="F2" s="4">
        <f>'Q 1&amp;2'!F192</f>
        <v>4.2049999999999997E-2</v>
      </c>
      <c r="J2" t="s">
        <v>25</v>
      </c>
      <c r="K2" s="12">
        <f>SLOPE(G3:G190,H3:H190)</f>
        <v>1.6832064273227077E-2</v>
      </c>
    </row>
    <row r="3" spans="1:12">
      <c r="A3" s="1">
        <v>45474</v>
      </c>
      <c r="B3">
        <v>41.3</v>
      </c>
      <c r="C3">
        <v>5475.09</v>
      </c>
      <c r="D3">
        <f t="shared" ref="D3:D34" si="0">LN(B4/B3)</f>
        <v>-2.0795856462486256E-2</v>
      </c>
      <c r="E3">
        <f t="shared" ref="E3:E34" si="1">LN(C4/C3)</f>
        <v>6.1762197767835335E-3</v>
      </c>
      <c r="G3">
        <f>B3-$F$2/252</f>
        <v>41.299833134920632</v>
      </c>
      <c r="H3">
        <f>C3-$F$2/252</f>
        <v>5475.0898331349208</v>
      </c>
    </row>
    <row r="4" spans="1:12">
      <c r="A4" s="1">
        <v>45475</v>
      </c>
      <c r="B4">
        <v>40.450000000000003</v>
      </c>
      <c r="C4">
        <v>5509.01</v>
      </c>
      <c r="D4">
        <f t="shared" si="0"/>
        <v>-9.688313266828499E-3</v>
      </c>
      <c r="E4">
        <f t="shared" si="1"/>
        <v>5.0715161981972666E-3</v>
      </c>
      <c r="G4">
        <f t="shared" ref="G4:G67" si="2">B4-$F$2/252</f>
        <v>40.449833134920638</v>
      </c>
      <c r="H4">
        <f t="shared" ref="H4:H67" si="3">C4-$F$2/252</f>
        <v>5509.0098331349209</v>
      </c>
      <c r="J4" t="s">
        <v>26</v>
      </c>
      <c r="K4" s="12" cm="1">
        <f t="array" ref="K4:L4">LINEST(G3:G190,H3:H190,FALSE,FALSE)</f>
        <v>9.284193326453815E-3</v>
      </c>
      <c r="L4">
        <v>0</v>
      </c>
    </row>
    <row r="5" spans="1:12">
      <c r="A5" s="1">
        <v>45476</v>
      </c>
      <c r="B5">
        <v>40.06</v>
      </c>
      <c r="C5">
        <v>5537.02</v>
      </c>
      <c r="D5">
        <f t="shared" si="0"/>
        <v>-1.0035207146022459E-2</v>
      </c>
      <c r="E5">
        <f t="shared" si="1"/>
        <v>5.4339884131971751E-3</v>
      </c>
      <c r="G5">
        <f t="shared" si="2"/>
        <v>40.059833134920638</v>
      </c>
      <c r="H5">
        <f>C5-$F$2/252</f>
        <v>5537.0198331349211</v>
      </c>
    </row>
    <row r="6" spans="1:12">
      <c r="A6" s="1">
        <v>45478</v>
      </c>
      <c r="B6">
        <v>39.659999999999997</v>
      </c>
      <c r="C6">
        <v>5567.19</v>
      </c>
      <c r="D6">
        <f t="shared" si="0"/>
        <v>8.286299767077154E-3</v>
      </c>
      <c r="E6">
        <f t="shared" si="1"/>
        <v>1.0161544279964853E-3</v>
      </c>
      <c r="G6">
        <f t="shared" si="2"/>
        <v>39.659833134920632</v>
      </c>
      <c r="H6">
        <f t="shared" si="3"/>
        <v>5567.1898331349203</v>
      </c>
    </row>
    <row r="7" spans="1:12">
      <c r="A7" s="1">
        <v>45481</v>
      </c>
      <c r="B7">
        <v>39.99</v>
      </c>
      <c r="C7">
        <v>5572.85</v>
      </c>
      <c r="D7">
        <f t="shared" si="0"/>
        <v>2.152216653074884E-2</v>
      </c>
      <c r="E7">
        <f t="shared" si="1"/>
        <v>7.4081850375864739E-4</v>
      </c>
      <c r="G7">
        <f t="shared" si="2"/>
        <v>39.989833134920637</v>
      </c>
      <c r="H7">
        <f t="shared" si="3"/>
        <v>5572.849833134921</v>
      </c>
    </row>
    <row r="8" spans="1:12">
      <c r="A8" s="1">
        <v>45482</v>
      </c>
      <c r="B8">
        <v>40.86</v>
      </c>
      <c r="C8">
        <v>5576.98</v>
      </c>
      <c r="D8">
        <f t="shared" si="0"/>
        <v>6.3430317574336443E-3</v>
      </c>
      <c r="E8">
        <f t="shared" si="1"/>
        <v>1.0156283642139425E-2</v>
      </c>
      <c r="G8">
        <f t="shared" si="2"/>
        <v>40.859833134920635</v>
      </c>
      <c r="H8">
        <f t="shared" si="3"/>
        <v>5576.9798331349202</v>
      </c>
    </row>
    <row r="9" spans="1:12">
      <c r="A9" s="1">
        <v>45483</v>
      </c>
      <c r="B9">
        <v>41.12</v>
      </c>
      <c r="C9">
        <v>5633.91</v>
      </c>
      <c r="D9">
        <f t="shared" si="0"/>
        <v>-9.0387814600379202E-3</v>
      </c>
      <c r="E9">
        <f t="shared" si="1"/>
        <v>-8.8016292301766504E-3</v>
      </c>
      <c r="G9">
        <f t="shared" si="2"/>
        <v>41.119833134920633</v>
      </c>
      <c r="H9">
        <f t="shared" si="3"/>
        <v>5633.9098331349205</v>
      </c>
    </row>
    <row r="10" spans="1:12">
      <c r="A10" s="1">
        <v>45484</v>
      </c>
      <c r="B10">
        <v>40.75</v>
      </c>
      <c r="C10">
        <v>5584.54</v>
      </c>
      <c r="D10">
        <f t="shared" si="0"/>
        <v>-7.142007947272289E-3</v>
      </c>
      <c r="E10">
        <f t="shared" si="1"/>
        <v>5.5018536287759819E-3</v>
      </c>
      <c r="G10">
        <f t="shared" si="2"/>
        <v>40.749833134920635</v>
      </c>
      <c r="H10">
        <f t="shared" si="3"/>
        <v>5584.5398331349206</v>
      </c>
    </row>
    <row r="11" spans="1:12">
      <c r="A11" s="1">
        <v>45485</v>
      </c>
      <c r="B11">
        <v>40.46</v>
      </c>
      <c r="C11">
        <v>5615.35</v>
      </c>
      <c r="D11">
        <f t="shared" si="0"/>
        <v>-7.6913913468287659E-3</v>
      </c>
      <c r="E11">
        <f t="shared" si="1"/>
        <v>2.822195662042845E-3</v>
      </c>
      <c r="G11">
        <f t="shared" si="2"/>
        <v>40.459833134920636</v>
      </c>
      <c r="H11">
        <f t="shared" si="3"/>
        <v>5615.349833134921</v>
      </c>
      <c r="J11" t="s">
        <v>25</v>
      </c>
      <c r="K11">
        <f>SLOPE(G3:G190, H3:H190)</f>
        <v>1.6832064273227077E-2</v>
      </c>
    </row>
    <row r="12" spans="1:12">
      <c r="A12" s="1">
        <v>45488</v>
      </c>
      <c r="B12">
        <v>40.15</v>
      </c>
      <c r="C12">
        <v>5631.22</v>
      </c>
      <c r="D12">
        <f t="shared" si="0"/>
        <v>2.5815815962710129E-2</v>
      </c>
      <c r="E12">
        <f t="shared" si="1"/>
        <v>6.3690536600414091E-3</v>
      </c>
      <c r="G12">
        <f t="shared" si="2"/>
        <v>40.149833134920634</v>
      </c>
      <c r="H12">
        <f t="shared" si="3"/>
        <v>5631.2198331349209</v>
      </c>
      <c r="J12" t="s">
        <v>26</v>
      </c>
      <c r="K12" cm="1">
        <f t="array" ref="K12:L12">LINEST(G3:G190, H3:H190)</f>
        <v>1.683206427322707E-2</v>
      </c>
      <c r="L12" s="14">
        <v>-43.685991787595583</v>
      </c>
    </row>
    <row r="13" spans="1:12">
      <c r="A13" s="1">
        <v>45489</v>
      </c>
      <c r="B13">
        <v>41.2</v>
      </c>
      <c r="C13">
        <v>5667.2</v>
      </c>
      <c r="D13">
        <f t="shared" si="0"/>
        <v>4.6244161173956071E-2</v>
      </c>
      <c r="E13">
        <f t="shared" si="1"/>
        <v>-1.4025410555021933E-2</v>
      </c>
      <c r="G13">
        <f t="shared" si="2"/>
        <v>41.199833134920638</v>
      </c>
      <c r="H13">
        <f t="shared" si="3"/>
        <v>5667.1998331349205</v>
      </c>
    </row>
    <row r="14" spans="1:12">
      <c r="A14" s="1">
        <v>45490</v>
      </c>
      <c r="B14">
        <v>43.15</v>
      </c>
      <c r="C14">
        <v>5588.27</v>
      </c>
      <c r="D14">
        <f t="shared" si="0"/>
        <v>-1.7769932164891145E-2</v>
      </c>
      <c r="E14">
        <f t="shared" si="1"/>
        <v>-7.8470804696827295E-3</v>
      </c>
      <c r="G14">
        <f t="shared" si="2"/>
        <v>43.149833134920634</v>
      </c>
      <c r="H14">
        <f t="shared" si="3"/>
        <v>5588.2698331349211</v>
      </c>
    </row>
    <row r="15" spans="1:12">
      <c r="A15" s="1">
        <v>45491</v>
      </c>
      <c r="B15">
        <v>42.39</v>
      </c>
      <c r="C15">
        <v>5544.59</v>
      </c>
      <c r="D15">
        <f t="shared" si="0"/>
        <v>5.8802944930433599E-3</v>
      </c>
      <c r="E15">
        <f t="shared" si="1"/>
        <v>-7.1659074070294041E-3</v>
      </c>
      <c r="G15">
        <f t="shared" si="2"/>
        <v>42.389833134920636</v>
      </c>
      <c r="H15">
        <f t="shared" si="3"/>
        <v>5544.5898331349208</v>
      </c>
    </row>
    <row r="16" spans="1:12">
      <c r="A16" s="1">
        <v>45492</v>
      </c>
      <c r="B16">
        <v>42.64</v>
      </c>
      <c r="C16">
        <v>5505</v>
      </c>
      <c r="D16">
        <f t="shared" si="0"/>
        <v>7.0331734231949042E-4</v>
      </c>
      <c r="E16">
        <f t="shared" si="1"/>
        <v>1.0734189165974961E-2</v>
      </c>
      <c r="G16">
        <f t="shared" si="2"/>
        <v>42.639833134920636</v>
      </c>
      <c r="H16">
        <f t="shared" si="3"/>
        <v>5504.9998331349207</v>
      </c>
    </row>
    <row r="17" spans="1:8">
      <c r="A17" s="1">
        <v>45495</v>
      </c>
      <c r="B17">
        <v>42.67</v>
      </c>
      <c r="C17">
        <v>5564.41</v>
      </c>
      <c r="D17">
        <f t="shared" si="0"/>
        <v>7.2387940144556786E-3</v>
      </c>
      <c r="E17">
        <f t="shared" si="1"/>
        <v>-1.5593317997995005E-3</v>
      </c>
      <c r="G17">
        <f t="shared" si="2"/>
        <v>42.669833134920637</v>
      </c>
      <c r="H17">
        <f t="shared" si="3"/>
        <v>5564.4098331349205</v>
      </c>
    </row>
    <row r="18" spans="1:8">
      <c r="A18" s="1">
        <v>45496</v>
      </c>
      <c r="B18">
        <v>42.98</v>
      </c>
      <c r="C18">
        <v>5555.74</v>
      </c>
      <c r="D18">
        <f t="shared" si="0"/>
        <v>3.8343355197647436E-2</v>
      </c>
      <c r="E18">
        <f t="shared" si="1"/>
        <v>-2.3421178443889513E-2</v>
      </c>
      <c r="G18">
        <f t="shared" si="2"/>
        <v>42.979833134920632</v>
      </c>
      <c r="H18">
        <f t="shared" si="3"/>
        <v>5555.7398331349204</v>
      </c>
    </row>
    <row r="19" spans="1:8">
      <c r="A19" s="1">
        <v>45497</v>
      </c>
      <c r="B19">
        <v>44.66</v>
      </c>
      <c r="C19">
        <v>5427.13</v>
      </c>
      <c r="D19">
        <f t="shared" si="0"/>
        <v>1.3566315035855592E-2</v>
      </c>
      <c r="E19">
        <f t="shared" si="1"/>
        <v>-5.1559504042484414E-3</v>
      </c>
      <c r="G19">
        <f t="shared" si="2"/>
        <v>44.659833134920632</v>
      </c>
      <c r="H19">
        <f t="shared" si="3"/>
        <v>5427.1298331349208</v>
      </c>
    </row>
    <row r="20" spans="1:8">
      <c r="A20" s="1">
        <v>45498</v>
      </c>
      <c r="B20">
        <v>45.27</v>
      </c>
      <c r="C20">
        <v>5399.22</v>
      </c>
      <c r="D20">
        <f t="shared" si="0"/>
        <v>0.10833818535175073</v>
      </c>
      <c r="E20">
        <f t="shared" si="1"/>
        <v>1.1029442312488889E-2</v>
      </c>
      <c r="G20">
        <f t="shared" si="2"/>
        <v>45.269833134920638</v>
      </c>
      <c r="H20">
        <f t="shared" si="3"/>
        <v>5399.2198331349209</v>
      </c>
    </row>
    <row r="21" spans="1:8">
      <c r="A21" s="1">
        <v>45499</v>
      </c>
      <c r="B21">
        <v>50.45</v>
      </c>
      <c r="C21">
        <v>5459.1</v>
      </c>
      <c r="D21">
        <f t="shared" si="0"/>
        <v>-2.9570695275596387E-2</v>
      </c>
      <c r="E21">
        <f t="shared" si="1"/>
        <v>8.129903108684501E-4</v>
      </c>
      <c r="G21">
        <f t="shared" si="2"/>
        <v>50.449833134920638</v>
      </c>
      <c r="H21">
        <f t="shared" si="3"/>
        <v>5459.099833134921</v>
      </c>
    </row>
    <row r="22" spans="1:8">
      <c r="A22" s="1">
        <v>45502</v>
      </c>
      <c r="B22">
        <v>48.98</v>
      </c>
      <c r="C22">
        <v>5463.54</v>
      </c>
      <c r="D22">
        <f t="shared" si="0"/>
        <v>1.4281344873504659E-3</v>
      </c>
      <c r="E22">
        <f t="shared" si="1"/>
        <v>-4.9724964337360253E-3</v>
      </c>
      <c r="G22">
        <f t="shared" si="2"/>
        <v>48.979833134920632</v>
      </c>
      <c r="H22">
        <f t="shared" si="3"/>
        <v>5463.5398331349206</v>
      </c>
    </row>
    <row r="23" spans="1:8">
      <c r="A23" s="1">
        <v>45503</v>
      </c>
      <c r="B23">
        <v>49.05</v>
      </c>
      <c r="C23">
        <v>5436.44</v>
      </c>
      <c r="D23">
        <f t="shared" si="0"/>
        <v>-3.0848114188790941E-2</v>
      </c>
      <c r="E23">
        <f t="shared" si="1"/>
        <v>1.567000529191805E-2</v>
      </c>
      <c r="G23">
        <f t="shared" si="2"/>
        <v>49.049833134920632</v>
      </c>
      <c r="H23">
        <f t="shared" si="3"/>
        <v>5436.4398331349203</v>
      </c>
    </row>
    <row r="24" spans="1:8">
      <c r="A24" s="1">
        <v>45504</v>
      </c>
      <c r="B24">
        <v>47.56</v>
      </c>
      <c r="C24">
        <v>5522.3</v>
      </c>
      <c r="D24">
        <f t="shared" si="0"/>
        <v>1.274434881954823E-2</v>
      </c>
      <c r="E24">
        <f t="shared" si="1"/>
        <v>-1.3788191433053192E-2</v>
      </c>
      <c r="G24">
        <f t="shared" si="2"/>
        <v>47.559833134920638</v>
      </c>
      <c r="H24">
        <f t="shared" si="3"/>
        <v>5522.2998331349208</v>
      </c>
    </row>
    <row r="25" spans="1:8">
      <c r="A25" s="1">
        <v>45505</v>
      </c>
      <c r="B25">
        <v>48.17</v>
      </c>
      <c r="C25">
        <v>5446.68</v>
      </c>
      <c r="D25">
        <f t="shared" si="0"/>
        <v>1.2378949079831838E-2</v>
      </c>
      <c r="E25">
        <f t="shared" si="1"/>
        <v>-1.8552885294602865E-2</v>
      </c>
      <c r="G25">
        <f t="shared" si="2"/>
        <v>48.169833134920637</v>
      </c>
      <c r="H25">
        <f t="shared" si="3"/>
        <v>5446.679833134921</v>
      </c>
    </row>
    <row r="26" spans="1:8">
      <c r="A26" s="1">
        <v>45506</v>
      </c>
      <c r="B26">
        <v>48.77</v>
      </c>
      <c r="C26">
        <v>5346.56</v>
      </c>
      <c r="D26">
        <f t="shared" si="0"/>
        <v>-2.4492714588942102E-2</v>
      </c>
      <c r="E26">
        <f t="shared" si="1"/>
        <v>-3.0427045496882188E-2</v>
      </c>
      <c r="G26">
        <f t="shared" si="2"/>
        <v>48.769833134920638</v>
      </c>
      <c r="H26">
        <f t="shared" si="3"/>
        <v>5346.5598331349211</v>
      </c>
    </row>
    <row r="27" spans="1:8">
      <c r="A27" s="1">
        <v>45509</v>
      </c>
      <c r="B27">
        <v>47.59</v>
      </c>
      <c r="C27">
        <v>5186.33</v>
      </c>
      <c r="D27">
        <f t="shared" si="0"/>
        <v>-5.9009654899624606E-3</v>
      </c>
      <c r="E27">
        <f t="shared" si="1"/>
        <v>1.0300905557719547E-2</v>
      </c>
      <c r="G27">
        <f t="shared" si="2"/>
        <v>47.589833134920639</v>
      </c>
      <c r="H27">
        <f t="shared" si="3"/>
        <v>5186.3298331349206</v>
      </c>
    </row>
    <row r="28" spans="1:8">
      <c r="A28" s="1">
        <v>45510</v>
      </c>
      <c r="B28">
        <v>47.31</v>
      </c>
      <c r="C28">
        <v>5240.03</v>
      </c>
      <c r="D28">
        <f t="shared" si="0"/>
        <v>-1.7269377049746178E-2</v>
      </c>
      <c r="E28">
        <f t="shared" si="1"/>
        <v>-7.7647563892511828E-3</v>
      </c>
      <c r="G28">
        <f t="shared" si="2"/>
        <v>47.309833134920638</v>
      </c>
      <c r="H28">
        <f t="shared" si="3"/>
        <v>5240.0298331349204</v>
      </c>
    </row>
    <row r="29" spans="1:8">
      <c r="A29" s="1">
        <v>45511</v>
      </c>
      <c r="B29">
        <v>46.5</v>
      </c>
      <c r="C29">
        <v>5199.5</v>
      </c>
      <c r="D29">
        <f t="shared" si="0"/>
        <v>7.4986960911206041E-3</v>
      </c>
      <c r="E29">
        <f t="shared" si="1"/>
        <v>2.2781128575607587E-2</v>
      </c>
      <c r="G29">
        <f t="shared" si="2"/>
        <v>46.499833134920635</v>
      </c>
      <c r="H29">
        <f t="shared" si="3"/>
        <v>5199.4998331349207</v>
      </c>
    </row>
    <row r="30" spans="1:8">
      <c r="A30" s="1">
        <v>45512</v>
      </c>
      <c r="B30">
        <v>46.85</v>
      </c>
      <c r="C30">
        <v>5319.31</v>
      </c>
      <c r="D30">
        <f t="shared" si="0"/>
        <v>-2.7786701644596729E-3</v>
      </c>
      <c r="E30">
        <f t="shared" si="1"/>
        <v>4.660780212150723E-3</v>
      </c>
      <c r="G30">
        <f t="shared" si="2"/>
        <v>46.849833134920637</v>
      </c>
      <c r="H30">
        <f t="shared" si="3"/>
        <v>5319.3098331349211</v>
      </c>
    </row>
    <row r="31" spans="1:8">
      <c r="A31" s="1">
        <v>45513</v>
      </c>
      <c r="B31">
        <v>46.72</v>
      </c>
      <c r="C31">
        <v>5344.16</v>
      </c>
      <c r="D31">
        <f t="shared" si="0"/>
        <v>7.2510447792448222E-3</v>
      </c>
      <c r="E31">
        <f t="shared" si="1"/>
        <v>4.3036707511422095E-5</v>
      </c>
      <c r="G31">
        <f t="shared" si="2"/>
        <v>46.719833134920634</v>
      </c>
      <c r="H31">
        <f t="shared" si="3"/>
        <v>5344.1598331349205</v>
      </c>
    </row>
    <row r="32" spans="1:8">
      <c r="A32" s="1">
        <v>45516</v>
      </c>
      <c r="B32">
        <v>47.06</v>
      </c>
      <c r="C32">
        <v>5344.39</v>
      </c>
      <c r="D32">
        <f t="shared" si="0"/>
        <v>4.1620655531126843E-2</v>
      </c>
      <c r="E32">
        <f t="shared" si="1"/>
        <v>1.6707226654933075E-2</v>
      </c>
      <c r="G32">
        <f t="shared" si="2"/>
        <v>47.059833134920638</v>
      </c>
      <c r="H32">
        <f t="shared" si="3"/>
        <v>5344.389833134921</v>
      </c>
    </row>
    <row r="33" spans="1:8">
      <c r="A33" s="1">
        <v>45517</v>
      </c>
      <c r="B33">
        <v>49.06</v>
      </c>
      <c r="C33">
        <v>5434.43</v>
      </c>
      <c r="D33">
        <f t="shared" si="0"/>
        <v>-1.3337634878740427E-2</v>
      </c>
      <c r="E33">
        <f t="shared" si="1"/>
        <v>3.816476067632372E-3</v>
      </c>
      <c r="G33">
        <f t="shared" si="2"/>
        <v>49.059833134920638</v>
      </c>
      <c r="H33">
        <f t="shared" si="3"/>
        <v>5434.429833134921</v>
      </c>
    </row>
    <row r="34" spans="1:8">
      <c r="A34" s="1">
        <v>45518</v>
      </c>
      <c r="B34">
        <v>48.41</v>
      </c>
      <c r="C34">
        <v>5455.21</v>
      </c>
      <c r="D34">
        <f t="shared" si="0"/>
        <v>1.4356276099550197E-2</v>
      </c>
      <c r="E34">
        <f t="shared" si="1"/>
        <v>1.6004444012785939E-2</v>
      </c>
      <c r="G34">
        <f t="shared" si="2"/>
        <v>48.409833134920632</v>
      </c>
      <c r="H34">
        <f t="shared" si="3"/>
        <v>5455.2098331349207</v>
      </c>
    </row>
    <row r="35" spans="1:8">
      <c r="A35" s="1">
        <v>45519</v>
      </c>
      <c r="B35">
        <v>49.11</v>
      </c>
      <c r="C35">
        <v>5543.22</v>
      </c>
      <c r="D35">
        <f t="shared" ref="D35:D66" si="4">LN(B36/B35)</f>
        <v>5.0776995459790985E-3</v>
      </c>
      <c r="E35">
        <f t="shared" ref="E35:E66" si="5">LN(C36/C35)</f>
        <v>1.9878411263283945E-3</v>
      </c>
      <c r="G35">
        <f t="shared" si="2"/>
        <v>49.109833134920635</v>
      </c>
      <c r="H35">
        <f t="shared" si="3"/>
        <v>5543.2198331349209</v>
      </c>
    </row>
    <row r="36" spans="1:8">
      <c r="A36" s="1">
        <v>45520</v>
      </c>
      <c r="B36">
        <v>49.36</v>
      </c>
      <c r="C36">
        <v>5554.25</v>
      </c>
      <c r="D36">
        <f t="shared" si="4"/>
        <v>-1.2162985484880202E-3</v>
      </c>
      <c r="E36">
        <f t="shared" si="5"/>
        <v>9.6753274361777754E-3</v>
      </c>
      <c r="G36">
        <f t="shared" si="2"/>
        <v>49.359833134920635</v>
      </c>
      <c r="H36">
        <f t="shared" si="3"/>
        <v>5554.2498331349207</v>
      </c>
    </row>
    <row r="37" spans="1:8">
      <c r="A37" s="1">
        <v>45523</v>
      </c>
      <c r="B37">
        <v>49.3</v>
      </c>
      <c r="C37">
        <v>5608.25</v>
      </c>
      <c r="D37">
        <f t="shared" si="4"/>
        <v>-6.5120295246227419E-3</v>
      </c>
      <c r="E37">
        <f t="shared" si="5"/>
        <v>-1.9865481747165059E-3</v>
      </c>
      <c r="G37">
        <f t="shared" si="2"/>
        <v>49.299833134920632</v>
      </c>
      <c r="H37">
        <f t="shared" si="3"/>
        <v>5608.2498331349207</v>
      </c>
    </row>
    <row r="38" spans="1:8">
      <c r="A38" s="1">
        <v>45524</v>
      </c>
      <c r="B38">
        <v>48.98</v>
      </c>
      <c r="C38">
        <v>5597.12</v>
      </c>
      <c r="D38">
        <f t="shared" si="4"/>
        <v>-1.1086132839130181E-2</v>
      </c>
      <c r="E38">
        <f t="shared" si="5"/>
        <v>4.2307182841846242E-3</v>
      </c>
      <c r="G38">
        <f t="shared" si="2"/>
        <v>48.979833134920632</v>
      </c>
      <c r="H38">
        <f t="shared" si="3"/>
        <v>5597.1198331349206</v>
      </c>
    </row>
    <row r="39" spans="1:8">
      <c r="A39" s="1">
        <v>45525</v>
      </c>
      <c r="B39">
        <v>48.44</v>
      </c>
      <c r="C39">
        <v>5620.85</v>
      </c>
      <c r="D39">
        <f t="shared" si="4"/>
        <v>-1.707307762617476E-2</v>
      </c>
      <c r="E39">
        <f t="shared" si="5"/>
        <v>-8.9729494254644684E-3</v>
      </c>
      <c r="G39">
        <f t="shared" si="2"/>
        <v>48.439833134920633</v>
      </c>
      <c r="H39">
        <f t="shared" si="3"/>
        <v>5620.849833134921</v>
      </c>
    </row>
    <row r="40" spans="1:8">
      <c r="A40" s="1">
        <v>45526</v>
      </c>
      <c r="B40">
        <v>47.62</v>
      </c>
      <c r="C40">
        <v>5570.64</v>
      </c>
      <c r="D40">
        <f t="shared" si="4"/>
        <v>1.0237214652645717E-2</v>
      </c>
      <c r="E40">
        <f t="shared" si="5"/>
        <v>1.1417986208502448E-2</v>
      </c>
      <c r="G40">
        <f t="shared" si="2"/>
        <v>47.619833134920633</v>
      </c>
      <c r="H40">
        <f t="shared" si="3"/>
        <v>5570.639833134921</v>
      </c>
    </row>
    <row r="41" spans="1:8">
      <c r="A41" s="1">
        <v>45527</v>
      </c>
      <c r="B41">
        <v>48.11</v>
      </c>
      <c r="C41">
        <v>5634.61</v>
      </c>
      <c r="D41">
        <f t="shared" si="4"/>
        <v>2.6984967075677109E-3</v>
      </c>
      <c r="E41">
        <f t="shared" si="5"/>
        <v>-3.1587066155747872E-3</v>
      </c>
      <c r="G41">
        <f t="shared" si="2"/>
        <v>48.109833134920635</v>
      </c>
      <c r="H41">
        <f t="shared" si="3"/>
        <v>5634.6098331349203</v>
      </c>
    </row>
    <row r="42" spans="1:8">
      <c r="A42" s="1">
        <v>45530</v>
      </c>
      <c r="B42">
        <v>48.24</v>
      </c>
      <c r="C42">
        <v>5616.84</v>
      </c>
      <c r="D42">
        <f t="shared" si="4"/>
        <v>-2.4906613124519189E-3</v>
      </c>
      <c r="E42">
        <f t="shared" si="5"/>
        <v>1.5939320118754585E-3</v>
      </c>
      <c r="G42">
        <f t="shared" si="2"/>
        <v>48.239833134920637</v>
      </c>
      <c r="H42">
        <f t="shared" si="3"/>
        <v>5616.8398331349208</v>
      </c>
    </row>
    <row r="43" spans="1:8">
      <c r="A43" s="1">
        <v>45531</v>
      </c>
      <c r="B43">
        <v>48.12</v>
      </c>
      <c r="C43">
        <v>5625.8</v>
      </c>
      <c r="D43">
        <f t="shared" si="4"/>
        <v>1.9346147723865139E-2</v>
      </c>
      <c r="E43">
        <f t="shared" si="5"/>
        <v>-5.9939669454233853E-3</v>
      </c>
      <c r="G43">
        <f t="shared" si="2"/>
        <v>48.119833134920633</v>
      </c>
      <c r="H43">
        <f t="shared" si="3"/>
        <v>5625.7998331349208</v>
      </c>
    </row>
    <row r="44" spans="1:8">
      <c r="A44" s="1">
        <v>45532</v>
      </c>
      <c r="B44">
        <v>49.06</v>
      </c>
      <c r="C44">
        <v>5592.18</v>
      </c>
      <c r="D44">
        <f t="shared" si="4"/>
        <v>1.3363227812167158E-2</v>
      </c>
      <c r="E44">
        <f t="shared" si="5"/>
        <v>-3.934142455813639E-5</v>
      </c>
      <c r="G44">
        <f t="shared" si="2"/>
        <v>49.059833134920638</v>
      </c>
      <c r="H44">
        <f t="shared" si="3"/>
        <v>5592.179833134921</v>
      </c>
    </row>
    <row r="45" spans="1:8">
      <c r="A45" s="1">
        <v>45533</v>
      </c>
      <c r="B45">
        <v>49.72</v>
      </c>
      <c r="C45">
        <v>5591.96</v>
      </c>
      <c r="D45">
        <f t="shared" si="4"/>
        <v>4.6152384520522245E-3</v>
      </c>
      <c r="E45">
        <f t="shared" si="5"/>
        <v>1.0042467382856683E-2</v>
      </c>
      <c r="G45">
        <f t="shared" si="2"/>
        <v>49.719833134920634</v>
      </c>
      <c r="H45">
        <f t="shared" si="3"/>
        <v>5591.9598331349207</v>
      </c>
    </row>
    <row r="46" spans="1:8">
      <c r="A46" s="1">
        <v>45534</v>
      </c>
      <c r="B46">
        <v>49.95</v>
      </c>
      <c r="C46">
        <v>5648.4</v>
      </c>
      <c r="D46">
        <f t="shared" si="4"/>
        <v>1.1346792387727865E-2</v>
      </c>
      <c r="E46">
        <f t="shared" si="5"/>
        <v>-2.137801245458143E-2</v>
      </c>
      <c r="G46">
        <f t="shared" si="2"/>
        <v>49.949833134920638</v>
      </c>
      <c r="H46">
        <f t="shared" si="3"/>
        <v>5648.3998331349203</v>
      </c>
    </row>
    <row r="47" spans="1:8">
      <c r="A47" s="1">
        <v>45538</v>
      </c>
      <c r="B47">
        <v>50.52</v>
      </c>
      <c r="C47">
        <v>5528.93</v>
      </c>
      <c r="D47">
        <f t="shared" si="4"/>
        <v>-1.1146612224913434E-2</v>
      </c>
      <c r="E47">
        <f t="shared" si="5"/>
        <v>-1.6037653903594354E-3</v>
      </c>
      <c r="G47">
        <f t="shared" si="2"/>
        <v>50.519833134920638</v>
      </c>
      <c r="H47">
        <f t="shared" si="3"/>
        <v>5528.929833134921</v>
      </c>
    </row>
    <row r="48" spans="1:8">
      <c r="A48" s="1">
        <v>45539</v>
      </c>
      <c r="B48">
        <v>49.96</v>
      </c>
      <c r="C48">
        <v>5520.07</v>
      </c>
      <c r="D48">
        <f t="shared" si="4"/>
        <v>-3.2077012267697313E-3</v>
      </c>
      <c r="E48">
        <f t="shared" si="5"/>
        <v>-3.0226412501879545E-3</v>
      </c>
      <c r="G48">
        <f t="shared" si="2"/>
        <v>49.959833134920636</v>
      </c>
      <c r="H48">
        <f t="shared" si="3"/>
        <v>5520.0698331349204</v>
      </c>
    </row>
    <row r="49" spans="1:8">
      <c r="A49" s="1">
        <v>45540</v>
      </c>
      <c r="B49">
        <v>49.8</v>
      </c>
      <c r="C49">
        <v>5503.41</v>
      </c>
      <c r="D49">
        <f t="shared" si="4"/>
        <v>-2.2335953942063076E-2</v>
      </c>
      <c r="E49">
        <f t="shared" si="5"/>
        <v>-1.7410901670867562E-2</v>
      </c>
      <c r="G49">
        <f t="shared" si="2"/>
        <v>49.799833134920632</v>
      </c>
      <c r="H49">
        <f t="shared" si="3"/>
        <v>5503.4098331349205</v>
      </c>
    </row>
    <row r="50" spans="1:8">
      <c r="A50" s="1">
        <v>45541</v>
      </c>
      <c r="B50">
        <v>48.7</v>
      </c>
      <c r="C50">
        <v>5408.42</v>
      </c>
      <c r="D50">
        <f t="shared" si="4"/>
        <v>-4.1152321451066549E-3</v>
      </c>
      <c r="E50">
        <f t="shared" si="5"/>
        <v>1.1513555690021488E-2</v>
      </c>
      <c r="G50">
        <f t="shared" si="2"/>
        <v>48.699833134920638</v>
      </c>
      <c r="H50">
        <f t="shared" si="3"/>
        <v>5408.4198331349207</v>
      </c>
    </row>
    <row r="51" spans="1:8">
      <c r="A51" s="1">
        <v>45544</v>
      </c>
      <c r="B51">
        <v>48.5</v>
      </c>
      <c r="C51">
        <v>5471.05</v>
      </c>
      <c r="D51">
        <f t="shared" si="4"/>
        <v>1.5954521281826901E-2</v>
      </c>
      <c r="E51">
        <f t="shared" si="5"/>
        <v>4.4626607244902189E-3</v>
      </c>
      <c r="G51">
        <f t="shared" si="2"/>
        <v>48.499833134920635</v>
      </c>
      <c r="H51">
        <f t="shared" si="3"/>
        <v>5471.0498331349208</v>
      </c>
    </row>
    <row r="52" spans="1:8">
      <c r="A52" s="1">
        <v>45545</v>
      </c>
      <c r="B52">
        <v>49.28</v>
      </c>
      <c r="C52">
        <v>5495.52</v>
      </c>
      <c r="D52">
        <f t="shared" si="4"/>
        <v>-1.4100570807452698E-2</v>
      </c>
      <c r="E52">
        <f t="shared" si="5"/>
        <v>1.0608580303038784E-2</v>
      </c>
      <c r="G52">
        <f t="shared" si="2"/>
        <v>49.279833134920636</v>
      </c>
      <c r="H52">
        <f t="shared" si="3"/>
        <v>5495.5198331349211</v>
      </c>
    </row>
    <row r="53" spans="1:8">
      <c r="A53" s="1">
        <v>45546</v>
      </c>
      <c r="B53">
        <v>48.59</v>
      </c>
      <c r="C53">
        <v>5554.13</v>
      </c>
      <c r="D53">
        <f t="shared" si="4"/>
        <v>-7.2291959988816353E-3</v>
      </c>
      <c r="E53">
        <f t="shared" si="5"/>
        <v>7.46737294203047E-3</v>
      </c>
      <c r="G53">
        <f t="shared" si="2"/>
        <v>48.589833134920639</v>
      </c>
      <c r="H53">
        <f t="shared" si="3"/>
        <v>5554.1298331349208</v>
      </c>
    </row>
    <row r="54" spans="1:8">
      <c r="A54" s="1">
        <v>45547</v>
      </c>
      <c r="B54">
        <v>48.24</v>
      </c>
      <c r="C54">
        <v>5595.76</v>
      </c>
      <c r="D54">
        <f t="shared" si="4"/>
        <v>1.8281293761626828E-2</v>
      </c>
      <c r="E54">
        <f t="shared" si="5"/>
        <v>5.3930968783714164E-3</v>
      </c>
      <c r="G54">
        <f t="shared" si="2"/>
        <v>48.239833134920637</v>
      </c>
      <c r="H54">
        <f t="shared" si="3"/>
        <v>5595.7598331349209</v>
      </c>
    </row>
    <row r="55" spans="1:8">
      <c r="A55" s="1">
        <v>45548</v>
      </c>
      <c r="B55">
        <v>49.13</v>
      </c>
      <c r="C55">
        <v>5626.02</v>
      </c>
      <c r="D55">
        <f t="shared" si="4"/>
        <v>1.7353139244922062E-2</v>
      </c>
      <c r="E55">
        <f t="shared" si="5"/>
        <v>1.2558720767880025E-3</v>
      </c>
      <c r="G55">
        <f t="shared" si="2"/>
        <v>49.129833134920638</v>
      </c>
      <c r="H55">
        <f t="shared" si="3"/>
        <v>5626.0198331349211</v>
      </c>
    </row>
    <row r="56" spans="1:8">
      <c r="A56" s="1">
        <v>45551</v>
      </c>
      <c r="B56">
        <v>49.99</v>
      </c>
      <c r="C56">
        <v>5633.09</v>
      </c>
      <c r="D56">
        <f t="shared" si="4"/>
        <v>-1.0052356461684319E-2</v>
      </c>
      <c r="E56">
        <f t="shared" si="5"/>
        <v>2.6447349073670164E-4</v>
      </c>
      <c r="G56">
        <f t="shared" si="2"/>
        <v>49.989833134920637</v>
      </c>
      <c r="H56">
        <f t="shared" si="3"/>
        <v>5633.0898331349208</v>
      </c>
    </row>
    <row r="57" spans="1:8">
      <c r="A57" s="1">
        <v>45552</v>
      </c>
      <c r="B57">
        <v>49.49</v>
      </c>
      <c r="C57">
        <v>5634.58</v>
      </c>
      <c r="D57">
        <f t="shared" si="4"/>
        <v>5.0388094114638829E-3</v>
      </c>
      <c r="E57">
        <f t="shared" si="5"/>
        <v>-2.9006031263851696E-3</v>
      </c>
      <c r="G57">
        <f t="shared" si="2"/>
        <v>49.489833134920637</v>
      </c>
      <c r="H57">
        <f t="shared" si="3"/>
        <v>5634.5798331349206</v>
      </c>
    </row>
    <row r="58" spans="1:8">
      <c r="A58" s="1">
        <v>45553</v>
      </c>
      <c r="B58">
        <v>49.74</v>
      </c>
      <c r="C58">
        <v>5618.26</v>
      </c>
      <c r="D58">
        <f t="shared" si="4"/>
        <v>-1.4581060275292103E-2</v>
      </c>
      <c r="E58">
        <f t="shared" si="5"/>
        <v>1.6834291247586949E-2</v>
      </c>
      <c r="G58">
        <f t="shared" si="2"/>
        <v>49.739833134920637</v>
      </c>
      <c r="H58">
        <f t="shared" si="3"/>
        <v>5618.2598331349209</v>
      </c>
    </row>
    <row r="59" spans="1:8">
      <c r="A59" s="1">
        <v>45554</v>
      </c>
      <c r="B59">
        <v>49.02</v>
      </c>
      <c r="C59">
        <v>5713.64</v>
      </c>
      <c r="D59">
        <f t="shared" si="4"/>
        <v>7.9244547576919708E-3</v>
      </c>
      <c r="E59">
        <f t="shared" si="5"/>
        <v>-1.942855451501775E-3</v>
      </c>
      <c r="G59">
        <f t="shared" si="2"/>
        <v>49.019833134920638</v>
      </c>
      <c r="H59">
        <f t="shared" si="3"/>
        <v>5713.639833134921</v>
      </c>
    </row>
    <row r="60" spans="1:8">
      <c r="A60" s="1">
        <v>45555</v>
      </c>
      <c r="B60">
        <v>49.41</v>
      </c>
      <c r="C60">
        <v>5702.55</v>
      </c>
      <c r="D60">
        <f t="shared" si="4"/>
        <v>1.2070152573153791E-2</v>
      </c>
      <c r="E60">
        <f t="shared" si="5"/>
        <v>2.8053309143568263E-3</v>
      </c>
      <c r="G60">
        <f t="shared" si="2"/>
        <v>49.409833134920632</v>
      </c>
      <c r="H60">
        <f t="shared" si="3"/>
        <v>5702.5498331349208</v>
      </c>
    </row>
    <row r="61" spans="1:8">
      <c r="A61" s="1">
        <v>45558</v>
      </c>
      <c r="B61">
        <v>50.01</v>
      </c>
      <c r="C61">
        <v>5718.57</v>
      </c>
      <c r="D61">
        <f t="shared" si="4"/>
        <v>1.8425484120498728E-2</v>
      </c>
      <c r="E61">
        <f t="shared" si="5"/>
        <v>2.5079697029956895E-3</v>
      </c>
      <c r="G61">
        <f t="shared" si="2"/>
        <v>50.009833134920633</v>
      </c>
      <c r="H61">
        <f t="shared" si="3"/>
        <v>5718.5698331349204</v>
      </c>
    </row>
    <row r="62" spans="1:8">
      <c r="A62" s="1">
        <v>45559</v>
      </c>
      <c r="B62">
        <v>50.94</v>
      </c>
      <c r="C62">
        <v>5732.93</v>
      </c>
      <c r="D62">
        <f t="shared" si="4"/>
        <v>-1.962596445674834E-2</v>
      </c>
      <c r="E62">
        <f t="shared" si="5"/>
        <v>-1.8629115860669923E-3</v>
      </c>
      <c r="G62">
        <f t="shared" si="2"/>
        <v>50.939833134920633</v>
      </c>
      <c r="H62">
        <f t="shared" si="3"/>
        <v>5732.929833134921</v>
      </c>
    </row>
    <row r="63" spans="1:8">
      <c r="A63" s="1">
        <v>45560</v>
      </c>
      <c r="B63">
        <v>49.95</v>
      </c>
      <c r="C63">
        <v>5722.26</v>
      </c>
      <c r="D63">
        <f t="shared" si="4"/>
        <v>3.3976249333050167E-3</v>
      </c>
      <c r="E63">
        <f t="shared" si="5"/>
        <v>4.0304808028723289E-3</v>
      </c>
      <c r="G63">
        <f t="shared" si="2"/>
        <v>49.949833134920638</v>
      </c>
      <c r="H63">
        <f t="shared" si="3"/>
        <v>5722.2598331349209</v>
      </c>
    </row>
    <row r="64" spans="1:8">
      <c r="A64" s="1">
        <v>45561</v>
      </c>
      <c r="B64">
        <v>50.12</v>
      </c>
      <c r="C64">
        <v>5745.37</v>
      </c>
      <c r="D64">
        <f t="shared" si="4"/>
        <v>1.5639237886377007E-2</v>
      </c>
      <c r="E64">
        <f t="shared" si="5"/>
        <v>-1.2539688882457197E-3</v>
      </c>
      <c r="G64">
        <f t="shared" si="2"/>
        <v>50.119833134920633</v>
      </c>
      <c r="H64">
        <f t="shared" si="3"/>
        <v>5745.3698331349206</v>
      </c>
    </row>
    <row r="65" spans="1:8">
      <c r="A65" s="1">
        <v>45562</v>
      </c>
      <c r="B65">
        <v>50.91</v>
      </c>
      <c r="C65">
        <v>5738.17</v>
      </c>
      <c r="D65">
        <f t="shared" si="4"/>
        <v>1.6171808843638648E-2</v>
      </c>
      <c r="E65">
        <f t="shared" si="5"/>
        <v>4.227593432856073E-3</v>
      </c>
      <c r="G65">
        <f t="shared" si="2"/>
        <v>50.909833134920632</v>
      </c>
      <c r="H65">
        <f t="shared" si="3"/>
        <v>5738.1698331349207</v>
      </c>
    </row>
    <row r="66" spans="1:8">
      <c r="A66" s="1">
        <v>45565</v>
      </c>
      <c r="B66">
        <v>51.74</v>
      </c>
      <c r="C66">
        <v>5762.48</v>
      </c>
      <c r="D66">
        <f t="shared" si="4"/>
        <v>2.2172162106370536E-2</v>
      </c>
      <c r="E66">
        <f t="shared" si="5"/>
        <v>-9.3678520838370288E-3</v>
      </c>
      <c r="G66">
        <f t="shared" si="2"/>
        <v>51.739833134920637</v>
      </c>
      <c r="H66">
        <f t="shared" si="3"/>
        <v>5762.4798331349202</v>
      </c>
    </row>
    <row r="67" spans="1:8">
      <c r="A67" s="1">
        <v>45566</v>
      </c>
      <c r="B67">
        <v>52.9</v>
      </c>
      <c r="C67">
        <v>5708.75</v>
      </c>
      <c r="D67">
        <f t="shared" ref="D67:D98" si="6">LN(B68/B67)</f>
        <v>1.6126357350640427E-2</v>
      </c>
      <c r="E67">
        <f t="shared" ref="E67:E98" si="7">LN(C68/C67)</f>
        <v>1.3837448536698041E-4</v>
      </c>
      <c r="G67">
        <f t="shared" si="2"/>
        <v>52.899833134920634</v>
      </c>
      <c r="H67">
        <f t="shared" si="3"/>
        <v>5708.7498331349207</v>
      </c>
    </row>
    <row r="68" spans="1:8">
      <c r="A68" s="1">
        <v>45567</v>
      </c>
      <c r="B68">
        <v>53.76</v>
      </c>
      <c r="C68">
        <v>5709.54</v>
      </c>
      <c r="D68">
        <f t="shared" si="6"/>
        <v>8.1512122307065577E-3</v>
      </c>
      <c r="E68">
        <f t="shared" si="7"/>
        <v>-1.6828115331257495E-3</v>
      </c>
      <c r="G68">
        <f t="shared" ref="G68:G131" si="8">B68-$F$2/252</f>
        <v>53.759833134920633</v>
      </c>
      <c r="H68">
        <f t="shared" ref="H68:H131" si="9">C68-$F$2/252</f>
        <v>5709.5398331349206</v>
      </c>
    </row>
    <row r="69" spans="1:8">
      <c r="A69" s="1">
        <v>45568</v>
      </c>
      <c r="B69">
        <v>54.2</v>
      </c>
      <c r="C69">
        <v>5699.94</v>
      </c>
      <c r="D69">
        <f t="shared" si="6"/>
        <v>-4.4378771060454448E-3</v>
      </c>
      <c r="E69">
        <f t="shared" si="7"/>
        <v>8.9302759844378885E-3</v>
      </c>
      <c r="G69">
        <f t="shared" si="8"/>
        <v>54.199833134920638</v>
      </c>
      <c r="H69">
        <f t="shared" si="9"/>
        <v>5699.9398331349203</v>
      </c>
    </row>
    <row r="70" spans="1:8">
      <c r="A70" s="1">
        <v>45569</v>
      </c>
      <c r="B70">
        <v>53.96</v>
      </c>
      <c r="C70">
        <v>5751.07</v>
      </c>
      <c r="D70">
        <f t="shared" si="6"/>
        <v>-9.6835021111648916E-3</v>
      </c>
      <c r="E70">
        <f t="shared" si="7"/>
        <v>-9.6322841074211688E-3</v>
      </c>
      <c r="G70">
        <f t="shared" si="8"/>
        <v>53.959833134920636</v>
      </c>
      <c r="H70">
        <f t="shared" si="9"/>
        <v>5751.0698331349204</v>
      </c>
    </row>
    <row r="71" spans="1:8">
      <c r="A71" s="1">
        <v>45572</v>
      </c>
      <c r="B71">
        <v>53.44</v>
      </c>
      <c r="C71">
        <v>5695.94</v>
      </c>
      <c r="D71">
        <f t="shared" si="6"/>
        <v>-1.8127384592556715E-2</v>
      </c>
      <c r="E71">
        <f t="shared" si="7"/>
        <v>9.6427168941927138E-3</v>
      </c>
      <c r="G71">
        <f t="shared" si="8"/>
        <v>53.439833134920633</v>
      </c>
      <c r="H71">
        <f t="shared" si="9"/>
        <v>5695.9398331349203</v>
      </c>
    </row>
    <row r="72" spans="1:8">
      <c r="A72" s="1">
        <v>45573</v>
      </c>
      <c r="B72">
        <v>52.48</v>
      </c>
      <c r="C72">
        <v>5751.13</v>
      </c>
      <c r="D72">
        <f t="shared" si="6"/>
        <v>6.0790460763821925E-3</v>
      </c>
      <c r="E72">
        <f t="shared" si="7"/>
        <v>7.0882038963943272E-3</v>
      </c>
      <c r="G72">
        <f t="shared" si="8"/>
        <v>52.479833134920632</v>
      </c>
      <c r="H72">
        <f t="shared" si="9"/>
        <v>5751.1298331349208</v>
      </c>
    </row>
    <row r="73" spans="1:8">
      <c r="A73" s="1">
        <v>45574</v>
      </c>
      <c r="B73">
        <v>52.8</v>
      </c>
      <c r="C73">
        <v>5792.04</v>
      </c>
      <c r="D73">
        <f t="shared" si="6"/>
        <v>-7.6045993852193036E-3</v>
      </c>
      <c r="E73">
        <f t="shared" si="7"/>
        <v>-2.0722279710146596E-3</v>
      </c>
      <c r="G73">
        <f t="shared" si="8"/>
        <v>52.799833134920632</v>
      </c>
      <c r="H73">
        <f t="shared" si="9"/>
        <v>5792.0398331349206</v>
      </c>
    </row>
    <row r="74" spans="1:8">
      <c r="A74" s="1">
        <v>45575</v>
      </c>
      <c r="B74">
        <v>52.4</v>
      </c>
      <c r="C74">
        <v>5780.05</v>
      </c>
      <c r="D74">
        <f t="shared" si="6"/>
        <v>-3.8240964384033942E-3</v>
      </c>
      <c r="E74">
        <f t="shared" si="7"/>
        <v>6.0336118627852325E-3</v>
      </c>
      <c r="G74">
        <f t="shared" si="8"/>
        <v>52.399833134920634</v>
      </c>
      <c r="H74">
        <f t="shared" si="9"/>
        <v>5780.0498331349208</v>
      </c>
    </row>
    <row r="75" spans="1:8">
      <c r="A75" s="1">
        <v>45576</v>
      </c>
      <c r="B75">
        <v>52.2</v>
      </c>
      <c r="C75">
        <v>5815.03</v>
      </c>
      <c r="D75">
        <f t="shared" si="6"/>
        <v>8.9635386067048132E-3</v>
      </c>
      <c r="E75">
        <f t="shared" si="7"/>
        <v>7.6780609629941675E-3</v>
      </c>
      <c r="G75">
        <f t="shared" si="8"/>
        <v>52.199833134920638</v>
      </c>
      <c r="H75">
        <f t="shared" si="9"/>
        <v>5815.0298331349204</v>
      </c>
    </row>
    <row r="76" spans="1:8">
      <c r="A76" s="1">
        <v>45579</v>
      </c>
      <c r="B76">
        <v>52.67</v>
      </c>
      <c r="C76">
        <v>5859.85</v>
      </c>
      <c r="D76">
        <f t="shared" si="6"/>
        <v>1.7072943538157231E-3</v>
      </c>
      <c r="E76">
        <f t="shared" si="7"/>
        <v>-7.6385090687541464E-3</v>
      </c>
      <c r="G76">
        <f t="shared" si="8"/>
        <v>52.669833134920637</v>
      </c>
      <c r="H76">
        <f t="shared" si="9"/>
        <v>5859.849833134921</v>
      </c>
    </row>
    <row r="77" spans="1:8">
      <c r="A77" s="1">
        <v>45580</v>
      </c>
      <c r="B77">
        <v>52.76</v>
      </c>
      <c r="C77">
        <v>5815.26</v>
      </c>
      <c r="D77">
        <f t="shared" si="6"/>
        <v>1.149546249673955E-2</v>
      </c>
      <c r="E77">
        <f t="shared" si="7"/>
        <v>4.6681557065759915E-3</v>
      </c>
      <c r="G77">
        <f t="shared" si="8"/>
        <v>52.759833134920633</v>
      </c>
      <c r="H77">
        <f t="shared" si="9"/>
        <v>5815.2598331349209</v>
      </c>
    </row>
    <row r="78" spans="1:8">
      <c r="A78" s="1">
        <v>45581</v>
      </c>
      <c r="B78">
        <v>53.37</v>
      </c>
      <c r="C78">
        <v>5842.47</v>
      </c>
      <c r="D78">
        <f t="shared" si="6"/>
        <v>-3.5664045309796505E-3</v>
      </c>
      <c r="E78">
        <f t="shared" si="7"/>
        <v>-1.7117513483320916E-4</v>
      </c>
      <c r="G78">
        <f t="shared" si="8"/>
        <v>53.369833134920633</v>
      </c>
      <c r="H78">
        <f t="shared" si="9"/>
        <v>5842.4698331349209</v>
      </c>
    </row>
    <row r="79" spans="1:8">
      <c r="A79" s="1">
        <v>45582</v>
      </c>
      <c r="B79">
        <v>53.18</v>
      </c>
      <c r="C79">
        <v>5841.47</v>
      </c>
      <c r="D79">
        <f t="shared" si="6"/>
        <v>7.5187973466945299E-4</v>
      </c>
      <c r="E79">
        <f t="shared" si="7"/>
        <v>3.9637370431245362E-3</v>
      </c>
      <c r="G79">
        <f t="shared" si="8"/>
        <v>53.179833134920635</v>
      </c>
      <c r="H79">
        <f t="shared" si="9"/>
        <v>5841.4698331349209</v>
      </c>
    </row>
    <row r="80" spans="1:8">
      <c r="A80" s="1">
        <v>45583</v>
      </c>
      <c r="B80">
        <v>53.22</v>
      </c>
      <c r="C80">
        <v>5864.67</v>
      </c>
      <c r="D80">
        <f t="shared" si="6"/>
        <v>-2.0885513292898807E-2</v>
      </c>
      <c r="E80">
        <f t="shared" si="7"/>
        <v>-1.8244427413090425E-3</v>
      </c>
      <c r="G80">
        <f t="shared" si="8"/>
        <v>53.219833134920634</v>
      </c>
      <c r="H80">
        <f t="shared" si="9"/>
        <v>5864.6698331349207</v>
      </c>
    </row>
    <row r="81" spans="1:8">
      <c r="A81" s="1">
        <v>45586</v>
      </c>
      <c r="B81">
        <v>52.12</v>
      </c>
      <c r="C81">
        <v>5853.98</v>
      </c>
      <c r="D81">
        <f t="shared" si="6"/>
        <v>1.2204575592469451E-2</v>
      </c>
      <c r="E81">
        <f t="shared" si="7"/>
        <v>-4.7500338350551163E-4</v>
      </c>
      <c r="G81">
        <f t="shared" si="8"/>
        <v>52.119833134920633</v>
      </c>
      <c r="H81">
        <f t="shared" si="9"/>
        <v>5853.9798331349202</v>
      </c>
    </row>
    <row r="82" spans="1:8">
      <c r="A82" s="1">
        <v>45587</v>
      </c>
      <c r="B82">
        <v>52.76</v>
      </c>
      <c r="C82">
        <v>5851.2</v>
      </c>
      <c r="D82">
        <f t="shared" si="6"/>
        <v>5.6700208604799213E-3</v>
      </c>
      <c r="E82">
        <f t="shared" si="7"/>
        <v>-9.2337774119530536E-3</v>
      </c>
      <c r="G82">
        <f t="shared" si="8"/>
        <v>52.759833134920633</v>
      </c>
      <c r="H82">
        <f t="shared" si="9"/>
        <v>5851.1998331349205</v>
      </c>
    </row>
    <row r="83" spans="1:8">
      <c r="A83" s="1">
        <v>45588</v>
      </c>
      <c r="B83">
        <v>53.06</v>
      </c>
      <c r="C83">
        <v>5797.42</v>
      </c>
      <c r="D83">
        <f t="shared" si="6"/>
        <v>-2.6420094628386965E-3</v>
      </c>
      <c r="E83">
        <f t="shared" si="7"/>
        <v>2.1434831869283494E-3</v>
      </c>
      <c r="G83">
        <f t="shared" si="8"/>
        <v>53.059833134920638</v>
      </c>
      <c r="H83">
        <f t="shared" si="9"/>
        <v>5797.4198331349207</v>
      </c>
    </row>
    <row r="84" spans="1:8">
      <c r="A84" s="1">
        <v>45589</v>
      </c>
      <c r="B84">
        <v>52.92</v>
      </c>
      <c r="C84">
        <v>5809.86</v>
      </c>
      <c r="D84">
        <f t="shared" si="6"/>
        <v>-1.907726685092034E-2</v>
      </c>
      <c r="E84">
        <f t="shared" si="7"/>
        <v>-2.9953572187414154E-4</v>
      </c>
      <c r="G84">
        <f t="shared" si="8"/>
        <v>52.919833134920637</v>
      </c>
      <c r="H84">
        <f t="shared" si="9"/>
        <v>5809.8598331349203</v>
      </c>
    </row>
    <row r="85" spans="1:8">
      <c r="A85" s="1">
        <v>45590</v>
      </c>
      <c r="B85">
        <v>51.92</v>
      </c>
      <c r="C85">
        <v>5808.12</v>
      </c>
      <c r="D85">
        <f t="shared" si="6"/>
        <v>1.377221462122709E-2</v>
      </c>
      <c r="E85">
        <f t="shared" si="7"/>
        <v>2.6479514493707988E-3</v>
      </c>
      <c r="G85">
        <f t="shared" si="8"/>
        <v>51.919833134920637</v>
      </c>
      <c r="H85">
        <f t="shared" si="9"/>
        <v>5808.1198331349206</v>
      </c>
    </row>
    <row r="86" spans="1:8">
      <c r="A86" s="1">
        <v>45593</v>
      </c>
      <c r="B86">
        <v>52.64</v>
      </c>
      <c r="C86">
        <v>5823.52</v>
      </c>
      <c r="D86">
        <f t="shared" si="6"/>
        <v>-2.6631174194836618E-3</v>
      </c>
      <c r="E86">
        <f t="shared" si="7"/>
        <v>1.6128426925638532E-3</v>
      </c>
      <c r="G86">
        <f t="shared" si="8"/>
        <v>52.639833134920636</v>
      </c>
      <c r="H86">
        <f t="shared" si="9"/>
        <v>5823.5198331349211</v>
      </c>
    </row>
    <row r="87" spans="1:8">
      <c r="A87" s="1">
        <v>45594</v>
      </c>
      <c r="B87">
        <v>52.5</v>
      </c>
      <c r="C87">
        <v>5832.92</v>
      </c>
      <c r="D87">
        <f t="shared" si="6"/>
        <v>3.0429844705852005E-3</v>
      </c>
      <c r="E87">
        <f t="shared" si="7"/>
        <v>-3.3056916281390038E-3</v>
      </c>
      <c r="G87">
        <f t="shared" si="8"/>
        <v>52.499833134920635</v>
      </c>
      <c r="H87">
        <f t="shared" si="9"/>
        <v>5832.9198331349207</v>
      </c>
    </row>
    <row r="88" spans="1:8">
      <c r="A88" s="1">
        <v>45595</v>
      </c>
      <c r="B88">
        <v>52.66</v>
      </c>
      <c r="C88">
        <v>5813.67</v>
      </c>
      <c r="D88">
        <f t="shared" si="6"/>
        <v>5.7379936333299152E-2</v>
      </c>
      <c r="E88">
        <f t="shared" si="7"/>
        <v>-1.8790182599519829E-2</v>
      </c>
      <c r="G88">
        <f t="shared" si="8"/>
        <v>52.659833134920632</v>
      </c>
      <c r="H88">
        <f t="shared" si="9"/>
        <v>5813.6698331349207</v>
      </c>
    </row>
    <row r="89" spans="1:8">
      <c r="A89" s="1">
        <v>45596</v>
      </c>
      <c r="B89">
        <v>55.77</v>
      </c>
      <c r="C89">
        <v>5705.45</v>
      </c>
      <c r="D89">
        <f t="shared" si="6"/>
        <v>-2.6343607151021697E-2</v>
      </c>
      <c r="E89">
        <f t="shared" si="7"/>
        <v>4.0842263302362366E-3</v>
      </c>
      <c r="G89">
        <f t="shared" si="8"/>
        <v>55.769833134920638</v>
      </c>
      <c r="H89">
        <f t="shared" si="9"/>
        <v>5705.4498331349205</v>
      </c>
    </row>
    <row r="90" spans="1:8">
      <c r="A90" s="1">
        <v>45597</v>
      </c>
      <c r="B90">
        <v>54.32</v>
      </c>
      <c r="C90">
        <v>5728.8</v>
      </c>
      <c r="D90">
        <f t="shared" si="6"/>
        <v>2.0589230545935498E-2</v>
      </c>
      <c r="E90">
        <f t="shared" si="7"/>
        <v>-2.8160686495115016E-3</v>
      </c>
      <c r="G90">
        <f t="shared" si="8"/>
        <v>54.319833134920636</v>
      </c>
      <c r="H90">
        <f t="shared" si="9"/>
        <v>5728.7998331349208</v>
      </c>
    </row>
    <row r="91" spans="1:8">
      <c r="A91" s="1">
        <v>45600</v>
      </c>
      <c r="B91">
        <v>55.45</v>
      </c>
      <c r="C91">
        <v>5712.69</v>
      </c>
      <c r="D91">
        <f t="shared" si="6"/>
        <v>8.9767209615581253E-3</v>
      </c>
      <c r="E91">
        <f t="shared" si="7"/>
        <v>1.219106130274809E-2</v>
      </c>
      <c r="G91">
        <f t="shared" si="8"/>
        <v>55.449833134920638</v>
      </c>
      <c r="H91">
        <f t="shared" si="9"/>
        <v>5712.6898331349203</v>
      </c>
    </row>
    <row r="92" spans="1:8">
      <c r="A92" s="1">
        <v>45601</v>
      </c>
      <c r="B92">
        <v>55.95</v>
      </c>
      <c r="C92">
        <v>5782.76</v>
      </c>
      <c r="D92">
        <f t="shared" si="6"/>
        <v>-1.2047255298519776E-2</v>
      </c>
      <c r="E92">
        <f t="shared" si="7"/>
        <v>2.4981233838896531E-2</v>
      </c>
      <c r="G92">
        <f t="shared" si="8"/>
        <v>55.949833134920638</v>
      </c>
      <c r="H92">
        <f t="shared" si="9"/>
        <v>5782.7598331349209</v>
      </c>
    </row>
    <row r="93" spans="1:8">
      <c r="A93" s="1">
        <v>45602</v>
      </c>
      <c r="B93">
        <v>55.28</v>
      </c>
      <c r="C93">
        <v>5929.04</v>
      </c>
      <c r="D93">
        <f t="shared" si="6"/>
        <v>-1.0364671383679941E-2</v>
      </c>
      <c r="E93">
        <f t="shared" si="7"/>
        <v>7.4037444129894632E-3</v>
      </c>
      <c r="G93">
        <f t="shared" si="8"/>
        <v>55.279833134920636</v>
      </c>
      <c r="H93">
        <f t="shared" si="9"/>
        <v>5929.0398331349206</v>
      </c>
    </row>
    <row r="94" spans="1:8">
      <c r="A94" s="1">
        <v>45603</v>
      </c>
      <c r="B94">
        <v>54.71</v>
      </c>
      <c r="C94">
        <v>5973.1</v>
      </c>
      <c r="D94">
        <f t="shared" si="6"/>
        <v>-1.0473223889579405E-2</v>
      </c>
      <c r="E94">
        <f t="shared" si="7"/>
        <v>3.7498038697994338E-3</v>
      </c>
      <c r="G94">
        <f t="shared" si="8"/>
        <v>54.709833134920636</v>
      </c>
      <c r="H94">
        <f t="shared" si="9"/>
        <v>5973.099833134921</v>
      </c>
    </row>
    <row r="95" spans="1:8">
      <c r="A95" s="1">
        <v>45604</v>
      </c>
      <c r="B95">
        <v>54.14</v>
      </c>
      <c r="C95">
        <v>5995.54</v>
      </c>
      <c r="D95">
        <f t="shared" si="6"/>
        <v>9.9766769015646739E-2</v>
      </c>
      <c r="E95">
        <f t="shared" si="7"/>
        <v>9.6858443383637458E-4</v>
      </c>
      <c r="G95">
        <f t="shared" si="8"/>
        <v>54.139833134920636</v>
      </c>
      <c r="H95">
        <f t="shared" si="9"/>
        <v>5995.5398331349206</v>
      </c>
    </row>
    <row r="96" spans="1:8">
      <c r="A96" s="1">
        <v>45607</v>
      </c>
      <c r="B96">
        <v>59.82</v>
      </c>
      <c r="C96">
        <v>6001.35</v>
      </c>
      <c r="D96">
        <f t="shared" si="6"/>
        <v>-1.3463683687008586E-2</v>
      </c>
      <c r="E96">
        <f t="shared" si="7"/>
        <v>-2.8968743715661891E-3</v>
      </c>
      <c r="G96">
        <f t="shared" si="8"/>
        <v>59.819833134920636</v>
      </c>
      <c r="H96">
        <f t="shared" si="9"/>
        <v>6001.349833134921</v>
      </c>
    </row>
    <row r="97" spans="1:8">
      <c r="A97" s="1">
        <v>45608</v>
      </c>
      <c r="B97">
        <v>59.02</v>
      </c>
      <c r="C97">
        <v>5983.99</v>
      </c>
      <c r="D97">
        <f t="shared" si="6"/>
        <v>-1.0389261462575494E-2</v>
      </c>
      <c r="E97">
        <f t="shared" si="7"/>
        <v>2.322595101076364E-4</v>
      </c>
      <c r="G97">
        <f t="shared" si="8"/>
        <v>59.019833134920638</v>
      </c>
      <c r="H97">
        <f t="shared" si="9"/>
        <v>5983.9898331349204</v>
      </c>
    </row>
    <row r="98" spans="1:8">
      <c r="A98" s="1">
        <v>45609</v>
      </c>
      <c r="B98">
        <v>58.41</v>
      </c>
      <c r="C98">
        <v>5985.38</v>
      </c>
      <c r="D98">
        <f t="shared" si="6"/>
        <v>1.5396461855928362E-3</v>
      </c>
      <c r="E98">
        <f t="shared" si="7"/>
        <v>-6.0681150291174617E-3</v>
      </c>
      <c r="G98">
        <f t="shared" si="8"/>
        <v>58.409833134920632</v>
      </c>
      <c r="H98">
        <f t="shared" si="9"/>
        <v>5985.3798331349208</v>
      </c>
    </row>
    <row r="99" spans="1:8">
      <c r="A99" s="1">
        <v>45610</v>
      </c>
      <c r="B99">
        <v>58.5</v>
      </c>
      <c r="C99">
        <v>5949.17</v>
      </c>
      <c r="D99">
        <f t="shared" ref="D99:D130" si="10">LN(B100/B99)</f>
        <v>-3.9754188759424984E-2</v>
      </c>
      <c r="E99">
        <f t="shared" ref="E99:E130" si="11">LN(C100/C99)</f>
        <v>-1.3291463960568205E-2</v>
      </c>
      <c r="G99">
        <f t="shared" si="8"/>
        <v>58.499833134920635</v>
      </c>
      <c r="H99">
        <f t="shared" si="9"/>
        <v>5949.1698331349207</v>
      </c>
    </row>
    <row r="100" spans="1:8">
      <c r="A100" s="1">
        <v>45611</v>
      </c>
      <c r="B100">
        <v>56.22</v>
      </c>
      <c r="C100">
        <v>5870.62</v>
      </c>
      <c r="D100">
        <f t="shared" si="10"/>
        <v>1.0263760248719901E-2</v>
      </c>
      <c r="E100">
        <f t="shared" si="11"/>
        <v>3.9101598241076656E-3</v>
      </c>
      <c r="G100">
        <f t="shared" si="8"/>
        <v>56.219833134920634</v>
      </c>
      <c r="H100">
        <f t="shared" si="9"/>
        <v>5870.6198331349206</v>
      </c>
    </row>
    <row r="101" spans="1:8">
      <c r="A101" s="1">
        <v>45614</v>
      </c>
      <c r="B101">
        <v>56.8</v>
      </c>
      <c r="C101">
        <v>5893.62</v>
      </c>
      <c r="D101">
        <f t="shared" si="10"/>
        <v>2.4864360121922856E-2</v>
      </c>
      <c r="E101">
        <f t="shared" si="11"/>
        <v>3.9557737052673715E-3</v>
      </c>
      <c r="G101">
        <f t="shared" si="8"/>
        <v>56.799833134920632</v>
      </c>
      <c r="H101">
        <f t="shared" si="9"/>
        <v>5893.6198331349206</v>
      </c>
    </row>
    <row r="102" spans="1:8">
      <c r="A102" s="1">
        <v>45615</v>
      </c>
      <c r="B102">
        <v>58.23</v>
      </c>
      <c r="C102">
        <v>5916.98</v>
      </c>
      <c r="D102">
        <f t="shared" si="10"/>
        <v>-6.0287840857454139E-3</v>
      </c>
      <c r="E102">
        <f t="shared" si="11"/>
        <v>2.1970426117316337E-5</v>
      </c>
      <c r="G102">
        <f t="shared" si="8"/>
        <v>58.229833134920632</v>
      </c>
      <c r="H102">
        <f t="shared" si="9"/>
        <v>5916.9798331349202</v>
      </c>
    </row>
    <row r="103" spans="1:8">
      <c r="A103" s="1">
        <v>45616</v>
      </c>
      <c r="B103">
        <v>57.88</v>
      </c>
      <c r="C103">
        <v>5917.11</v>
      </c>
      <c r="D103">
        <f t="shared" si="10"/>
        <v>6.0287840857452656E-3</v>
      </c>
      <c r="E103">
        <f t="shared" si="11"/>
        <v>5.3262353051749837E-3</v>
      </c>
      <c r="G103">
        <f t="shared" si="8"/>
        <v>57.879833134920638</v>
      </c>
      <c r="H103">
        <f t="shared" si="9"/>
        <v>5917.1098331349203</v>
      </c>
    </row>
    <row r="104" spans="1:8">
      <c r="A104" s="1">
        <v>45617</v>
      </c>
      <c r="B104">
        <v>58.23</v>
      </c>
      <c r="C104">
        <v>5948.71</v>
      </c>
      <c r="D104">
        <f t="shared" si="10"/>
        <v>1.0930937191141328E-2</v>
      </c>
      <c r="E104">
        <f t="shared" si="11"/>
        <v>3.4619792004100735E-3</v>
      </c>
      <c r="G104">
        <f t="shared" si="8"/>
        <v>58.229833134920632</v>
      </c>
      <c r="H104">
        <f t="shared" si="9"/>
        <v>5948.7098331349207</v>
      </c>
    </row>
    <row r="105" spans="1:8">
      <c r="A105" s="1">
        <v>45618</v>
      </c>
      <c r="B105">
        <v>58.87</v>
      </c>
      <c r="C105">
        <v>5969.34</v>
      </c>
      <c r="D105">
        <f t="shared" si="10"/>
        <v>-1.5299620493986225E-3</v>
      </c>
      <c r="E105">
        <f t="shared" si="11"/>
        <v>3.015882072251307E-3</v>
      </c>
      <c r="G105">
        <f t="shared" si="8"/>
        <v>58.869833134920633</v>
      </c>
      <c r="H105">
        <f t="shared" si="9"/>
        <v>5969.3398331349208</v>
      </c>
    </row>
    <row r="106" spans="1:8">
      <c r="A106" s="1">
        <v>45621</v>
      </c>
      <c r="B106">
        <v>58.78</v>
      </c>
      <c r="C106">
        <v>5987.37</v>
      </c>
      <c r="D106">
        <f t="shared" si="10"/>
        <v>-6.8073522029723187E-4</v>
      </c>
      <c r="E106">
        <f t="shared" si="11"/>
        <v>5.7057361888066833E-3</v>
      </c>
      <c r="G106">
        <f t="shared" si="8"/>
        <v>58.779833134920636</v>
      </c>
      <c r="H106">
        <f t="shared" si="9"/>
        <v>5987.3698331349206</v>
      </c>
    </row>
    <row r="107" spans="1:8">
      <c r="A107" s="1">
        <v>45622</v>
      </c>
      <c r="B107">
        <v>58.74</v>
      </c>
      <c r="C107">
        <v>6021.63</v>
      </c>
      <c r="D107">
        <f t="shared" si="10"/>
        <v>8.9823500292727908E-3</v>
      </c>
      <c r="E107">
        <f t="shared" si="11"/>
        <v>-3.8085396153748753E-3</v>
      </c>
      <c r="G107">
        <f t="shared" si="8"/>
        <v>58.739833134920637</v>
      </c>
      <c r="H107">
        <f t="shared" si="9"/>
        <v>6021.6298331349208</v>
      </c>
    </row>
    <row r="108" spans="1:8">
      <c r="A108" s="1">
        <v>45623</v>
      </c>
      <c r="B108">
        <v>59.27</v>
      </c>
      <c r="C108">
        <v>5998.74</v>
      </c>
      <c r="D108">
        <f t="shared" si="10"/>
        <v>-8.4395312630165581E-4</v>
      </c>
      <c r="E108">
        <f t="shared" si="11"/>
        <v>5.5921788939180331E-3</v>
      </c>
      <c r="G108">
        <f t="shared" si="8"/>
        <v>59.269833134920638</v>
      </c>
      <c r="H108">
        <f t="shared" si="9"/>
        <v>5998.7398331349204</v>
      </c>
    </row>
    <row r="109" spans="1:8">
      <c r="A109" s="1">
        <v>45625</v>
      </c>
      <c r="B109">
        <v>59.22</v>
      </c>
      <c r="C109">
        <v>6032.38</v>
      </c>
      <c r="D109">
        <f t="shared" si="10"/>
        <v>1.2084739215071827E-2</v>
      </c>
      <c r="E109">
        <f t="shared" si="11"/>
        <v>2.4454606033056034E-3</v>
      </c>
      <c r="G109">
        <f t="shared" si="8"/>
        <v>59.219833134920634</v>
      </c>
      <c r="H109">
        <f t="shared" si="9"/>
        <v>6032.3798331349208</v>
      </c>
    </row>
    <row r="110" spans="1:8">
      <c r="A110" s="1">
        <v>45628</v>
      </c>
      <c r="B110">
        <v>59.94</v>
      </c>
      <c r="C110">
        <v>6047.15</v>
      </c>
      <c r="D110">
        <f t="shared" si="10"/>
        <v>-2.1074707318274048E-2</v>
      </c>
      <c r="E110">
        <f t="shared" si="11"/>
        <v>4.5135046310470323E-4</v>
      </c>
      <c r="G110">
        <f t="shared" si="8"/>
        <v>59.939833134920633</v>
      </c>
      <c r="H110">
        <f t="shared" si="9"/>
        <v>6047.1498331349203</v>
      </c>
    </row>
    <row r="111" spans="1:8">
      <c r="A111" s="1">
        <v>45629</v>
      </c>
      <c r="B111">
        <v>58.69</v>
      </c>
      <c r="C111">
        <v>6049.88</v>
      </c>
      <c r="D111">
        <f t="shared" si="10"/>
        <v>-5.4672953545434567E-3</v>
      </c>
      <c r="E111">
        <f t="shared" si="11"/>
        <v>6.0331237505021089E-3</v>
      </c>
      <c r="G111">
        <f t="shared" si="8"/>
        <v>58.689833134920633</v>
      </c>
      <c r="H111">
        <f t="shared" si="9"/>
        <v>6049.8798331349208</v>
      </c>
    </row>
    <row r="112" spans="1:8">
      <c r="A112" s="1">
        <v>45630</v>
      </c>
      <c r="B112">
        <v>58.37</v>
      </c>
      <c r="C112">
        <v>6086.49</v>
      </c>
      <c r="D112">
        <f t="shared" si="10"/>
        <v>8.0198365175371353E-3</v>
      </c>
      <c r="E112">
        <f t="shared" si="11"/>
        <v>-1.8714648272306858E-3</v>
      </c>
      <c r="G112">
        <f t="shared" si="8"/>
        <v>58.369833134920633</v>
      </c>
      <c r="H112">
        <f t="shared" si="9"/>
        <v>6086.4898331349204</v>
      </c>
    </row>
    <row r="113" spans="1:8">
      <c r="A113" s="1">
        <v>45631</v>
      </c>
      <c r="B113">
        <v>58.84</v>
      </c>
      <c r="C113">
        <v>6075.11</v>
      </c>
      <c r="D113">
        <f t="shared" si="10"/>
        <v>9.1355736023768994E-3</v>
      </c>
      <c r="E113">
        <f t="shared" si="11"/>
        <v>2.4923196558419955E-3</v>
      </c>
      <c r="G113">
        <f t="shared" si="8"/>
        <v>58.839833134920639</v>
      </c>
      <c r="H113">
        <f t="shared" si="9"/>
        <v>6075.1098331349203</v>
      </c>
    </row>
    <row r="114" spans="1:8">
      <c r="A114" s="1">
        <v>45632</v>
      </c>
      <c r="B114">
        <v>59.38</v>
      </c>
      <c r="C114">
        <v>6090.27</v>
      </c>
      <c r="D114">
        <f t="shared" si="10"/>
        <v>-1.1347399259519162E-2</v>
      </c>
      <c r="E114">
        <f t="shared" si="11"/>
        <v>-6.1631802121963038E-3</v>
      </c>
      <c r="G114">
        <f t="shared" si="8"/>
        <v>59.379833134920638</v>
      </c>
      <c r="H114">
        <f t="shared" si="9"/>
        <v>6090.2698331349211</v>
      </c>
    </row>
    <row r="115" spans="1:8">
      <c r="A115" s="1">
        <v>45635</v>
      </c>
      <c r="B115">
        <v>58.71</v>
      </c>
      <c r="C115">
        <v>6052.85</v>
      </c>
      <c r="D115">
        <f t="shared" si="10"/>
        <v>-1.0100231374012485E-2</v>
      </c>
      <c r="E115">
        <f t="shared" si="11"/>
        <v>-2.9682940713745675E-3</v>
      </c>
      <c r="G115">
        <f t="shared" si="8"/>
        <v>58.709833134920636</v>
      </c>
      <c r="H115">
        <f t="shared" si="9"/>
        <v>6052.849833134921</v>
      </c>
    </row>
    <row r="116" spans="1:8">
      <c r="A116" s="1">
        <v>45636</v>
      </c>
      <c r="B116">
        <v>58.12</v>
      </c>
      <c r="C116">
        <v>6034.91</v>
      </c>
      <c r="D116">
        <f t="shared" si="10"/>
        <v>-2.561785122806676E-2</v>
      </c>
      <c r="E116">
        <f t="shared" si="11"/>
        <v>8.1326619328850828E-3</v>
      </c>
      <c r="G116">
        <f t="shared" si="8"/>
        <v>58.119833134920633</v>
      </c>
      <c r="H116">
        <f t="shared" si="9"/>
        <v>6034.9098331349205</v>
      </c>
    </row>
    <row r="117" spans="1:8">
      <c r="A117" s="1">
        <v>45637</v>
      </c>
      <c r="B117">
        <v>56.65</v>
      </c>
      <c r="C117">
        <v>6084.19</v>
      </c>
      <c r="D117">
        <f t="shared" si="10"/>
        <v>-6.5527552278269365E-3</v>
      </c>
      <c r="E117">
        <f t="shared" si="11"/>
        <v>-5.4287410919564485E-3</v>
      </c>
      <c r="G117">
        <f t="shared" si="8"/>
        <v>56.649833134920634</v>
      </c>
      <c r="H117">
        <f t="shared" si="9"/>
        <v>6084.1898331349203</v>
      </c>
    </row>
    <row r="118" spans="1:8">
      <c r="A118" s="1">
        <v>45638</v>
      </c>
      <c r="B118">
        <v>56.28</v>
      </c>
      <c r="C118">
        <v>6051.25</v>
      </c>
      <c r="D118">
        <f t="shared" si="10"/>
        <v>-8.9238500468453962E-3</v>
      </c>
      <c r="E118">
        <f t="shared" si="11"/>
        <v>-2.6441167577320025E-5</v>
      </c>
      <c r="G118">
        <f t="shared" si="8"/>
        <v>56.279833134920636</v>
      </c>
      <c r="H118">
        <f t="shared" si="9"/>
        <v>6051.2498331349207</v>
      </c>
    </row>
    <row r="119" spans="1:8">
      <c r="A119" s="1">
        <v>45639</v>
      </c>
      <c r="B119">
        <v>55.78</v>
      </c>
      <c r="C119">
        <v>6051.09</v>
      </c>
      <c r="D119">
        <f t="shared" si="10"/>
        <v>1.6121812717143542E-3</v>
      </c>
      <c r="E119">
        <f t="shared" si="11"/>
        <v>3.7921163249597686E-3</v>
      </c>
      <c r="G119">
        <f t="shared" si="8"/>
        <v>55.779833134920636</v>
      </c>
      <c r="H119">
        <f t="shared" si="9"/>
        <v>6051.0898331349208</v>
      </c>
    </row>
    <row r="120" spans="1:8">
      <c r="A120" s="1">
        <v>45642</v>
      </c>
      <c r="B120">
        <v>55.87</v>
      </c>
      <c r="C120">
        <v>6074.08</v>
      </c>
      <c r="D120">
        <f t="shared" si="10"/>
        <v>3.1362683244010647E-2</v>
      </c>
      <c r="E120">
        <f t="shared" si="11"/>
        <v>-3.8714440227630084E-3</v>
      </c>
      <c r="G120">
        <f t="shared" si="8"/>
        <v>55.869833134920633</v>
      </c>
      <c r="H120">
        <f t="shared" si="9"/>
        <v>6074.0798331349206</v>
      </c>
    </row>
    <row r="121" spans="1:8">
      <c r="A121" s="1">
        <v>45643</v>
      </c>
      <c r="B121">
        <v>57.65</v>
      </c>
      <c r="C121">
        <v>6050.61</v>
      </c>
      <c r="D121">
        <f t="shared" si="10"/>
        <v>-1.4149943486168066E-2</v>
      </c>
      <c r="E121">
        <f t="shared" si="11"/>
        <v>-2.9936554508987644E-2</v>
      </c>
      <c r="G121">
        <f t="shared" si="8"/>
        <v>57.649833134920634</v>
      </c>
      <c r="H121">
        <f t="shared" si="9"/>
        <v>6050.6098331349203</v>
      </c>
    </row>
    <row r="122" spans="1:8">
      <c r="A122" s="1">
        <v>45644</v>
      </c>
      <c r="B122">
        <v>56.84</v>
      </c>
      <c r="C122">
        <v>5872.16</v>
      </c>
      <c r="D122">
        <f t="shared" si="10"/>
        <v>-9.5457680832552669E-3</v>
      </c>
      <c r="E122">
        <f t="shared" si="11"/>
        <v>-8.6547345775283581E-4</v>
      </c>
      <c r="G122">
        <f t="shared" si="8"/>
        <v>56.839833134920639</v>
      </c>
      <c r="H122">
        <f t="shared" si="9"/>
        <v>5872.1598331349205</v>
      </c>
    </row>
    <row r="123" spans="1:8">
      <c r="A123" s="1">
        <v>45645</v>
      </c>
      <c r="B123">
        <v>56.3</v>
      </c>
      <c r="C123">
        <v>5867.08</v>
      </c>
      <c r="D123">
        <f t="shared" si="10"/>
        <v>1.8129511774646608E-2</v>
      </c>
      <c r="E123">
        <f t="shared" si="11"/>
        <v>1.0810476252410672E-2</v>
      </c>
      <c r="G123">
        <f t="shared" si="8"/>
        <v>56.299833134920632</v>
      </c>
      <c r="H123">
        <f t="shared" si="9"/>
        <v>5867.0798331349206</v>
      </c>
    </row>
    <row r="124" spans="1:8">
      <c r="A124" s="1">
        <v>45646</v>
      </c>
      <c r="B124">
        <v>57.33</v>
      </c>
      <c r="C124">
        <v>5930.85</v>
      </c>
      <c r="D124">
        <f t="shared" si="10"/>
        <v>4.3512382637384689E-3</v>
      </c>
      <c r="E124">
        <f t="shared" si="11"/>
        <v>7.2608954754625398E-3</v>
      </c>
      <c r="G124">
        <f t="shared" si="8"/>
        <v>57.329833134920634</v>
      </c>
      <c r="H124">
        <f t="shared" si="9"/>
        <v>5930.849833134921</v>
      </c>
    </row>
    <row r="125" spans="1:8">
      <c r="A125" s="1">
        <v>45649</v>
      </c>
      <c r="B125">
        <v>57.58</v>
      </c>
      <c r="C125">
        <v>5974.07</v>
      </c>
      <c r="D125">
        <f t="shared" si="10"/>
        <v>3.1212094005409678E-3</v>
      </c>
      <c r="E125">
        <f t="shared" si="11"/>
        <v>1.0982197273831982E-2</v>
      </c>
      <c r="G125">
        <f t="shared" si="8"/>
        <v>57.579833134920634</v>
      </c>
      <c r="H125">
        <f t="shared" si="9"/>
        <v>5974.0698331349204</v>
      </c>
    </row>
    <row r="126" spans="1:8">
      <c r="A126" s="1">
        <v>45650</v>
      </c>
      <c r="B126">
        <v>57.76</v>
      </c>
      <c r="C126">
        <v>6040.04</v>
      </c>
      <c r="D126">
        <f t="shared" si="10"/>
        <v>4.146515961848618E-3</v>
      </c>
      <c r="E126">
        <f t="shared" si="11"/>
        <v>-4.0570874146761795E-4</v>
      </c>
      <c r="G126">
        <f t="shared" si="8"/>
        <v>57.759833134920633</v>
      </c>
      <c r="H126">
        <f t="shared" si="9"/>
        <v>6040.0398331349206</v>
      </c>
    </row>
    <row r="127" spans="1:8">
      <c r="A127" s="1">
        <v>45652</v>
      </c>
      <c r="B127">
        <v>58</v>
      </c>
      <c r="C127">
        <v>6037.59</v>
      </c>
      <c r="D127">
        <f t="shared" si="10"/>
        <v>-5.5325175697256666E-3</v>
      </c>
      <c r="E127">
        <f t="shared" si="11"/>
        <v>-1.111730467559637E-2</v>
      </c>
      <c r="G127">
        <f t="shared" si="8"/>
        <v>57.999833134920635</v>
      </c>
      <c r="H127">
        <f t="shared" si="9"/>
        <v>6037.5898331349208</v>
      </c>
    </row>
    <row r="128" spans="1:8">
      <c r="A128" s="1">
        <v>45653</v>
      </c>
      <c r="B128">
        <v>57.68</v>
      </c>
      <c r="C128">
        <v>5970.84</v>
      </c>
      <c r="D128">
        <f t="shared" si="10"/>
        <v>-2.8487947240051402E-2</v>
      </c>
      <c r="E128">
        <f t="shared" si="11"/>
        <v>-1.0759690191101295E-2</v>
      </c>
      <c r="G128">
        <f t="shared" si="8"/>
        <v>57.679833134920635</v>
      </c>
      <c r="H128">
        <f t="shared" si="9"/>
        <v>5970.8398331349208</v>
      </c>
    </row>
    <row r="129" spans="1:8">
      <c r="A129" s="1">
        <v>45656</v>
      </c>
      <c r="B129">
        <v>56.06</v>
      </c>
      <c r="C129">
        <v>5906.94</v>
      </c>
      <c r="D129">
        <f t="shared" si="10"/>
        <v>8.8794758516750928E-3</v>
      </c>
      <c r="E129">
        <f t="shared" si="11"/>
        <v>-4.2939964541344501E-3</v>
      </c>
      <c r="G129">
        <f t="shared" si="8"/>
        <v>56.059833134920638</v>
      </c>
      <c r="H129">
        <f t="shared" si="9"/>
        <v>5906.9398331349203</v>
      </c>
    </row>
    <row r="130" spans="1:8">
      <c r="A130" s="1">
        <v>45657</v>
      </c>
      <c r="B130">
        <v>56.56</v>
      </c>
      <c r="C130">
        <v>5881.63</v>
      </c>
      <c r="D130">
        <f t="shared" si="10"/>
        <v>4.058232301023844E-3</v>
      </c>
      <c r="E130">
        <f t="shared" si="11"/>
        <v>-2.2263497925529528E-3</v>
      </c>
      <c r="G130">
        <f t="shared" si="8"/>
        <v>56.559833134920638</v>
      </c>
      <c r="H130">
        <f t="shared" si="9"/>
        <v>5881.6298331349208</v>
      </c>
    </row>
    <row r="131" spans="1:8">
      <c r="A131" s="1">
        <v>45659</v>
      </c>
      <c r="B131">
        <v>56.79</v>
      </c>
      <c r="C131">
        <v>5868.55</v>
      </c>
      <c r="D131">
        <f t="shared" ref="D131:D162" si="12">LN(B132/B131)</f>
        <v>-3.8814445342767916E-3</v>
      </c>
      <c r="E131">
        <f t="shared" ref="E131:E162" si="13">LN(C132/C131)</f>
        <v>1.2517287272659085E-2</v>
      </c>
      <c r="G131">
        <f t="shared" si="8"/>
        <v>56.789833134920634</v>
      </c>
      <c r="H131">
        <f t="shared" si="9"/>
        <v>5868.5498331349208</v>
      </c>
    </row>
    <row r="132" spans="1:8">
      <c r="A132" s="1">
        <v>45660</v>
      </c>
      <c r="B132">
        <v>56.57</v>
      </c>
      <c r="C132">
        <v>5942.47</v>
      </c>
      <c r="D132">
        <f t="shared" si="12"/>
        <v>1.9426054674152751E-3</v>
      </c>
      <c r="E132">
        <f t="shared" si="13"/>
        <v>5.5228222624888485E-3</v>
      </c>
      <c r="G132">
        <f t="shared" ref="G132:G190" si="14">B132-$F$2/252</f>
        <v>56.569833134920636</v>
      </c>
      <c r="H132">
        <f t="shared" ref="H132:H190" si="15">C132-$F$2/252</f>
        <v>5942.4698331349209</v>
      </c>
    </row>
    <row r="133" spans="1:8">
      <c r="A133" s="1">
        <v>45663</v>
      </c>
      <c r="B133">
        <v>56.68</v>
      </c>
      <c r="C133">
        <v>5975.38</v>
      </c>
      <c r="D133">
        <f t="shared" si="12"/>
        <v>8.0829819801473551E-3</v>
      </c>
      <c r="E133">
        <f t="shared" si="13"/>
        <v>-1.116600476981219E-2</v>
      </c>
      <c r="G133">
        <f t="shared" si="14"/>
        <v>56.679833134920635</v>
      </c>
      <c r="H133">
        <f t="shared" si="15"/>
        <v>5975.3798331349208</v>
      </c>
    </row>
    <row r="134" spans="1:8">
      <c r="A134" s="1">
        <v>45664</v>
      </c>
      <c r="B134">
        <v>57.14</v>
      </c>
      <c r="C134">
        <v>5909.03</v>
      </c>
      <c r="D134">
        <f t="shared" si="12"/>
        <v>-5.7920302335914969E-3</v>
      </c>
      <c r="E134">
        <f t="shared" si="13"/>
        <v>1.559107735282887E-3</v>
      </c>
      <c r="G134">
        <f t="shared" si="14"/>
        <v>57.139833134920636</v>
      </c>
      <c r="H134">
        <f t="shared" si="15"/>
        <v>5909.0298331349204</v>
      </c>
    </row>
    <row r="135" spans="1:8">
      <c r="A135" s="1">
        <v>45665</v>
      </c>
      <c r="B135">
        <v>56.81</v>
      </c>
      <c r="C135">
        <v>5918.25</v>
      </c>
      <c r="D135">
        <f t="shared" si="12"/>
        <v>-1.7401007246766485E-2</v>
      </c>
      <c r="E135">
        <f t="shared" si="13"/>
        <v>-1.5531644353894208E-2</v>
      </c>
      <c r="G135">
        <f t="shared" si="14"/>
        <v>56.809833134920638</v>
      </c>
      <c r="H135">
        <f t="shared" si="15"/>
        <v>5918.2498331349207</v>
      </c>
    </row>
    <row r="136" spans="1:8">
      <c r="A136" s="1">
        <v>45667</v>
      </c>
      <c r="B136">
        <v>55.83</v>
      </c>
      <c r="C136">
        <v>5827.04</v>
      </c>
      <c r="D136">
        <f t="shared" si="12"/>
        <v>-8.4540480128549624E-3</v>
      </c>
      <c r="E136">
        <f t="shared" si="13"/>
        <v>1.5741742695762329E-3</v>
      </c>
      <c r="G136">
        <f t="shared" si="14"/>
        <v>55.829833134920634</v>
      </c>
      <c r="H136">
        <f t="shared" si="15"/>
        <v>5827.0398331349206</v>
      </c>
    </row>
    <row r="137" spans="1:8">
      <c r="A137" s="1">
        <v>45670</v>
      </c>
      <c r="B137">
        <v>55.36</v>
      </c>
      <c r="C137">
        <v>5836.22</v>
      </c>
      <c r="D137">
        <f t="shared" si="12"/>
        <v>6.8407107443879895E-3</v>
      </c>
      <c r="E137">
        <f t="shared" si="13"/>
        <v>1.1456334044923633E-3</v>
      </c>
      <c r="G137">
        <f t="shared" si="14"/>
        <v>55.359833134920635</v>
      </c>
      <c r="H137">
        <f t="shared" si="15"/>
        <v>5836.2198331349209</v>
      </c>
    </row>
    <row r="138" spans="1:8">
      <c r="A138" s="1">
        <v>45671</v>
      </c>
      <c r="B138">
        <v>55.74</v>
      </c>
      <c r="C138">
        <v>5842.91</v>
      </c>
      <c r="D138">
        <f t="shared" si="12"/>
        <v>3.0452329847516233E-3</v>
      </c>
      <c r="E138">
        <f t="shared" si="13"/>
        <v>1.8147132985426716E-2</v>
      </c>
      <c r="G138">
        <f t="shared" si="14"/>
        <v>55.739833134920637</v>
      </c>
      <c r="H138">
        <f t="shared" si="15"/>
        <v>5842.9098331349205</v>
      </c>
    </row>
    <row r="139" spans="1:8">
      <c r="A139" s="1">
        <v>45672</v>
      </c>
      <c r="B139">
        <v>55.91</v>
      </c>
      <c r="C139">
        <v>5949.91</v>
      </c>
      <c r="D139">
        <f t="shared" si="12"/>
        <v>8.3712306474126343E-3</v>
      </c>
      <c r="E139">
        <f t="shared" si="13"/>
        <v>-2.1148717634665781E-3</v>
      </c>
      <c r="G139">
        <f t="shared" si="14"/>
        <v>55.909833134920632</v>
      </c>
      <c r="H139">
        <f t="shared" si="15"/>
        <v>5949.9098331349205</v>
      </c>
    </row>
    <row r="140" spans="1:8">
      <c r="A140" s="1">
        <v>45673</v>
      </c>
      <c r="B140">
        <v>56.38</v>
      </c>
      <c r="C140">
        <v>5937.34</v>
      </c>
      <c r="D140">
        <f t="shared" si="12"/>
        <v>-1.5975862100313272E-3</v>
      </c>
      <c r="E140">
        <f t="shared" si="13"/>
        <v>9.9414259357241096E-3</v>
      </c>
      <c r="G140">
        <f t="shared" si="14"/>
        <v>56.379833134920638</v>
      </c>
      <c r="H140">
        <f t="shared" si="15"/>
        <v>5937.3398331349208</v>
      </c>
    </row>
    <row r="141" spans="1:8">
      <c r="A141" s="1">
        <v>45674</v>
      </c>
      <c r="B141">
        <v>56.29</v>
      </c>
      <c r="C141">
        <v>5996.66</v>
      </c>
      <c r="D141">
        <f t="shared" si="12"/>
        <v>1.3235876630105291E-2</v>
      </c>
      <c r="E141">
        <f t="shared" si="13"/>
        <v>8.7299967522312897E-3</v>
      </c>
      <c r="G141">
        <f t="shared" si="14"/>
        <v>56.289833134920634</v>
      </c>
      <c r="H141">
        <f t="shared" si="15"/>
        <v>5996.6598331349205</v>
      </c>
    </row>
    <row r="142" spans="1:8">
      <c r="A142" s="1">
        <v>45678</v>
      </c>
      <c r="B142">
        <v>57.04</v>
      </c>
      <c r="C142">
        <v>6049.24</v>
      </c>
      <c r="D142">
        <f t="shared" si="12"/>
        <v>8.7619387012741786E-4</v>
      </c>
      <c r="E142">
        <f t="shared" si="13"/>
        <v>6.1192005774427091E-3</v>
      </c>
      <c r="G142">
        <f t="shared" si="14"/>
        <v>57.039833134920634</v>
      </c>
      <c r="H142">
        <f t="shared" si="15"/>
        <v>6049.2398331349204</v>
      </c>
    </row>
    <row r="143" spans="1:8">
      <c r="A143" s="1">
        <v>45679</v>
      </c>
      <c r="B143">
        <v>57.09</v>
      </c>
      <c r="C143">
        <v>6086.37</v>
      </c>
      <c r="D143">
        <f t="shared" si="12"/>
        <v>3.5278544448163272E-2</v>
      </c>
      <c r="E143">
        <f t="shared" si="13"/>
        <v>5.2994450977238887E-3</v>
      </c>
      <c r="G143">
        <f t="shared" si="14"/>
        <v>57.089833134920639</v>
      </c>
      <c r="H143">
        <f t="shared" si="15"/>
        <v>6086.3698331349206</v>
      </c>
    </row>
    <row r="144" spans="1:8">
      <c r="A144" s="1">
        <v>45680</v>
      </c>
      <c r="B144">
        <v>59.14</v>
      </c>
      <c r="C144">
        <v>6118.71</v>
      </c>
      <c r="D144">
        <f t="shared" si="12"/>
        <v>8.9218671096593406E-3</v>
      </c>
      <c r="E144">
        <f t="shared" si="13"/>
        <v>-2.8592607828964826E-3</v>
      </c>
      <c r="G144">
        <f t="shared" si="14"/>
        <v>59.139833134920636</v>
      </c>
      <c r="H144">
        <f t="shared" si="15"/>
        <v>6118.7098331349207</v>
      </c>
    </row>
    <row r="145" spans="1:8">
      <c r="A145" s="1">
        <v>45681</v>
      </c>
      <c r="B145">
        <v>59.67</v>
      </c>
      <c r="C145">
        <v>6101.24</v>
      </c>
      <c r="D145">
        <f t="shared" si="12"/>
        <v>1.546551154127819E-2</v>
      </c>
      <c r="E145">
        <f t="shared" si="13"/>
        <v>-1.4687984883634318E-2</v>
      </c>
      <c r="G145">
        <f t="shared" si="14"/>
        <v>59.669833134920637</v>
      </c>
      <c r="H145">
        <f t="shared" si="15"/>
        <v>6101.2398331349204</v>
      </c>
    </row>
    <row r="146" spans="1:8">
      <c r="A146" s="1">
        <v>45684</v>
      </c>
      <c r="B146">
        <v>60.6</v>
      </c>
      <c r="C146">
        <v>6012.28</v>
      </c>
      <c r="D146">
        <f t="shared" si="12"/>
        <v>-3.0833541769592316E-2</v>
      </c>
      <c r="E146">
        <f t="shared" si="13"/>
        <v>9.1755762546756169E-3</v>
      </c>
      <c r="G146">
        <f t="shared" si="14"/>
        <v>60.599833134920637</v>
      </c>
      <c r="H146">
        <f t="shared" si="15"/>
        <v>6012.2798331349204</v>
      </c>
    </row>
    <row r="147" spans="1:8">
      <c r="A147" s="1">
        <v>45685</v>
      </c>
      <c r="B147">
        <v>58.76</v>
      </c>
      <c r="C147">
        <v>6067.7</v>
      </c>
      <c r="D147">
        <f t="shared" si="12"/>
        <v>4.9231913376947684E-3</v>
      </c>
      <c r="E147">
        <f t="shared" si="13"/>
        <v>-4.6898535700948913E-3</v>
      </c>
      <c r="G147">
        <f t="shared" si="14"/>
        <v>58.759833134920633</v>
      </c>
      <c r="H147">
        <f t="shared" si="15"/>
        <v>6067.6998331349205</v>
      </c>
    </row>
    <row r="148" spans="1:8">
      <c r="A148" s="1">
        <v>45686</v>
      </c>
      <c r="B148">
        <v>59.05</v>
      </c>
      <c r="C148">
        <v>6039.31</v>
      </c>
      <c r="D148">
        <f t="shared" si="12"/>
        <v>1.5229717809600043E-3</v>
      </c>
      <c r="E148">
        <f t="shared" si="13"/>
        <v>5.2615707224356184E-3</v>
      </c>
      <c r="G148">
        <f t="shared" si="14"/>
        <v>59.049833134920632</v>
      </c>
      <c r="H148">
        <f t="shared" si="15"/>
        <v>6039.3098331349211</v>
      </c>
    </row>
    <row r="149" spans="1:8">
      <c r="A149" s="1">
        <v>45687</v>
      </c>
      <c r="B149">
        <v>59.14</v>
      </c>
      <c r="C149">
        <v>6071.17</v>
      </c>
      <c r="D149">
        <f t="shared" si="12"/>
        <v>-3.2178874409511354E-3</v>
      </c>
      <c r="E149">
        <f t="shared" si="13"/>
        <v>-5.0595812914254659E-3</v>
      </c>
      <c r="G149">
        <f t="shared" si="14"/>
        <v>59.139833134920636</v>
      </c>
      <c r="H149">
        <f t="shared" si="15"/>
        <v>6071.1698331349207</v>
      </c>
    </row>
    <row r="150" spans="1:8">
      <c r="A150" s="1">
        <v>45688</v>
      </c>
      <c r="B150">
        <v>58.95</v>
      </c>
      <c r="C150">
        <v>6040.53</v>
      </c>
      <c r="D150">
        <f t="shared" si="12"/>
        <v>1.682125449014325E-2</v>
      </c>
      <c r="E150">
        <f t="shared" si="13"/>
        <v>-7.637696973119063E-3</v>
      </c>
      <c r="G150">
        <f t="shared" si="14"/>
        <v>58.949833134920638</v>
      </c>
      <c r="H150">
        <f t="shared" si="15"/>
        <v>6040.5298331349204</v>
      </c>
    </row>
    <row r="151" spans="1:8">
      <c r="A151" s="1">
        <v>45691</v>
      </c>
      <c r="B151">
        <v>59.95</v>
      </c>
      <c r="C151">
        <v>5994.57</v>
      </c>
      <c r="D151">
        <f t="shared" si="12"/>
        <v>-1.3941604833577056E-2</v>
      </c>
      <c r="E151">
        <f t="shared" si="13"/>
        <v>7.1988974883324779E-3</v>
      </c>
      <c r="G151">
        <f t="shared" si="14"/>
        <v>59.949833134920638</v>
      </c>
      <c r="H151">
        <f t="shared" si="15"/>
        <v>5994.5698331349204</v>
      </c>
    </row>
    <row r="152" spans="1:8">
      <c r="A152" s="1">
        <v>45692</v>
      </c>
      <c r="B152">
        <v>59.12</v>
      </c>
      <c r="C152">
        <v>6037.88</v>
      </c>
      <c r="D152">
        <f t="shared" si="12"/>
        <v>9.9302339189547787E-3</v>
      </c>
      <c r="E152">
        <f t="shared" si="13"/>
        <v>3.9010377290886913E-3</v>
      </c>
      <c r="G152">
        <f t="shared" si="14"/>
        <v>59.119833134920633</v>
      </c>
      <c r="H152">
        <f t="shared" si="15"/>
        <v>6037.8798331349208</v>
      </c>
    </row>
    <row r="153" spans="1:8">
      <c r="A153" s="1">
        <v>45693</v>
      </c>
      <c r="B153">
        <v>59.71</v>
      </c>
      <c r="C153">
        <v>6061.48</v>
      </c>
      <c r="D153">
        <f t="shared" si="12"/>
        <v>-3.9106835865983174E-2</v>
      </c>
      <c r="E153">
        <f t="shared" si="13"/>
        <v>3.637700027498819E-3</v>
      </c>
      <c r="G153">
        <f t="shared" si="14"/>
        <v>59.709833134920636</v>
      </c>
      <c r="H153">
        <f t="shared" si="15"/>
        <v>6061.4798331349202</v>
      </c>
    </row>
    <row r="154" spans="1:8">
      <c r="A154" s="1">
        <v>45694</v>
      </c>
      <c r="B154">
        <v>57.42</v>
      </c>
      <c r="C154">
        <v>6083.57</v>
      </c>
      <c r="D154">
        <f t="shared" si="12"/>
        <v>-9.976454496372883E-3</v>
      </c>
      <c r="E154">
        <f t="shared" si="13"/>
        <v>-9.5099134821077444E-3</v>
      </c>
      <c r="G154">
        <f t="shared" si="14"/>
        <v>57.419833134920637</v>
      </c>
      <c r="H154">
        <f t="shared" si="15"/>
        <v>6083.5698331349204</v>
      </c>
    </row>
    <row r="155" spans="1:8">
      <c r="A155" s="1">
        <v>45695</v>
      </c>
      <c r="B155">
        <v>56.85</v>
      </c>
      <c r="C155">
        <v>6025.99</v>
      </c>
      <c r="D155">
        <f t="shared" si="12"/>
        <v>-2.3492804943029234E-2</v>
      </c>
      <c r="E155">
        <f t="shared" si="13"/>
        <v>6.6901608481496353E-3</v>
      </c>
      <c r="G155">
        <f t="shared" si="14"/>
        <v>56.849833134920637</v>
      </c>
      <c r="H155">
        <f t="shared" si="15"/>
        <v>6025.9898331349204</v>
      </c>
    </row>
    <row r="156" spans="1:8">
      <c r="A156" s="1">
        <v>45698</v>
      </c>
      <c r="B156">
        <v>55.53</v>
      </c>
      <c r="C156">
        <v>6066.44</v>
      </c>
      <c r="D156">
        <f t="shared" si="12"/>
        <v>7.3562725202978236E-3</v>
      </c>
      <c r="E156">
        <f t="shared" si="13"/>
        <v>3.3951548500248807E-4</v>
      </c>
      <c r="G156">
        <f t="shared" si="14"/>
        <v>55.529833134920636</v>
      </c>
      <c r="H156">
        <f t="shared" si="15"/>
        <v>6066.4398331349203</v>
      </c>
    </row>
    <row r="157" spans="1:8">
      <c r="A157" s="1">
        <v>45699</v>
      </c>
      <c r="B157">
        <v>55.94</v>
      </c>
      <c r="C157">
        <v>6068.5</v>
      </c>
      <c r="D157">
        <f t="shared" si="12"/>
        <v>3.7469934106384704E-3</v>
      </c>
      <c r="E157">
        <f t="shared" si="13"/>
        <v>-2.7276186894511618E-3</v>
      </c>
      <c r="G157">
        <f t="shared" si="14"/>
        <v>55.939833134920633</v>
      </c>
      <c r="H157">
        <f t="shared" si="15"/>
        <v>6068.4998331349207</v>
      </c>
    </row>
    <row r="158" spans="1:8">
      <c r="A158" s="1">
        <v>45700</v>
      </c>
      <c r="B158">
        <v>56.15</v>
      </c>
      <c r="C158">
        <v>6051.97</v>
      </c>
      <c r="D158">
        <f t="shared" si="12"/>
        <v>-3.2108482811839668E-3</v>
      </c>
      <c r="E158">
        <f t="shared" si="13"/>
        <v>1.0372377459622351E-2</v>
      </c>
      <c r="G158">
        <f t="shared" si="14"/>
        <v>56.149833134920634</v>
      </c>
      <c r="H158">
        <f t="shared" si="15"/>
        <v>6051.9698331349209</v>
      </c>
    </row>
    <row r="159" spans="1:8">
      <c r="A159" s="1">
        <v>45701</v>
      </c>
      <c r="B159">
        <v>55.97</v>
      </c>
      <c r="C159">
        <v>6115.07</v>
      </c>
      <c r="D159">
        <f t="shared" si="12"/>
        <v>-3.7685354988316738E-2</v>
      </c>
      <c r="E159">
        <f t="shared" si="13"/>
        <v>-7.1955976056534599E-5</v>
      </c>
      <c r="G159">
        <f t="shared" si="14"/>
        <v>55.969833134920634</v>
      </c>
      <c r="H159">
        <f t="shared" si="15"/>
        <v>6115.0698331349204</v>
      </c>
    </row>
    <row r="160" spans="1:8">
      <c r="A160" s="1">
        <v>45702</v>
      </c>
      <c r="B160">
        <v>53.9</v>
      </c>
      <c r="C160">
        <v>6114.63</v>
      </c>
      <c r="D160">
        <f t="shared" si="12"/>
        <v>9.7849945311571044E-3</v>
      </c>
      <c r="E160">
        <f t="shared" si="13"/>
        <v>2.4419717448794743E-3</v>
      </c>
      <c r="G160">
        <f t="shared" si="14"/>
        <v>53.899833134920634</v>
      </c>
      <c r="H160">
        <f t="shared" si="15"/>
        <v>6114.6298331349208</v>
      </c>
    </row>
    <row r="161" spans="1:8">
      <c r="A161" s="1">
        <v>45706</v>
      </c>
      <c r="B161">
        <v>54.43</v>
      </c>
      <c r="C161">
        <v>6129.58</v>
      </c>
      <c r="D161">
        <f t="shared" si="12"/>
        <v>1.0054010290990947E-2</v>
      </c>
      <c r="E161">
        <f t="shared" si="13"/>
        <v>2.3741775065794562E-3</v>
      </c>
      <c r="G161">
        <f t="shared" si="14"/>
        <v>54.429833134920635</v>
      </c>
      <c r="H161">
        <f t="shared" si="15"/>
        <v>6129.5798331349206</v>
      </c>
    </row>
    <row r="162" spans="1:8">
      <c r="A162" s="1">
        <v>45707</v>
      </c>
      <c r="B162">
        <v>54.98</v>
      </c>
      <c r="C162">
        <v>6144.15</v>
      </c>
      <c r="D162">
        <f t="shared" si="12"/>
        <v>1.4625159120337263E-2</v>
      </c>
      <c r="E162">
        <f t="shared" si="13"/>
        <v>-4.3436239711486854E-3</v>
      </c>
      <c r="G162">
        <f t="shared" si="14"/>
        <v>54.979833134920632</v>
      </c>
      <c r="H162">
        <f t="shared" si="15"/>
        <v>6144.1498331349203</v>
      </c>
    </row>
    <row r="163" spans="1:8">
      <c r="A163" s="1">
        <v>45708</v>
      </c>
      <c r="B163">
        <v>55.79</v>
      </c>
      <c r="C163">
        <v>6117.52</v>
      </c>
      <c r="D163">
        <f t="shared" ref="D163:D189" si="16">LN(B164/B163)</f>
        <v>7.1671746483207828E-4</v>
      </c>
      <c r="E163">
        <f t="shared" ref="E163:E189" si="17">LN(C164/C163)</f>
        <v>-1.7211373991262081E-2</v>
      </c>
      <c r="G163">
        <f t="shared" si="14"/>
        <v>55.789833134920634</v>
      </c>
      <c r="H163">
        <f t="shared" si="15"/>
        <v>6117.5198331349211</v>
      </c>
    </row>
    <row r="164" spans="1:8">
      <c r="A164" s="1">
        <v>45709</v>
      </c>
      <c r="B164">
        <v>55.83</v>
      </c>
      <c r="C164">
        <v>6013.13</v>
      </c>
      <c r="D164">
        <f t="shared" si="16"/>
        <v>3.606054244101406E-2</v>
      </c>
      <c r="E164">
        <f t="shared" si="17"/>
        <v>-4.9815130548550111E-3</v>
      </c>
      <c r="G164">
        <f t="shared" si="14"/>
        <v>55.829833134920634</v>
      </c>
      <c r="H164">
        <f t="shared" si="15"/>
        <v>6013.1298331349208</v>
      </c>
    </row>
    <row r="165" spans="1:8">
      <c r="A165" s="1">
        <v>45712</v>
      </c>
      <c r="B165">
        <v>57.88</v>
      </c>
      <c r="C165">
        <v>5983.25</v>
      </c>
      <c r="D165">
        <f t="shared" si="16"/>
        <v>5.6852595203609607E-3</v>
      </c>
      <c r="E165">
        <f t="shared" si="17"/>
        <v>-4.690715138395557E-3</v>
      </c>
      <c r="G165">
        <f t="shared" si="14"/>
        <v>57.879833134920638</v>
      </c>
      <c r="H165">
        <f t="shared" si="15"/>
        <v>5983.2498331349207</v>
      </c>
    </row>
    <row r="166" spans="1:8">
      <c r="A166" s="1">
        <v>45713</v>
      </c>
      <c r="B166">
        <v>58.21</v>
      </c>
      <c r="C166">
        <v>5955.25</v>
      </c>
      <c r="D166">
        <f t="shared" si="16"/>
        <v>-1.4361350730425399E-2</v>
      </c>
      <c r="E166">
        <f t="shared" si="17"/>
        <v>1.3600519191397061E-4</v>
      </c>
      <c r="G166">
        <f t="shared" si="14"/>
        <v>58.209833134920636</v>
      </c>
      <c r="H166">
        <f t="shared" si="15"/>
        <v>5955.2498331349207</v>
      </c>
    </row>
    <row r="167" spans="1:8">
      <c r="A167" s="1">
        <v>45714</v>
      </c>
      <c r="B167">
        <v>57.38</v>
      </c>
      <c r="C167">
        <v>5956.06</v>
      </c>
      <c r="D167">
        <f t="shared" si="16"/>
        <v>2.4446044351362332E-2</v>
      </c>
      <c r="E167">
        <f t="shared" si="17"/>
        <v>-1.5991702852089028E-2</v>
      </c>
      <c r="G167">
        <f t="shared" si="14"/>
        <v>57.379833134920638</v>
      </c>
      <c r="H167">
        <f t="shared" si="15"/>
        <v>5956.0598331349211</v>
      </c>
    </row>
    <row r="168" spans="1:8">
      <c r="A168" s="1">
        <v>45715</v>
      </c>
      <c r="B168">
        <v>58.8</v>
      </c>
      <c r="C168">
        <v>5861.57</v>
      </c>
      <c r="D168">
        <f t="shared" si="16"/>
        <v>1.3849233345344131E-2</v>
      </c>
      <c r="E168">
        <f t="shared" si="17"/>
        <v>1.5729750431897126E-2</v>
      </c>
      <c r="G168">
        <f t="shared" si="14"/>
        <v>58.799833134920632</v>
      </c>
      <c r="H168">
        <f t="shared" si="15"/>
        <v>5861.5698331349204</v>
      </c>
    </row>
    <row r="169" spans="1:8">
      <c r="A169" s="1">
        <v>45716</v>
      </c>
      <c r="B169">
        <v>59.62</v>
      </c>
      <c r="C169">
        <v>5954.5</v>
      </c>
      <c r="D169">
        <f t="shared" si="16"/>
        <v>4.184456687335387E-3</v>
      </c>
      <c r="E169">
        <f t="shared" si="17"/>
        <v>-1.7753439375493379E-2</v>
      </c>
      <c r="G169">
        <f t="shared" si="14"/>
        <v>59.619833134920633</v>
      </c>
      <c r="H169">
        <f t="shared" si="15"/>
        <v>5954.4998331349207</v>
      </c>
    </row>
    <row r="170" spans="1:8">
      <c r="A170" s="1">
        <v>45719</v>
      </c>
      <c r="B170">
        <v>59.87</v>
      </c>
      <c r="C170">
        <v>5849.72</v>
      </c>
      <c r="D170">
        <f t="shared" si="16"/>
        <v>-7.2081445277569663E-3</v>
      </c>
      <c r="E170">
        <f t="shared" si="17"/>
        <v>-1.2310234603366469E-2</v>
      </c>
      <c r="G170">
        <f t="shared" si="14"/>
        <v>59.869833134920633</v>
      </c>
      <c r="H170">
        <f t="shared" si="15"/>
        <v>5849.7198331349209</v>
      </c>
    </row>
    <row r="171" spans="1:8">
      <c r="A171" s="1">
        <v>45720</v>
      </c>
      <c r="B171">
        <v>59.44</v>
      </c>
      <c r="C171">
        <v>5778.15</v>
      </c>
      <c r="D171">
        <f t="shared" si="16"/>
        <v>6.3726527922982621E-3</v>
      </c>
      <c r="E171">
        <f t="shared" si="17"/>
        <v>1.1097475685101249E-2</v>
      </c>
      <c r="G171">
        <f t="shared" si="14"/>
        <v>59.439833134920633</v>
      </c>
      <c r="H171">
        <f t="shared" si="15"/>
        <v>5778.1498331349203</v>
      </c>
    </row>
    <row r="172" spans="1:8">
      <c r="A172" s="1">
        <v>45721</v>
      </c>
      <c r="B172">
        <v>59.82</v>
      </c>
      <c r="C172">
        <v>5842.63</v>
      </c>
      <c r="D172">
        <f t="shared" si="16"/>
        <v>6.0000180000972011E-3</v>
      </c>
      <c r="E172">
        <f t="shared" si="17"/>
        <v>-1.7979700568310077E-2</v>
      </c>
      <c r="G172">
        <f t="shared" si="14"/>
        <v>59.819833134920636</v>
      </c>
      <c r="H172">
        <f t="shared" si="15"/>
        <v>5842.6298331349208</v>
      </c>
    </row>
    <row r="173" spans="1:8">
      <c r="A173" s="1">
        <v>45722</v>
      </c>
      <c r="B173">
        <v>60.18</v>
      </c>
      <c r="C173">
        <v>5738.52</v>
      </c>
      <c r="D173">
        <f t="shared" si="16"/>
        <v>1.5008115459776549E-2</v>
      </c>
      <c r="E173">
        <f t="shared" si="17"/>
        <v>5.5054046005090125E-3</v>
      </c>
      <c r="G173">
        <f t="shared" si="14"/>
        <v>60.179833134920635</v>
      </c>
      <c r="H173">
        <f t="shared" si="15"/>
        <v>5738.5198331349211</v>
      </c>
    </row>
    <row r="174" spans="1:8">
      <c r="A174" s="1">
        <v>45723</v>
      </c>
      <c r="B174">
        <v>61.09</v>
      </c>
      <c r="C174">
        <v>5770.2</v>
      </c>
      <c r="D174">
        <f t="shared" si="16"/>
        <v>3.2531048934472527E-2</v>
      </c>
      <c r="E174">
        <f t="shared" si="17"/>
        <v>-2.7343518375984407E-2</v>
      </c>
      <c r="G174">
        <f t="shared" si="14"/>
        <v>61.089833134920639</v>
      </c>
      <c r="H174">
        <f t="shared" si="15"/>
        <v>5770.1998331349205</v>
      </c>
    </row>
    <row r="175" spans="1:8">
      <c r="A175" s="1">
        <v>45726</v>
      </c>
      <c r="B175">
        <v>63.11</v>
      </c>
      <c r="C175">
        <v>5614.56</v>
      </c>
      <c r="D175">
        <f t="shared" si="16"/>
        <v>-2.5679472375871305E-2</v>
      </c>
      <c r="E175">
        <f t="shared" si="17"/>
        <v>-7.596604935651537E-3</v>
      </c>
      <c r="G175">
        <f t="shared" si="14"/>
        <v>63.109833134920635</v>
      </c>
      <c r="H175">
        <f t="shared" si="15"/>
        <v>5614.5598331349211</v>
      </c>
    </row>
    <row r="176" spans="1:8">
      <c r="A176" s="1">
        <v>45727</v>
      </c>
      <c r="B176">
        <v>61.51</v>
      </c>
      <c r="C176">
        <v>5572.07</v>
      </c>
      <c r="D176">
        <f t="shared" si="16"/>
        <v>-2.8026892163811143E-2</v>
      </c>
      <c r="E176">
        <f t="shared" si="17"/>
        <v>4.8749712752344252E-3</v>
      </c>
      <c r="G176">
        <f t="shared" si="14"/>
        <v>61.509833134920633</v>
      </c>
      <c r="H176">
        <f t="shared" si="15"/>
        <v>5572.0698331349204</v>
      </c>
    </row>
    <row r="177" spans="1:8">
      <c r="A177" s="1">
        <v>45728</v>
      </c>
      <c r="B177">
        <v>59.81</v>
      </c>
      <c r="C177">
        <v>5599.3</v>
      </c>
      <c r="D177">
        <f t="shared" si="16"/>
        <v>7.8275027018290307E-3</v>
      </c>
      <c r="E177">
        <f t="shared" si="17"/>
        <v>-1.3988405225352909E-2</v>
      </c>
      <c r="G177">
        <f t="shared" si="14"/>
        <v>59.809833134920638</v>
      </c>
      <c r="H177">
        <f t="shared" si="15"/>
        <v>5599.2998331349208</v>
      </c>
    </row>
    <row r="178" spans="1:8">
      <c r="A178" s="1">
        <v>45729</v>
      </c>
      <c r="B178">
        <v>60.28</v>
      </c>
      <c r="C178">
        <v>5521.52</v>
      </c>
      <c r="D178">
        <f t="shared" si="16"/>
        <v>-2.1293452689217396E-2</v>
      </c>
      <c r="E178">
        <f t="shared" si="17"/>
        <v>2.1042919881408308E-2</v>
      </c>
      <c r="G178">
        <f t="shared" si="14"/>
        <v>60.279833134920636</v>
      </c>
      <c r="H178">
        <f t="shared" si="15"/>
        <v>5521.5198331349211</v>
      </c>
    </row>
    <row r="179" spans="1:8">
      <c r="A179" s="1">
        <v>45730</v>
      </c>
      <c r="B179">
        <v>59.01</v>
      </c>
      <c r="C179">
        <v>5638.94</v>
      </c>
      <c r="D179">
        <f t="shared" si="16"/>
        <v>1.6470960595924497E-2</v>
      </c>
      <c r="E179">
        <f t="shared" si="17"/>
        <v>6.3956039343475201E-3</v>
      </c>
      <c r="G179">
        <f t="shared" si="14"/>
        <v>59.009833134920633</v>
      </c>
      <c r="H179">
        <f t="shared" si="15"/>
        <v>5638.9398331349203</v>
      </c>
    </row>
    <row r="180" spans="1:8">
      <c r="A180" s="1">
        <v>45733</v>
      </c>
      <c r="B180">
        <v>59.99</v>
      </c>
      <c r="C180">
        <v>5675.12</v>
      </c>
      <c r="D180">
        <f t="shared" si="16"/>
        <v>-1.5013765435980947E-3</v>
      </c>
      <c r="E180">
        <f t="shared" si="17"/>
        <v>-1.071067425391002E-2</v>
      </c>
      <c r="G180">
        <f t="shared" si="14"/>
        <v>59.989833134920637</v>
      </c>
      <c r="H180">
        <f t="shared" si="15"/>
        <v>5675.1198331349206</v>
      </c>
    </row>
    <row r="181" spans="1:8">
      <c r="A181" s="1">
        <v>45734</v>
      </c>
      <c r="B181">
        <v>59.9</v>
      </c>
      <c r="C181">
        <v>5614.66</v>
      </c>
      <c r="D181">
        <f t="shared" si="16"/>
        <v>3.0005023344757162E-3</v>
      </c>
      <c r="E181">
        <f t="shared" si="17"/>
        <v>1.0740629118978858E-2</v>
      </c>
      <c r="G181">
        <f t="shared" si="14"/>
        <v>59.899833134920634</v>
      </c>
      <c r="H181">
        <f t="shared" si="15"/>
        <v>5614.6598331349205</v>
      </c>
    </row>
    <row r="182" spans="1:8">
      <c r="A182" s="1">
        <v>45735</v>
      </c>
      <c r="B182">
        <v>60.08</v>
      </c>
      <c r="C182">
        <v>5675.29</v>
      </c>
      <c r="D182">
        <f t="shared" si="16"/>
        <v>5.6431685026465707E-3</v>
      </c>
      <c r="E182">
        <f t="shared" si="17"/>
        <v>-2.1873007738032347E-3</v>
      </c>
      <c r="G182">
        <f t="shared" si="14"/>
        <v>60.079833134920634</v>
      </c>
      <c r="H182">
        <f t="shared" si="15"/>
        <v>5675.2898331349206</v>
      </c>
    </row>
    <row r="183" spans="1:8">
      <c r="A183" s="1">
        <v>45736</v>
      </c>
      <c r="B183">
        <v>60.42</v>
      </c>
      <c r="C183">
        <v>5662.89</v>
      </c>
      <c r="D183">
        <f t="shared" si="16"/>
        <v>9.3897403498391374E-3</v>
      </c>
      <c r="E183">
        <f t="shared" si="17"/>
        <v>8.2432741231720308E-4</v>
      </c>
      <c r="G183">
        <f t="shared" si="14"/>
        <v>60.419833134920637</v>
      </c>
      <c r="H183">
        <f t="shared" si="15"/>
        <v>5662.889833134921</v>
      </c>
    </row>
    <row r="184" spans="1:8">
      <c r="A184" s="1">
        <v>45737</v>
      </c>
      <c r="B184">
        <v>60.99</v>
      </c>
      <c r="C184">
        <v>5667.56</v>
      </c>
      <c r="D184">
        <f t="shared" si="16"/>
        <v>9.8328424834858981E-4</v>
      </c>
      <c r="E184">
        <f t="shared" si="17"/>
        <v>1.7492157944606672E-2</v>
      </c>
      <c r="G184">
        <f t="shared" si="14"/>
        <v>60.989833134920637</v>
      </c>
      <c r="H184">
        <f t="shared" si="15"/>
        <v>5667.5598331349211</v>
      </c>
    </row>
    <row r="185" spans="1:8">
      <c r="A185" s="1">
        <v>45740</v>
      </c>
      <c r="B185">
        <v>61.05</v>
      </c>
      <c r="C185">
        <v>5767.57</v>
      </c>
      <c r="D185">
        <f t="shared" si="16"/>
        <v>-3.0940591854079956E-2</v>
      </c>
      <c r="E185">
        <f t="shared" si="17"/>
        <v>1.5730819184730236E-3</v>
      </c>
      <c r="G185">
        <f t="shared" si="14"/>
        <v>61.049833134920632</v>
      </c>
      <c r="H185">
        <f t="shared" si="15"/>
        <v>5767.5698331349204</v>
      </c>
    </row>
    <row r="186" spans="1:8">
      <c r="A186" s="1">
        <v>45741</v>
      </c>
      <c r="B186">
        <v>59.19</v>
      </c>
      <c r="C186">
        <v>5776.65</v>
      </c>
      <c r="D186">
        <f t="shared" si="16"/>
        <v>3.3783784105104967E-4</v>
      </c>
      <c r="E186">
        <f t="shared" si="17"/>
        <v>-1.1219691455108281E-2</v>
      </c>
      <c r="G186">
        <f t="shared" si="14"/>
        <v>59.189833134920633</v>
      </c>
      <c r="H186">
        <f t="shared" si="15"/>
        <v>5776.6498331349203</v>
      </c>
    </row>
    <row r="187" spans="1:8">
      <c r="A187" s="1">
        <v>45742</v>
      </c>
      <c r="B187">
        <v>59.21</v>
      </c>
      <c r="C187">
        <v>5712.2</v>
      </c>
      <c r="D187">
        <f t="shared" si="16"/>
        <v>-5.2493558861437901E-3</v>
      </c>
      <c r="E187">
        <f t="shared" si="17"/>
        <v>-3.3124371066493626E-3</v>
      </c>
      <c r="G187">
        <f t="shared" si="14"/>
        <v>59.209833134920636</v>
      </c>
      <c r="H187">
        <f t="shared" si="15"/>
        <v>5712.1998331349205</v>
      </c>
    </row>
    <row r="188" spans="1:8">
      <c r="A188" s="1">
        <v>45743</v>
      </c>
      <c r="B188">
        <v>58.9</v>
      </c>
      <c r="C188">
        <v>5693.31</v>
      </c>
      <c r="D188">
        <f t="shared" si="16"/>
        <v>1.8836749354680035E-2</v>
      </c>
      <c r="E188">
        <f t="shared" si="17"/>
        <v>-1.9934580336265845E-2</v>
      </c>
      <c r="G188">
        <f t="shared" si="14"/>
        <v>58.899833134920634</v>
      </c>
      <c r="H188">
        <f t="shared" si="15"/>
        <v>5693.3098331349211</v>
      </c>
    </row>
    <row r="189" spans="1:8">
      <c r="A189" s="1">
        <v>45744</v>
      </c>
      <c r="B189">
        <v>60.02</v>
      </c>
      <c r="C189">
        <v>5580.94</v>
      </c>
      <c r="D189">
        <f t="shared" si="16"/>
        <v>1.6032076296143966E-2</v>
      </c>
      <c r="E189">
        <f t="shared" si="17"/>
        <v>5.523212456950013E-3</v>
      </c>
      <c r="G189">
        <f t="shared" si="14"/>
        <v>60.019833134920638</v>
      </c>
      <c r="H189">
        <f t="shared" si="15"/>
        <v>5580.9398331349203</v>
      </c>
    </row>
    <row r="190" spans="1:8">
      <c r="A190" s="1">
        <v>45747</v>
      </c>
      <c r="B190">
        <v>60.99</v>
      </c>
      <c r="C190">
        <v>5611.85</v>
      </c>
      <c r="G190">
        <f t="shared" si="14"/>
        <v>60.989833134920637</v>
      </c>
      <c r="H190">
        <f t="shared" si="15"/>
        <v>5611.849833134921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0634-3807-4FBB-ACC9-762D9ECE8127}">
  <dimension ref="A1:AB194"/>
  <sheetViews>
    <sheetView topLeftCell="A52" zoomScale="96" zoomScaleNormal="96" workbookViewId="0">
      <selection activeCell="M77" sqref="M77"/>
    </sheetView>
  </sheetViews>
  <sheetFormatPr defaultRowHeight="14.25"/>
  <cols>
    <col min="1" max="1" width="9.85546875" bestFit="1" customWidth="1"/>
    <col min="3" max="3" width="10" bestFit="1" customWidth="1"/>
    <col min="4" max="5" width="11" bestFit="1" customWidth="1"/>
    <col min="6" max="6" width="10.42578125" bestFit="1" customWidth="1"/>
    <col min="7" max="7" width="10.28515625" bestFit="1" customWidth="1"/>
    <col min="8" max="8" width="9.42578125" bestFit="1" customWidth="1"/>
  </cols>
  <sheetData>
    <row r="1" spans="1:8">
      <c r="B1" s="7" t="s">
        <v>27</v>
      </c>
      <c r="C1" s="7">
        <v>9</v>
      </c>
      <c r="D1" s="7">
        <v>12</v>
      </c>
      <c r="E1" s="7">
        <v>26</v>
      </c>
      <c r="F1" s="7"/>
      <c r="G1" s="8">
        <v>9</v>
      </c>
    </row>
    <row r="2" spans="1:8">
      <c r="B2" s="7" t="s">
        <v>28</v>
      </c>
      <c r="C2" s="7">
        <f>2/(C1+1)</f>
        <v>0.2</v>
      </c>
      <c r="D2" s="9">
        <f t="shared" ref="D2:E2" si="0">2/(D1+1)</f>
        <v>0.15384615384615385</v>
      </c>
      <c r="E2" s="9">
        <f t="shared" si="0"/>
        <v>7.407407407407407E-2</v>
      </c>
      <c r="F2" s="7"/>
      <c r="G2" s="8">
        <f>2/(G1+1)</f>
        <v>0.2</v>
      </c>
    </row>
    <row r="3" spans="1:8">
      <c r="B3" s="7"/>
      <c r="C3" s="7"/>
      <c r="D3" s="7"/>
      <c r="E3" s="7"/>
      <c r="F3" s="7"/>
    </row>
    <row r="4" spans="1:8">
      <c r="A4" t="s">
        <v>4</v>
      </c>
      <c r="B4" t="s">
        <v>3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</row>
    <row r="5" spans="1:8">
      <c r="A5" s="1">
        <v>45474</v>
      </c>
      <c r="B5">
        <v>41.3</v>
      </c>
      <c r="C5" s="2">
        <f>IF(COUNTA($B$5:$B5)&lt;=C$1,AVERAGE($B$5:$B5),C$2*($B5-$C4)+$C4)</f>
        <v>41.3</v>
      </c>
      <c r="D5" s="2">
        <f>IF(COUNTA($B$5:$B5)&lt;=D$1,AVERAGE($B$5:$B5),D$2*($B5-$D4)+$D4)</f>
        <v>41.3</v>
      </c>
      <c r="E5">
        <f>IF(COUNTA($B$5:$B5)&lt;=E$1,AVERAGE($B$5:$B5),E$2*($B5-$E4)+$E4)</f>
        <v>41.3</v>
      </c>
    </row>
    <row r="6" spans="1:8">
      <c r="A6" s="1">
        <v>45475</v>
      </c>
      <c r="B6">
        <v>40.450000000000003</v>
      </c>
      <c r="C6" s="2">
        <f>IF(COUNTA($B$5:$B6)&lt;=C$1,AVERAGE($B$5:$B6),C$2*($B6-$C5)+$C5)</f>
        <v>40.875</v>
      </c>
      <c r="D6" s="2">
        <f>IF(COUNTA($B$5:$B6)&lt;=D$1,AVERAGE($B$5:$B6),D$2*($B6-$D5)+$D5)</f>
        <v>40.875</v>
      </c>
      <c r="E6" s="2">
        <f>IF(COUNTA($B$5:$B6)&lt;=E$1,AVERAGE($B$5:$B6),E$2*($B6-$E5)+$E5)</f>
        <v>40.875</v>
      </c>
    </row>
    <row r="7" spans="1:8">
      <c r="A7" s="1">
        <v>45476</v>
      </c>
      <c r="B7">
        <v>40.06</v>
      </c>
      <c r="C7" s="2">
        <f>IF(COUNTA($B$5:$B7)&lt;=C$1,AVERAGE($B$5:$B7),C$2*($B7-$C6)+$C6)</f>
        <v>40.603333333333332</v>
      </c>
      <c r="D7" s="2">
        <f>IF(COUNTA($B$5:$B7)&lt;=D$1,AVERAGE($B$5:$B7),D$2*($B7-$D6)+$D6)</f>
        <v>40.603333333333332</v>
      </c>
      <c r="E7" s="2">
        <f>IF(COUNTA($B$5:$B7)&lt;=E$1,AVERAGE($B$5:$B7),E$2*($B7-$E6)+$E6)</f>
        <v>40.603333333333332</v>
      </c>
    </row>
    <row r="8" spans="1:8">
      <c r="A8" s="1">
        <v>45478</v>
      </c>
      <c r="B8">
        <v>39.659999999999997</v>
      </c>
      <c r="C8" s="2">
        <f>IF(COUNTA($B$5:$B8)&lt;=C$1,AVERAGE($B$5:$B8),C$2*($B8-$C7)+$C7)</f>
        <v>40.3675</v>
      </c>
      <c r="D8" s="2">
        <f>IF(COUNTA($B$5:$B8)&lt;=D$1,AVERAGE($B$5:$B8),D$2*($B8-$D7)+$D7)</f>
        <v>40.3675</v>
      </c>
      <c r="E8" s="2">
        <f>IF(COUNTA($B$5:$B8)&lt;=E$1,AVERAGE($B$5:$B8),E$2*($B8-$E7)+$E7)</f>
        <v>40.3675</v>
      </c>
    </row>
    <row r="9" spans="1:8">
      <c r="A9" s="1">
        <v>45481</v>
      </c>
      <c r="B9">
        <v>39.99</v>
      </c>
      <c r="C9" s="2">
        <f>IF(COUNTA($B$5:$B9)&lt;=C$1,AVERAGE($B$5:$B9),C$2*($B9-$C8)+$C8)</f>
        <v>40.292000000000002</v>
      </c>
      <c r="D9" s="2">
        <f>IF(COUNTA($B$5:$B9)&lt;=D$1,AVERAGE($B$5:$B9),D$2*($B9-$D8)+$D8)</f>
        <v>40.292000000000002</v>
      </c>
      <c r="E9" s="2">
        <f>IF(COUNTA($B$5:$B9)&lt;=E$1,AVERAGE($B$5:$B9),E$2*($B9-$E8)+$E8)</f>
        <v>40.292000000000002</v>
      </c>
    </row>
    <row r="10" spans="1:8">
      <c r="A10" s="1">
        <v>45482</v>
      </c>
      <c r="B10">
        <v>40.86</v>
      </c>
      <c r="C10" s="2">
        <f>IF(COUNTA($B$5:$B10)&lt;=C$1,AVERAGE($B$5:$B10),C$2*($B10-$C9)+$C9)</f>
        <v>40.386666666666663</v>
      </c>
      <c r="D10" s="2">
        <f>IF(COUNTA($B$5:$B10)&lt;=D$1,AVERAGE($B$5:$B10),D$2*($B10-$D9)+$D9)</f>
        <v>40.386666666666663</v>
      </c>
      <c r="E10" s="2">
        <f>IF(COUNTA($B$5:$B10)&lt;=E$1,AVERAGE($B$5:$B10),E$2*($B10-$E9)+$E9)</f>
        <v>40.386666666666663</v>
      </c>
    </row>
    <row r="11" spans="1:8">
      <c r="A11" s="1">
        <v>45483</v>
      </c>
      <c r="B11">
        <v>41.12</v>
      </c>
      <c r="C11" s="2">
        <f>IF(COUNTA($B$5:$B11)&lt;=C$1,AVERAGE($B$5:$B11),C$2*($B11-$C10)+$C10)</f>
        <v>40.491428571428571</v>
      </c>
      <c r="D11" s="2">
        <f>IF(COUNTA($B$5:$B11)&lt;=D$1,AVERAGE($B$5:$B11),D$2*($B11-$D10)+$D10)</f>
        <v>40.491428571428571</v>
      </c>
      <c r="E11" s="2">
        <f>IF(COUNTA($B$5:$B11)&lt;=E$1,AVERAGE($B$5:$B11),E$2*($B11-$E10)+$E10)</f>
        <v>40.491428571428571</v>
      </c>
    </row>
    <row r="12" spans="1:8">
      <c r="A12" s="1">
        <v>45484</v>
      </c>
      <c r="B12">
        <v>40.75</v>
      </c>
      <c r="C12" s="2">
        <f>IF(COUNTA($B$5:$B12)&lt;=C$1,AVERAGE($B$5:$B12),C$2*($B12-$C11)+$C11)</f>
        <v>40.52375</v>
      </c>
      <c r="D12" s="2">
        <f>IF(COUNTA($B$5:$B12)&lt;=D$1,AVERAGE($B$5:$B12),D$2*($B12-$D11)+$D11)</f>
        <v>40.52375</v>
      </c>
      <c r="E12" s="2">
        <f>IF(COUNTA($B$5:$B12)&lt;=E$1,AVERAGE($B$5:$B12),E$2*($B12-$E11)+$E11)</f>
        <v>40.52375</v>
      </c>
    </row>
    <row r="13" spans="1:8">
      <c r="A13" s="1">
        <v>45485</v>
      </c>
      <c r="B13">
        <v>40.46</v>
      </c>
      <c r="C13" s="2">
        <f>IF(COUNTA($B$5:$B13)&lt;=C$1,AVERAGE($B$5:$B13),C$2*($B13-$C12)+$C12)</f>
        <v>40.516666666666666</v>
      </c>
      <c r="D13" s="2">
        <f>IF(COUNTA($B$5:$B13)&lt;=D$1,AVERAGE($B$5:$B13),D$2*($B13-$D12)+$D12)</f>
        <v>40.516666666666666</v>
      </c>
      <c r="E13" s="2">
        <f>IF(COUNTA($B$5:$B13)&lt;=E$1,AVERAGE($B$5:$B13),E$2*($B13-$E12)+$E12)</f>
        <v>40.516666666666666</v>
      </c>
    </row>
    <row r="14" spans="1:8">
      <c r="A14" s="1">
        <v>45488</v>
      </c>
      <c r="B14">
        <v>40.15</v>
      </c>
      <c r="C14" s="2">
        <f>IF(COUNTA($B$5:$B14)&lt;=C$1,AVERAGE($B$5:$B14),C$2*($B14-$C13)+$C13)</f>
        <v>40.443333333333335</v>
      </c>
      <c r="D14" s="2">
        <f>IF(COUNTA($B$5:$B14)&lt;=D$1,AVERAGE($B$5:$B14),D$2*($B14-$D13)+$D13)</f>
        <v>40.479999999999997</v>
      </c>
      <c r="E14" s="2">
        <f>IF(COUNTA($B$5:$B14)&lt;=E$1,AVERAGE($B$5:$B14),E$2*($B14-$E13)+$E13)</f>
        <v>40.479999999999997</v>
      </c>
    </row>
    <row r="15" spans="1:8">
      <c r="A15" s="1">
        <v>45489</v>
      </c>
      <c r="B15">
        <v>41.2</v>
      </c>
      <c r="C15" s="2">
        <f>IF(COUNTA($B$5:$B15)&lt;=C$1,AVERAGE($B$5:$B15),C$2*($B15-$C14)+$C14)</f>
        <v>40.594666666666669</v>
      </c>
      <c r="D15" s="2">
        <f>IF(COUNTA($B$5:$B15)&lt;=D$1,AVERAGE($B$5:$B15),D$2*($B15-$D14)+$D14)</f>
        <v>40.54545454545454</v>
      </c>
      <c r="E15" s="2">
        <f>IF(COUNTA($B$5:$B15)&lt;=E$1,AVERAGE($B$5:$B15),E$2*($B15-$E14)+$E14)</f>
        <v>40.54545454545454</v>
      </c>
    </row>
    <row r="16" spans="1:8">
      <c r="A16" s="1">
        <v>45490</v>
      </c>
      <c r="B16">
        <v>43.15</v>
      </c>
      <c r="C16" s="2">
        <f>IF(COUNTA($B$5:$B16)&lt;=C$1,AVERAGE($B$5:$B16),C$2*($B16-$C15)+$C15)</f>
        <v>41.105733333333333</v>
      </c>
      <c r="D16" s="2">
        <f>IF(COUNTA($B$5:$B16)&lt;=D$1,AVERAGE($B$5:$B16),D$2*($B16-$D15)+$D15)</f>
        <v>40.762499999999996</v>
      </c>
      <c r="E16" s="2">
        <f>IF(COUNTA($B$5:$B16)&lt;=E$1,AVERAGE($B$5:$B16),E$2*($B16-$E15)+$E15)</f>
        <v>40.762499999999996</v>
      </c>
    </row>
    <row r="17" spans="1:28">
      <c r="A17" s="1">
        <v>45491</v>
      </c>
      <c r="B17">
        <v>42.39</v>
      </c>
      <c r="C17" s="2">
        <f>IF(COUNTA($B$5:$B17)&lt;=C$1,AVERAGE($B$5:$B17),C$2*($B17-$C16)+$C16)</f>
        <v>41.362586666666665</v>
      </c>
      <c r="D17" s="2">
        <f>IF(COUNTA($B$5:$B17)&lt;=D$1,AVERAGE($B$5:$B17),D$2*($B17-$D16)+$D16)</f>
        <v>41.012884615384614</v>
      </c>
      <c r="E17" s="2">
        <f>IF(COUNTA($B$5:$B17)&lt;=E$1,AVERAGE($B$5:$B17),E$2*($B17-$E16)+$E16)</f>
        <v>40.887692307692305</v>
      </c>
      <c r="F17" s="2">
        <f>D17-E17</f>
        <v>0.12519230769230916</v>
      </c>
      <c r="G17" s="2">
        <f>IF(COUNTA($F$5:$F17)&lt;=G$1,AVERAGE($F$5:$F17),G$2*($F17-$G16)+$G16)</f>
        <v>0.12519230769230916</v>
      </c>
      <c r="H17" s="2">
        <f>F17-G17</f>
        <v>0</v>
      </c>
    </row>
    <row r="18" spans="1:28">
      <c r="A18" s="1">
        <v>45492</v>
      </c>
      <c r="B18">
        <v>42.64</v>
      </c>
      <c r="C18" s="2">
        <f>IF(COUNTA($B$5:$B18)&lt;=C$1,AVERAGE($B$5:$B18),C$2*($B18-$C17)+$C17)</f>
        <v>41.618069333333331</v>
      </c>
      <c r="D18" s="2">
        <f>IF(COUNTA($B$5:$B18)&lt;=D$1,AVERAGE($B$5:$B18),D$2*($B18-$D17)+$D17)</f>
        <v>41.263210059171598</v>
      </c>
      <c r="E18" s="2">
        <f>IF(COUNTA($B$5:$B18)&lt;=E$1,AVERAGE($B$5:$B18),E$2*($B18-$E17)+$E17)</f>
        <v>41.012857142857136</v>
      </c>
      <c r="F18" s="2">
        <f t="shared" ref="F18:F81" si="1">D18-E18</f>
        <v>0.25035291631446199</v>
      </c>
      <c r="G18" s="2">
        <f>IF(COUNTA($F$5:$F18)&lt;=G$1,AVERAGE($F$5:$F18),G$2*($F18-$G17)+$G17)</f>
        <v>0.18777261200338558</v>
      </c>
      <c r="H18" s="2">
        <f t="shared" ref="H18:H81" si="2">F18-G18</f>
        <v>6.2580304311076418E-2</v>
      </c>
    </row>
    <row r="19" spans="1:28">
      <c r="A19" s="1">
        <v>45495</v>
      </c>
      <c r="B19">
        <v>42.67</v>
      </c>
      <c r="C19" s="2">
        <f>IF(COUNTA($B$5:$B19)&lt;=C$1,AVERAGE($B$5:$B19),C$2*($B19-$C18)+$C18)</f>
        <v>41.828455466666668</v>
      </c>
      <c r="D19" s="2">
        <f>IF(COUNTA($B$5:$B19)&lt;=D$1,AVERAGE($B$5:$B19),D$2*($B19-$D18)+$D18)</f>
        <v>41.479639280837503</v>
      </c>
      <c r="E19" s="2">
        <f>IF(COUNTA($B$5:$B19)&lt;=E$1,AVERAGE($B$5:$B19),E$2*($B19-$E18)+$E18)</f>
        <v>41.123333333333328</v>
      </c>
      <c r="F19" s="2">
        <f t="shared" si="1"/>
        <v>0.35630594750417544</v>
      </c>
      <c r="G19" s="2">
        <f>IF(COUNTA($F$5:$F19)&lt;=G$1,AVERAGE($F$5:$F19),G$2*($F19-$G18)+$G18)</f>
        <v>0.24395039050364886</v>
      </c>
      <c r="H19" s="2">
        <f t="shared" si="2"/>
        <v>0.11235555700052657</v>
      </c>
    </row>
    <row r="20" spans="1:28">
      <c r="A20" s="1">
        <v>45496</v>
      </c>
      <c r="B20">
        <v>42.98</v>
      </c>
      <c r="C20" s="2">
        <f>IF(COUNTA($B$5:$B20)&lt;=C$1,AVERAGE($B$5:$B20),C$2*($B20-$C19)+$C19)</f>
        <v>42.058764373333332</v>
      </c>
      <c r="D20" s="2">
        <f>IF(COUNTA($B$5:$B20)&lt;=D$1,AVERAGE($B$5:$B20),D$2*($B20-$D19)+$D19)</f>
        <v>41.710464006862502</v>
      </c>
      <c r="E20" s="2">
        <f>IF(COUNTA($B$5:$B20)&lt;=E$1,AVERAGE($B$5:$B20),E$2*($B20-$E19)+$E19)</f>
        <v>41.239374999999995</v>
      </c>
      <c r="F20" s="2">
        <f t="shared" si="1"/>
        <v>0.47108900686250621</v>
      </c>
      <c r="G20" s="2">
        <f>IF(COUNTA($F$5:$F20)&lt;=G$1,AVERAGE($F$5:$F20),G$2*($F20-$G19)+$G19)</f>
        <v>0.3007350445933632</v>
      </c>
      <c r="H20" s="2">
        <f t="shared" si="2"/>
        <v>0.17035396226914301</v>
      </c>
    </row>
    <row r="21" spans="1:28">
      <c r="A21" s="1">
        <v>45497</v>
      </c>
      <c r="B21">
        <v>44.66</v>
      </c>
      <c r="C21" s="2">
        <f>IF(COUNTA($B$5:$B21)&lt;=C$1,AVERAGE($B$5:$B21),C$2*($B21-$C20)+$C20)</f>
        <v>42.579011498666667</v>
      </c>
      <c r="D21" s="2">
        <f>IF(COUNTA($B$5:$B21)&lt;=D$1,AVERAGE($B$5:$B21),D$2*($B21-$D20)+$D20)</f>
        <v>42.164238775037504</v>
      </c>
      <c r="E21" s="2">
        <f>IF(COUNTA($B$5:$B21)&lt;=E$1,AVERAGE($B$5:$B21),E$2*($B21-$E20)+$E20)</f>
        <v>41.440588235294115</v>
      </c>
      <c r="F21" s="2">
        <f t="shared" si="1"/>
        <v>0.72365053974338878</v>
      </c>
      <c r="G21" s="2">
        <f>IF(COUNTA($F$5:$F21)&lt;=G$1,AVERAGE($F$5:$F21),G$2*($F21-$G20)+$G20)</f>
        <v>0.3853181436233683</v>
      </c>
      <c r="H21" s="2">
        <f t="shared" si="2"/>
        <v>0.33833239612002047</v>
      </c>
    </row>
    <row r="22" spans="1:28">
      <c r="A22" s="1">
        <v>45498</v>
      </c>
      <c r="B22">
        <v>45.27</v>
      </c>
      <c r="C22" s="2">
        <f>IF(COUNTA($B$5:$B22)&lt;=C$1,AVERAGE($B$5:$B22),C$2*($B22-$C21)+$C21)</f>
        <v>43.117209198933331</v>
      </c>
      <c r="D22" s="2">
        <f>IF(COUNTA($B$5:$B22)&lt;=D$1,AVERAGE($B$5:$B22),D$2*($B22-$D21)+$D21)</f>
        <v>42.6420481942625</v>
      </c>
      <c r="E22" s="2">
        <f>IF(COUNTA($B$5:$B22)&lt;=E$1,AVERAGE($B$5:$B22),E$2*($B22-$E21)+$E21)</f>
        <v>41.653333333333329</v>
      </c>
      <c r="F22" s="2">
        <f t="shared" si="1"/>
        <v>0.98871486092917138</v>
      </c>
      <c r="G22" s="2">
        <f>IF(COUNTA($F$5:$F22)&lt;=G$1,AVERAGE($F$5:$F22),G$2*($F22-$G21)+$G21)</f>
        <v>0.48588426317433547</v>
      </c>
      <c r="H22" s="2">
        <f t="shared" si="2"/>
        <v>0.50283059775483596</v>
      </c>
    </row>
    <row r="23" spans="1:28">
      <c r="A23" s="1">
        <v>45499</v>
      </c>
      <c r="B23">
        <v>50.45</v>
      </c>
      <c r="C23" s="2">
        <f>IF(COUNTA($B$5:$B23)&lt;=C$1,AVERAGE($B$5:$B23),C$2*($B23-$C22)+$C22)</f>
        <v>44.583767359146663</v>
      </c>
      <c r="D23" s="2">
        <f>IF(COUNTA($B$5:$B23)&lt;=D$1,AVERAGE($B$5:$B23),D$2*($B23-$D22)+$D22)</f>
        <v>43.843271548991346</v>
      </c>
      <c r="E23" s="2">
        <f>IF(COUNTA($B$5:$B23)&lt;=E$1,AVERAGE($B$5:$B23),E$2*($B23-$E22)+$E22)</f>
        <v>42.116315789473681</v>
      </c>
      <c r="F23" s="2">
        <f t="shared" si="1"/>
        <v>1.726955759517665</v>
      </c>
      <c r="G23" s="2">
        <f>IF(COUNTA($F$5:$F23)&lt;=G$1,AVERAGE($F$5:$F23),G$2*($F23-$G22)+$G22)</f>
        <v>0.66318019122338256</v>
      </c>
      <c r="H23" s="2">
        <f t="shared" si="2"/>
        <v>1.0637755682942824</v>
      </c>
    </row>
    <row r="24" spans="1:28">
      <c r="A24" s="1">
        <v>45502</v>
      </c>
      <c r="B24">
        <v>48.98</v>
      </c>
      <c r="C24" s="2">
        <f>IF(COUNTA($B$5:$B24)&lt;=C$1,AVERAGE($B$5:$B24),C$2*($B24-$C23)+$C23)</f>
        <v>45.463013887317331</v>
      </c>
      <c r="D24" s="2">
        <f>IF(COUNTA($B$5:$B24)&lt;=D$1,AVERAGE($B$5:$B24),D$2*($B24-$D23)+$D23)</f>
        <v>44.633537464531138</v>
      </c>
      <c r="E24" s="2">
        <f>IF(COUNTA($B$5:$B24)&lt;=E$1,AVERAGE($B$5:$B24),E$2*($B24-$E23)+$E23)</f>
        <v>42.459499999999998</v>
      </c>
      <c r="F24" s="2">
        <f t="shared" si="1"/>
        <v>2.1740374645311391</v>
      </c>
      <c r="G24" s="2">
        <f>IF(COUNTA($F$5:$F24)&lt;=G$1,AVERAGE($F$5:$F24),G$2*($F24-$G23)+$G23)</f>
        <v>0.85203735038685213</v>
      </c>
      <c r="H24" s="2">
        <f t="shared" si="2"/>
        <v>1.322000114144287</v>
      </c>
    </row>
    <row r="25" spans="1:28">
      <c r="A25" s="1">
        <v>45503</v>
      </c>
      <c r="B25">
        <v>49.05</v>
      </c>
      <c r="C25" s="2">
        <f>IF(COUNTA($B$5:$B25)&lt;=C$1,AVERAGE($B$5:$B25),C$2*($B25-$C24)+$C24)</f>
        <v>46.180411109853864</v>
      </c>
      <c r="D25" s="2">
        <f>IF(COUNTA($B$5:$B25)&lt;=D$1,AVERAGE($B$5:$B25),D$2*($B25-$D24)+$D24)</f>
        <v>45.312993239218656</v>
      </c>
      <c r="E25" s="2">
        <f>IF(COUNTA($B$5:$B25)&lt;=E$1,AVERAGE($B$5:$B25),E$2*($B25-$E24)+$E24)</f>
        <v>42.773333333333326</v>
      </c>
      <c r="F25" s="2">
        <f t="shared" si="1"/>
        <v>2.5396599058853297</v>
      </c>
      <c r="G25" s="2">
        <f>IF(COUNTA($F$5:$F25)&lt;=G$1,AVERAGE($F$5:$F25),G$2*($F25-$G24)+$G24)</f>
        <v>1.0395509676644608</v>
      </c>
      <c r="H25" s="2">
        <f t="shared" si="2"/>
        <v>1.500108938220869</v>
      </c>
    </row>
    <row r="26" spans="1:28">
      <c r="A26" s="1">
        <v>45504</v>
      </c>
      <c r="B26">
        <v>47.56</v>
      </c>
      <c r="C26" s="2">
        <f>IF(COUNTA($B$5:$B26)&lt;=C$1,AVERAGE($B$5:$B26),C$2*($B26-$C25)+$C25)</f>
        <v>46.456328887883089</v>
      </c>
      <c r="D26" s="2">
        <f>IF(COUNTA($B$5:$B26)&lt;=D$1,AVERAGE($B$5:$B26),D$2*($B26-$D25)+$D25)</f>
        <v>45.65868658703117</v>
      </c>
      <c r="E26" s="2">
        <f>IF(COUNTA($B$5:$B26)&lt;=E$1,AVERAGE($B$5:$B26),E$2*($B26-$E25)+$E25)</f>
        <v>42.990909090909092</v>
      </c>
      <c r="F26" s="2">
        <f t="shared" si="1"/>
        <v>2.6677774961220777</v>
      </c>
      <c r="G26" s="2">
        <f>IF(COUNTA($F$5:$F26)&lt;=G$1,AVERAGE($F$5:$F26),G$2*($F26-$G25)+$G25)</f>
        <v>1.3651962733559841</v>
      </c>
      <c r="H26" s="2">
        <f t="shared" si="2"/>
        <v>1.3025812227660936</v>
      </c>
    </row>
    <row r="27" spans="1:28">
      <c r="A27" s="1">
        <v>45505</v>
      </c>
      <c r="B27">
        <v>48.17</v>
      </c>
      <c r="C27" s="2">
        <f>IF(COUNTA($B$5:$B27)&lt;=C$1,AVERAGE($B$5:$B27),C$2*($B27-$C26)+$C26)</f>
        <v>46.79906311030647</v>
      </c>
      <c r="D27" s="2">
        <f>IF(COUNTA($B$5:$B27)&lt;=D$1,AVERAGE($B$5:$B27),D$2*($B27-$D26)+$D26)</f>
        <v>46.045042496718679</v>
      </c>
      <c r="E27" s="2">
        <f>IF(COUNTA($B$5:$B27)&lt;=E$1,AVERAGE($B$5:$B27),E$2*($B27-$E26)+$E26)</f>
        <v>43.216086956521735</v>
      </c>
      <c r="F27" s="2">
        <f t="shared" si="1"/>
        <v>2.8289555401969437</v>
      </c>
      <c r="G27" s="2">
        <f>IF(COUNTA($F$5:$F27)&lt;=G$1,AVERAGE($F$5:$F27),G$2*($F27-$G26)+$G26)</f>
        <v>1.657948126724176</v>
      </c>
      <c r="H27" s="2">
        <f t="shared" si="2"/>
        <v>1.1710074134727677</v>
      </c>
    </row>
    <row r="28" spans="1:28">
      <c r="A28" s="1">
        <v>45506</v>
      </c>
      <c r="B28">
        <v>48.77</v>
      </c>
      <c r="C28" s="2">
        <f>IF(COUNTA($B$5:$B28)&lt;=C$1,AVERAGE($B$5:$B28),C$2*($B28-$C27)+$C27)</f>
        <v>47.193250488245177</v>
      </c>
      <c r="D28" s="2">
        <f>IF(COUNTA($B$5:$B28)&lt;=D$1,AVERAGE($B$5:$B28),D$2*($B28-$D27)+$D27)</f>
        <v>46.464266727992729</v>
      </c>
      <c r="E28" s="2">
        <f>IF(COUNTA($B$5:$B28)&lt;=E$1,AVERAGE($B$5:$B28),E$2*($B28-$E27)+$E27)</f>
        <v>43.447499999999998</v>
      </c>
      <c r="F28" s="2">
        <f t="shared" si="1"/>
        <v>3.0167667279927315</v>
      </c>
      <c r="G28" s="2">
        <f>IF(COUNTA($F$5:$F28)&lt;=G$1,AVERAGE($F$5:$F28),G$2*($F28-$G27)+$G27)</f>
        <v>1.9297118469778871</v>
      </c>
      <c r="H28" s="2">
        <f t="shared" si="2"/>
        <v>1.0870548810148444</v>
      </c>
    </row>
    <row r="29" spans="1:28">
      <c r="A29" s="1">
        <v>45509</v>
      </c>
      <c r="B29">
        <v>47.59</v>
      </c>
      <c r="C29" s="2">
        <f>IF(COUNTA($B$5:$B29)&lt;=C$1,AVERAGE($B$5:$B29),C$2*($B29-$C28)+$C28)</f>
        <v>47.272600390596139</v>
      </c>
      <c r="D29" s="2">
        <f>IF(COUNTA($B$5:$B29)&lt;=D$1,AVERAGE($B$5:$B29),D$2*($B29-$D28)+$D28)</f>
        <v>46.637456462147696</v>
      </c>
      <c r="E29" s="2">
        <f>IF(COUNTA($B$5:$B29)&lt;=E$1,AVERAGE($B$5:$B29),E$2*($B29-$E28)+$E28)</f>
        <v>43.613199999999999</v>
      </c>
      <c r="F29" s="2">
        <f t="shared" si="1"/>
        <v>3.0242564621476973</v>
      </c>
      <c r="G29" s="2">
        <f>IF(COUNTA($F$5:$F29)&lt;=G$1,AVERAGE($F$5:$F29),G$2*($F29-$G28)+$G28)</f>
        <v>2.1486207700118491</v>
      </c>
      <c r="H29" s="2">
        <f t="shared" si="2"/>
        <v>0.87563569213584813</v>
      </c>
    </row>
    <row r="30" spans="1:28">
      <c r="A30" s="1">
        <v>45510</v>
      </c>
      <c r="B30">
        <v>47.31</v>
      </c>
      <c r="C30" s="2">
        <f>IF(COUNTA($B$5:$B30)&lt;=C$1,AVERAGE($B$5:$B30),C$2*($B30-$C29)+$C29)</f>
        <v>47.280080312476912</v>
      </c>
      <c r="D30" s="2">
        <f>IF(COUNTA($B$5:$B30)&lt;=D$1,AVERAGE($B$5:$B30),D$2*($B30-$D29)+$D29)</f>
        <v>46.740924698740358</v>
      </c>
      <c r="E30" s="2">
        <f>IF(COUNTA($B$5:$B30)&lt;=E$1,AVERAGE($B$5:$B30),E$2*($B30-$E29)+$E29)</f>
        <v>43.755384615384614</v>
      </c>
      <c r="F30" s="2">
        <f t="shared" si="1"/>
        <v>2.9855400833557439</v>
      </c>
      <c r="G30" s="2">
        <f>IF(COUNTA($F$5:$F30)&lt;=G$1,AVERAGE($F$5:$F30),G$2*($F30-$G29)+$G29)</f>
        <v>2.3160046326806283</v>
      </c>
      <c r="H30" s="2">
        <f t="shared" si="2"/>
        <v>0.66953545067511566</v>
      </c>
    </row>
    <row r="31" spans="1:28">
      <c r="A31" s="1">
        <v>45511</v>
      </c>
      <c r="B31">
        <v>46.5</v>
      </c>
      <c r="C31" s="2">
        <f>IF(COUNTA($B$5:$B31)&lt;=C$1,AVERAGE($B$5:$B31),C$2*($B31-$C30)+$C30)</f>
        <v>47.124064249981529</v>
      </c>
      <c r="D31" s="2">
        <f>IF(COUNTA($B$5:$B31)&lt;=D$1,AVERAGE($B$5:$B31),D$2*($B31-$D30)+$D30)</f>
        <v>46.703859360472613</v>
      </c>
      <c r="E31" s="2">
        <f>IF(COUNTA($B$5:$B31)&lt;=E$1,AVERAGE($B$5:$B31),E$2*($B31-$E30)+$E30)</f>
        <v>43.958689458689456</v>
      </c>
      <c r="F31" s="2">
        <f t="shared" si="1"/>
        <v>2.7451699017831572</v>
      </c>
      <c r="G31" s="2">
        <f>IF(COUNTA($F$5:$F31)&lt;=G$1,AVERAGE($F$5:$F31),G$2*($F31-$G30)+$G30)</f>
        <v>2.4018376865011342</v>
      </c>
      <c r="H31" s="2">
        <f t="shared" si="2"/>
        <v>0.34333221528202307</v>
      </c>
    </row>
    <row r="32" spans="1:28" ht="21">
      <c r="A32" s="1">
        <v>45512</v>
      </c>
      <c r="B32">
        <v>46.85</v>
      </c>
      <c r="C32" s="2">
        <f>IF(COUNTA($B$5:$B32)&lt;=C$1,AVERAGE($B$5:$B32),C$2*($B32-$C31)+$C31)</f>
        <v>47.069251399985227</v>
      </c>
      <c r="D32" s="2">
        <f>IF(COUNTA($B$5:$B32)&lt;=D$1,AVERAGE($B$5:$B32),D$2*($B32-$D31)+$D31)</f>
        <v>46.726342535784518</v>
      </c>
      <c r="E32" s="2">
        <f>IF(COUNTA($B$5:$B32)&lt;=E$1,AVERAGE($B$5:$B32),E$2*($B32-$E31)+$E31)</f>
        <v>44.172860609897647</v>
      </c>
      <c r="F32" s="2">
        <f t="shared" si="1"/>
        <v>2.5534819258868708</v>
      </c>
      <c r="G32" s="2">
        <f>IF(COUNTA($F$5:$F32)&lt;=G$1,AVERAGE($F$5:$F32),G$2*($F32-$G31)+$G31)</f>
        <v>2.4321665343782817</v>
      </c>
      <c r="H32" s="2">
        <f t="shared" si="2"/>
        <v>0.12131539150858917</v>
      </c>
      <c r="AB32" s="15"/>
    </row>
    <row r="33" spans="1:8">
      <c r="A33" s="1">
        <v>45513</v>
      </c>
      <c r="B33">
        <v>46.72</v>
      </c>
      <c r="C33" s="2">
        <f>IF(COUNTA($B$5:$B33)&lt;=C$1,AVERAGE($B$5:$B33),C$2*($B33-$C32)+$C32)</f>
        <v>46.999401119988178</v>
      </c>
      <c r="D33" s="2">
        <f>IF(COUNTA($B$5:$B33)&lt;=D$1,AVERAGE($B$5:$B33),D$2*($B33-$D32)+$D32)</f>
        <v>46.725366761048441</v>
      </c>
      <c r="E33" s="2">
        <f>IF(COUNTA($B$5:$B33)&lt;=E$1,AVERAGE($B$5:$B33),E$2*($B33-$E32)+$E32)</f>
        <v>44.361537601757078</v>
      </c>
      <c r="F33" s="2">
        <f t="shared" si="1"/>
        <v>2.3638291592913632</v>
      </c>
      <c r="G33" s="2">
        <f>IF(COUNTA($F$5:$F33)&lt;=G$1,AVERAGE($F$5:$F33),G$2*($F33-$G32)+$G32)</f>
        <v>2.4184990593608982</v>
      </c>
      <c r="H33" s="2">
        <f t="shared" si="2"/>
        <v>-5.4669900069534982E-2</v>
      </c>
    </row>
    <row r="34" spans="1:8">
      <c r="A34" s="1">
        <v>45516</v>
      </c>
      <c r="B34">
        <v>47.06</v>
      </c>
      <c r="C34" s="2">
        <f>IF(COUNTA($B$5:$B34)&lt;=C$1,AVERAGE($B$5:$B34),C$2*($B34-$C33)+$C33)</f>
        <v>47.011520895990543</v>
      </c>
      <c r="D34" s="2">
        <f>IF(COUNTA($B$5:$B34)&lt;=D$1,AVERAGE($B$5:$B34),D$2*($B34-$D33)+$D33)</f>
        <v>46.776848797810217</v>
      </c>
      <c r="E34" s="2">
        <f>IF(COUNTA($B$5:$B34)&lt;=E$1,AVERAGE($B$5:$B34),E$2*($B34-$E33)+$E33)</f>
        <v>44.561423705330625</v>
      </c>
      <c r="F34" s="2">
        <f t="shared" si="1"/>
        <v>2.2154250924795917</v>
      </c>
      <c r="G34" s="2">
        <f>IF(COUNTA($F$5:$F34)&lt;=G$1,AVERAGE($F$5:$F34),G$2*($F34-$G33)+$G33)</f>
        <v>2.3778842659846369</v>
      </c>
      <c r="H34" s="2">
        <f t="shared" si="2"/>
        <v>-0.16245917350504513</v>
      </c>
    </row>
    <row r="35" spans="1:8">
      <c r="A35" s="1">
        <v>45517</v>
      </c>
      <c r="B35">
        <v>49.06</v>
      </c>
      <c r="C35" s="2">
        <f>IF(COUNTA($B$5:$B35)&lt;=C$1,AVERAGE($B$5:$B35),C$2*($B35-$C34)+$C34)</f>
        <v>47.421216716792436</v>
      </c>
      <c r="D35" s="2">
        <f>IF(COUNTA($B$5:$B35)&lt;=D$1,AVERAGE($B$5:$B35),D$2*($B35-$D34)+$D34)</f>
        <v>47.12810282891634</v>
      </c>
      <c r="E35" s="2">
        <f>IF(COUNTA($B$5:$B35)&lt;=E$1,AVERAGE($B$5:$B35),E$2*($B35-$E34)+$E34)</f>
        <v>44.894651579009839</v>
      </c>
      <c r="F35" s="2">
        <f t="shared" si="1"/>
        <v>2.2334512499065013</v>
      </c>
      <c r="G35" s="2">
        <f>IF(COUNTA($F$5:$F35)&lt;=G$1,AVERAGE($F$5:$F35),G$2*($F35-$G34)+$G34)</f>
        <v>2.3489976627690097</v>
      </c>
      <c r="H35" s="2">
        <f t="shared" si="2"/>
        <v>-0.11554641286250833</v>
      </c>
    </row>
    <row r="36" spans="1:8">
      <c r="A36" s="1">
        <v>45518</v>
      </c>
      <c r="B36">
        <v>48.41</v>
      </c>
      <c r="C36" s="2">
        <f>IF(COUNTA($B$5:$B36)&lt;=C$1,AVERAGE($B$5:$B36),C$2*($B36-$C35)+$C35)</f>
        <v>47.618973373433946</v>
      </c>
      <c r="D36" s="2">
        <f>IF(COUNTA($B$5:$B36)&lt;=D$1,AVERAGE($B$5:$B36),D$2*($B36-$D35)+$D35)</f>
        <v>47.325317778313824</v>
      </c>
      <c r="E36" s="2">
        <f>IF(COUNTA($B$5:$B36)&lt;=E$1,AVERAGE($B$5:$B36),E$2*($B36-$E35)+$E35)</f>
        <v>45.155047758342441</v>
      </c>
      <c r="F36" s="2">
        <f t="shared" si="1"/>
        <v>2.1702700199713831</v>
      </c>
      <c r="G36" s="2">
        <f>IF(COUNTA($F$5:$F36)&lt;=G$1,AVERAGE($F$5:$F36),G$2*($F36-$G35)+$G35)</f>
        <v>2.3132521342094843</v>
      </c>
      <c r="H36" s="2">
        <f t="shared" si="2"/>
        <v>-0.14298211423810114</v>
      </c>
    </row>
    <row r="37" spans="1:8">
      <c r="A37" s="1">
        <v>45519</v>
      </c>
      <c r="B37">
        <v>49.11</v>
      </c>
      <c r="C37" s="2">
        <f>IF(COUNTA($B$5:$B37)&lt;=C$1,AVERAGE($B$5:$B37),C$2*($B37-$C36)+$C36)</f>
        <v>47.917178698747158</v>
      </c>
      <c r="D37" s="2">
        <f>IF(COUNTA($B$5:$B37)&lt;=D$1,AVERAGE($B$5:$B37),D$2*($B37-$D36)+$D36)</f>
        <v>47.599884273957848</v>
      </c>
      <c r="E37" s="2">
        <f>IF(COUNTA($B$5:$B37)&lt;=E$1,AVERAGE($B$5:$B37),E$2*($B37-$E36)+$E36)</f>
        <v>45.448007183650411</v>
      </c>
      <c r="F37" s="2">
        <f t="shared" si="1"/>
        <v>2.1518770903074369</v>
      </c>
      <c r="G37" s="2">
        <f>IF(COUNTA($F$5:$F37)&lt;=G$1,AVERAGE($F$5:$F37),G$2*($F37-$G36)+$G36)</f>
        <v>2.2809771254290747</v>
      </c>
      <c r="H37" s="2">
        <f t="shared" si="2"/>
        <v>-0.12910003512163781</v>
      </c>
    </row>
    <row r="38" spans="1:8">
      <c r="A38" s="1">
        <v>45520</v>
      </c>
      <c r="B38">
        <v>49.36</v>
      </c>
      <c r="C38" s="2">
        <f>IF(COUNTA($B$5:$B38)&lt;=C$1,AVERAGE($B$5:$B38),C$2*($B38-$C37)+$C37)</f>
        <v>48.205742958997725</v>
      </c>
      <c r="D38" s="2">
        <f>IF(COUNTA($B$5:$B38)&lt;=D$1,AVERAGE($B$5:$B38),D$2*($B38-$D37)+$D37)</f>
        <v>47.870671308733563</v>
      </c>
      <c r="E38" s="2">
        <f>IF(COUNTA($B$5:$B38)&lt;=E$1,AVERAGE($B$5:$B38),E$2*($B38-$E37)+$E37)</f>
        <v>45.737784429305933</v>
      </c>
      <c r="F38" s="2">
        <f t="shared" si="1"/>
        <v>2.1328868794276303</v>
      </c>
      <c r="G38" s="2">
        <f>IF(COUNTA($F$5:$F38)&lt;=G$1,AVERAGE($F$5:$F38),G$2*($F38-$G37)+$G37)</f>
        <v>2.2513590762287858</v>
      </c>
      <c r="H38" s="2">
        <f t="shared" si="2"/>
        <v>-0.1184721968011555</v>
      </c>
    </row>
    <row r="39" spans="1:8">
      <c r="A39" s="1">
        <v>45523</v>
      </c>
      <c r="B39">
        <v>49.3</v>
      </c>
      <c r="C39" s="2">
        <f>IF(COUNTA($B$5:$B39)&lt;=C$1,AVERAGE($B$5:$B39),C$2*($B39-$C38)+$C38)</f>
        <v>48.424594367198182</v>
      </c>
      <c r="D39" s="2">
        <f>IF(COUNTA($B$5:$B39)&lt;=D$1,AVERAGE($B$5:$B39),D$2*($B39-$D38)+$D38)</f>
        <v>48.090568030466862</v>
      </c>
      <c r="E39" s="2">
        <f>IF(COUNTA($B$5:$B39)&lt;=E$1,AVERAGE($B$5:$B39),E$2*($B39-$E38)+$E38)</f>
        <v>46.001652249357342</v>
      </c>
      <c r="F39" s="2">
        <f t="shared" si="1"/>
        <v>2.0889157811095203</v>
      </c>
      <c r="G39" s="2">
        <f>IF(COUNTA($F$5:$F39)&lt;=G$1,AVERAGE($F$5:$F39),G$2*($F39-$G38)+$G38)</f>
        <v>2.2188704172049327</v>
      </c>
      <c r="H39" s="2">
        <f t="shared" si="2"/>
        <v>-0.12995463609541247</v>
      </c>
    </row>
    <row r="40" spans="1:8">
      <c r="A40" s="1">
        <v>45524</v>
      </c>
      <c r="B40">
        <v>48.98</v>
      </c>
      <c r="C40" s="2">
        <f>IF(COUNTA($B$5:$B40)&lt;=C$1,AVERAGE($B$5:$B40),C$2*($B40-$C39)+$C39)</f>
        <v>48.535675493758546</v>
      </c>
      <c r="D40" s="2">
        <f>IF(COUNTA($B$5:$B40)&lt;=D$1,AVERAGE($B$5:$B40),D$2*($B40-$D39)+$D39)</f>
        <v>48.227403718087345</v>
      </c>
      <c r="E40" s="2">
        <f>IF(COUNTA($B$5:$B40)&lt;=E$1,AVERAGE($B$5:$B40),E$2*($B40-$E39)+$E39)</f>
        <v>46.222270601256795</v>
      </c>
      <c r="F40" s="2">
        <f t="shared" si="1"/>
        <v>2.0051331168305495</v>
      </c>
      <c r="G40" s="2">
        <f>IF(COUNTA($F$5:$F40)&lt;=G$1,AVERAGE($F$5:$F40),G$2*($F40-$G39)+$G39)</f>
        <v>2.176122957130056</v>
      </c>
      <c r="H40" s="2">
        <f t="shared" si="2"/>
        <v>-0.17098984029950648</v>
      </c>
    </row>
    <row r="41" spans="1:8">
      <c r="A41" s="1">
        <v>45525</v>
      </c>
      <c r="B41">
        <v>48.44</v>
      </c>
      <c r="C41" s="2">
        <f>IF(COUNTA($B$5:$B41)&lt;=C$1,AVERAGE($B$5:$B41),C$2*($B41-$C40)+$C40)</f>
        <v>48.516540395006835</v>
      </c>
      <c r="D41" s="2">
        <f>IF(COUNTA($B$5:$B41)&lt;=D$1,AVERAGE($B$5:$B41),D$2*($B41-$D40)+$D40)</f>
        <v>48.2601108383816</v>
      </c>
      <c r="E41" s="2">
        <f>IF(COUNTA($B$5:$B41)&lt;=E$1,AVERAGE($B$5:$B41),E$2*($B41-$E40)+$E40)</f>
        <v>46.386546853015552</v>
      </c>
      <c r="F41" s="2">
        <f t="shared" si="1"/>
        <v>1.8735639853660473</v>
      </c>
      <c r="G41" s="2">
        <f>IF(COUNTA($F$5:$F41)&lt;=G$1,AVERAGE($F$5:$F41),G$2*($F41-$G40)+$G40)</f>
        <v>2.1156111627772543</v>
      </c>
      <c r="H41" s="2">
        <f t="shared" si="2"/>
        <v>-0.24204717741120696</v>
      </c>
    </row>
    <row r="42" spans="1:8">
      <c r="A42" s="1">
        <v>45526</v>
      </c>
      <c r="B42">
        <v>47.62</v>
      </c>
      <c r="C42" s="2">
        <f>IF(COUNTA($B$5:$B42)&lt;=C$1,AVERAGE($B$5:$B42),C$2*($B42-$C41)+$C41)</f>
        <v>48.337232316005469</v>
      </c>
      <c r="D42" s="2">
        <f>IF(COUNTA($B$5:$B42)&lt;=D$1,AVERAGE($B$5:$B42),D$2*($B42-$D41)+$D41)</f>
        <v>48.161632247861355</v>
      </c>
      <c r="E42" s="2">
        <f>IF(COUNTA($B$5:$B42)&lt;=E$1,AVERAGE($B$5:$B42),E$2*($B42-$E41)+$E41)</f>
        <v>46.477913752792176</v>
      </c>
      <c r="F42" s="2">
        <f t="shared" si="1"/>
        <v>1.6837184950691793</v>
      </c>
      <c r="G42" s="2">
        <f>IF(COUNTA($F$5:$F42)&lt;=G$1,AVERAGE($F$5:$F42),G$2*($F42-$G41)+$G41)</f>
        <v>2.0292326292356391</v>
      </c>
      <c r="H42" s="2">
        <f t="shared" si="2"/>
        <v>-0.34551413416645982</v>
      </c>
    </row>
    <row r="43" spans="1:8">
      <c r="A43" s="1">
        <v>45527</v>
      </c>
      <c r="B43">
        <v>48.11</v>
      </c>
      <c r="C43" s="2">
        <f>IF(COUNTA($B$5:$B43)&lt;=C$1,AVERAGE($B$5:$B43),C$2*($B43-$C42)+$C42)</f>
        <v>48.291785852804374</v>
      </c>
      <c r="D43" s="2">
        <f>IF(COUNTA($B$5:$B43)&lt;=D$1,AVERAGE($B$5:$B43),D$2*($B43-$D42)+$D42)</f>
        <v>48.153688825113456</v>
      </c>
      <c r="E43" s="2">
        <f>IF(COUNTA($B$5:$B43)&lt;=E$1,AVERAGE($B$5:$B43),E$2*($B43-$E42)+$E42)</f>
        <v>46.598809030363128</v>
      </c>
      <c r="F43" s="2">
        <f t="shared" si="1"/>
        <v>1.5548797947503274</v>
      </c>
      <c r="G43" s="2">
        <f>IF(COUNTA($F$5:$F43)&lt;=G$1,AVERAGE($F$5:$F43),G$2*($F43-$G42)+$G42)</f>
        <v>1.9343620623385767</v>
      </c>
      <c r="H43" s="2">
        <f t="shared" si="2"/>
        <v>-0.37948226758824921</v>
      </c>
    </row>
    <row r="44" spans="1:8">
      <c r="A44" s="1">
        <v>45530</v>
      </c>
      <c r="B44">
        <v>48.24</v>
      </c>
      <c r="C44" s="2">
        <f>IF(COUNTA($B$5:$B44)&lt;=C$1,AVERAGE($B$5:$B44),C$2*($B44-$C43)+$C43)</f>
        <v>48.281428682243501</v>
      </c>
      <c r="D44" s="2">
        <f>IF(COUNTA($B$5:$B44)&lt;=D$1,AVERAGE($B$5:$B44),D$2*($B44-$D43)+$D43)</f>
        <v>48.166967467403694</v>
      </c>
      <c r="E44" s="2">
        <f>IF(COUNTA($B$5:$B44)&lt;=E$1,AVERAGE($B$5:$B44),E$2*($B44-$E43)+$E43)</f>
        <v>46.720378731817711</v>
      </c>
      <c r="F44" s="2">
        <f t="shared" si="1"/>
        <v>1.4465887355859834</v>
      </c>
      <c r="G44" s="2">
        <f>IF(COUNTA($F$5:$F44)&lt;=G$1,AVERAGE($F$5:$F44),G$2*($F44-$G43)+$G43)</f>
        <v>1.8368073969880581</v>
      </c>
      <c r="H44" s="2">
        <f t="shared" si="2"/>
        <v>-0.39021866140207462</v>
      </c>
    </row>
    <row r="45" spans="1:8">
      <c r="A45" s="1">
        <v>45531</v>
      </c>
      <c r="B45">
        <v>48.12</v>
      </c>
      <c r="C45" s="2">
        <f>IF(COUNTA($B$5:$B45)&lt;=C$1,AVERAGE($B$5:$B45),C$2*($B45-$C44)+$C44)</f>
        <v>48.249142945794802</v>
      </c>
      <c r="D45" s="2">
        <f>IF(COUNTA($B$5:$B45)&lt;=D$1,AVERAGE($B$5:$B45),D$2*($B45-$D44)+$D44)</f>
        <v>48.159741703187741</v>
      </c>
      <c r="E45" s="2">
        <f>IF(COUNTA($B$5:$B45)&lt;=E$1,AVERAGE($B$5:$B45),E$2*($B45-$E44)+$E44)</f>
        <v>46.824054381312692</v>
      </c>
      <c r="F45" s="2">
        <f t="shared" si="1"/>
        <v>1.3356873218750493</v>
      </c>
      <c r="G45" s="2">
        <f>IF(COUNTA($F$5:$F45)&lt;=G$1,AVERAGE($F$5:$F45),G$2*($F45-$G44)+$G44)</f>
        <v>1.7365833819654564</v>
      </c>
      <c r="H45" s="2">
        <f t="shared" si="2"/>
        <v>-0.40089606009040701</v>
      </c>
    </row>
    <row r="46" spans="1:8">
      <c r="A46" s="1">
        <v>45532</v>
      </c>
      <c r="B46">
        <v>49.06</v>
      </c>
      <c r="C46" s="2">
        <f>IF(COUNTA($B$5:$B46)&lt;=C$1,AVERAGE($B$5:$B46),C$2*($B46-$C45)+$C45)</f>
        <v>48.411314356635842</v>
      </c>
      <c r="D46" s="2">
        <f>IF(COUNTA($B$5:$B46)&lt;=D$1,AVERAGE($B$5:$B46),D$2*($B46-$D45)+$D45)</f>
        <v>48.298242979620397</v>
      </c>
      <c r="E46" s="2">
        <f>IF(COUNTA($B$5:$B46)&lt;=E$1,AVERAGE($B$5:$B46),E$2*($B46-$E45)+$E45)</f>
        <v>46.989679982696934</v>
      </c>
      <c r="F46" s="2">
        <f t="shared" si="1"/>
        <v>1.3085629969234631</v>
      </c>
      <c r="G46" s="2">
        <f>IF(COUNTA($F$5:$F46)&lt;=G$1,AVERAGE($F$5:$F46),G$2*($F46-$G45)+$G45)</f>
        <v>1.6509793049570578</v>
      </c>
      <c r="H46" s="2">
        <f t="shared" si="2"/>
        <v>-0.34241630803359469</v>
      </c>
    </row>
    <row r="47" spans="1:8">
      <c r="A47" s="1">
        <v>45533</v>
      </c>
      <c r="B47">
        <v>49.72</v>
      </c>
      <c r="C47" s="2">
        <f>IF(COUNTA($B$5:$B47)&lt;=C$1,AVERAGE($B$5:$B47),C$2*($B47-$C46)+$C46)</f>
        <v>48.673051485308676</v>
      </c>
      <c r="D47" s="2">
        <f>IF(COUNTA($B$5:$B47)&lt;=D$1,AVERAGE($B$5:$B47),D$2*($B47-$D46)+$D46)</f>
        <v>48.516974828909568</v>
      </c>
      <c r="E47" s="2">
        <f>IF(COUNTA($B$5:$B47)&lt;=E$1,AVERAGE($B$5:$B47),E$2*($B47-$E46)+$E46)</f>
        <v>47.191925909904569</v>
      </c>
      <c r="F47" s="2">
        <f t="shared" si="1"/>
        <v>1.325048919004999</v>
      </c>
      <c r="G47" s="2">
        <f>IF(COUNTA($F$5:$F47)&lt;=G$1,AVERAGE($F$5:$F47),G$2*($F47-$G46)+$G46)</f>
        <v>1.585793227766646</v>
      </c>
      <c r="H47" s="2">
        <f t="shared" si="2"/>
        <v>-0.260744308761647</v>
      </c>
    </row>
    <row r="48" spans="1:8">
      <c r="A48" s="1">
        <v>45534</v>
      </c>
      <c r="B48">
        <v>49.95</v>
      </c>
      <c r="C48" s="2">
        <f>IF(COUNTA($B$5:$B48)&lt;=C$1,AVERAGE($B$5:$B48),C$2*($B48-$C47)+$C47)</f>
        <v>48.928441188246943</v>
      </c>
      <c r="D48" s="2">
        <f>IF(COUNTA($B$5:$B48)&lt;=D$1,AVERAGE($B$5:$B48),D$2*($B48-$D47)+$D47)</f>
        <v>48.737440239846556</v>
      </c>
      <c r="E48" s="2">
        <f>IF(COUNTA($B$5:$B48)&lt;=E$1,AVERAGE($B$5:$B48),E$2*($B48-$E47)+$E47)</f>
        <v>47.396227694356085</v>
      </c>
      <c r="F48" s="2">
        <f t="shared" si="1"/>
        <v>1.3412125454904711</v>
      </c>
      <c r="G48" s="2">
        <f>IF(COUNTA($F$5:$F48)&lt;=G$1,AVERAGE($F$5:$F48),G$2*($F48-$G47)+$G47)</f>
        <v>1.5368770913114109</v>
      </c>
      <c r="H48" s="2">
        <f t="shared" si="2"/>
        <v>-0.19566454582093984</v>
      </c>
    </row>
    <row r="49" spans="1:8">
      <c r="A49" s="1">
        <v>45538</v>
      </c>
      <c r="B49">
        <v>50.52</v>
      </c>
      <c r="C49" s="2">
        <f>IF(COUNTA($B$5:$B49)&lt;=C$1,AVERAGE($B$5:$B49),C$2*($B49-$C48)+$C48)</f>
        <v>49.246752950597553</v>
      </c>
      <c r="D49" s="2">
        <f>IF(COUNTA($B$5:$B49)&lt;=D$1,AVERAGE($B$5:$B49),D$2*($B49-$D48)+$D48)</f>
        <v>49.011680202947083</v>
      </c>
      <c r="E49" s="2">
        <f>IF(COUNTA($B$5:$B49)&lt;=E$1,AVERAGE($B$5:$B49),E$2*($B49-$E48)+$E48)</f>
        <v>47.627618235514895</v>
      </c>
      <c r="F49" s="2">
        <f t="shared" si="1"/>
        <v>1.3840619674321886</v>
      </c>
      <c r="G49" s="2">
        <f>IF(COUNTA($F$5:$F49)&lt;=G$1,AVERAGE($F$5:$F49),G$2*($F49-$G48)+$G48)</f>
        <v>1.5063140665355665</v>
      </c>
      <c r="H49" s="2">
        <f t="shared" si="2"/>
        <v>-0.12225209910337798</v>
      </c>
    </row>
    <row r="50" spans="1:8">
      <c r="A50" s="1">
        <v>45539</v>
      </c>
      <c r="B50">
        <v>49.96</v>
      </c>
      <c r="C50" s="2">
        <f>IF(COUNTA($B$5:$B50)&lt;=C$1,AVERAGE($B$5:$B50),C$2*($B50-$C49)+$C49)</f>
        <v>49.389402360478044</v>
      </c>
      <c r="D50" s="2">
        <f>IF(COUNTA($B$5:$B50)&lt;=D$1,AVERAGE($B$5:$B50),D$2*($B50-$D49)+$D49)</f>
        <v>49.157575556339843</v>
      </c>
      <c r="E50" s="2">
        <f>IF(COUNTA($B$5:$B50)&lt;=E$1,AVERAGE($B$5:$B50),E$2*($B50-$E49)+$E49)</f>
        <v>47.800387255106386</v>
      </c>
      <c r="F50" s="2">
        <f t="shared" si="1"/>
        <v>1.3571883012334567</v>
      </c>
      <c r="G50" s="2">
        <f>IF(COUNTA($F$5:$F50)&lt;=G$1,AVERAGE($F$5:$F50),G$2*($F50-$G49)+$G49)</f>
        <v>1.4764889134751447</v>
      </c>
      <c r="H50" s="2">
        <f t="shared" si="2"/>
        <v>-0.11930061224168798</v>
      </c>
    </row>
    <row r="51" spans="1:8">
      <c r="A51" s="1">
        <v>45540</v>
      </c>
      <c r="B51">
        <v>49.8</v>
      </c>
      <c r="C51" s="2">
        <f>IF(COUNTA($B$5:$B51)&lt;=C$1,AVERAGE($B$5:$B51),C$2*($B51-$C50)+$C50)</f>
        <v>49.471521888382433</v>
      </c>
      <c r="D51" s="2">
        <f>IF(COUNTA($B$5:$B51)&lt;=D$1,AVERAGE($B$5:$B51),D$2*($B51-$D50)+$D50)</f>
        <v>49.256410086133712</v>
      </c>
      <c r="E51" s="2">
        <f>IF(COUNTA($B$5:$B51)&lt;=E$1,AVERAGE($B$5:$B51),E$2*($B51-$E50)+$E50)</f>
        <v>47.948506717691096</v>
      </c>
      <c r="F51" s="2">
        <f t="shared" si="1"/>
        <v>1.3079033684426165</v>
      </c>
      <c r="G51" s="2">
        <f>IF(COUNTA($F$5:$F51)&lt;=G$1,AVERAGE($F$5:$F51),G$2*($F51-$G50)+$G50)</f>
        <v>1.4427718044686391</v>
      </c>
      <c r="H51" s="2">
        <f t="shared" si="2"/>
        <v>-0.13486843602602261</v>
      </c>
    </row>
    <row r="52" spans="1:8">
      <c r="A52" s="1">
        <v>45541</v>
      </c>
      <c r="B52">
        <v>48.7</v>
      </c>
      <c r="C52" s="2">
        <f>IF(COUNTA($B$5:$B52)&lt;=C$1,AVERAGE($B$5:$B52),C$2*($B52-$C51)+$C51)</f>
        <v>49.317217510705945</v>
      </c>
      <c r="D52" s="2">
        <f>IF(COUNTA($B$5:$B52)&lt;=D$1,AVERAGE($B$5:$B52),D$2*($B52-$D51)+$D51)</f>
        <v>49.170808534420836</v>
      </c>
      <c r="E52" s="2">
        <f>IF(COUNTA($B$5:$B52)&lt;=E$1,AVERAGE($B$5:$B52),E$2*($B52-$E51)+$E51)</f>
        <v>48.004172886751014</v>
      </c>
      <c r="F52" s="2">
        <f t="shared" si="1"/>
        <v>1.1666356476698212</v>
      </c>
      <c r="G52" s="2">
        <f>IF(COUNTA($F$5:$F52)&lt;=G$1,AVERAGE($F$5:$F52),G$2*($F52-$G51)+$G51)</f>
        <v>1.3875445731088756</v>
      </c>
      <c r="H52" s="2">
        <f t="shared" si="2"/>
        <v>-0.22090892543905438</v>
      </c>
    </row>
    <row r="53" spans="1:8">
      <c r="A53" s="1">
        <v>45544</v>
      </c>
      <c r="B53">
        <v>48.5</v>
      </c>
      <c r="C53" s="2">
        <f>IF(COUNTA($B$5:$B53)&lt;=C$1,AVERAGE($B$5:$B53),C$2*($B53-$C52)+$C52)</f>
        <v>49.153774008564753</v>
      </c>
      <c r="D53" s="2">
        <f>IF(COUNTA($B$5:$B53)&lt;=D$1,AVERAGE($B$5:$B53),D$2*($B53-$D52)+$D52)</f>
        <v>49.067607221433015</v>
      </c>
      <c r="E53" s="2">
        <f>IF(COUNTA($B$5:$B53)&lt;=E$1,AVERAGE($B$5:$B53),E$2*($B53-$E52)+$E52)</f>
        <v>48.040900821065755</v>
      </c>
      <c r="F53" s="2">
        <f t="shared" si="1"/>
        <v>1.0267064003672601</v>
      </c>
      <c r="G53" s="2">
        <f>IF(COUNTA($F$5:$F53)&lt;=G$1,AVERAGE($F$5:$F53),G$2*($F53-$G52)+$G52)</f>
        <v>1.3153769385605525</v>
      </c>
      <c r="H53" s="2">
        <f t="shared" si="2"/>
        <v>-0.28867053819329236</v>
      </c>
    </row>
    <row r="54" spans="1:8">
      <c r="A54" s="1">
        <v>45545</v>
      </c>
      <c r="B54">
        <v>49.28</v>
      </c>
      <c r="C54" s="2">
        <f>IF(COUNTA($B$5:$B54)&lt;=C$1,AVERAGE($B$5:$B54),C$2*($B54-$C53)+$C53)</f>
        <v>49.179019206851805</v>
      </c>
      <c r="D54" s="2">
        <f>IF(COUNTA($B$5:$B54)&lt;=D$1,AVERAGE($B$5:$B54),D$2*($B54-$D53)+$D53)</f>
        <v>49.100283033520242</v>
      </c>
      <c r="E54" s="2">
        <f>IF(COUNTA($B$5:$B54)&lt;=E$1,AVERAGE($B$5:$B54),E$2*($B54-$E53)+$E53)</f>
        <v>48.132685945431255</v>
      </c>
      <c r="F54" s="2">
        <f t="shared" si="1"/>
        <v>0.96759708808898637</v>
      </c>
      <c r="G54" s="2">
        <f>IF(COUNTA($F$5:$F54)&lt;=G$1,AVERAGE($F$5:$F54),G$2*($F54-$G53)+$G53)</f>
        <v>1.2458209684662394</v>
      </c>
      <c r="H54" s="2">
        <f t="shared" si="2"/>
        <v>-0.27822388037725299</v>
      </c>
    </row>
    <row r="55" spans="1:8">
      <c r="A55" s="1">
        <v>45546</v>
      </c>
      <c r="B55">
        <v>48.59</v>
      </c>
      <c r="C55" s="2">
        <f>IF(COUNTA($B$5:$B55)&lt;=C$1,AVERAGE($B$5:$B55),C$2*($B55-$C54)+$C54)</f>
        <v>49.061215365481445</v>
      </c>
      <c r="D55" s="2">
        <f>IF(COUNTA($B$5:$B55)&lt;=D$1,AVERAGE($B$5:$B55),D$2*($B55-$D54)+$D54)</f>
        <v>49.021777951440207</v>
      </c>
      <c r="E55" s="2">
        <f>IF(COUNTA($B$5:$B55)&lt;=E$1,AVERAGE($B$5:$B55),E$2*($B55-$E54)+$E54)</f>
        <v>48.166561060584499</v>
      </c>
      <c r="F55" s="2">
        <f t="shared" si="1"/>
        <v>0.85521689085570785</v>
      </c>
      <c r="G55" s="2">
        <f>IF(COUNTA($F$5:$F55)&lt;=G$1,AVERAGE($F$5:$F55),G$2*($F55-$G54)+$G54)</f>
        <v>1.1677001529441331</v>
      </c>
      <c r="H55" s="2">
        <f t="shared" si="2"/>
        <v>-0.31248326208842525</v>
      </c>
    </row>
    <row r="56" spans="1:8">
      <c r="A56" s="1">
        <v>45547</v>
      </c>
      <c r="B56">
        <v>48.24</v>
      </c>
      <c r="C56" s="2">
        <f>IF(COUNTA($B$5:$B56)&lt;=C$1,AVERAGE($B$5:$B56),C$2*($B56-$C55)+$C55)</f>
        <v>48.896972292385158</v>
      </c>
      <c r="D56" s="2">
        <f>IF(COUNTA($B$5:$B56)&lt;=D$1,AVERAGE($B$5:$B56),D$2*($B56-$D55)+$D55)</f>
        <v>48.901504420449406</v>
      </c>
      <c r="E56" s="2">
        <f>IF(COUNTA($B$5:$B56)&lt;=E$1,AVERAGE($B$5:$B56),E$2*($B56-$E55)+$E55)</f>
        <v>48.172000982022688</v>
      </c>
      <c r="F56" s="2">
        <f t="shared" si="1"/>
        <v>0.72950343842671828</v>
      </c>
      <c r="G56" s="2">
        <f>IF(COUNTA($F$5:$F56)&lt;=G$1,AVERAGE($F$5:$F56),G$2*($F56-$G55)+$G55)</f>
        <v>1.0800608100406501</v>
      </c>
      <c r="H56" s="2">
        <f t="shared" si="2"/>
        <v>-0.35055737161393186</v>
      </c>
    </row>
    <row r="57" spans="1:8">
      <c r="A57" s="1">
        <v>45548</v>
      </c>
      <c r="B57">
        <v>49.13</v>
      </c>
      <c r="C57" s="2">
        <f>IF(COUNTA($B$5:$B57)&lt;=C$1,AVERAGE($B$5:$B57),C$2*($B57-$C56)+$C56)</f>
        <v>48.94357783390813</v>
      </c>
      <c r="D57" s="2">
        <f>IF(COUNTA($B$5:$B57)&lt;=D$1,AVERAGE($B$5:$B57),D$2*($B57-$D56)+$D56)</f>
        <v>48.93665758653411</v>
      </c>
      <c r="E57" s="2">
        <f>IF(COUNTA($B$5:$B57)&lt;=E$1,AVERAGE($B$5:$B57),E$2*($B57-$E56)+$E56)</f>
        <v>48.24296387224323</v>
      </c>
      <c r="F57" s="2">
        <f t="shared" si="1"/>
        <v>0.69369371429088034</v>
      </c>
      <c r="G57" s="2">
        <f>IF(COUNTA($F$5:$F57)&lt;=G$1,AVERAGE($F$5:$F57),G$2*($F57-$G56)+$G56)</f>
        <v>1.0027873908906961</v>
      </c>
      <c r="H57" s="2">
        <f t="shared" si="2"/>
        <v>-0.30909367659981579</v>
      </c>
    </row>
    <row r="58" spans="1:8">
      <c r="A58" s="1">
        <v>45551</v>
      </c>
      <c r="B58">
        <v>49.99</v>
      </c>
      <c r="C58" s="2">
        <f>IF(COUNTA($B$5:$B58)&lt;=C$1,AVERAGE($B$5:$B58),C$2*($B58-$C57)+$C57)</f>
        <v>49.152862267126501</v>
      </c>
      <c r="D58" s="2">
        <f>IF(COUNTA($B$5:$B58)&lt;=D$1,AVERAGE($B$5:$B58),D$2*($B58-$D57)+$D57)</f>
        <v>49.098710265528865</v>
      </c>
      <c r="E58" s="2">
        <f>IF(COUNTA($B$5:$B58)&lt;=E$1,AVERAGE($B$5:$B58),E$2*($B58-$E57)+$E57)</f>
        <v>48.372373955780766</v>
      </c>
      <c r="F58" s="2">
        <f t="shared" si="1"/>
        <v>0.72633630974809904</v>
      </c>
      <c r="G58" s="2">
        <f>IF(COUNTA($F$5:$F58)&lt;=G$1,AVERAGE($F$5:$F58),G$2*($F58-$G57)+$G57)</f>
        <v>0.94749717466217676</v>
      </c>
      <c r="H58" s="2">
        <f t="shared" si="2"/>
        <v>-0.22116086491407771</v>
      </c>
    </row>
    <row r="59" spans="1:8">
      <c r="A59" s="1">
        <v>45552</v>
      </c>
      <c r="B59">
        <v>49.49</v>
      </c>
      <c r="C59" s="2">
        <f>IF(COUNTA($B$5:$B59)&lt;=C$1,AVERAGE($B$5:$B59),C$2*($B59-$C58)+$C58)</f>
        <v>49.2202898137012</v>
      </c>
      <c r="D59" s="2">
        <f>IF(COUNTA($B$5:$B59)&lt;=D$1,AVERAGE($B$5:$B59),D$2*($B59-$D58)+$D58)</f>
        <v>49.158908686216733</v>
      </c>
      <c r="E59" s="2">
        <f>IF(COUNTA($B$5:$B59)&lt;=E$1,AVERAGE($B$5:$B59),E$2*($B59-$E58)+$E58)</f>
        <v>48.455161070167378</v>
      </c>
      <c r="F59" s="2">
        <f t="shared" si="1"/>
        <v>0.70374761604935543</v>
      </c>
      <c r="G59" s="2">
        <f>IF(COUNTA($F$5:$F59)&lt;=G$1,AVERAGE($F$5:$F59),G$2*($F59-$G58)+$G58)</f>
        <v>0.89874726293961249</v>
      </c>
      <c r="H59" s="2">
        <f t="shared" si="2"/>
        <v>-0.19499964689025706</v>
      </c>
    </row>
    <row r="60" spans="1:8">
      <c r="A60" s="1">
        <v>45553</v>
      </c>
      <c r="B60">
        <v>49.74</v>
      </c>
      <c r="C60" s="2">
        <f>IF(COUNTA($B$5:$B60)&lt;=C$1,AVERAGE($B$5:$B60),C$2*($B60-$C59)+$C59)</f>
        <v>49.324231850960963</v>
      </c>
      <c r="D60" s="2">
        <f>IF(COUNTA($B$5:$B60)&lt;=D$1,AVERAGE($B$5:$B60),D$2*($B60-$D59)+$D59)</f>
        <v>49.248307349875695</v>
      </c>
      <c r="E60" s="2">
        <f>IF(COUNTA($B$5:$B60)&lt;=E$1,AVERAGE($B$5:$B60),E$2*($B60-$E59)+$E59)</f>
        <v>48.550334324229055</v>
      </c>
      <c r="F60" s="2">
        <f t="shared" si="1"/>
        <v>0.69797302564663966</v>
      </c>
      <c r="G60" s="2">
        <f>IF(COUNTA($F$5:$F60)&lt;=G$1,AVERAGE($F$5:$F60),G$2*($F60-$G59)+$G59)</f>
        <v>0.85859241548101795</v>
      </c>
      <c r="H60" s="2">
        <f t="shared" si="2"/>
        <v>-0.16061938983437829</v>
      </c>
    </row>
    <row r="61" spans="1:8">
      <c r="A61" s="1">
        <v>45554</v>
      </c>
      <c r="B61">
        <v>49.02</v>
      </c>
      <c r="C61" s="2">
        <f>IF(COUNTA($B$5:$B61)&lt;=C$1,AVERAGE($B$5:$B61),C$2*($B61-$C60)+$C60)</f>
        <v>49.263385480768768</v>
      </c>
      <c r="D61" s="2">
        <f>IF(COUNTA($B$5:$B61)&lt;=D$1,AVERAGE($B$5:$B61),D$2*($B61-$D60)+$D60)</f>
        <v>49.21318314220251</v>
      </c>
      <c r="E61" s="2">
        <f>IF(COUNTA($B$5:$B61)&lt;=E$1,AVERAGE($B$5:$B61),E$2*($B61-$E60)+$E60)</f>
        <v>48.58512437428616</v>
      </c>
      <c r="F61" s="2">
        <f t="shared" si="1"/>
        <v>0.62805876791635029</v>
      </c>
      <c r="G61" s="2">
        <f>IF(COUNTA($F$5:$F61)&lt;=G$1,AVERAGE($F$5:$F61),G$2*($F61-$G60)+$G60)</f>
        <v>0.81248568596808446</v>
      </c>
      <c r="H61" s="2">
        <f t="shared" si="2"/>
        <v>-0.18442691805173417</v>
      </c>
    </row>
    <row r="62" spans="1:8">
      <c r="A62" s="1">
        <v>45555</v>
      </c>
      <c r="B62">
        <v>49.41</v>
      </c>
      <c r="C62" s="2">
        <f>IF(COUNTA($B$5:$B62)&lt;=C$1,AVERAGE($B$5:$B62),C$2*($B62-$C61)+$C61)</f>
        <v>49.292708384615011</v>
      </c>
      <c r="D62" s="2">
        <f>IF(COUNTA($B$5:$B62)&lt;=D$1,AVERAGE($B$5:$B62),D$2*($B62-$D61)+$D61)</f>
        <v>49.24346265878674</v>
      </c>
      <c r="E62" s="2">
        <f>IF(COUNTA($B$5:$B62)&lt;=E$1,AVERAGE($B$5:$B62),E$2*($B62-$E61)+$E61)</f>
        <v>48.646226272487183</v>
      </c>
      <c r="F62" s="2">
        <f t="shared" si="1"/>
        <v>0.59723638629955644</v>
      </c>
      <c r="G62" s="2">
        <f>IF(COUNTA($F$5:$F62)&lt;=G$1,AVERAGE($F$5:$F62),G$2*($F62-$G61)+$G61)</f>
        <v>0.76943582603437888</v>
      </c>
      <c r="H62" s="2">
        <f t="shared" si="2"/>
        <v>-0.17219943973482243</v>
      </c>
    </row>
    <row r="63" spans="1:8">
      <c r="A63" s="1">
        <v>45558</v>
      </c>
      <c r="B63">
        <v>50.01</v>
      </c>
      <c r="C63" s="2">
        <f>IF(COUNTA($B$5:$B63)&lt;=C$1,AVERAGE($B$5:$B63),C$2*($B63-$C62)+$C62)</f>
        <v>49.43616670769201</v>
      </c>
      <c r="D63" s="2">
        <f>IF(COUNTA($B$5:$B63)&lt;=D$1,AVERAGE($B$5:$B63),D$2*($B63-$D62)+$D62)</f>
        <v>49.361391480511855</v>
      </c>
      <c r="E63" s="2">
        <f>IF(COUNTA($B$5:$B63)&lt;=E$1,AVERAGE($B$5:$B63),E$2*($B63-$E62)+$E62)</f>
        <v>48.747246548599243</v>
      </c>
      <c r="F63" s="2">
        <f t="shared" si="1"/>
        <v>0.61414493191261244</v>
      </c>
      <c r="G63" s="2">
        <f>IF(COUNTA($F$5:$F63)&lt;=G$1,AVERAGE($F$5:$F63),G$2*($F63-$G62)+$G62)</f>
        <v>0.73837764721002563</v>
      </c>
      <c r="H63" s="2">
        <f t="shared" si="2"/>
        <v>-0.1242327152974132</v>
      </c>
    </row>
    <row r="64" spans="1:8">
      <c r="A64" s="1">
        <v>45559</v>
      </c>
      <c r="B64">
        <v>50.94</v>
      </c>
      <c r="C64" s="2">
        <f>IF(COUNTA($B$5:$B64)&lt;=C$1,AVERAGE($B$5:$B64),C$2*($B64-$C63)+$C63)</f>
        <v>49.736933366153607</v>
      </c>
      <c r="D64" s="2">
        <f>IF(COUNTA($B$5:$B64)&lt;=D$1,AVERAGE($B$5:$B64),D$2*($B64-$D63)+$D63)</f>
        <v>49.604254329663874</v>
      </c>
      <c r="E64" s="2">
        <f>IF(COUNTA($B$5:$B64)&lt;=E$1,AVERAGE($B$5:$B64),E$2*($B64-$E63)+$E63)</f>
        <v>48.909672730184482</v>
      </c>
      <c r="F64" s="2">
        <f t="shared" si="1"/>
        <v>0.6945815994793918</v>
      </c>
      <c r="G64" s="2">
        <f>IF(COUNTA($F$5:$F64)&lt;=G$1,AVERAGE($F$5:$F64),G$2*($F64-$G63)+$G63)</f>
        <v>0.72961843766389889</v>
      </c>
      <c r="H64" s="2">
        <f t="shared" si="2"/>
        <v>-3.5036838184507091E-2</v>
      </c>
    </row>
    <row r="65" spans="1:8">
      <c r="A65" s="1">
        <v>45560</v>
      </c>
      <c r="B65">
        <v>49.95</v>
      </c>
      <c r="C65" s="2">
        <f>IF(COUNTA($B$5:$B65)&lt;=C$1,AVERAGE($B$5:$B65),C$2*($B65-$C64)+$C64)</f>
        <v>49.779546692922885</v>
      </c>
      <c r="D65" s="2">
        <f>IF(COUNTA($B$5:$B65)&lt;=D$1,AVERAGE($B$5:$B65),D$2*($B65-$D64)+$D64)</f>
        <v>49.657445971254049</v>
      </c>
      <c r="E65" s="2">
        <f>IF(COUNTA($B$5:$B65)&lt;=E$1,AVERAGE($B$5:$B65),E$2*($B65-$E64)+$E64)</f>
        <v>48.986734009430073</v>
      </c>
      <c r="F65" s="2">
        <f t="shared" si="1"/>
        <v>0.67071196182397586</v>
      </c>
      <c r="G65" s="2">
        <f>IF(COUNTA($F$5:$F65)&lt;=G$1,AVERAGE($F$5:$F65),G$2*($F65-$G64)+$G64)</f>
        <v>0.71783714249591424</v>
      </c>
      <c r="H65" s="2">
        <f t="shared" si="2"/>
        <v>-4.7125180671938383E-2</v>
      </c>
    </row>
    <row r="66" spans="1:8">
      <c r="A66" s="1">
        <v>45561</v>
      </c>
      <c r="B66">
        <v>50.12</v>
      </c>
      <c r="C66" s="2">
        <f>IF(COUNTA($B$5:$B66)&lt;=C$1,AVERAGE($B$5:$B66),C$2*($B66-$C65)+$C65)</f>
        <v>49.84763735433831</v>
      </c>
      <c r="D66" s="2">
        <f>IF(COUNTA($B$5:$B66)&lt;=D$1,AVERAGE($B$5:$B66),D$2*($B66-$D65)+$D65)</f>
        <v>49.728608129522655</v>
      </c>
      <c r="E66" s="2">
        <f>IF(COUNTA($B$5:$B66)&lt;=E$1,AVERAGE($B$5:$B66),E$2*($B66-$E65)+$E65)</f>
        <v>49.070679638361177</v>
      </c>
      <c r="F66" s="2">
        <f t="shared" si="1"/>
        <v>0.65792849116147778</v>
      </c>
      <c r="G66" s="2">
        <f>IF(COUNTA($F$5:$F66)&lt;=G$1,AVERAGE($F$5:$F66),G$2*($F66-$G65)+$G65)</f>
        <v>0.70585541222902692</v>
      </c>
      <c r="H66" s="2">
        <f t="shared" si="2"/>
        <v>-4.7926921067549144E-2</v>
      </c>
    </row>
    <row r="67" spans="1:8">
      <c r="A67" s="1">
        <v>45562</v>
      </c>
      <c r="B67">
        <v>50.91</v>
      </c>
      <c r="C67" s="2">
        <f>IF(COUNTA($B$5:$B67)&lt;=C$1,AVERAGE($B$5:$B67),C$2*($B67-$C66)+$C66)</f>
        <v>50.060109883470645</v>
      </c>
      <c r="D67" s="2">
        <f>IF(COUNTA($B$5:$B67)&lt;=D$1,AVERAGE($B$5:$B67),D$2*($B67-$D66)+$D66)</f>
        <v>49.910360724980706</v>
      </c>
      <c r="E67" s="2">
        <f>IF(COUNTA($B$5:$B67)&lt;=E$1,AVERAGE($B$5:$B67),E$2*($B67-$E66)+$E66)</f>
        <v>49.206925591075162</v>
      </c>
      <c r="F67" s="2">
        <f t="shared" si="1"/>
        <v>0.70343513390554335</v>
      </c>
      <c r="G67" s="2">
        <f>IF(COUNTA($F$5:$F67)&lt;=G$1,AVERAGE($F$5:$F67),G$2*($F67-$G66)+$G66)</f>
        <v>0.70537135656433025</v>
      </c>
      <c r="H67" s="2">
        <f t="shared" si="2"/>
        <v>-1.9362226587869014E-3</v>
      </c>
    </row>
    <row r="68" spans="1:8">
      <c r="A68" s="1">
        <v>45565</v>
      </c>
      <c r="B68">
        <v>51.74</v>
      </c>
      <c r="C68" s="2">
        <f>IF(COUNTA($B$5:$B68)&lt;=C$1,AVERAGE($B$5:$B68),C$2*($B68-$C67)+$C67)</f>
        <v>50.396087906776515</v>
      </c>
      <c r="D68" s="2">
        <f>IF(COUNTA($B$5:$B68)&lt;=D$1,AVERAGE($B$5:$B68),D$2*($B68-$D67)+$D67)</f>
        <v>50.191843690368287</v>
      </c>
      <c r="E68" s="2">
        <f>IF(COUNTA($B$5:$B68)&lt;=E$1,AVERAGE($B$5:$B68),E$2*($B68-$E67)+$E67)</f>
        <v>49.394560732477004</v>
      </c>
      <c r="F68" s="2">
        <f t="shared" si="1"/>
        <v>0.79728295789128367</v>
      </c>
      <c r="G68" s="2">
        <f>IF(COUNTA($F$5:$F68)&lt;=G$1,AVERAGE($F$5:$F68),G$2*($F68-$G67)+$G67)</f>
        <v>0.72375367682972092</v>
      </c>
      <c r="H68" s="2">
        <f t="shared" si="2"/>
        <v>7.3529281061562757E-2</v>
      </c>
    </row>
    <row r="69" spans="1:8">
      <c r="A69" s="1">
        <v>45566</v>
      </c>
      <c r="B69">
        <v>52.9</v>
      </c>
      <c r="C69" s="2">
        <f>IF(COUNTA($B$5:$B69)&lt;=C$1,AVERAGE($B$5:$B69),C$2*($B69-$C68)+$C68)</f>
        <v>50.896870325421212</v>
      </c>
      <c r="D69" s="2">
        <f>IF(COUNTA($B$5:$B69)&lt;=D$1,AVERAGE($B$5:$B69),D$2*($B69-$D68)+$D68)</f>
        <v>50.608483122619319</v>
      </c>
      <c r="E69" s="2">
        <f>IF(COUNTA($B$5:$B69)&lt;=E$1,AVERAGE($B$5:$B69),E$2*($B69-$E68)+$E68)</f>
        <v>49.654222900441667</v>
      </c>
      <c r="F69" s="2">
        <f t="shared" si="1"/>
        <v>0.95426022217765194</v>
      </c>
      <c r="G69" s="2">
        <f>IF(COUNTA($F$5:$F69)&lt;=G$1,AVERAGE($F$5:$F69),G$2*($F69-$G68)+$G68)</f>
        <v>0.76985498589930712</v>
      </c>
      <c r="H69" s="2">
        <f t="shared" si="2"/>
        <v>0.18440523627834482</v>
      </c>
    </row>
    <row r="70" spans="1:8">
      <c r="A70" s="1">
        <v>45567</v>
      </c>
      <c r="B70">
        <v>53.76</v>
      </c>
      <c r="C70" s="2">
        <f>IF(COUNTA($B$5:$B70)&lt;=C$1,AVERAGE($B$5:$B70),C$2*($B70-$C69)+$C69)</f>
        <v>51.469496260336967</v>
      </c>
      <c r="D70" s="2">
        <f>IF(COUNTA($B$5:$B70)&lt;=D$1,AVERAGE($B$5:$B70),D$2*($B70-$D69)+$D69)</f>
        <v>51.09333187298558</v>
      </c>
      <c r="E70" s="2">
        <f>IF(COUNTA($B$5:$B70)&lt;=E$1,AVERAGE($B$5:$B70),E$2*($B70-$E69)+$E69)</f>
        <v>49.958354537445985</v>
      </c>
      <c r="F70" s="2">
        <f t="shared" si="1"/>
        <v>1.1349773355395953</v>
      </c>
      <c r="G70" s="2">
        <f>IF(COUNTA($F$5:$F70)&lt;=G$1,AVERAGE($F$5:$F70),G$2*($F70-$G69)+$G69)</f>
        <v>0.84287945582736479</v>
      </c>
      <c r="H70" s="2">
        <f t="shared" si="2"/>
        <v>0.29209787971223056</v>
      </c>
    </row>
    <row r="71" spans="1:8">
      <c r="A71" s="1">
        <v>45568</v>
      </c>
      <c r="B71">
        <v>54.2</v>
      </c>
      <c r="C71" s="2">
        <f>IF(COUNTA($B$5:$B71)&lt;=C$1,AVERAGE($B$5:$B71),C$2*($B71-$C70)+$C70)</f>
        <v>52.015597008269573</v>
      </c>
      <c r="D71" s="2">
        <f>IF(COUNTA($B$5:$B71)&lt;=D$1,AVERAGE($B$5:$B71),D$2*($B71-$D70)+$D70)</f>
        <v>51.571280815603181</v>
      </c>
      <c r="E71" s="2">
        <f>IF(COUNTA($B$5:$B71)&lt;=E$1,AVERAGE($B$5:$B71),E$2*($B71-$E70)+$E70)</f>
        <v>50.272550497635173</v>
      </c>
      <c r="F71" s="2">
        <f t="shared" si="1"/>
        <v>1.2987303179680083</v>
      </c>
      <c r="G71" s="2">
        <f>IF(COUNTA($F$5:$F71)&lt;=G$1,AVERAGE($F$5:$F71),G$2*($F71-$G70)+$G70)</f>
        <v>0.93404962825549354</v>
      </c>
      <c r="H71" s="2">
        <f t="shared" si="2"/>
        <v>0.36468068971251477</v>
      </c>
    </row>
    <row r="72" spans="1:8">
      <c r="A72" s="1">
        <v>45569</v>
      </c>
      <c r="B72">
        <v>53.96</v>
      </c>
      <c r="C72" s="2">
        <f>IF(COUNTA($B$5:$B72)&lt;=C$1,AVERAGE($B$5:$B72),C$2*($B72-$C71)+$C71)</f>
        <v>52.404477606615657</v>
      </c>
      <c r="D72" s="2">
        <f>IF(COUNTA($B$5:$B72)&lt;=D$1,AVERAGE($B$5:$B72),D$2*($B72-$D71)+$D71)</f>
        <v>51.938776074741156</v>
      </c>
      <c r="E72" s="2">
        <f>IF(COUNTA($B$5:$B72)&lt;=E$1,AVERAGE($B$5:$B72),E$2*($B72-$E71)+$E71)</f>
        <v>50.545694905217751</v>
      </c>
      <c r="F72" s="2">
        <f t="shared" si="1"/>
        <v>1.3930811695234055</v>
      </c>
      <c r="G72" s="2">
        <f>IF(COUNTA($F$5:$F72)&lt;=G$1,AVERAGE($F$5:$F72),G$2*($F72-$G71)+$G71)</f>
        <v>1.025855936509076</v>
      </c>
      <c r="H72" s="2">
        <f t="shared" si="2"/>
        <v>0.36722523301432952</v>
      </c>
    </row>
    <row r="73" spans="1:8">
      <c r="A73" s="1">
        <v>45572</v>
      </c>
      <c r="B73">
        <v>53.44</v>
      </c>
      <c r="C73" s="2">
        <f>IF(COUNTA($B$5:$B73)&lt;=C$1,AVERAGE($B$5:$B73),C$2*($B73-$C72)+$C72)</f>
        <v>52.611582085292525</v>
      </c>
      <c r="D73" s="2">
        <f>IF(COUNTA($B$5:$B73)&lt;=D$1,AVERAGE($B$5:$B73),D$2*($B73-$D72)+$D72)</f>
        <v>52.169733601704053</v>
      </c>
      <c r="E73" s="2">
        <f>IF(COUNTA($B$5:$B73)&lt;=E$1,AVERAGE($B$5:$B73),E$2*($B73-$E72)+$E72)</f>
        <v>50.76008787520162</v>
      </c>
      <c r="F73" s="2">
        <f t="shared" si="1"/>
        <v>1.4096457265024327</v>
      </c>
      <c r="G73" s="2">
        <f>IF(COUNTA($F$5:$F73)&lt;=G$1,AVERAGE($F$5:$F73),G$2*($F73-$G72)+$G72)</f>
        <v>1.1026138945077473</v>
      </c>
      <c r="H73" s="2">
        <f t="shared" si="2"/>
        <v>0.30703183199468542</v>
      </c>
    </row>
    <row r="74" spans="1:8">
      <c r="A74" s="1">
        <v>45573</v>
      </c>
      <c r="B74">
        <v>52.48</v>
      </c>
      <c r="C74" s="2">
        <f>IF(COUNTA($B$5:$B74)&lt;=C$1,AVERAGE($B$5:$B74),C$2*($B74-$C73)+$C73)</f>
        <v>52.585265668234022</v>
      </c>
      <c r="D74" s="2">
        <f>IF(COUNTA($B$5:$B74)&lt;=D$1,AVERAGE($B$5:$B74),D$2*($B74-$D73)+$D73)</f>
        <v>52.217466893749581</v>
      </c>
      <c r="E74" s="2">
        <f>IF(COUNTA($B$5:$B74)&lt;=E$1,AVERAGE($B$5:$B74),E$2*($B74-$E73)+$E73)</f>
        <v>50.88748877333483</v>
      </c>
      <c r="F74" s="2">
        <f t="shared" si="1"/>
        <v>1.3299781204147507</v>
      </c>
      <c r="G74" s="2">
        <f>IF(COUNTA($F$5:$F74)&lt;=G$1,AVERAGE($F$5:$F74),G$2*($F74-$G73)+$G73)</f>
        <v>1.1480867396891479</v>
      </c>
      <c r="H74" s="2">
        <f t="shared" si="2"/>
        <v>0.18189138072560285</v>
      </c>
    </row>
    <row r="75" spans="1:8">
      <c r="A75" s="1">
        <v>45574</v>
      </c>
      <c r="B75">
        <v>52.8</v>
      </c>
      <c r="C75" s="2">
        <f>IF(COUNTA($B$5:$B75)&lt;=C$1,AVERAGE($B$5:$B75),C$2*($B75-$C74)+$C74)</f>
        <v>52.62821253458722</v>
      </c>
      <c r="D75" s="2">
        <f>IF(COUNTA($B$5:$B75)&lt;=D$1,AVERAGE($B$5:$B75),D$2*($B75-$D74)+$D74)</f>
        <v>52.30708737163426</v>
      </c>
      <c r="E75" s="2">
        <f>IF(COUNTA($B$5:$B75)&lt;=E$1,AVERAGE($B$5:$B75),E$2*($B75-$E74)+$E74)</f>
        <v>51.029156271606325</v>
      </c>
      <c r="F75" s="2">
        <f t="shared" si="1"/>
        <v>1.277931100027935</v>
      </c>
      <c r="G75" s="2">
        <f>IF(COUNTA($F$5:$F75)&lt;=G$1,AVERAGE($F$5:$F75),G$2*($F75-$G74)+$G74)</f>
        <v>1.1740556117569052</v>
      </c>
      <c r="H75" s="2">
        <f t="shared" si="2"/>
        <v>0.10387548827102977</v>
      </c>
    </row>
    <row r="76" spans="1:8">
      <c r="A76" s="1">
        <v>45575</v>
      </c>
      <c r="B76">
        <v>52.4</v>
      </c>
      <c r="C76" s="2">
        <f>IF(COUNTA($B$5:$B76)&lt;=C$1,AVERAGE($B$5:$B76),C$2*($B76-$C75)+$C75)</f>
        <v>52.582570027669775</v>
      </c>
      <c r="D76" s="2">
        <f>IF(COUNTA($B$5:$B76)&lt;=D$1,AVERAGE($B$5:$B76),D$2*($B76-$D75)+$D75)</f>
        <v>52.321381622152067</v>
      </c>
      <c r="E76" s="2">
        <f>IF(COUNTA($B$5:$B76)&lt;=E$1,AVERAGE($B$5:$B76),E$2*($B76-$E75)+$E75)</f>
        <v>51.13070025148734</v>
      </c>
      <c r="F76" s="2">
        <f t="shared" si="1"/>
        <v>1.190681370664727</v>
      </c>
      <c r="G76" s="2">
        <f>IF(COUNTA($F$5:$F76)&lt;=G$1,AVERAGE($F$5:$F76),G$2*($F76-$G75)+$G75)</f>
        <v>1.1773807635384697</v>
      </c>
      <c r="H76" s="2">
        <f t="shared" si="2"/>
        <v>1.3300607126257358E-2</v>
      </c>
    </row>
    <row r="77" spans="1:8">
      <c r="A77" s="1">
        <v>45576</v>
      </c>
      <c r="B77">
        <v>52.2</v>
      </c>
      <c r="C77" s="2">
        <f>IF(COUNTA($B$5:$B77)&lt;=C$1,AVERAGE($B$5:$B77),C$2*($B77-$C76)+$C76)</f>
        <v>52.506056022135823</v>
      </c>
      <c r="D77" s="2">
        <f>IF(COUNTA($B$5:$B77)&lt;=D$1,AVERAGE($B$5:$B77),D$2*($B77-$D76)+$D76)</f>
        <v>52.302707526436365</v>
      </c>
      <c r="E77" s="2">
        <f>IF(COUNTA($B$5:$B77)&lt;=E$1,AVERAGE($B$5:$B77),E$2*($B77-$E76)+$E76)</f>
        <v>51.209907640266053</v>
      </c>
      <c r="F77" s="2">
        <f t="shared" si="1"/>
        <v>1.0927998861703117</v>
      </c>
      <c r="G77" s="2">
        <f>IF(COUNTA($F$5:$F77)&lt;=G$1,AVERAGE($F$5:$F77),G$2*($F77-$G76)+$G76)</f>
        <v>1.1604645880648381</v>
      </c>
      <c r="H77" s="2">
        <f t="shared" si="2"/>
        <v>-6.7664701894526447E-2</v>
      </c>
    </row>
    <row r="78" spans="1:8">
      <c r="A78" s="1">
        <v>45579</v>
      </c>
      <c r="B78">
        <v>52.67</v>
      </c>
      <c r="C78" s="2">
        <f>IF(COUNTA($B$5:$B78)&lt;=C$1,AVERAGE($B$5:$B78),C$2*($B78-$C77)+$C77)</f>
        <v>52.538844817708657</v>
      </c>
      <c r="D78" s="2">
        <f>IF(COUNTA($B$5:$B78)&lt;=D$1,AVERAGE($B$5:$B78),D$2*($B78-$D77)+$D77)</f>
        <v>52.359214060830773</v>
      </c>
      <c r="E78" s="2">
        <f>IF(COUNTA($B$5:$B78)&lt;=E$1,AVERAGE($B$5:$B78),E$2*($B78-$E77)+$E77)</f>
        <v>51.318062629875975</v>
      </c>
      <c r="F78" s="2">
        <f t="shared" si="1"/>
        <v>1.0411514309547982</v>
      </c>
      <c r="G78" s="2">
        <f>IF(COUNTA($F$5:$F78)&lt;=G$1,AVERAGE($F$5:$F78),G$2*($F78-$G77)+$G77)</f>
        <v>1.13660195664283</v>
      </c>
      <c r="H78" s="2">
        <f t="shared" si="2"/>
        <v>-9.5450525688031806E-2</v>
      </c>
    </row>
    <row r="79" spans="1:8">
      <c r="A79" s="1">
        <v>45580</v>
      </c>
      <c r="B79">
        <v>52.76</v>
      </c>
      <c r="C79" s="2">
        <f>IF(COUNTA($B$5:$B79)&lt;=C$1,AVERAGE($B$5:$B79),C$2*($B79-$C78)+$C78)</f>
        <v>52.583075854166928</v>
      </c>
      <c r="D79" s="2">
        <f>IF(COUNTA($B$5:$B79)&lt;=D$1,AVERAGE($B$5:$B79),D$2*($B79-$D78)+$D78)</f>
        <v>52.420873436087575</v>
      </c>
      <c r="E79" s="2">
        <f>IF(COUNTA($B$5:$B79)&lt;=E$1,AVERAGE($B$5:$B79),E$2*($B79-$E78)+$E78)</f>
        <v>51.424872805440714</v>
      </c>
      <c r="F79" s="2">
        <f t="shared" si="1"/>
        <v>0.9960006306468614</v>
      </c>
      <c r="G79" s="2">
        <f>IF(COUNTA($F$5:$F79)&lt;=G$1,AVERAGE($F$5:$F79),G$2*($F79-$G78)+$G78)</f>
        <v>1.1084816914436364</v>
      </c>
      <c r="H79" s="2">
        <f t="shared" si="2"/>
        <v>-0.112481060796775</v>
      </c>
    </row>
    <row r="80" spans="1:8">
      <c r="A80" s="1">
        <v>45581</v>
      </c>
      <c r="B80">
        <v>53.37</v>
      </c>
      <c r="C80" s="2">
        <f>IF(COUNTA($B$5:$B80)&lt;=C$1,AVERAGE($B$5:$B80),C$2*($B80-$C79)+$C79)</f>
        <v>52.740460683333545</v>
      </c>
      <c r="D80" s="2">
        <f>IF(COUNTA($B$5:$B80)&lt;=D$1,AVERAGE($B$5:$B80),D$2*($B80-$D79)+$D79)</f>
        <v>52.566892907458715</v>
      </c>
      <c r="E80" s="2">
        <f>IF(COUNTA($B$5:$B80)&lt;=E$1,AVERAGE($B$5:$B80),E$2*($B80-$E79)+$E79)</f>
        <v>51.568956301333991</v>
      </c>
      <c r="F80" s="2">
        <f t="shared" si="1"/>
        <v>0.99793660612472479</v>
      </c>
      <c r="G80" s="2">
        <f>IF(COUNTA($F$5:$F80)&lt;=G$1,AVERAGE($F$5:$F80),G$2*($F80-$G79)+$G79)</f>
        <v>1.0863726743798541</v>
      </c>
      <c r="H80" s="2">
        <f t="shared" si="2"/>
        <v>-8.8436068255129285E-2</v>
      </c>
    </row>
    <row r="81" spans="1:8">
      <c r="A81" s="1">
        <v>45582</v>
      </c>
      <c r="B81">
        <v>53.18</v>
      </c>
      <c r="C81" s="2">
        <f>IF(COUNTA($B$5:$B81)&lt;=C$1,AVERAGE($B$5:$B81),C$2*($B81-$C80)+$C80)</f>
        <v>52.828368546666837</v>
      </c>
      <c r="D81" s="2">
        <f>IF(COUNTA($B$5:$B81)&lt;=D$1,AVERAGE($B$5:$B81),D$2*($B81-$D80)+$D80)</f>
        <v>52.661217075541991</v>
      </c>
      <c r="E81" s="2">
        <f>IF(COUNTA($B$5:$B81)&lt;=E$1,AVERAGE($B$5:$B81),E$2*($B81-$E80)+$E80)</f>
        <v>51.688292871605547</v>
      </c>
      <c r="F81" s="2">
        <f t="shared" si="1"/>
        <v>0.97292420393644363</v>
      </c>
      <c r="G81" s="2">
        <f>IF(COUNTA($F$5:$F81)&lt;=G$1,AVERAGE($F$5:$F81),G$2*($F81-$G80)+$G80)</f>
        <v>1.063682980291172</v>
      </c>
      <c r="H81" s="2">
        <f t="shared" si="2"/>
        <v>-9.0758776354728399E-2</v>
      </c>
    </row>
    <row r="82" spans="1:8">
      <c r="A82" s="1">
        <v>45583</v>
      </c>
      <c r="B82">
        <v>53.22</v>
      </c>
      <c r="C82" s="2">
        <f>IF(COUNTA($B$5:$B82)&lt;=C$1,AVERAGE($B$5:$B82),C$2*($B82-$C81)+$C81)</f>
        <v>52.906694837333468</v>
      </c>
      <c r="D82" s="2">
        <f>IF(COUNTA($B$5:$B82)&lt;=D$1,AVERAGE($B$5:$B82),D$2*($B82-$D81)+$D81)</f>
        <v>52.747183679304761</v>
      </c>
      <c r="E82" s="2">
        <f>IF(COUNTA($B$5:$B82)&lt;=E$1,AVERAGE($B$5:$B82),E$2*($B82-$E81)+$E81)</f>
        <v>51.801752658894024</v>
      </c>
      <c r="F82" s="2">
        <f t="shared" ref="F82:F145" si="3">D82-E82</f>
        <v>0.94543102041073723</v>
      </c>
      <c r="G82" s="2">
        <f>IF(COUNTA($F$5:$F82)&lt;=G$1,AVERAGE($F$5:$F82),G$2*($F82-$G81)+$G81)</f>
        <v>1.0400325883150852</v>
      </c>
      <c r="H82" s="2">
        <f t="shared" ref="H82:H145" si="4">F82-G82</f>
        <v>-9.4601567904347927E-2</v>
      </c>
    </row>
    <row r="83" spans="1:8">
      <c r="A83" s="1">
        <v>45586</v>
      </c>
      <c r="B83">
        <v>52.12</v>
      </c>
      <c r="C83" s="2">
        <f>IF(COUNTA($B$5:$B83)&lt;=C$1,AVERAGE($B$5:$B83),C$2*($B83-$C82)+$C82)</f>
        <v>52.749355869866775</v>
      </c>
      <c r="D83" s="2">
        <f>IF(COUNTA($B$5:$B83)&lt;=D$1,AVERAGE($B$5:$B83),D$2*($B83-$D82)+$D82)</f>
        <v>52.650693882488646</v>
      </c>
      <c r="E83" s="2">
        <f>IF(COUNTA($B$5:$B83)&lt;=E$1,AVERAGE($B$5:$B83),E$2*($B83-$E82)+$E82)</f>
        <v>51.825326536012987</v>
      </c>
      <c r="F83" s="2">
        <f t="shared" si="3"/>
        <v>0.82536734647565879</v>
      </c>
      <c r="G83" s="2">
        <f>IF(COUNTA($F$5:$F83)&lt;=G$1,AVERAGE($F$5:$F83),G$2*($F83-$G82)+$G82)</f>
        <v>0.99709953994719991</v>
      </c>
      <c r="H83" s="2">
        <f t="shared" si="4"/>
        <v>-0.17173219347154112</v>
      </c>
    </row>
    <row r="84" spans="1:8">
      <c r="A84" s="1">
        <v>45587</v>
      </c>
      <c r="B84">
        <v>52.76</v>
      </c>
      <c r="C84" s="2">
        <f>IF(COUNTA($B$5:$B84)&lt;=C$1,AVERAGE($B$5:$B84),C$2*($B84-$C83)+$C83)</f>
        <v>52.751484695893417</v>
      </c>
      <c r="D84" s="2">
        <f>IF(COUNTA($B$5:$B84)&lt;=D$1,AVERAGE($B$5:$B84),D$2*($B84-$D83)+$D83)</f>
        <v>52.667510208259621</v>
      </c>
      <c r="E84" s="2">
        <f>IF(COUNTA($B$5:$B84)&lt;=E$1,AVERAGE($B$5:$B84),E$2*($B84-$E83)+$E83)</f>
        <v>51.894561607419433</v>
      </c>
      <c r="F84" s="2">
        <f t="shared" si="3"/>
        <v>0.77294860084018779</v>
      </c>
      <c r="G84" s="2">
        <f>IF(COUNTA($F$5:$F84)&lt;=G$1,AVERAGE($F$5:$F84),G$2*($F84-$G83)+$G83)</f>
        <v>0.95226935212579744</v>
      </c>
      <c r="H84" s="2">
        <f t="shared" si="4"/>
        <v>-0.17932075128560965</v>
      </c>
    </row>
    <row r="85" spans="1:8">
      <c r="A85" s="1">
        <v>45588</v>
      </c>
      <c r="B85">
        <v>53.06</v>
      </c>
      <c r="C85" s="2">
        <f>IF(COUNTA($B$5:$B85)&lt;=C$1,AVERAGE($B$5:$B85),C$2*($B85-$C84)+$C84)</f>
        <v>52.813187756714733</v>
      </c>
      <c r="D85" s="2">
        <f>IF(COUNTA($B$5:$B85)&lt;=D$1,AVERAGE($B$5:$B85),D$2*($B85-$D84)+$D84)</f>
        <v>52.72789325314276</v>
      </c>
      <c r="E85" s="2">
        <f>IF(COUNTA($B$5:$B85)&lt;=E$1,AVERAGE($B$5:$B85),E$2*($B85-$E84)+$E84)</f>
        <v>51.980890377240215</v>
      </c>
      <c r="F85" s="2">
        <f t="shared" si="3"/>
        <v>0.74700287590254533</v>
      </c>
      <c r="G85" s="2">
        <f>IF(COUNTA($F$5:$F85)&lt;=G$1,AVERAGE($F$5:$F85),G$2*($F85-$G84)+$G84)</f>
        <v>0.91121605688114704</v>
      </c>
      <c r="H85" s="2">
        <f t="shared" si="4"/>
        <v>-0.16421318097860171</v>
      </c>
    </row>
    <row r="86" spans="1:8">
      <c r="A86" s="1">
        <v>45589</v>
      </c>
      <c r="B86">
        <v>52.92</v>
      </c>
      <c r="C86" s="2">
        <f>IF(COUNTA($B$5:$B86)&lt;=C$1,AVERAGE($B$5:$B86),C$2*($B86-$C85)+$C85)</f>
        <v>52.834550205371784</v>
      </c>
      <c r="D86" s="2">
        <f>IF(COUNTA($B$5:$B86)&lt;=D$1,AVERAGE($B$5:$B86),D$2*($B86-$D85)+$D85)</f>
        <v>52.757448137274643</v>
      </c>
      <c r="E86" s="2">
        <f>IF(COUNTA($B$5:$B86)&lt;=E$1,AVERAGE($B$5:$B86),E$2*($B86-$E85)+$E85)</f>
        <v>52.050454053000202</v>
      </c>
      <c r="F86" s="2">
        <f t="shared" si="3"/>
        <v>0.70699408427444155</v>
      </c>
      <c r="G86" s="2">
        <f>IF(COUNTA($F$5:$F86)&lt;=G$1,AVERAGE($F$5:$F86),G$2*($F86-$G85)+$G85)</f>
        <v>0.8703716623598059</v>
      </c>
      <c r="H86" s="2">
        <f t="shared" si="4"/>
        <v>-0.16337757808536435</v>
      </c>
    </row>
    <row r="87" spans="1:8">
      <c r="A87" s="1">
        <v>45590</v>
      </c>
      <c r="B87">
        <v>51.92</v>
      </c>
      <c r="C87" s="2">
        <f>IF(COUNTA($B$5:$B87)&lt;=C$1,AVERAGE($B$5:$B87),C$2*($B87-$C86)+$C86)</f>
        <v>52.651640164297426</v>
      </c>
      <c r="D87" s="2">
        <f>IF(COUNTA($B$5:$B87)&lt;=D$1,AVERAGE($B$5:$B87),D$2*($B87-$D86)+$D86)</f>
        <v>52.628609962309312</v>
      </c>
      <c r="E87" s="2">
        <f>IF(COUNTA($B$5:$B87)&lt;=E$1,AVERAGE($B$5:$B87),E$2*($B87-$E86)+$E86)</f>
        <v>52.040790789814999</v>
      </c>
      <c r="F87" s="2">
        <f t="shared" si="3"/>
        <v>0.58781917249431359</v>
      </c>
      <c r="G87" s="2">
        <f>IF(COUNTA($F$5:$F87)&lt;=G$1,AVERAGE($F$5:$F87),G$2*($F87-$G86)+$G86)</f>
        <v>0.81386116438670741</v>
      </c>
      <c r="H87" s="2">
        <f t="shared" si="4"/>
        <v>-0.22604199189239382</v>
      </c>
    </row>
    <row r="88" spans="1:8">
      <c r="A88" s="1">
        <v>45593</v>
      </c>
      <c r="B88">
        <v>52.64</v>
      </c>
      <c r="C88" s="2">
        <f>IF(COUNTA($B$5:$B88)&lt;=C$1,AVERAGE($B$5:$B88),C$2*($B88-$C87)+$C87)</f>
        <v>52.649312131437938</v>
      </c>
      <c r="D88" s="2">
        <f>IF(COUNTA($B$5:$B88)&lt;=D$1,AVERAGE($B$5:$B88),D$2*($B88-$D87)+$D87)</f>
        <v>52.630362275800188</v>
      </c>
      <c r="E88" s="2">
        <f>IF(COUNTA($B$5:$B88)&lt;=E$1,AVERAGE($B$5:$B88),E$2*($B88-$E87)+$E87)</f>
        <v>52.085176657236111</v>
      </c>
      <c r="F88" s="2">
        <f t="shared" si="3"/>
        <v>0.54518561856407644</v>
      </c>
      <c r="G88" s="2">
        <f>IF(COUNTA($F$5:$F88)&lt;=G$1,AVERAGE($F$5:$F88),G$2*($F88-$G87)+$G87)</f>
        <v>0.76012605522218124</v>
      </c>
      <c r="H88" s="2">
        <f t="shared" si="4"/>
        <v>-0.21494043665810481</v>
      </c>
    </row>
    <row r="89" spans="1:8">
      <c r="A89" s="1">
        <v>45594</v>
      </c>
      <c r="B89">
        <v>52.5</v>
      </c>
      <c r="C89" s="2">
        <f>IF(COUNTA($B$5:$B89)&lt;=C$1,AVERAGE($B$5:$B89),C$2*($B89-$C88)+$C88)</f>
        <v>52.619449705150352</v>
      </c>
      <c r="D89" s="2">
        <f>IF(COUNTA($B$5:$B89)&lt;=D$1,AVERAGE($B$5:$B89),D$2*($B89-$D88)+$D88)</f>
        <v>52.610306541061696</v>
      </c>
      <c r="E89" s="2">
        <f>IF(COUNTA($B$5:$B89)&lt;=E$1,AVERAGE($B$5:$B89),E$2*($B89-$E88)+$E88)</f>
        <v>52.115904312255658</v>
      </c>
      <c r="F89" s="2">
        <f t="shared" si="3"/>
        <v>0.49440222880603812</v>
      </c>
      <c r="G89" s="2">
        <f>IF(COUNTA($F$5:$F89)&lt;=G$1,AVERAGE($F$5:$F89),G$2*($F89-$G88)+$G88)</f>
        <v>0.7069812899389526</v>
      </c>
      <c r="H89" s="2">
        <f t="shared" si="4"/>
        <v>-0.21257906113291447</v>
      </c>
    </row>
    <row r="90" spans="1:8">
      <c r="A90" s="1">
        <v>45595</v>
      </c>
      <c r="B90">
        <v>52.66</v>
      </c>
      <c r="C90" s="2">
        <f>IF(COUNTA($B$5:$B90)&lt;=C$1,AVERAGE($B$5:$B90),C$2*($B90-$C89)+$C89)</f>
        <v>52.627559764120278</v>
      </c>
      <c r="D90" s="2">
        <f>IF(COUNTA($B$5:$B90)&lt;=D$1,AVERAGE($B$5:$B90),D$2*($B90-$D89)+$D89)</f>
        <v>52.617951688590665</v>
      </c>
      <c r="E90" s="2">
        <f>IF(COUNTA($B$5:$B90)&lt;=E$1,AVERAGE($B$5:$B90),E$2*($B90-$E89)+$E89)</f>
        <v>52.156207696533016</v>
      </c>
      <c r="F90" s="2">
        <f t="shared" si="3"/>
        <v>0.46174399205764871</v>
      </c>
      <c r="G90" s="2">
        <f>IF(COUNTA($F$5:$F90)&lt;=G$1,AVERAGE($F$5:$F90),G$2*($F90-$G89)+$G89)</f>
        <v>0.65793383036269182</v>
      </c>
      <c r="H90" s="2">
        <f t="shared" si="4"/>
        <v>-0.19618983830504311</v>
      </c>
    </row>
    <row r="91" spans="1:8">
      <c r="A91" s="1">
        <v>45596</v>
      </c>
      <c r="B91">
        <v>55.77</v>
      </c>
      <c r="C91" s="2">
        <f>IF(COUNTA($B$5:$B91)&lt;=C$1,AVERAGE($B$5:$B91),C$2*($B91-$C90)+$C90)</f>
        <v>53.25604781129622</v>
      </c>
      <c r="D91" s="2">
        <f>IF(COUNTA($B$5:$B91)&lt;=D$1,AVERAGE($B$5:$B91),D$2*($B91-$D90)+$D90)</f>
        <v>53.102882198038259</v>
      </c>
      <c r="E91" s="2">
        <f>IF(COUNTA($B$5:$B91)&lt;=E$1,AVERAGE($B$5:$B91),E$2*($B91-$E90)+$E90)</f>
        <v>52.423896015308351</v>
      </c>
      <c r="F91" s="2">
        <f t="shared" si="3"/>
        <v>0.67898618272990774</v>
      </c>
      <c r="G91" s="2">
        <f>IF(COUNTA($F$5:$F91)&lt;=G$1,AVERAGE($F$5:$F91),G$2*($F91-$G90)+$G90)</f>
        <v>0.66214430083613496</v>
      </c>
      <c r="H91" s="2">
        <f t="shared" si="4"/>
        <v>1.6841881893772781E-2</v>
      </c>
    </row>
    <row r="92" spans="1:8">
      <c r="A92" s="1">
        <v>45597</v>
      </c>
      <c r="B92">
        <v>54.32</v>
      </c>
      <c r="C92" s="2">
        <f>IF(COUNTA($B$5:$B92)&lt;=C$1,AVERAGE($B$5:$B92),C$2*($B92-$C91)+$C91)</f>
        <v>53.468838249036978</v>
      </c>
      <c r="D92" s="2">
        <f>IF(COUNTA($B$5:$B92)&lt;=D$1,AVERAGE($B$5:$B92),D$2*($B92-$D91)+$D91)</f>
        <v>53.290131090647755</v>
      </c>
      <c r="E92" s="2">
        <f>IF(COUNTA($B$5:$B92)&lt;=E$1,AVERAGE($B$5:$B92),E$2*($B92-$E91)+$E91)</f>
        <v>52.564348162322545</v>
      </c>
      <c r="F92" s="2">
        <f t="shared" si="3"/>
        <v>0.7257829283252093</v>
      </c>
      <c r="G92" s="2">
        <f>IF(COUNTA($F$5:$F92)&lt;=G$1,AVERAGE($F$5:$F92),G$2*($F92-$G91)+$G91)</f>
        <v>0.67487202633394983</v>
      </c>
      <c r="H92" s="2">
        <f t="shared" si="4"/>
        <v>5.0910901991259472E-2</v>
      </c>
    </row>
    <row r="93" spans="1:8">
      <c r="A93" s="1">
        <v>45600</v>
      </c>
      <c r="B93">
        <v>55.45</v>
      </c>
      <c r="C93" s="2">
        <f>IF(COUNTA($B$5:$B93)&lt;=C$1,AVERAGE($B$5:$B93),C$2*($B93-$C92)+$C92)</f>
        <v>53.865070599229583</v>
      </c>
      <c r="D93" s="2">
        <f>IF(COUNTA($B$5:$B93)&lt;=D$1,AVERAGE($B$5:$B93),D$2*($B93-$D92)+$D92)</f>
        <v>53.622418615163483</v>
      </c>
      <c r="E93" s="2">
        <f>IF(COUNTA($B$5:$B93)&lt;=E$1,AVERAGE($B$5:$B93),E$2*($B93-$E92)+$E92)</f>
        <v>52.778100150298656</v>
      </c>
      <c r="F93" s="2">
        <f t="shared" si="3"/>
        <v>0.84431846486482698</v>
      </c>
      <c r="G93" s="2">
        <f>IF(COUNTA($F$5:$F93)&lt;=G$1,AVERAGE($F$5:$F93),G$2*($F93-$G92)+$G92)</f>
        <v>0.70876131404012521</v>
      </c>
      <c r="H93" s="2">
        <f t="shared" si="4"/>
        <v>0.13555715082470177</v>
      </c>
    </row>
    <row r="94" spans="1:8">
      <c r="A94" s="1">
        <v>45601</v>
      </c>
      <c r="B94">
        <v>55.95</v>
      </c>
      <c r="C94" s="2">
        <f>IF(COUNTA($B$5:$B94)&lt;=C$1,AVERAGE($B$5:$B94),C$2*($B94-$C93)+$C93)</f>
        <v>54.28205647938367</v>
      </c>
      <c r="D94" s="2">
        <f>IF(COUNTA($B$5:$B94)&lt;=D$1,AVERAGE($B$5:$B94),D$2*($B94-$D93)+$D93)</f>
        <v>53.980508058984483</v>
      </c>
      <c r="E94" s="2">
        <f>IF(COUNTA($B$5:$B94)&lt;=E$1,AVERAGE($B$5:$B94),E$2*($B94-$E93)+$E93)</f>
        <v>53.013055694720975</v>
      </c>
      <c r="F94" s="2">
        <f t="shared" si="3"/>
        <v>0.967452364263508</v>
      </c>
      <c r="G94" s="2">
        <f>IF(COUNTA($F$5:$F94)&lt;=G$1,AVERAGE($F$5:$F94),G$2*($F94-$G93)+$G93)</f>
        <v>0.76049952408480181</v>
      </c>
      <c r="H94" s="2">
        <f t="shared" si="4"/>
        <v>0.20695284017870619</v>
      </c>
    </row>
    <row r="95" spans="1:8">
      <c r="A95" s="1">
        <v>45602</v>
      </c>
      <c r="B95">
        <v>55.28</v>
      </c>
      <c r="C95" s="2">
        <f>IF(COUNTA($B$5:$B95)&lt;=C$1,AVERAGE($B$5:$B95),C$2*($B95-$C94)+$C94)</f>
        <v>54.481645183506934</v>
      </c>
      <c r="D95" s="2">
        <f>IF(COUNTA($B$5:$B95)&lt;=D$1,AVERAGE($B$5:$B95),D$2*($B95-$D94)+$D94)</f>
        <v>54.180429896063792</v>
      </c>
      <c r="E95" s="2">
        <f>IF(COUNTA($B$5:$B95)&lt;=E$1,AVERAGE($B$5:$B95),E$2*($B95-$E94)+$E94)</f>
        <v>53.180977495112018</v>
      </c>
      <c r="F95" s="2">
        <f t="shared" si="3"/>
        <v>0.99945240095177468</v>
      </c>
      <c r="G95" s="2">
        <f>IF(COUNTA($F$5:$F95)&lt;=G$1,AVERAGE($F$5:$F95),G$2*($F95-$G94)+$G94)</f>
        <v>0.80829009945819641</v>
      </c>
      <c r="H95" s="2">
        <f t="shared" si="4"/>
        <v>0.19116230149357827</v>
      </c>
    </row>
    <row r="96" spans="1:8">
      <c r="A96" s="1">
        <v>45603</v>
      </c>
      <c r="B96">
        <v>54.71</v>
      </c>
      <c r="C96" s="2">
        <f>IF(COUNTA($B$5:$B96)&lt;=C$1,AVERAGE($B$5:$B96),C$2*($B96-$C95)+$C95)</f>
        <v>54.527316146805546</v>
      </c>
      <c r="D96" s="2">
        <f>IF(COUNTA($B$5:$B96)&lt;=D$1,AVERAGE($B$5:$B96),D$2*($B96-$D95)+$D95)</f>
        <v>54.261902219746283</v>
      </c>
      <c r="E96" s="2">
        <f>IF(COUNTA($B$5:$B96)&lt;=E$1,AVERAGE($B$5:$B96),E$2*($B96-$E95)+$E95)</f>
        <v>53.294238421400017</v>
      </c>
      <c r="F96" s="2">
        <f t="shared" si="3"/>
        <v>0.96766379834626548</v>
      </c>
      <c r="G96" s="2">
        <f>IF(COUNTA($F$5:$F96)&lt;=G$1,AVERAGE($F$5:$F96),G$2*($F96-$G95)+$G95)</f>
        <v>0.8401648392358102</v>
      </c>
      <c r="H96" s="2">
        <f t="shared" si="4"/>
        <v>0.12749895911045528</v>
      </c>
    </row>
    <row r="97" spans="1:8">
      <c r="A97" s="1">
        <v>45604</v>
      </c>
      <c r="B97">
        <v>54.14</v>
      </c>
      <c r="C97" s="2">
        <f>IF(COUNTA($B$5:$B97)&lt;=C$1,AVERAGE($B$5:$B97),C$2*($B97-$C96)+$C96)</f>
        <v>54.449852917444439</v>
      </c>
      <c r="D97" s="2">
        <f>IF(COUNTA($B$5:$B97)&lt;=D$1,AVERAGE($B$5:$B97),D$2*($B97-$D96)+$D96)</f>
        <v>54.243148032093011</v>
      </c>
      <c r="E97" s="2">
        <f>IF(COUNTA($B$5:$B97)&lt;=E$1,AVERAGE($B$5:$B97),E$2*($B97-$E96)+$E96)</f>
        <v>53.35688742722224</v>
      </c>
      <c r="F97" s="2">
        <f t="shared" si="3"/>
        <v>0.88626060487077041</v>
      </c>
      <c r="G97" s="2">
        <f>IF(COUNTA($F$5:$F97)&lt;=G$1,AVERAGE($F$5:$F97),G$2*($F97-$G96)+$G96)</f>
        <v>0.84938399236280226</v>
      </c>
      <c r="H97" s="2">
        <f t="shared" si="4"/>
        <v>3.6876612507968143E-2</v>
      </c>
    </row>
    <row r="98" spans="1:8">
      <c r="A98" s="1">
        <v>45607</v>
      </c>
      <c r="B98">
        <v>59.82</v>
      </c>
      <c r="C98" s="2">
        <f>IF(COUNTA($B$5:$B98)&lt;=C$1,AVERAGE($B$5:$B98),C$2*($B98-$C97)+$C97)</f>
        <v>55.523882333955548</v>
      </c>
      <c r="D98" s="2">
        <f>IF(COUNTA($B$5:$B98)&lt;=D$1,AVERAGE($B$5:$B98),D$2*($B98-$D97)+$D97)</f>
        <v>55.101125257924856</v>
      </c>
      <c r="E98" s="2">
        <f>IF(COUNTA($B$5:$B98)&lt;=E$1,AVERAGE($B$5:$B98),E$2*($B98-$E97)+$E97)</f>
        <v>53.835636506687258</v>
      </c>
      <c r="F98" s="2">
        <f t="shared" si="3"/>
        <v>1.2654887512375979</v>
      </c>
      <c r="G98" s="2">
        <f>IF(COUNTA($F$5:$F98)&lt;=G$1,AVERAGE($F$5:$F98),G$2*($F98-$G97)+$G97)</f>
        <v>0.9326049441377614</v>
      </c>
      <c r="H98" s="2">
        <f t="shared" si="4"/>
        <v>0.33288380709983645</v>
      </c>
    </row>
    <row r="99" spans="1:8">
      <c r="A99" s="1">
        <v>45608</v>
      </c>
      <c r="B99">
        <v>59.02</v>
      </c>
      <c r="C99" s="2">
        <f>IF(COUNTA($B$5:$B99)&lt;=C$1,AVERAGE($B$5:$B99),C$2*($B99-$C98)+$C98)</f>
        <v>56.223105867164442</v>
      </c>
      <c r="D99" s="2">
        <f>IF(COUNTA($B$5:$B99)&lt;=D$1,AVERAGE($B$5:$B99),D$2*($B99-$D98)+$D98)</f>
        <v>55.704029064397957</v>
      </c>
      <c r="E99" s="2">
        <f>IF(COUNTA($B$5:$B99)&lt;=E$1,AVERAGE($B$5:$B99),E$2*($B99-$E98)+$E98)</f>
        <v>54.219663432117834</v>
      </c>
      <c r="F99" s="2">
        <f t="shared" si="3"/>
        <v>1.4843656322801237</v>
      </c>
      <c r="G99" s="2">
        <f>IF(COUNTA($F$5:$F99)&lt;=G$1,AVERAGE($F$5:$F99),G$2*($F99-$G98)+$G98)</f>
        <v>1.0429570817662339</v>
      </c>
      <c r="H99" s="2">
        <f t="shared" si="4"/>
        <v>0.44140855051388983</v>
      </c>
    </row>
    <row r="100" spans="1:8">
      <c r="A100" s="1">
        <v>45609</v>
      </c>
      <c r="B100">
        <v>58.41</v>
      </c>
      <c r="C100" s="2">
        <f>IF(COUNTA($B$5:$B100)&lt;=C$1,AVERAGE($B$5:$B100),C$2*($B100-$C99)+$C99)</f>
        <v>56.660484693731554</v>
      </c>
      <c r="D100" s="2">
        <f>IF(COUNTA($B$5:$B100)&lt;=D$1,AVERAGE($B$5:$B100),D$2*($B100-$D99)+$D99)</f>
        <v>56.120332285259806</v>
      </c>
      <c r="E100" s="2">
        <f>IF(COUNTA($B$5:$B100)&lt;=E$1,AVERAGE($B$5:$B100),E$2*($B100-$E99)+$E99)</f>
        <v>54.530058733442438</v>
      </c>
      <c r="F100" s="2">
        <f t="shared" si="3"/>
        <v>1.5902735518173685</v>
      </c>
      <c r="G100" s="2">
        <f>IF(COUNTA($F$5:$F100)&lt;=G$1,AVERAGE($F$5:$F100),G$2*($F100-$G99)+$G99)</f>
        <v>1.1524203757764608</v>
      </c>
      <c r="H100" s="2">
        <f t="shared" si="4"/>
        <v>0.43785317604090768</v>
      </c>
    </row>
    <row r="101" spans="1:8">
      <c r="A101" s="1">
        <v>45610</v>
      </c>
      <c r="B101">
        <v>58.5</v>
      </c>
      <c r="C101" s="2">
        <f>IF(COUNTA($B$5:$B101)&lt;=C$1,AVERAGE($B$5:$B101),C$2*($B101-$C100)+$C100)</f>
        <v>57.028387754985246</v>
      </c>
      <c r="D101" s="2">
        <f>IF(COUNTA($B$5:$B101)&lt;=D$1,AVERAGE($B$5:$B101),D$2*($B101-$D100)+$D100)</f>
        <v>56.486435010604453</v>
      </c>
      <c r="E101" s="2">
        <f>IF(COUNTA($B$5:$B101)&lt;=E$1,AVERAGE($B$5:$B101),E$2*($B101-$E100)+$E100)</f>
        <v>54.824128456891145</v>
      </c>
      <c r="F101" s="2">
        <f t="shared" si="3"/>
        <v>1.6623065537133073</v>
      </c>
      <c r="G101" s="2">
        <f>IF(COUNTA($F$5:$F101)&lt;=G$1,AVERAGE($F$5:$F101),G$2*($F101-$G100)+$G100)</f>
        <v>1.2543976113638302</v>
      </c>
      <c r="H101" s="2">
        <f t="shared" si="4"/>
        <v>0.40790894234947705</v>
      </c>
    </row>
    <row r="102" spans="1:8">
      <c r="A102" s="1">
        <v>45611</v>
      </c>
      <c r="B102">
        <v>56.22</v>
      </c>
      <c r="C102" s="2">
        <f>IF(COUNTA($B$5:$B102)&lt;=C$1,AVERAGE($B$5:$B102),C$2*($B102-$C101)+$C101)</f>
        <v>56.866710203988198</v>
      </c>
      <c r="D102" s="2">
        <f>IF(COUNTA($B$5:$B102)&lt;=D$1,AVERAGE($B$5:$B102),D$2*($B102-$D101)+$D101)</f>
        <v>56.445445008972996</v>
      </c>
      <c r="E102" s="2">
        <f>IF(COUNTA($B$5:$B102)&lt;=E$1,AVERAGE($B$5:$B102),E$2*($B102-$E101)+$E101)</f>
        <v>54.927526348973281</v>
      </c>
      <c r="F102" s="2">
        <f t="shared" si="3"/>
        <v>1.5179186599997152</v>
      </c>
      <c r="G102" s="2">
        <f>IF(COUNTA($F$5:$F102)&lt;=G$1,AVERAGE($F$5:$F102),G$2*($F102-$G101)+$G101)</f>
        <v>1.3071018210910073</v>
      </c>
      <c r="H102" s="2">
        <f t="shared" si="4"/>
        <v>0.21081683890870795</v>
      </c>
    </row>
    <row r="103" spans="1:8">
      <c r="A103" s="1">
        <v>45614</v>
      </c>
      <c r="B103">
        <v>56.8</v>
      </c>
      <c r="C103" s="2">
        <f>IF(COUNTA($B$5:$B103)&lt;=C$1,AVERAGE($B$5:$B103),C$2*($B103-$C102)+$C102)</f>
        <v>56.853368163190559</v>
      </c>
      <c r="D103" s="2">
        <f>IF(COUNTA($B$5:$B103)&lt;=D$1,AVERAGE($B$5:$B103),D$2*($B103-$D102)+$D102)</f>
        <v>56.499991930669459</v>
      </c>
      <c r="E103" s="2">
        <f>IF(COUNTA($B$5:$B103)&lt;=E$1,AVERAGE($B$5:$B103),E$2*($B103-$E102)+$E102)</f>
        <v>55.066228100901185</v>
      </c>
      <c r="F103" s="2">
        <f t="shared" si="3"/>
        <v>1.4337638297682744</v>
      </c>
      <c r="G103" s="2">
        <f>IF(COUNTA($F$5:$F103)&lt;=G$1,AVERAGE($F$5:$F103),G$2*($F103-$G102)+$G102)</f>
        <v>1.3324342228264607</v>
      </c>
      <c r="H103" s="2">
        <f t="shared" si="4"/>
        <v>0.1013296069418137</v>
      </c>
    </row>
    <row r="104" spans="1:8">
      <c r="A104" s="1">
        <v>45615</v>
      </c>
      <c r="B104">
        <v>58.23</v>
      </c>
      <c r="C104" s="2">
        <f>IF(COUNTA($B$5:$B104)&lt;=C$1,AVERAGE($B$5:$B104),C$2*($B104-$C103)+$C103)</f>
        <v>57.128694530552444</v>
      </c>
      <c r="D104" s="2">
        <f>IF(COUNTA($B$5:$B104)&lt;=D$1,AVERAGE($B$5:$B104),D$2*($B104-$D103)+$D103)</f>
        <v>56.766147018258771</v>
      </c>
      <c r="E104" s="2">
        <f>IF(COUNTA($B$5:$B104)&lt;=E$1,AVERAGE($B$5:$B104),E$2*($B104-$E103)+$E103)</f>
        <v>55.300581574908506</v>
      </c>
      <c r="F104" s="2">
        <f t="shared" si="3"/>
        <v>1.4655654433502647</v>
      </c>
      <c r="G104" s="2">
        <f>IF(COUNTA($F$5:$F104)&lt;=G$1,AVERAGE($F$5:$F104),G$2*($F104-$G103)+$G103)</f>
        <v>1.3590604669312216</v>
      </c>
      <c r="H104" s="2">
        <f t="shared" si="4"/>
        <v>0.10650497641904311</v>
      </c>
    </row>
    <row r="105" spans="1:8">
      <c r="A105" s="1">
        <v>45616</v>
      </c>
      <c r="B105">
        <v>57.88</v>
      </c>
      <c r="C105" s="2">
        <f>IF(COUNTA($B$5:$B105)&lt;=C$1,AVERAGE($B$5:$B105),C$2*($B105-$C104)+$C104)</f>
        <v>57.278955624441956</v>
      </c>
      <c r="D105" s="2">
        <f>IF(COUNTA($B$5:$B105)&lt;=D$1,AVERAGE($B$5:$B105),D$2*($B105-$D104)+$D104)</f>
        <v>56.937509015449727</v>
      </c>
      <c r="E105" s="2">
        <f>IF(COUNTA($B$5:$B105)&lt;=E$1,AVERAGE($B$5:$B105),E$2*($B105-$E104)+$E104)</f>
        <v>55.491649606396763</v>
      </c>
      <c r="F105" s="2">
        <f t="shared" si="3"/>
        <v>1.4458594090529644</v>
      </c>
      <c r="G105" s="2">
        <f>IF(COUNTA($F$5:$F105)&lt;=G$1,AVERAGE($F$5:$F105),G$2*($F105-$G104)+$G104)</f>
        <v>1.3764202553555702</v>
      </c>
      <c r="H105" s="2">
        <f t="shared" si="4"/>
        <v>6.9439153697394174E-2</v>
      </c>
    </row>
    <row r="106" spans="1:8">
      <c r="A106" s="1">
        <v>45617</v>
      </c>
      <c r="B106">
        <v>58.23</v>
      </c>
      <c r="C106" s="2">
        <f>IF(COUNTA($B$5:$B106)&lt;=C$1,AVERAGE($B$5:$B106),C$2*($B106-$C105)+$C105)</f>
        <v>57.469164499553564</v>
      </c>
      <c r="D106" s="2">
        <f>IF(COUNTA($B$5:$B106)&lt;=D$1,AVERAGE($B$5:$B106),D$2*($B106-$D105)+$D105)</f>
        <v>57.136353782303615</v>
      </c>
      <c r="E106" s="2">
        <f>IF(COUNTA($B$5:$B106)&lt;=E$1,AVERAGE($B$5:$B106),E$2*($B106-$E105)+$E105)</f>
        <v>55.694490376293295</v>
      </c>
      <c r="F106" s="2">
        <f t="shared" si="3"/>
        <v>1.4418634060103201</v>
      </c>
      <c r="G106" s="2">
        <f>IF(COUNTA($F$5:$F106)&lt;=G$1,AVERAGE($F$5:$F106),G$2*($F106-$G105)+$G105)</f>
        <v>1.3895088854865203</v>
      </c>
      <c r="H106" s="2">
        <f t="shared" si="4"/>
        <v>5.2354520523799852E-2</v>
      </c>
    </row>
    <row r="107" spans="1:8">
      <c r="A107" s="1">
        <v>45618</v>
      </c>
      <c r="B107">
        <v>58.87</v>
      </c>
      <c r="C107" s="2">
        <f>IF(COUNTA($B$5:$B107)&lt;=C$1,AVERAGE($B$5:$B107),C$2*($B107-$C106)+$C106)</f>
        <v>57.749331599642851</v>
      </c>
      <c r="D107" s="2">
        <f>IF(COUNTA($B$5:$B107)&lt;=D$1,AVERAGE($B$5:$B107),D$2*($B107-$D106)+$D106)</f>
        <v>57.403068585026134</v>
      </c>
      <c r="E107" s="2">
        <f>IF(COUNTA($B$5:$B107)&lt;=E$1,AVERAGE($B$5:$B107),E$2*($B107-$E106)+$E106)</f>
        <v>55.929713311382677</v>
      </c>
      <c r="F107" s="2">
        <f t="shared" si="3"/>
        <v>1.4733552736434561</v>
      </c>
      <c r="G107" s="2">
        <f>IF(COUNTA($F$5:$F107)&lt;=G$1,AVERAGE($F$5:$F107),G$2*($F107-$G106)+$G106)</f>
        <v>1.4062781631179075</v>
      </c>
      <c r="H107" s="2">
        <f t="shared" si="4"/>
        <v>6.7077110525548544E-2</v>
      </c>
    </row>
    <row r="108" spans="1:8">
      <c r="A108" s="1">
        <v>45621</v>
      </c>
      <c r="B108">
        <v>58.78</v>
      </c>
      <c r="C108" s="2">
        <f>IF(COUNTA($B$5:$B108)&lt;=C$1,AVERAGE($B$5:$B108),C$2*($B108-$C107)+$C107)</f>
        <v>57.955465279714282</v>
      </c>
      <c r="D108" s="2">
        <f>IF(COUNTA($B$5:$B108)&lt;=D$1,AVERAGE($B$5:$B108),D$2*($B108-$D107)+$D107)</f>
        <v>57.614904187329806</v>
      </c>
      <c r="E108" s="2">
        <f>IF(COUNTA($B$5:$B108)&lt;=E$1,AVERAGE($B$5:$B108),E$2*($B108-$E107)+$E107)</f>
        <v>56.140845658687667</v>
      </c>
      <c r="F108" s="2">
        <f t="shared" si="3"/>
        <v>1.4740585286421393</v>
      </c>
      <c r="G108" s="2">
        <f>IF(COUNTA($F$5:$F108)&lt;=G$1,AVERAGE($F$5:$F108),G$2*($F108-$G107)+$G107)</f>
        <v>1.4198342362227538</v>
      </c>
      <c r="H108" s="2">
        <f t="shared" si="4"/>
        <v>5.4224292419385423E-2</v>
      </c>
    </row>
    <row r="109" spans="1:8">
      <c r="A109" s="1">
        <v>45622</v>
      </c>
      <c r="B109">
        <v>58.74</v>
      </c>
      <c r="C109" s="2">
        <f>IF(COUNTA($B$5:$B109)&lt;=C$1,AVERAGE($B$5:$B109),C$2*($B109-$C108)+$C108)</f>
        <v>58.112372223771423</v>
      </c>
      <c r="D109" s="2">
        <f>IF(COUNTA($B$5:$B109)&lt;=D$1,AVERAGE($B$5:$B109),D$2*($B109-$D108)+$D108)</f>
        <v>57.787995850817531</v>
      </c>
      <c r="E109" s="2">
        <f>IF(COUNTA($B$5:$B109)&lt;=E$1,AVERAGE($B$5:$B109),E$2*($B109-$E108)+$E108)</f>
        <v>56.333375609895988</v>
      </c>
      <c r="F109" s="2">
        <f t="shared" si="3"/>
        <v>1.4546202409215425</v>
      </c>
      <c r="G109" s="2">
        <f>IF(COUNTA($F$5:$F109)&lt;=G$1,AVERAGE($F$5:$F109),G$2*($F109-$G108)+$G108)</f>
        <v>1.4267914371625117</v>
      </c>
      <c r="H109" s="2">
        <f t="shared" si="4"/>
        <v>2.7828803759030851E-2</v>
      </c>
    </row>
    <row r="110" spans="1:8">
      <c r="A110" s="1">
        <v>45623</v>
      </c>
      <c r="B110">
        <v>59.27</v>
      </c>
      <c r="C110" s="2">
        <f>IF(COUNTA($B$5:$B110)&lt;=C$1,AVERAGE($B$5:$B110),C$2*($B110-$C109)+$C109)</f>
        <v>58.343897779017141</v>
      </c>
      <c r="D110" s="2">
        <f>IF(COUNTA($B$5:$B110)&lt;=D$1,AVERAGE($B$5:$B110),D$2*($B110-$D109)+$D109)</f>
        <v>58.015996489153295</v>
      </c>
      <c r="E110" s="2">
        <f>IF(COUNTA($B$5:$B110)&lt;=E$1,AVERAGE($B$5:$B110),E$2*($B110-$E109)+$E109)</f>
        <v>56.550903342496284</v>
      </c>
      <c r="F110" s="2">
        <f t="shared" si="3"/>
        <v>1.4650931466570114</v>
      </c>
      <c r="G110" s="2">
        <f>IF(COUNTA($F$5:$F110)&lt;=G$1,AVERAGE($F$5:$F110),G$2*($F110-$G109)+$G109)</f>
        <v>1.4344517790614115</v>
      </c>
      <c r="H110" s="2">
        <f t="shared" si="4"/>
        <v>3.0641367595599878E-2</v>
      </c>
    </row>
    <row r="111" spans="1:8">
      <c r="A111" s="1">
        <v>45625</v>
      </c>
      <c r="B111">
        <v>59.22</v>
      </c>
      <c r="C111" s="2">
        <f>IF(COUNTA($B$5:$B111)&lt;=C$1,AVERAGE($B$5:$B111),C$2*($B111-$C110)+$C110)</f>
        <v>58.519118223213709</v>
      </c>
      <c r="D111" s="2">
        <f>IF(COUNTA($B$5:$B111)&lt;=D$1,AVERAGE($B$5:$B111),D$2*($B111-$D110)+$D110)</f>
        <v>58.201227798514324</v>
      </c>
      <c r="E111" s="2">
        <f>IF(COUNTA($B$5:$B111)&lt;=E$1,AVERAGE($B$5:$B111),E$2*($B111-$E110)+$E110)</f>
        <v>56.748614206015077</v>
      </c>
      <c r="F111" s="2">
        <f t="shared" si="3"/>
        <v>1.4526135924992474</v>
      </c>
      <c r="G111" s="2">
        <f>IF(COUNTA($F$5:$F111)&lt;=G$1,AVERAGE($F$5:$F111),G$2*($F111-$G110)+$G110)</f>
        <v>1.4380841417489787</v>
      </c>
      <c r="H111" s="2">
        <f t="shared" si="4"/>
        <v>1.452945075026868E-2</v>
      </c>
    </row>
    <row r="112" spans="1:8">
      <c r="A112" s="1">
        <v>45628</v>
      </c>
      <c r="B112">
        <v>59.94</v>
      </c>
      <c r="C112" s="2">
        <f>IF(COUNTA($B$5:$B112)&lt;=C$1,AVERAGE($B$5:$B112),C$2*($B112-$C111)+$C111)</f>
        <v>58.80329457857097</v>
      </c>
      <c r="D112" s="2">
        <f>IF(COUNTA($B$5:$B112)&lt;=D$1,AVERAGE($B$5:$B112),D$2*($B112-$D111)+$D111)</f>
        <v>58.468731214127502</v>
      </c>
      <c r="E112" s="2">
        <f>IF(COUNTA($B$5:$B112)&lt;=E$1,AVERAGE($B$5:$B112),E$2*($B112-$E111)+$E111)</f>
        <v>56.985013153717667</v>
      </c>
      <c r="F112" s="2">
        <f t="shared" si="3"/>
        <v>1.483718060409835</v>
      </c>
      <c r="G112" s="2">
        <f>IF(COUNTA($F$5:$F112)&lt;=G$1,AVERAGE($F$5:$F112),G$2*($F112-$G111)+$G111)</f>
        <v>1.44721092548115</v>
      </c>
      <c r="H112" s="2">
        <f t="shared" si="4"/>
        <v>3.6507134928684959E-2</v>
      </c>
    </row>
    <row r="113" spans="1:8">
      <c r="A113" s="1">
        <v>45629</v>
      </c>
      <c r="B113">
        <v>58.69</v>
      </c>
      <c r="C113" s="2">
        <f>IF(COUNTA($B$5:$B113)&lt;=C$1,AVERAGE($B$5:$B113),C$2*($B113-$C112)+$C112)</f>
        <v>58.780635662856774</v>
      </c>
      <c r="D113" s="2">
        <f>IF(COUNTA($B$5:$B113)&lt;=D$1,AVERAGE($B$5:$B113),D$2*($B113-$D112)+$D112)</f>
        <v>58.502772565800193</v>
      </c>
      <c r="E113" s="2">
        <f>IF(COUNTA($B$5:$B113)&lt;=E$1,AVERAGE($B$5:$B113),E$2*($B113-$E112)+$E112)</f>
        <v>57.111308475664508</v>
      </c>
      <c r="F113" s="2">
        <f t="shared" si="3"/>
        <v>1.3914640901356847</v>
      </c>
      <c r="G113" s="2">
        <f>IF(COUNTA($F$5:$F113)&lt;=G$1,AVERAGE($F$5:$F113),G$2*($F113-$G112)+$G112)</f>
        <v>1.4360615584120571</v>
      </c>
      <c r="H113" s="2">
        <f t="shared" si="4"/>
        <v>-4.4597468276372343E-2</v>
      </c>
    </row>
    <row r="114" spans="1:8">
      <c r="A114" s="1">
        <v>45630</v>
      </c>
      <c r="B114">
        <v>58.37</v>
      </c>
      <c r="C114" s="2">
        <f>IF(COUNTA($B$5:$B114)&lt;=C$1,AVERAGE($B$5:$B114),C$2*($B114-$C113)+$C113)</f>
        <v>58.698508530285416</v>
      </c>
      <c r="D114" s="2">
        <f>IF(COUNTA($B$5:$B114)&lt;=D$1,AVERAGE($B$5:$B114),D$2*($B114-$D113)+$D113)</f>
        <v>58.482346017215548</v>
      </c>
      <c r="E114" s="2">
        <f>IF(COUNTA($B$5:$B114)&lt;=E$1,AVERAGE($B$5:$B114),E$2*($B114-$E113)+$E113)</f>
        <v>57.204544884874544</v>
      </c>
      <c r="F114" s="2">
        <f t="shared" si="3"/>
        <v>1.2778011323410041</v>
      </c>
      <c r="G114" s="2">
        <f>IF(COUNTA($F$5:$F114)&lt;=G$1,AVERAGE($F$5:$F114),G$2*($F114-$G113)+$G113)</f>
        <v>1.4044094731978465</v>
      </c>
      <c r="H114" s="2">
        <f t="shared" si="4"/>
        <v>-0.12660834085684236</v>
      </c>
    </row>
    <row r="115" spans="1:8">
      <c r="A115" s="1">
        <v>45631</v>
      </c>
      <c r="B115">
        <v>58.84</v>
      </c>
      <c r="C115" s="2">
        <f>IF(COUNTA($B$5:$B115)&lt;=C$1,AVERAGE($B$5:$B115),C$2*($B115-$C114)+$C114)</f>
        <v>58.726806824228333</v>
      </c>
      <c r="D115" s="2">
        <f>IF(COUNTA($B$5:$B115)&lt;=D$1,AVERAGE($B$5:$B115),D$2*($B115-$D114)+$D114)</f>
        <v>58.537369706874692</v>
      </c>
      <c r="E115" s="2">
        <f>IF(COUNTA($B$5:$B115)&lt;=E$1,AVERAGE($B$5:$B115),E$2*($B115-$E114)+$E114)</f>
        <v>57.325689708217169</v>
      </c>
      <c r="F115" s="2">
        <f t="shared" si="3"/>
        <v>1.2116799986575231</v>
      </c>
      <c r="G115" s="2">
        <f>IF(COUNTA($F$5:$F115)&lt;=G$1,AVERAGE($F$5:$F115),G$2*($F115-$G114)+$G114)</f>
        <v>1.3658635782897819</v>
      </c>
      <c r="H115" s="2">
        <f t="shared" si="4"/>
        <v>-0.15418357963225882</v>
      </c>
    </row>
    <row r="116" spans="1:8">
      <c r="A116" s="1">
        <v>45632</v>
      </c>
      <c r="B116">
        <v>59.38</v>
      </c>
      <c r="C116" s="2">
        <f>IF(COUNTA($B$5:$B116)&lt;=C$1,AVERAGE($B$5:$B116),C$2*($B116-$C115)+$C115)</f>
        <v>58.857445459382667</v>
      </c>
      <c r="D116" s="2">
        <f>IF(COUNTA($B$5:$B116)&lt;=D$1,AVERAGE($B$5:$B116),D$2*($B116-$D115)+$D115)</f>
        <v>58.667005136586276</v>
      </c>
      <c r="E116" s="2">
        <f>IF(COUNTA($B$5:$B116)&lt;=E$1,AVERAGE($B$5:$B116),E$2*($B116-$E115)+$E115)</f>
        <v>57.477860840941823</v>
      </c>
      <c r="F116" s="2">
        <f t="shared" si="3"/>
        <v>1.1891442956444536</v>
      </c>
      <c r="G116" s="2">
        <f>IF(COUNTA($F$5:$F116)&lt;=G$1,AVERAGE($F$5:$F116),G$2*($F116-$G115)+$G115)</f>
        <v>1.3305197217607163</v>
      </c>
      <c r="H116" s="2">
        <f t="shared" si="4"/>
        <v>-0.14137542611626275</v>
      </c>
    </row>
    <row r="117" spans="1:8">
      <c r="A117" s="1">
        <v>45635</v>
      </c>
      <c r="B117">
        <v>58.71</v>
      </c>
      <c r="C117" s="2">
        <f>IF(COUNTA($B$5:$B117)&lt;=C$1,AVERAGE($B$5:$B117),C$2*($B117-$C116)+$C116)</f>
        <v>58.827956367506133</v>
      </c>
      <c r="D117" s="2">
        <f>IF(COUNTA($B$5:$B117)&lt;=D$1,AVERAGE($B$5:$B117),D$2*($B117-$D116)+$D116)</f>
        <v>58.673619730957618</v>
      </c>
      <c r="E117" s="2">
        <f>IF(COUNTA($B$5:$B117)&lt;=E$1,AVERAGE($B$5:$B117),E$2*($B117-$E116)+$E116)</f>
        <v>57.569130408279463</v>
      </c>
      <c r="F117" s="2">
        <f t="shared" si="3"/>
        <v>1.1044893226781554</v>
      </c>
      <c r="G117" s="2">
        <f>IF(COUNTA($F$5:$F117)&lt;=G$1,AVERAGE($F$5:$F117),G$2*($F117-$G116)+$G116)</f>
        <v>1.2853136419442042</v>
      </c>
      <c r="H117" s="2">
        <f t="shared" si="4"/>
        <v>-0.18082431926604881</v>
      </c>
    </row>
    <row r="118" spans="1:8">
      <c r="A118" s="1">
        <v>45636</v>
      </c>
      <c r="B118">
        <v>58.12</v>
      </c>
      <c r="C118" s="2">
        <f>IF(COUNTA($B$5:$B118)&lt;=C$1,AVERAGE($B$5:$B118),C$2*($B118-$C117)+$C117)</f>
        <v>58.686365094004906</v>
      </c>
      <c r="D118" s="2">
        <f>IF(COUNTA($B$5:$B118)&lt;=D$1,AVERAGE($B$5:$B118),D$2*($B118-$D117)+$D117)</f>
        <v>58.588447464656447</v>
      </c>
      <c r="E118" s="2">
        <f>IF(COUNTA($B$5:$B118)&lt;=E$1,AVERAGE($B$5:$B118),E$2*($B118-$E117)+$E117)</f>
        <v>57.609935563221725</v>
      </c>
      <c r="F118" s="2">
        <f t="shared" si="3"/>
        <v>0.97851190143472166</v>
      </c>
      <c r="G118" s="2">
        <f>IF(COUNTA($F$5:$F118)&lt;=G$1,AVERAGE($F$5:$F118),G$2*($F118-$G117)+$G117)</f>
        <v>1.2239532938423077</v>
      </c>
      <c r="H118" s="2">
        <f t="shared" si="4"/>
        <v>-0.245441392407586</v>
      </c>
    </row>
    <row r="119" spans="1:8">
      <c r="A119" s="1">
        <v>45637</v>
      </c>
      <c r="B119">
        <v>56.65</v>
      </c>
      <c r="C119" s="2">
        <f>IF(COUNTA($B$5:$B119)&lt;=C$1,AVERAGE($B$5:$B119),C$2*($B119-$C118)+$C118)</f>
        <v>58.279092075203927</v>
      </c>
      <c r="D119" s="2">
        <f>IF(COUNTA($B$5:$B119)&lt;=D$1,AVERAGE($B$5:$B119),D$2*($B119-$D118)+$D118)</f>
        <v>58.290224777786221</v>
      </c>
      <c r="E119" s="2">
        <f>IF(COUNTA($B$5:$B119)&lt;=E$1,AVERAGE($B$5:$B119),E$2*($B119-$E118)+$E118)</f>
        <v>57.538829225205298</v>
      </c>
      <c r="F119" s="2">
        <f t="shared" si="3"/>
        <v>0.75139555258092372</v>
      </c>
      <c r="G119" s="2">
        <f>IF(COUNTA($F$5:$F119)&lt;=G$1,AVERAGE($F$5:$F119),G$2*($F119-$G118)+$G118)</f>
        <v>1.129441745590031</v>
      </c>
      <c r="H119" s="2">
        <f t="shared" si="4"/>
        <v>-0.37804619300910725</v>
      </c>
    </row>
    <row r="120" spans="1:8">
      <c r="A120" s="1">
        <v>45638</v>
      </c>
      <c r="B120">
        <v>56.28</v>
      </c>
      <c r="C120" s="2">
        <f>IF(COUNTA($B$5:$B120)&lt;=C$1,AVERAGE($B$5:$B120),C$2*($B120-$C119)+$C119)</f>
        <v>57.879273660163143</v>
      </c>
      <c r="D120" s="2">
        <f>IF(COUNTA($B$5:$B120)&lt;=D$1,AVERAGE($B$5:$B120),D$2*($B120-$D119)+$D119)</f>
        <v>57.980959427357575</v>
      </c>
      <c r="E120" s="2">
        <f>IF(COUNTA($B$5:$B120)&lt;=E$1,AVERAGE($B$5:$B120),E$2*($B120-$E119)+$E119)</f>
        <v>57.445582615930832</v>
      </c>
      <c r="F120" s="2">
        <f t="shared" si="3"/>
        <v>0.53537681142674387</v>
      </c>
      <c r="G120" s="2">
        <f>IF(COUNTA($F$5:$F120)&lt;=G$1,AVERAGE($F$5:$F120),G$2*($F120-$G119)+$G119)</f>
        <v>1.0106287587573735</v>
      </c>
      <c r="H120" s="2">
        <f t="shared" si="4"/>
        <v>-0.47525194733062959</v>
      </c>
    </row>
    <row r="121" spans="1:8">
      <c r="A121" s="1">
        <v>45639</v>
      </c>
      <c r="B121">
        <v>55.78</v>
      </c>
      <c r="C121" s="2">
        <f>IF(COUNTA($B$5:$B121)&lt;=C$1,AVERAGE($B$5:$B121),C$2*($B121-$C120)+$C120)</f>
        <v>57.459418928130518</v>
      </c>
      <c r="D121" s="2">
        <f>IF(COUNTA($B$5:$B121)&lt;=D$1,AVERAGE($B$5:$B121),D$2*($B121-$D120)+$D120)</f>
        <v>57.642350284687183</v>
      </c>
      <c r="E121" s="2">
        <f>IF(COUNTA($B$5:$B121)&lt;=E$1,AVERAGE($B$5:$B121),E$2*($B121-$E120)+$E120)</f>
        <v>57.322206125861882</v>
      </c>
      <c r="F121" s="2">
        <f t="shared" si="3"/>
        <v>0.32014415882530045</v>
      </c>
      <c r="G121" s="2">
        <f>IF(COUNTA($F$5:$F121)&lt;=G$1,AVERAGE($F$5:$F121),G$2*($F121-$G120)+$G120)</f>
        <v>0.87253183877095886</v>
      </c>
      <c r="H121" s="2">
        <f t="shared" si="4"/>
        <v>-0.55238767994565841</v>
      </c>
    </row>
    <row r="122" spans="1:8">
      <c r="A122" s="1">
        <v>45642</v>
      </c>
      <c r="B122">
        <v>55.87</v>
      </c>
      <c r="C122" s="2">
        <f>IF(COUNTA($B$5:$B122)&lt;=C$1,AVERAGE($B$5:$B122),C$2*($B122-$C121)+$C121)</f>
        <v>57.141535142504416</v>
      </c>
      <c r="D122" s="2">
        <f>IF(COUNTA($B$5:$B122)&lt;=D$1,AVERAGE($B$5:$B122),D$2*($B122-$D121)+$D121)</f>
        <v>57.369681010119926</v>
      </c>
      <c r="E122" s="2">
        <f>IF(COUNTA($B$5:$B122)&lt;=E$1,AVERAGE($B$5:$B122),E$2*($B122-$E121)+$E121)</f>
        <v>57.214635301723966</v>
      </c>
      <c r="F122" s="2">
        <f t="shared" si="3"/>
        <v>0.15504570839595999</v>
      </c>
      <c r="G122" s="2">
        <f>IF(COUNTA($F$5:$F122)&lt;=G$1,AVERAGE($F$5:$F122),G$2*($F122-$G121)+$G121)</f>
        <v>0.72903461269595904</v>
      </c>
      <c r="H122" s="2">
        <f t="shared" si="4"/>
        <v>-0.57398890429999905</v>
      </c>
    </row>
    <row r="123" spans="1:8">
      <c r="A123" s="1">
        <v>45643</v>
      </c>
      <c r="B123">
        <v>57.65</v>
      </c>
      <c r="C123" s="2">
        <f>IF(COUNTA($B$5:$B123)&lt;=C$1,AVERAGE($B$5:$B123),C$2*($B123-$C122)+$C122)</f>
        <v>57.243228114003536</v>
      </c>
      <c r="D123" s="2">
        <f>IF(COUNTA($B$5:$B123)&lt;=D$1,AVERAGE($B$5:$B123),D$2*($B123-$D122)+$D122)</f>
        <v>57.412807008563014</v>
      </c>
      <c r="E123" s="2">
        <f>IF(COUNTA($B$5:$B123)&lt;=E$1,AVERAGE($B$5:$B123),E$2*($B123-$E122)+$E122)</f>
        <v>57.246884538633303</v>
      </c>
      <c r="F123" s="2">
        <f t="shared" si="3"/>
        <v>0.16592246992971127</v>
      </c>
      <c r="G123" s="2">
        <f>IF(COUNTA($F$5:$F123)&lt;=G$1,AVERAGE($F$5:$F123),G$2*($F123-$G122)+$G122)</f>
        <v>0.61641218414270949</v>
      </c>
      <c r="H123" s="2">
        <f t="shared" si="4"/>
        <v>-0.45048971421299822</v>
      </c>
    </row>
    <row r="124" spans="1:8">
      <c r="A124" s="1">
        <v>45644</v>
      </c>
      <c r="B124">
        <v>56.84</v>
      </c>
      <c r="C124" s="2">
        <f>IF(COUNTA($B$5:$B124)&lt;=C$1,AVERAGE($B$5:$B124),C$2*($B124-$C123)+$C123)</f>
        <v>57.162582491202826</v>
      </c>
      <c r="D124" s="2">
        <f>IF(COUNTA($B$5:$B124)&lt;=D$1,AVERAGE($B$5:$B124),D$2*($B124-$D123)+$D123)</f>
        <v>57.324682853399473</v>
      </c>
      <c r="E124" s="2">
        <f>IF(COUNTA($B$5:$B124)&lt;=E$1,AVERAGE($B$5:$B124),E$2*($B124-$E123)+$E123)</f>
        <v>57.216744943178988</v>
      </c>
      <c r="F124" s="2">
        <f t="shared" si="3"/>
        <v>0.10793791022048538</v>
      </c>
      <c r="G124" s="2">
        <f>IF(COUNTA($F$5:$F124)&lt;=G$1,AVERAGE($F$5:$F124),G$2*($F124-$G123)+$G123)</f>
        <v>0.51471732935826464</v>
      </c>
      <c r="H124" s="2">
        <f t="shared" si="4"/>
        <v>-0.40677941913777926</v>
      </c>
    </row>
    <row r="125" spans="1:8">
      <c r="A125" s="1">
        <v>45645</v>
      </c>
      <c r="B125">
        <v>56.3</v>
      </c>
      <c r="C125" s="2">
        <f>IF(COUNTA($B$5:$B125)&lt;=C$1,AVERAGE($B$5:$B125),C$2*($B125-$C124)+$C124)</f>
        <v>56.990065992962258</v>
      </c>
      <c r="D125" s="2">
        <f>IF(COUNTA($B$5:$B125)&lt;=D$1,AVERAGE($B$5:$B125),D$2*($B125-$D124)+$D124)</f>
        <v>57.167039337491865</v>
      </c>
      <c r="E125" s="2">
        <f>IF(COUNTA($B$5:$B125)&lt;=E$1,AVERAGE($B$5:$B125),E$2*($B125-$E124)+$E124)</f>
        <v>57.148837910350913</v>
      </c>
      <c r="F125" s="2">
        <f t="shared" si="3"/>
        <v>1.8201427140951409E-2</v>
      </c>
      <c r="G125" s="2">
        <f>IF(COUNTA($F$5:$F125)&lt;=G$1,AVERAGE($F$5:$F125),G$2*($F125-$G124)+$G124)</f>
        <v>0.415414148914802</v>
      </c>
      <c r="H125" s="2">
        <f t="shared" si="4"/>
        <v>-0.39721272177385059</v>
      </c>
    </row>
    <row r="126" spans="1:8">
      <c r="A126" s="1">
        <v>45646</v>
      </c>
      <c r="B126">
        <v>57.33</v>
      </c>
      <c r="C126" s="2">
        <f>IF(COUNTA($B$5:$B126)&lt;=C$1,AVERAGE($B$5:$B126),C$2*($B126-$C125)+$C125)</f>
        <v>57.058052794369807</v>
      </c>
      <c r="D126" s="2">
        <f>IF(COUNTA($B$5:$B126)&lt;=D$1,AVERAGE($B$5:$B126),D$2*($B126-$D125)+$D125)</f>
        <v>57.192110208646959</v>
      </c>
      <c r="E126" s="2">
        <f>IF(COUNTA($B$5:$B126)&lt;=E$1,AVERAGE($B$5:$B126),E$2*($B126-$E125)+$E125)</f>
        <v>57.162257324398993</v>
      </c>
      <c r="F126" s="2">
        <f t="shared" si="3"/>
        <v>2.9852884247965505E-2</v>
      </c>
      <c r="G126" s="2">
        <f>IF(COUNTA($F$5:$F126)&lt;=G$1,AVERAGE($F$5:$F126),G$2*($F126-$G125)+$G125)</f>
        <v>0.33830189598143467</v>
      </c>
      <c r="H126" s="2">
        <f t="shared" si="4"/>
        <v>-0.30844901173346917</v>
      </c>
    </row>
    <row r="127" spans="1:8">
      <c r="A127" s="1">
        <v>45649</v>
      </c>
      <c r="B127">
        <v>57.58</v>
      </c>
      <c r="C127" s="2">
        <f>IF(COUNTA($B$5:$B127)&lt;=C$1,AVERAGE($B$5:$B127),C$2*($B127-$C126)+$C126)</f>
        <v>57.162442235495845</v>
      </c>
      <c r="D127" s="2">
        <f>IF(COUNTA($B$5:$B127)&lt;=D$1,AVERAGE($B$5:$B127),D$2*($B127-$D126)+$D126)</f>
        <v>57.251785561162812</v>
      </c>
      <c r="E127" s="2">
        <f>IF(COUNTA($B$5:$B127)&lt;=E$1,AVERAGE($B$5:$B127),E$2*($B127-$E126)+$E126)</f>
        <v>57.193201226295365</v>
      </c>
      <c r="F127" s="2">
        <f t="shared" si="3"/>
        <v>5.8584334867447296E-2</v>
      </c>
      <c r="G127" s="2">
        <f>IF(COUNTA($F$5:$F127)&lt;=G$1,AVERAGE($F$5:$F127),G$2*($F127-$G126)+$G126)</f>
        <v>0.2823583837586372</v>
      </c>
      <c r="H127" s="2">
        <f t="shared" si="4"/>
        <v>-0.2237740488911899</v>
      </c>
    </row>
    <row r="128" spans="1:8">
      <c r="A128" s="1">
        <v>45650</v>
      </c>
      <c r="B128">
        <v>57.76</v>
      </c>
      <c r="C128" s="2">
        <f>IF(COUNTA($B$5:$B128)&lt;=C$1,AVERAGE($B$5:$B128),C$2*($B128-$C127)+$C127)</f>
        <v>57.281953788396677</v>
      </c>
      <c r="D128" s="2">
        <f>IF(COUNTA($B$5:$B128)&lt;=D$1,AVERAGE($B$5:$B128),D$2*($B128-$D127)+$D127)</f>
        <v>57.329972397906992</v>
      </c>
      <c r="E128" s="2">
        <f>IF(COUNTA($B$5:$B128)&lt;=E$1,AVERAGE($B$5:$B128),E$2*($B128-$E127)+$E127)</f>
        <v>57.235186320643855</v>
      </c>
      <c r="F128" s="2">
        <f t="shared" si="3"/>
        <v>9.4786077263137258E-2</v>
      </c>
      <c r="G128" s="2">
        <f>IF(COUNTA($F$5:$F128)&lt;=G$1,AVERAGE($F$5:$F128),G$2*($F128-$G127)+$G127)</f>
        <v>0.24484392245953721</v>
      </c>
      <c r="H128" s="2">
        <f t="shared" si="4"/>
        <v>-0.15005784519639995</v>
      </c>
    </row>
    <row r="129" spans="1:8">
      <c r="A129" s="1">
        <v>45652</v>
      </c>
      <c r="B129">
        <v>58</v>
      </c>
      <c r="C129" s="2">
        <f>IF(COUNTA($B$5:$B129)&lt;=C$1,AVERAGE($B$5:$B129),C$2*($B129-$C128)+$C128)</f>
        <v>57.425563030717342</v>
      </c>
      <c r="D129" s="2">
        <f>IF(COUNTA($B$5:$B129)&lt;=D$1,AVERAGE($B$5:$B129),D$2*($B129-$D128)+$D128)</f>
        <v>57.433053567459766</v>
      </c>
      <c r="E129" s="2">
        <f>IF(COUNTA($B$5:$B129)&lt;=E$1,AVERAGE($B$5:$B129),E$2*($B129-$E128)+$E128)</f>
        <v>57.291839185781349</v>
      </c>
      <c r="F129" s="2">
        <f t="shared" si="3"/>
        <v>0.1412143816784166</v>
      </c>
      <c r="G129" s="2">
        <f>IF(COUNTA($F$5:$F129)&lt;=G$1,AVERAGE($F$5:$F129),G$2*($F129-$G128)+$G128)</f>
        <v>0.22411801430331307</v>
      </c>
      <c r="H129" s="2">
        <f t="shared" si="4"/>
        <v>-8.2903632624896473E-2</v>
      </c>
    </row>
    <row r="130" spans="1:8">
      <c r="A130" s="1">
        <v>45653</v>
      </c>
      <c r="B130">
        <v>57.68</v>
      </c>
      <c r="C130" s="2">
        <f>IF(COUNTA($B$5:$B130)&lt;=C$1,AVERAGE($B$5:$B130),C$2*($B130-$C129)+$C129)</f>
        <v>57.476450424573876</v>
      </c>
      <c r="D130" s="2">
        <f>IF(COUNTA($B$5:$B130)&lt;=D$1,AVERAGE($B$5:$B130),D$2*($B130-$D129)+$D129)</f>
        <v>57.471045326312108</v>
      </c>
      <c r="E130" s="2">
        <f>IF(COUNTA($B$5:$B130)&lt;=E$1,AVERAGE($B$5:$B130),E$2*($B130-$E129)+$E129)</f>
        <v>57.320591838686433</v>
      </c>
      <c r="F130" s="2">
        <f t="shared" si="3"/>
        <v>0.15045348762567556</v>
      </c>
      <c r="G130" s="2">
        <f>IF(COUNTA($F$5:$F130)&lt;=G$1,AVERAGE($F$5:$F130),G$2*($F130-$G129)+$G129)</f>
        <v>0.20938510896778556</v>
      </c>
      <c r="H130" s="2">
        <f t="shared" si="4"/>
        <v>-5.8931621342109997E-2</v>
      </c>
    </row>
    <row r="131" spans="1:8">
      <c r="A131" s="1">
        <v>45656</v>
      </c>
      <c r="B131">
        <v>56.06</v>
      </c>
      <c r="C131" s="2">
        <f>IF(COUNTA($B$5:$B131)&lt;=C$1,AVERAGE($B$5:$B131),C$2*($B131-$C130)+$C130)</f>
        <v>57.193160339659102</v>
      </c>
      <c r="D131" s="2">
        <f>IF(COUNTA($B$5:$B131)&lt;=D$1,AVERAGE($B$5:$B131),D$2*($B131-$D130)+$D130)</f>
        <v>57.253961429956398</v>
      </c>
      <c r="E131" s="2">
        <f>IF(COUNTA($B$5:$B131)&lt;=E$1,AVERAGE($B$5:$B131),E$2*($B131-$E130)+$E130)</f>
        <v>57.227214665450404</v>
      </c>
      <c r="F131" s="2">
        <f t="shared" si="3"/>
        <v>2.6746764505993781E-2</v>
      </c>
      <c r="G131" s="2">
        <f>IF(COUNTA($F$5:$F131)&lt;=G$1,AVERAGE($F$5:$F131),G$2*($F131-$G130)+$G130)</f>
        <v>0.17285744007542719</v>
      </c>
      <c r="H131" s="2">
        <f t="shared" si="4"/>
        <v>-0.14611067556943341</v>
      </c>
    </row>
    <row r="132" spans="1:8">
      <c r="A132" s="1">
        <v>45657</v>
      </c>
      <c r="B132">
        <v>56.56</v>
      </c>
      <c r="C132" s="2">
        <f>IF(COUNTA($B$5:$B132)&lt;=C$1,AVERAGE($B$5:$B132),C$2*($B132-$C131)+$C131)</f>
        <v>57.066528271727279</v>
      </c>
      <c r="D132" s="2">
        <f>IF(COUNTA($B$5:$B132)&lt;=D$1,AVERAGE($B$5:$B132),D$2*($B132-$D131)+$D131)</f>
        <v>57.147198133040028</v>
      </c>
      <c r="E132" s="2">
        <f>IF(COUNTA($B$5:$B132)&lt;=E$1,AVERAGE($B$5:$B132),E$2*($B132-$E131)+$E131)</f>
        <v>57.177791356898524</v>
      </c>
      <c r="F132" s="2">
        <f t="shared" si="3"/>
        <v>-3.0593223858495833E-2</v>
      </c>
      <c r="G132" s="2">
        <f>IF(COUNTA($F$5:$F132)&lt;=G$1,AVERAGE($F$5:$F132),G$2*($F132-$G131)+$G131)</f>
        <v>0.13216730728864259</v>
      </c>
      <c r="H132" s="2">
        <f t="shared" si="4"/>
        <v>-0.16276053114713843</v>
      </c>
    </row>
    <row r="133" spans="1:8">
      <c r="A133" s="1">
        <v>45659</v>
      </c>
      <c r="B133">
        <v>56.79</v>
      </c>
      <c r="C133" s="2">
        <f>IF(COUNTA($B$5:$B133)&lt;=C$1,AVERAGE($B$5:$B133),C$2*($B133-$C132)+$C132)</f>
        <v>57.011222617381826</v>
      </c>
      <c r="D133" s="2">
        <f>IF(COUNTA($B$5:$B133)&lt;=D$1,AVERAGE($B$5:$B133),D$2*($B133-$D132)+$D132)</f>
        <v>57.092244574110794</v>
      </c>
      <c r="E133" s="2">
        <f>IF(COUNTA($B$5:$B133)&lt;=E$1,AVERAGE($B$5:$B133),E$2*($B133-$E132)+$E132)</f>
        <v>57.149066071202334</v>
      </c>
      <c r="F133" s="2">
        <f t="shared" si="3"/>
        <v>-5.6821497091540607E-2</v>
      </c>
      <c r="G133" s="2">
        <f>IF(COUNTA($F$5:$F133)&lt;=G$1,AVERAGE($F$5:$F133),G$2*($F133-$G132)+$G132)</f>
        <v>9.4369546412605948E-2</v>
      </c>
      <c r="H133" s="2">
        <f t="shared" si="4"/>
        <v>-0.15119104350414656</v>
      </c>
    </row>
    <row r="134" spans="1:8">
      <c r="A134" s="1">
        <v>45660</v>
      </c>
      <c r="B134">
        <v>56.57</v>
      </c>
      <c r="C134" s="2">
        <f>IF(COUNTA($B$5:$B134)&lt;=C$1,AVERAGE($B$5:$B134),C$2*($B134-$C133)+$C133)</f>
        <v>56.922978093905463</v>
      </c>
      <c r="D134" s="2">
        <f>IF(COUNTA($B$5:$B134)&lt;=D$1,AVERAGE($B$5:$B134),D$2*($B134-$D133)+$D133)</f>
        <v>57.011899255016829</v>
      </c>
      <c r="E134" s="2">
        <f>IF(COUNTA($B$5:$B134)&lt;=E$1,AVERAGE($B$5:$B134),E$2*($B134-$E133)+$E133)</f>
        <v>57.106172288150312</v>
      </c>
      <c r="F134" s="2">
        <f t="shared" si="3"/>
        <v>-9.4273033133482897E-2</v>
      </c>
      <c r="G134" s="2">
        <f>IF(COUNTA($F$5:$F134)&lt;=G$1,AVERAGE($F$5:$F134),G$2*($F134-$G133)+$G133)</f>
        <v>5.6641030503388173E-2</v>
      </c>
      <c r="H134" s="2">
        <f t="shared" si="4"/>
        <v>-0.15091406363687107</v>
      </c>
    </row>
    <row r="135" spans="1:8">
      <c r="A135" s="1">
        <v>45663</v>
      </c>
      <c r="B135">
        <v>56.68</v>
      </c>
      <c r="C135" s="2">
        <f>IF(COUNTA($B$5:$B135)&lt;=C$1,AVERAGE($B$5:$B135),C$2*($B135-$C134)+$C134)</f>
        <v>56.874382475124371</v>
      </c>
      <c r="D135" s="2">
        <f>IF(COUNTA($B$5:$B135)&lt;=D$1,AVERAGE($B$5:$B135),D$2*($B135-$D134)+$D134)</f>
        <v>56.960837831168085</v>
      </c>
      <c r="E135" s="2">
        <f>IF(COUNTA($B$5:$B135)&lt;=E$1,AVERAGE($B$5:$B135),E$2*($B135-$E134)+$E134)</f>
        <v>57.07460397050955</v>
      </c>
      <c r="F135" s="2">
        <f t="shared" si="3"/>
        <v>-0.11376613934146462</v>
      </c>
      <c r="G135" s="2">
        <f>IF(COUNTA($F$5:$F135)&lt;=G$1,AVERAGE($F$5:$F135),G$2*($F135-$G134)+$G134)</f>
        <v>2.2559596534417616E-2</v>
      </c>
      <c r="H135" s="2">
        <f t="shared" si="4"/>
        <v>-0.13632573587588223</v>
      </c>
    </row>
    <row r="136" spans="1:8">
      <c r="A136" s="1">
        <v>45664</v>
      </c>
      <c r="B136">
        <v>57.14</v>
      </c>
      <c r="C136" s="2">
        <f>IF(COUNTA($B$5:$B136)&lt;=C$1,AVERAGE($B$5:$B136),C$2*($B136-$C135)+$C135)</f>
        <v>56.927505980099497</v>
      </c>
      <c r="D136" s="2">
        <f>IF(COUNTA($B$5:$B136)&lt;=D$1,AVERAGE($B$5:$B136),D$2*($B136-$D135)+$D135)</f>
        <v>56.988401241757607</v>
      </c>
      <c r="E136" s="2">
        <f>IF(COUNTA($B$5:$B136)&lt;=E$1,AVERAGE($B$5:$B136),E$2*($B136-$E135)+$E135)</f>
        <v>57.079448120842173</v>
      </c>
      <c r="F136" s="2">
        <f t="shared" si="3"/>
        <v>-9.1046879084565546E-2</v>
      </c>
      <c r="G136" s="2">
        <f>IF(COUNTA($F$5:$F136)&lt;=G$1,AVERAGE($F$5:$F136),G$2*($F136-$G135)+$G135)</f>
        <v>-1.6169858937901613E-4</v>
      </c>
      <c r="H136" s="2">
        <f t="shared" si="4"/>
        <v>-9.0885180495186527E-2</v>
      </c>
    </row>
    <row r="137" spans="1:8">
      <c r="A137" s="1">
        <v>45665</v>
      </c>
      <c r="B137">
        <v>56.81</v>
      </c>
      <c r="C137" s="2">
        <f>IF(COUNTA($B$5:$B137)&lt;=C$1,AVERAGE($B$5:$B137),C$2*($B137-$C136)+$C136)</f>
        <v>56.904004784079596</v>
      </c>
      <c r="D137" s="2">
        <f>IF(COUNTA($B$5:$B137)&lt;=D$1,AVERAGE($B$5:$B137),D$2*($B137-$D136)+$D136)</f>
        <v>56.960954896871819</v>
      </c>
      <c r="E137" s="2">
        <f>IF(COUNTA($B$5:$B137)&lt;=E$1,AVERAGE($B$5:$B137),E$2*($B137-$E136)+$E136)</f>
        <v>57.059489000779791</v>
      </c>
      <c r="F137" s="2">
        <f t="shared" si="3"/>
        <v>-9.8534103907972792E-2</v>
      </c>
      <c r="G137" s="2">
        <f>IF(COUNTA($F$5:$F137)&lt;=G$1,AVERAGE($F$5:$F137),G$2*($F137-$G136)+$G136)</f>
        <v>-1.9836179653097773E-2</v>
      </c>
      <c r="H137" s="2">
        <f t="shared" si="4"/>
        <v>-7.8697924254875012E-2</v>
      </c>
    </row>
    <row r="138" spans="1:8">
      <c r="A138" s="1">
        <v>45667</v>
      </c>
      <c r="B138">
        <v>55.83</v>
      </c>
      <c r="C138" s="2">
        <f>IF(COUNTA($B$5:$B138)&lt;=C$1,AVERAGE($B$5:$B138),C$2*($B138-$C137)+$C137)</f>
        <v>56.689203827263675</v>
      </c>
      <c r="D138" s="2">
        <f>IF(COUNTA($B$5:$B138)&lt;=D$1,AVERAGE($B$5:$B138),D$2*($B138-$D137)+$D137)</f>
        <v>56.786961835814616</v>
      </c>
      <c r="E138" s="2">
        <f>IF(COUNTA($B$5:$B138)&lt;=E$1,AVERAGE($B$5:$B138),E$2*($B138-$E137)+$E137)</f>
        <v>56.968415741462771</v>
      </c>
      <c r="F138" s="2">
        <f t="shared" si="3"/>
        <v>-0.181453905648155</v>
      </c>
      <c r="G138" s="2">
        <f>IF(COUNTA($F$5:$F138)&lt;=G$1,AVERAGE($F$5:$F138),G$2*($F138-$G137)+$G137)</f>
        <v>-5.2159724852109221E-2</v>
      </c>
      <c r="H138" s="2">
        <f t="shared" si="4"/>
        <v>-0.12929418079604577</v>
      </c>
    </row>
    <row r="139" spans="1:8">
      <c r="A139" s="1">
        <v>45670</v>
      </c>
      <c r="B139">
        <v>55.36</v>
      </c>
      <c r="C139" s="2">
        <f>IF(COUNTA($B$5:$B139)&lt;=C$1,AVERAGE($B$5:$B139),C$2*($B139-$C138)+$C138)</f>
        <v>56.423363061810939</v>
      </c>
      <c r="D139" s="2">
        <f>IF(COUNTA($B$5:$B139)&lt;=D$1,AVERAGE($B$5:$B139),D$2*($B139-$D138)+$D138)</f>
        <v>56.56742924568929</v>
      </c>
      <c r="E139" s="2">
        <f>IF(COUNTA($B$5:$B139)&lt;=E$1,AVERAGE($B$5:$B139),E$2*($B139-$E138)+$E138)</f>
        <v>56.84927383468775</v>
      </c>
      <c r="F139" s="2">
        <f t="shared" si="3"/>
        <v>-0.28184458899846021</v>
      </c>
      <c r="G139" s="2">
        <f>IF(COUNTA($F$5:$F139)&lt;=G$1,AVERAGE($F$5:$F139),G$2*($F139-$G138)+$G138)</f>
        <v>-9.8096697681379422E-2</v>
      </c>
      <c r="H139" s="2">
        <f t="shared" si="4"/>
        <v>-0.1837478913170808</v>
      </c>
    </row>
    <row r="140" spans="1:8">
      <c r="A140" s="1">
        <v>45671</v>
      </c>
      <c r="B140">
        <v>55.74</v>
      </c>
      <c r="C140" s="2">
        <f>IF(COUNTA($B$5:$B140)&lt;=C$1,AVERAGE($B$5:$B140),C$2*($B140-$C139)+$C139)</f>
        <v>56.286690449448749</v>
      </c>
      <c r="D140" s="2">
        <f>IF(COUNTA($B$5:$B140)&lt;=D$1,AVERAGE($B$5:$B140),D$2*($B140-$D139)+$D139)</f>
        <v>56.440132438660171</v>
      </c>
      <c r="E140" s="2">
        <f>IF(COUNTA($B$5:$B140)&lt;=E$1,AVERAGE($B$5:$B140),E$2*($B140-$E139)+$E139)</f>
        <v>56.76710540248866</v>
      </c>
      <c r="F140" s="2">
        <f t="shared" si="3"/>
        <v>-0.32697296382848862</v>
      </c>
      <c r="G140" s="2">
        <f>IF(COUNTA($F$5:$F140)&lt;=G$1,AVERAGE($F$5:$F140),G$2*($F140-$G139)+$G139)</f>
        <v>-0.14387195091080127</v>
      </c>
      <c r="H140" s="2">
        <f t="shared" si="4"/>
        <v>-0.18310101291768735</v>
      </c>
    </row>
    <row r="141" spans="1:8">
      <c r="A141" s="1">
        <v>45672</v>
      </c>
      <c r="B141">
        <v>55.91</v>
      </c>
      <c r="C141" s="2">
        <f>IF(COUNTA($B$5:$B141)&lt;=C$1,AVERAGE($B$5:$B141),C$2*($B141-$C140)+$C140)</f>
        <v>56.211352359559001</v>
      </c>
      <c r="D141" s="2">
        <f>IF(COUNTA($B$5:$B141)&lt;=D$1,AVERAGE($B$5:$B141),D$2*($B141-$D140)+$D140)</f>
        <v>56.35857360194322</v>
      </c>
      <c r="E141" s="2">
        <f>IF(COUNTA($B$5:$B141)&lt;=E$1,AVERAGE($B$5:$B141),E$2*($B141-$E140)+$E140)</f>
        <v>56.703616113415428</v>
      </c>
      <c r="F141" s="2">
        <f t="shared" si="3"/>
        <v>-0.34504251147220799</v>
      </c>
      <c r="G141" s="2">
        <f>IF(COUNTA($F$5:$F141)&lt;=G$1,AVERAGE($F$5:$F141),G$2*($F141-$G140)+$G140)</f>
        <v>-0.18410606302308261</v>
      </c>
      <c r="H141" s="2">
        <f t="shared" si="4"/>
        <v>-0.16093644844912539</v>
      </c>
    </row>
    <row r="142" spans="1:8">
      <c r="A142" s="1">
        <v>45673</v>
      </c>
      <c r="B142">
        <v>56.38</v>
      </c>
      <c r="C142" s="2">
        <f>IF(COUNTA($B$5:$B142)&lt;=C$1,AVERAGE($B$5:$B142),C$2*($B142-$C141)+$C141)</f>
        <v>56.245081887647203</v>
      </c>
      <c r="D142" s="2">
        <f>IF(COUNTA($B$5:$B142)&lt;=D$1,AVERAGE($B$5:$B142),D$2*($B142-$D141)+$D141)</f>
        <v>56.361869970875034</v>
      </c>
      <c r="E142" s="2">
        <f>IF(COUNTA($B$5:$B142)&lt;=E$1,AVERAGE($B$5:$B142),E$2*($B142-$E141)+$E141)</f>
        <v>56.679644549458729</v>
      </c>
      <c r="F142" s="2">
        <f t="shared" si="3"/>
        <v>-0.31777457858369473</v>
      </c>
      <c r="G142" s="2">
        <f>IF(COUNTA($F$5:$F142)&lt;=G$1,AVERAGE($F$5:$F142),G$2*($F142-$G141)+$G141)</f>
        <v>-0.21083976613520503</v>
      </c>
      <c r="H142" s="2">
        <f t="shared" si="4"/>
        <v>-0.10693481244848971</v>
      </c>
    </row>
    <row r="143" spans="1:8">
      <c r="A143" s="1">
        <v>45674</v>
      </c>
      <c r="B143">
        <v>56.29</v>
      </c>
      <c r="C143" s="2">
        <f>IF(COUNTA($B$5:$B143)&lt;=C$1,AVERAGE($B$5:$B143),C$2*($B143-$C142)+$C142)</f>
        <v>56.254065510117762</v>
      </c>
      <c r="D143" s="2">
        <f>IF(COUNTA($B$5:$B143)&lt;=D$1,AVERAGE($B$5:$B143),D$2*($B143-$D142)+$D142)</f>
        <v>56.350813052278873</v>
      </c>
      <c r="E143" s="2">
        <f>IF(COUNTA($B$5:$B143)&lt;=E$1,AVERAGE($B$5:$B143),E$2*($B143-$E142)+$E142)</f>
        <v>56.650781990239565</v>
      </c>
      <c r="F143" s="2">
        <f t="shared" si="3"/>
        <v>-0.29996893796069202</v>
      </c>
      <c r="G143" s="2">
        <f>IF(COUNTA($F$5:$F143)&lt;=G$1,AVERAGE($F$5:$F143),G$2*($F143-$G142)+$G142)</f>
        <v>-0.22866560050030244</v>
      </c>
      <c r="H143" s="2">
        <f t="shared" si="4"/>
        <v>-7.1303337460389582E-2</v>
      </c>
    </row>
    <row r="144" spans="1:8">
      <c r="A144" s="1">
        <v>45678</v>
      </c>
      <c r="B144">
        <v>57.04</v>
      </c>
      <c r="C144" s="2">
        <f>IF(COUNTA($B$5:$B144)&lt;=C$1,AVERAGE($B$5:$B144),C$2*($B144-$C143)+$C143)</f>
        <v>56.411252408094207</v>
      </c>
      <c r="D144" s="2">
        <f>IF(COUNTA($B$5:$B144)&lt;=D$1,AVERAGE($B$5:$B144),D$2*($B144-$D143)+$D143)</f>
        <v>56.456841813466738</v>
      </c>
      <c r="E144" s="2">
        <f>IF(COUNTA($B$5:$B144)&lt;=E$1,AVERAGE($B$5:$B144),E$2*($B144-$E143)+$E143)</f>
        <v>56.67961295392552</v>
      </c>
      <c r="F144" s="2">
        <f t="shared" si="3"/>
        <v>-0.22277114045878221</v>
      </c>
      <c r="G144" s="2">
        <f>IF(COUNTA($F$5:$F144)&lt;=G$1,AVERAGE($F$5:$F144),G$2*($F144-$G143)+$G143)</f>
        <v>-0.2274867084919984</v>
      </c>
      <c r="H144" s="2">
        <f t="shared" si="4"/>
        <v>4.7155680332161831E-3</v>
      </c>
    </row>
    <row r="145" spans="1:8">
      <c r="A145" s="1">
        <v>45679</v>
      </c>
      <c r="B145">
        <v>57.09</v>
      </c>
      <c r="C145" s="2">
        <f>IF(COUNTA($B$5:$B145)&lt;=C$1,AVERAGE($B$5:$B145),C$2*($B145-$C144)+$C144)</f>
        <v>56.547001926475367</v>
      </c>
      <c r="D145" s="2">
        <f>IF(COUNTA($B$5:$B145)&lt;=D$1,AVERAGE($B$5:$B145),D$2*($B145-$D144)+$D144)</f>
        <v>56.554250765241086</v>
      </c>
      <c r="E145" s="2">
        <f>IF(COUNTA($B$5:$B145)&lt;=E$1,AVERAGE($B$5:$B145),E$2*($B145-$E144)+$E144)</f>
        <v>56.710011994375485</v>
      </c>
      <c r="F145" s="2">
        <f t="shared" si="3"/>
        <v>-0.1557612291343986</v>
      </c>
      <c r="G145" s="2">
        <f>IF(COUNTA($F$5:$F145)&lt;=G$1,AVERAGE($F$5:$F145),G$2*($F145-$G144)+$G144)</f>
        <v>-0.21314161262047843</v>
      </c>
      <c r="H145" s="2">
        <f t="shared" si="4"/>
        <v>5.7380383486079822E-2</v>
      </c>
    </row>
    <row r="146" spans="1:8">
      <c r="A146" s="1">
        <v>45680</v>
      </c>
      <c r="B146">
        <v>59.14</v>
      </c>
      <c r="C146" s="2">
        <f>IF(COUNTA($B$5:$B146)&lt;=C$1,AVERAGE($B$5:$B146),C$2*($B146-$C145)+$C145)</f>
        <v>57.065601541180293</v>
      </c>
      <c r="D146" s="2">
        <f>IF(COUNTA($B$5:$B146)&lt;=D$1,AVERAGE($B$5:$B146),D$2*($B146-$D145)+$D145)</f>
        <v>56.952058339819381</v>
      </c>
      <c r="E146" s="2">
        <f>IF(COUNTA($B$5:$B146)&lt;=E$1,AVERAGE($B$5:$B146),E$2*($B146-$E145)+$E145)</f>
        <v>56.890011105903227</v>
      </c>
      <c r="F146" s="2">
        <f t="shared" ref="F146:F192" si="5">D146-E146</f>
        <v>6.2047233916153743E-2</v>
      </c>
      <c r="G146" s="2">
        <f>IF(COUNTA($F$5:$F146)&lt;=G$1,AVERAGE($F$5:$F146),G$2*($F146-$G145)+$G145)</f>
        <v>-0.158103843313152</v>
      </c>
      <c r="H146" s="2">
        <f t="shared" ref="H146:H192" si="6">F146-G146</f>
        <v>0.22015107722930574</v>
      </c>
    </row>
    <row r="147" spans="1:8">
      <c r="A147" s="1">
        <v>45681</v>
      </c>
      <c r="B147">
        <v>59.67</v>
      </c>
      <c r="C147" s="2">
        <f>IF(COUNTA($B$5:$B147)&lt;=C$1,AVERAGE($B$5:$B147),C$2*($B147-$C146)+$C146)</f>
        <v>57.586481232944237</v>
      </c>
      <c r="D147" s="2">
        <f>IF(COUNTA($B$5:$B147)&lt;=D$1,AVERAGE($B$5:$B147),D$2*($B147-$D146)+$D146)</f>
        <v>57.370203210616403</v>
      </c>
      <c r="E147" s="2">
        <f>IF(COUNTA($B$5:$B147)&lt;=E$1,AVERAGE($B$5:$B147),E$2*($B147-$E146)+$E146)</f>
        <v>57.095936209169658</v>
      </c>
      <c r="F147" s="2">
        <f t="shared" si="5"/>
        <v>0.27426700144674498</v>
      </c>
      <c r="G147" s="2">
        <f>IF(COUNTA($F$5:$F147)&lt;=G$1,AVERAGE($F$5:$F147),G$2*($F147-$G146)+$G146)</f>
        <v>-7.1629674361172596E-2</v>
      </c>
      <c r="H147" s="2">
        <f t="shared" si="6"/>
        <v>0.34589667580791761</v>
      </c>
    </row>
    <row r="148" spans="1:8">
      <c r="A148" s="1">
        <v>45684</v>
      </c>
      <c r="B148">
        <v>60.6</v>
      </c>
      <c r="C148" s="2">
        <f>IF(COUNTA($B$5:$B148)&lt;=C$1,AVERAGE($B$5:$B148),C$2*($B148-$C147)+$C147)</f>
        <v>58.189184986355393</v>
      </c>
      <c r="D148" s="2">
        <f>IF(COUNTA($B$5:$B148)&lt;=D$1,AVERAGE($B$5:$B148),D$2*($B148-$D147)+$D147)</f>
        <v>57.867095024367728</v>
      </c>
      <c r="E148" s="2">
        <f>IF(COUNTA($B$5:$B148)&lt;=E$1,AVERAGE($B$5:$B148),E$2*($B148-$E147)+$E147)</f>
        <v>57.355496489971905</v>
      </c>
      <c r="F148" s="2">
        <f t="shared" si="5"/>
        <v>0.51159853439582292</v>
      </c>
      <c r="G148" s="2">
        <f>IF(COUNTA($F$5:$F148)&lt;=G$1,AVERAGE($F$5:$F148),G$2*($F148-$G147)+$G147)</f>
        <v>4.5015967390226522E-2</v>
      </c>
      <c r="H148" s="2">
        <f t="shared" si="6"/>
        <v>0.46658256700559642</v>
      </c>
    </row>
    <row r="149" spans="1:8">
      <c r="A149" s="1">
        <v>45685</v>
      </c>
      <c r="B149">
        <v>58.76</v>
      </c>
      <c r="C149" s="2">
        <f>IF(COUNTA($B$5:$B149)&lt;=C$1,AVERAGE($B$5:$B149),C$2*($B149-$C148)+$C148)</f>
        <v>58.303347989084315</v>
      </c>
      <c r="D149" s="2">
        <f>IF(COUNTA($B$5:$B149)&lt;=D$1,AVERAGE($B$5:$B149),D$2*($B149-$D148)+$D148)</f>
        <v>58.004465020618845</v>
      </c>
      <c r="E149" s="2">
        <f>IF(COUNTA($B$5:$B149)&lt;=E$1,AVERAGE($B$5:$B149),E$2*($B149-$E148)+$E148)</f>
        <v>57.459533787011026</v>
      </c>
      <c r="F149" s="2">
        <f t="shared" si="5"/>
        <v>0.54493123360781937</v>
      </c>
      <c r="G149" s="2">
        <f>IF(COUNTA($F$5:$F149)&lt;=G$1,AVERAGE($F$5:$F149),G$2*($F149-$G148)+$G148)</f>
        <v>0.14499902063374509</v>
      </c>
      <c r="H149" s="2">
        <f t="shared" si="6"/>
        <v>0.39993221297407427</v>
      </c>
    </row>
    <row r="150" spans="1:8">
      <c r="A150" s="1">
        <v>45686</v>
      </c>
      <c r="B150">
        <v>59.05</v>
      </c>
      <c r="C150" s="2">
        <f>IF(COUNTA($B$5:$B150)&lt;=C$1,AVERAGE($B$5:$B150),C$2*($B150-$C149)+$C149)</f>
        <v>58.452678391267455</v>
      </c>
      <c r="D150" s="2">
        <f>IF(COUNTA($B$5:$B150)&lt;=D$1,AVERAGE($B$5:$B150),D$2*($B150-$D149)+$D149)</f>
        <v>58.165316555908255</v>
      </c>
      <c r="E150" s="2">
        <f>IF(COUNTA($B$5:$B150)&lt;=E$1,AVERAGE($B$5:$B150),E$2*($B150-$E149)+$E149)</f>
        <v>57.577346099084281</v>
      </c>
      <c r="F150" s="2">
        <f t="shared" si="5"/>
        <v>0.58797045682397453</v>
      </c>
      <c r="G150" s="2">
        <f>IF(COUNTA($F$5:$F150)&lt;=G$1,AVERAGE($F$5:$F150),G$2*($F150-$G149)+$G149)</f>
        <v>0.233593307871791</v>
      </c>
      <c r="H150" s="2">
        <f t="shared" si="6"/>
        <v>0.35437714895218353</v>
      </c>
    </row>
    <row r="151" spans="1:8">
      <c r="A151" s="1">
        <v>45687</v>
      </c>
      <c r="B151">
        <v>59.14</v>
      </c>
      <c r="C151" s="2">
        <f>IF(COUNTA($B$5:$B151)&lt;=C$1,AVERAGE($B$5:$B151),C$2*($B151-$C150)+$C150)</f>
        <v>58.590142713013961</v>
      </c>
      <c r="D151" s="2">
        <f>IF(COUNTA($B$5:$B151)&lt;=D$1,AVERAGE($B$5:$B151),D$2*($B151-$D150)+$D150)</f>
        <v>58.315267854999291</v>
      </c>
      <c r="E151" s="2">
        <f>IF(COUNTA($B$5:$B151)&lt;=E$1,AVERAGE($B$5:$B151),E$2*($B151-$E150)+$E150)</f>
        <v>57.693098239892855</v>
      </c>
      <c r="F151" s="2">
        <f t="shared" si="5"/>
        <v>0.62216961510643642</v>
      </c>
      <c r="G151" s="2">
        <f>IF(COUNTA($F$5:$F151)&lt;=G$1,AVERAGE($F$5:$F151),G$2*($F151-$G150)+$G150)</f>
        <v>0.31130856931872009</v>
      </c>
      <c r="H151" s="2">
        <f t="shared" si="6"/>
        <v>0.31086104578771634</v>
      </c>
    </row>
    <row r="152" spans="1:8">
      <c r="A152" s="1">
        <v>45688</v>
      </c>
      <c r="B152">
        <v>58.95</v>
      </c>
      <c r="C152" s="2">
        <f>IF(COUNTA($B$5:$B152)&lt;=C$1,AVERAGE($B$5:$B152),C$2*($B152-$C151)+$C151)</f>
        <v>58.662114170411172</v>
      </c>
      <c r="D152" s="2">
        <f>IF(COUNTA($B$5:$B152)&lt;=D$1,AVERAGE($B$5:$B152),D$2*($B152-$D151)+$D151)</f>
        <v>58.412918954230172</v>
      </c>
      <c r="E152" s="2">
        <f>IF(COUNTA($B$5:$B152)&lt;=E$1,AVERAGE($B$5:$B152),E$2*($B152-$E151)+$E151)</f>
        <v>57.786202073974863</v>
      </c>
      <c r="F152" s="2">
        <f t="shared" si="5"/>
        <v>0.62671688025530869</v>
      </c>
      <c r="G152" s="2">
        <f>IF(COUNTA($F$5:$F152)&lt;=G$1,AVERAGE($F$5:$F152),G$2*($F152-$G151)+$G151)</f>
        <v>0.37439023150603779</v>
      </c>
      <c r="H152" s="2">
        <f t="shared" si="6"/>
        <v>0.25232664874927091</v>
      </c>
    </row>
    <row r="153" spans="1:8">
      <c r="A153" s="1">
        <v>45691</v>
      </c>
      <c r="B153">
        <v>59.95</v>
      </c>
      <c r="C153" s="2">
        <f>IF(COUNTA($B$5:$B153)&lt;=C$1,AVERAGE($B$5:$B153),C$2*($B153-$C152)+$C152)</f>
        <v>58.919691336328938</v>
      </c>
      <c r="D153" s="2">
        <f>IF(COUNTA($B$5:$B153)&lt;=D$1,AVERAGE($B$5:$B153),D$2*($B153-$D152)+$D152)</f>
        <v>58.649392961271687</v>
      </c>
      <c r="E153" s="2">
        <f>IF(COUNTA($B$5:$B153)&lt;=E$1,AVERAGE($B$5:$B153),E$2*($B153-$E152)+$E152)</f>
        <v>57.94648340182858</v>
      </c>
      <c r="F153" s="2">
        <f t="shared" si="5"/>
        <v>0.70290955944310696</v>
      </c>
      <c r="G153" s="2">
        <f>IF(COUNTA($F$5:$F153)&lt;=G$1,AVERAGE($F$5:$F153),G$2*($F153-$G152)+$G152)</f>
        <v>0.4400940970934516</v>
      </c>
      <c r="H153" s="2">
        <f t="shared" si="6"/>
        <v>0.26281546234965536</v>
      </c>
    </row>
    <row r="154" spans="1:8">
      <c r="A154" s="1">
        <v>45692</v>
      </c>
      <c r="B154">
        <v>59.12</v>
      </c>
      <c r="C154" s="2">
        <f>IF(COUNTA($B$5:$B154)&lt;=C$1,AVERAGE($B$5:$B154),C$2*($B154-$C153)+$C153)</f>
        <v>58.959753069063147</v>
      </c>
      <c r="D154" s="2">
        <f>IF(COUNTA($B$5:$B154)&lt;=D$1,AVERAGE($B$5:$B154),D$2*($B154-$D153)+$D153)</f>
        <v>58.721794044152965</v>
      </c>
      <c r="E154" s="2">
        <f>IF(COUNTA($B$5:$B154)&lt;=E$1,AVERAGE($B$5:$B154),E$2*($B154-$E153)+$E153)</f>
        <v>58.033410557248686</v>
      </c>
      <c r="F154" s="2">
        <f t="shared" si="5"/>
        <v>0.68838348690427864</v>
      </c>
      <c r="G154" s="2">
        <f>IF(COUNTA($F$5:$F154)&lt;=G$1,AVERAGE($F$5:$F154),G$2*($F154-$G153)+$G153)</f>
        <v>0.48975197505561702</v>
      </c>
      <c r="H154" s="2">
        <f t="shared" si="6"/>
        <v>0.19863151184866162</v>
      </c>
    </row>
    <row r="155" spans="1:8">
      <c r="A155" s="1">
        <v>45693</v>
      </c>
      <c r="B155">
        <v>59.71</v>
      </c>
      <c r="C155" s="2">
        <f>IF(COUNTA($B$5:$B155)&lt;=C$1,AVERAGE($B$5:$B155),C$2*($B155-$C154)+$C154)</f>
        <v>59.109802455250517</v>
      </c>
      <c r="D155" s="2">
        <f>IF(COUNTA($B$5:$B155)&lt;=D$1,AVERAGE($B$5:$B155),D$2*($B155-$D154)+$D154)</f>
        <v>58.873825729667892</v>
      </c>
      <c r="E155" s="2">
        <f>IF(COUNTA($B$5:$B155)&lt;=E$1,AVERAGE($B$5:$B155),E$2*($B155-$E154)+$E154)</f>
        <v>58.157602367822861</v>
      </c>
      <c r="F155" s="2">
        <f t="shared" si="5"/>
        <v>0.71622336184503155</v>
      </c>
      <c r="G155" s="2">
        <f>IF(COUNTA($F$5:$F155)&lt;=G$1,AVERAGE($F$5:$F155),G$2*($F155-$G154)+$G154)</f>
        <v>0.5350462524134999</v>
      </c>
      <c r="H155" s="2">
        <f t="shared" si="6"/>
        <v>0.18117710943153165</v>
      </c>
    </row>
    <row r="156" spans="1:8">
      <c r="A156" s="1">
        <v>45694</v>
      </c>
      <c r="B156">
        <v>57.42</v>
      </c>
      <c r="C156" s="2">
        <f>IF(COUNTA($B$5:$B156)&lt;=C$1,AVERAGE($B$5:$B156),C$2*($B156-$C155)+$C155)</f>
        <v>58.771841964200412</v>
      </c>
      <c r="D156" s="2">
        <f>IF(COUNTA($B$5:$B156)&lt;=D$1,AVERAGE($B$5:$B156),D$2*($B156-$D155)+$D155)</f>
        <v>58.650160232795912</v>
      </c>
      <c r="E156" s="2">
        <f>IF(COUNTA($B$5:$B156)&lt;=E$1,AVERAGE($B$5:$B156),E$2*($B156-$E155)+$E155)</f>
        <v>58.102965155391537</v>
      </c>
      <c r="F156" s="2">
        <f t="shared" si="5"/>
        <v>0.54719507740437479</v>
      </c>
      <c r="G156" s="2">
        <f>IF(COUNTA($F$5:$F156)&lt;=G$1,AVERAGE($F$5:$F156),G$2*($F156-$G155)+$G155)</f>
        <v>0.53747601741167483</v>
      </c>
      <c r="H156" s="2">
        <f t="shared" si="6"/>
        <v>9.7190599926999521E-3</v>
      </c>
    </row>
    <row r="157" spans="1:8">
      <c r="A157" s="1">
        <v>45695</v>
      </c>
      <c r="B157">
        <v>56.85</v>
      </c>
      <c r="C157" s="2">
        <f>IF(COUNTA($B$5:$B157)&lt;=C$1,AVERAGE($B$5:$B157),C$2*($B157-$C156)+$C156)</f>
        <v>58.387473571360331</v>
      </c>
      <c r="D157" s="2">
        <f>IF(COUNTA($B$5:$B157)&lt;=D$1,AVERAGE($B$5:$B157),D$2*($B157-$D156)+$D156)</f>
        <v>58.373212504673461</v>
      </c>
      <c r="E157" s="2">
        <f>IF(COUNTA($B$5:$B157)&lt;=E$1,AVERAGE($B$5:$B157),E$2*($B157-$E156)+$E156)</f>
        <v>58.010152921658829</v>
      </c>
      <c r="F157" s="2">
        <f t="shared" si="5"/>
        <v>0.36305958301463193</v>
      </c>
      <c r="G157" s="2">
        <f>IF(COUNTA($F$5:$F157)&lt;=G$1,AVERAGE($F$5:$F157),G$2*($F157-$G156)+$G156)</f>
        <v>0.50259273053226627</v>
      </c>
      <c r="H157" s="2">
        <f t="shared" si="6"/>
        <v>-0.13953314751763435</v>
      </c>
    </row>
    <row r="158" spans="1:8">
      <c r="A158" s="1">
        <v>45698</v>
      </c>
      <c r="B158">
        <v>55.53</v>
      </c>
      <c r="C158" s="2">
        <f>IF(COUNTA($B$5:$B158)&lt;=C$1,AVERAGE($B$5:$B158),C$2*($B158-$C157)+$C157)</f>
        <v>57.815978857088268</v>
      </c>
      <c r="D158" s="2">
        <f>IF(COUNTA($B$5:$B158)&lt;=D$1,AVERAGE($B$5:$B158),D$2*($B158-$D157)+$D157)</f>
        <v>57.935795196262163</v>
      </c>
      <c r="E158" s="2">
        <f>IF(COUNTA($B$5:$B158)&lt;=E$1,AVERAGE($B$5:$B158),E$2*($B158-$E157)+$E157)</f>
        <v>57.826437890424842</v>
      </c>
      <c r="F158" s="2">
        <f t="shared" si="5"/>
        <v>0.10935730583732095</v>
      </c>
      <c r="G158" s="2">
        <f>IF(COUNTA($F$5:$F158)&lt;=G$1,AVERAGE($F$5:$F158),G$2*($F158-$G157)+$G157)</f>
        <v>0.42394564559327719</v>
      </c>
      <c r="H158" s="2">
        <f t="shared" si="6"/>
        <v>-0.31458833975595624</v>
      </c>
    </row>
    <row r="159" spans="1:8">
      <c r="A159" s="1">
        <v>45699</v>
      </c>
      <c r="B159">
        <v>55.94</v>
      </c>
      <c r="C159" s="2">
        <f>IF(COUNTA($B$5:$B159)&lt;=C$1,AVERAGE($B$5:$B159),C$2*($B159-$C158)+$C158)</f>
        <v>57.440783085670617</v>
      </c>
      <c r="D159" s="2">
        <f>IF(COUNTA($B$5:$B159)&lt;=D$1,AVERAGE($B$5:$B159),D$2*($B159-$D158)+$D158)</f>
        <v>57.628749781452598</v>
      </c>
      <c r="E159" s="2">
        <f>IF(COUNTA($B$5:$B159)&lt;=E$1,AVERAGE($B$5:$B159),E$2*($B159-$E158)+$E158)</f>
        <v>57.686701750393375</v>
      </c>
      <c r="F159" s="2">
        <f t="shared" si="5"/>
        <v>-5.7951968940777476E-2</v>
      </c>
      <c r="G159" s="2">
        <f>IF(COUNTA($F$5:$F159)&lt;=G$1,AVERAGE($F$5:$F159),G$2*($F159-$G158)+$G158)</f>
        <v>0.32756612268646623</v>
      </c>
      <c r="H159" s="2">
        <f t="shared" si="6"/>
        <v>-0.38551809162724371</v>
      </c>
    </row>
    <row r="160" spans="1:8">
      <c r="A160" s="1">
        <v>45700</v>
      </c>
      <c r="B160">
        <v>56.15</v>
      </c>
      <c r="C160" s="2">
        <f>IF(COUNTA($B$5:$B160)&lt;=C$1,AVERAGE($B$5:$B160),C$2*($B160-$C159)+$C159)</f>
        <v>57.18262646853649</v>
      </c>
      <c r="D160" s="2">
        <f>IF(COUNTA($B$5:$B160)&lt;=D$1,AVERAGE($B$5:$B160),D$2*($B160-$D159)+$D159)</f>
        <v>57.401249815075275</v>
      </c>
      <c r="E160" s="2">
        <f>IF(COUNTA($B$5:$B160)&lt;=E$1,AVERAGE($B$5:$B160),E$2*($B160-$E159)+$E159)</f>
        <v>57.572871991104975</v>
      </c>
      <c r="F160" s="2">
        <f t="shared" si="5"/>
        <v>-0.17162217602970031</v>
      </c>
      <c r="G160" s="2">
        <f>IF(COUNTA($F$5:$F160)&lt;=G$1,AVERAGE($F$5:$F160),G$2*($F160-$G159)+$G159)</f>
        <v>0.2277284629432329</v>
      </c>
      <c r="H160" s="2">
        <f t="shared" si="6"/>
        <v>-0.39935063897293321</v>
      </c>
    </row>
    <row r="161" spans="1:8">
      <c r="A161" s="1">
        <v>45701</v>
      </c>
      <c r="B161">
        <v>55.97</v>
      </c>
      <c r="C161" s="2">
        <f>IF(COUNTA($B$5:$B161)&lt;=C$1,AVERAGE($B$5:$B161),C$2*($B161-$C160)+$C160)</f>
        <v>56.940101174829195</v>
      </c>
      <c r="D161" s="2">
        <f>IF(COUNTA($B$5:$B161)&lt;=D$1,AVERAGE($B$5:$B161),D$2*($B161-$D160)+$D160)</f>
        <v>57.181057535832927</v>
      </c>
      <c r="E161" s="2">
        <f>IF(COUNTA($B$5:$B161)&lt;=E$1,AVERAGE($B$5:$B161),E$2*($B161-$E160)+$E160)</f>
        <v>57.454140732504605</v>
      </c>
      <c r="F161" s="2">
        <f t="shared" si="5"/>
        <v>-0.2730831966716778</v>
      </c>
      <c r="G161" s="2">
        <f>IF(COUNTA($F$5:$F161)&lt;=G$1,AVERAGE($F$5:$F161),G$2*($F161-$G160)+$G160)</f>
        <v>0.12756613102025077</v>
      </c>
      <c r="H161" s="2">
        <f t="shared" si="6"/>
        <v>-0.40064932769192857</v>
      </c>
    </row>
    <row r="162" spans="1:8">
      <c r="A162" s="1">
        <v>45702</v>
      </c>
      <c r="B162">
        <v>53.9</v>
      </c>
      <c r="C162" s="2">
        <f>IF(COUNTA($B$5:$B162)&lt;=C$1,AVERAGE($B$5:$B162),C$2*($B162-$C161)+$C161)</f>
        <v>56.332080939863353</v>
      </c>
      <c r="D162" s="2">
        <f>IF(COUNTA($B$5:$B162)&lt;=D$1,AVERAGE($B$5:$B162),D$2*($B162-$D161)+$D161)</f>
        <v>56.676279453397093</v>
      </c>
      <c r="E162" s="2">
        <f>IF(COUNTA($B$5:$B162)&lt;=E$1,AVERAGE($B$5:$B162),E$2*($B162-$E161)+$E161)</f>
        <v>57.190871048615378</v>
      </c>
      <c r="F162" s="2">
        <f t="shared" si="5"/>
        <v>-0.51459159521828468</v>
      </c>
      <c r="G162" s="2">
        <f>IF(COUNTA($F$5:$F162)&lt;=G$1,AVERAGE($F$5:$F162),G$2*($F162-$G161)+$G161)</f>
        <v>-8.6541422745631258E-4</v>
      </c>
      <c r="H162" s="2">
        <f t="shared" si="6"/>
        <v>-0.51372618099082834</v>
      </c>
    </row>
    <row r="163" spans="1:8">
      <c r="A163" s="1">
        <v>45706</v>
      </c>
      <c r="B163">
        <v>54.43</v>
      </c>
      <c r="C163" s="2">
        <f>IF(COUNTA($B$5:$B163)&lt;=C$1,AVERAGE($B$5:$B163),C$2*($B163-$C162)+$C162)</f>
        <v>55.951664751890682</v>
      </c>
      <c r="D163" s="2">
        <f>IF(COUNTA($B$5:$B163)&lt;=D$1,AVERAGE($B$5:$B163),D$2*($B163-$D162)+$D162)</f>
        <v>56.33069799902831</v>
      </c>
      <c r="E163" s="2">
        <f>IF(COUNTA($B$5:$B163)&lt;=E$1,AVERAGE($B$5:$B163),E$2*($B163-$E162)+$E162)</f>
        <v>56.986362082051279</v>
      </c>
      <c r="F163" s="2">
        <f t="shared" si="5"/>
        <v>-0.65566408302296963</v>
      </c>
      <c r="G163" s="2">
        <f>IF(COUNTA($F$5:$F163)&lt;=G$1,AVERAGE($F$5:$F163),G$2*($F163-$G162)+$G162)</f>
        <v>-0.13182514798655898</v>
      </c>
      <c r="H163" s="2">
        <f t="shared" si="6"/>
        <v>-0.52383893503641066</v>
      </c>
    </row>
    <row r="164" spans="1:8">
      <c r="A164" s="1">
        <v>45707</v>
      </c>
      <c r="B164">
        <v>54.98</v>
      </c>
      <c r="C164" s="2">
        <f>IF(COUNTA($B$5:$B164)&lt;=C$1,AVERAGE($B$5:$B164),C$2*($B164-$C163)+$C163)</f>
        <v>55.757331801512542</v>
      </c>
      <c r="D164" s="2">
        <f>IF(COUNTA($B$5:$B164)&lt;=D$1,AVERAGE($B$5:$B164),D$2*($B164-$D163)+$D163)</f>
        <v>56.122898306870106</v>
      </c>
      <c r="E164" s="2">
        <f>IF(COUNTA($B$5:$B164)&lt;=E$1,AVERAGE($B$5:$B164),E$2*($B164-$E163)+$E163)</f>
        <v>56.837742668566001</v>
      </c>
      <c r="F164" s="2">
        <f t="shared" si="5"/>
        <v>-0.71484436169589571</v>
      </c>
      <c r="G164" s="2">
        <f>IF(COUNTA($F$5:$F164)&lt;=G$1,AVERAGE($F$5:$F164),G$2*($F164-$G163)+$G163)</f>
        <v>-0.24842899072842634</v>
      </c>
      <c r="H164" s="2">
        <f t="shared" si="6"/>
        <v>-0.46641537096746938</v>
      </c>
    </row>
    <row r="165" spans="1:8">
      <c r="A165" s="1">
        <v>45708</v>
      </c>
      <c r="B165">
        <v>55.79</v>
      </c>
      <c r="C165" s="2">
        <f>IF(COUNTA($B$5:$B165)&lt;=C$1,AVERAGE($B$5:$B165),C$2*($B165-$C164)+$C164)</f>
        <v>55.763865441210037</v>
      </c>
      <c r="D165" s="2">
        <f>IF(COUNTA($B$5:$B165)&lt;=D$1,AVERAGE($B$5:$B165),D$2*($B165-$D164)+$D164)</f>
        <v>56.071683182736244</v>
      </c>
      <c r="E165" s="2">
        <f>IF(COUNTA($B$5:$B165)&lt;=E$1,AVERAGE($B$5:$B165),E$2*($B165-$E164)+$E164)</f>
        <v>56.760132100524075</v>
      </c>
      <c r="F165" s="2">
        <f t="shared" si="5"/>
        <v>-0.68844891778783079</v>
      </c>
      <c r="G165" s="2">
        <f>IF(COUNTA($F$5:$F165)&lt;=G$1,AVERAGE($F$5:$F165),G$2*($F165-$G164)+$G164)</f>
        <v>-0.3364329761403072</v>
      </c>
      <c r="H165" s="2">
        <f t="shared" si="6"/>
        <v>-0.35201594164752359</v>
      </c>
    </row>
    <row r="166" spans="1:8">
      <c r="A166" s="1">
        <v>45709</v>
      </c>
      <c r="B166">
        <v>55.83</v>
      </c>
      <c r="C166" s="2">
        <f>IF(COUNTA($B$5:$B166)&lt;=C$1,AVERAGE($B$5:$B166),C$2*($B166-$C165)+$C165)</f>
        <v>55.777092352968026</v>
      </c>
      <c r="D166" s="2">
        <f>IF(COUNTA($B$5:$B166)&lt;=D$1,AVERAGE($B$5:$B166),D$2*($B166-$D165)+$D165)</f>
        <v>56.034501154622973</v>
      </c>
      <c r="E166" s="2">
        <f>IF(COUNTA($B$5:$B166)&lt;=E$1,AVERAGE($B$5:$B166),E$2*($B166-$E165)+$E165)</f>
        <v>56.691233426411181</v>
      </c>
      <c r="F166" s="2">
        <f t="shared" si="5"/>
        <v>-0.65673227178820781</v>
      </c>
      <c r="G166" s="2">
        <f>IF(COUNTA($F$5:$F166)&lt;=G$1,AVERAGE($F$5:$F166),G$2*($F166-$G165)+$G165)</f>
        <v>-0.40049283526988733</v>
      </c>
      <c r="H166" s="2">
        <f t="shared" si="6"/>
        <v>-0.25623943651832048</v>
      </c>
    </row>
    <row r="167" spans="1:8">
      <c r="A167" s="1">
        <v>45712</v>
      </c>
      <c r="B167">
        <v>57.88</v>
      </c>
      <c r="C167" s="2">
        <f>IF(COUNTA($B$5:$B167)&lt;=C$1,AVERAGE($B$5:$B167),C$2*($B167-$C166)+$C166)</f>
        <v>56.197673882374424</v>
      </c>
      <c r="D167" s="2">
        <f>IF(COUNTA($B$5:$B167)&lt;=D$1,AVERAGE($B$5:$B167),D$2*($B167-$D166)+$D166)</f>
        <v>56.318424053911748</v>
      </c>
      <c r="E167" s="2">
        <f>IF(COUNTA($B$5:$B167)&lt;=E$1,AVERAGE($B$5:$B167),E$2*($B167-$E166)+$E166)</f>
        <v>56.779290209639981</v>
      </c>
      <c r="F167" s="2">
        <f t="shared" si="5"/>
        <v>-0.4608661557282332</v>
      </c>
      <c r="G167" s="2">
        <f>IF(COUNTA($F$5:$F167)&lt;=G$1,AVERAGE($F$5:$F167),G$2*($F167-$G166)+$G166)</f>
        <v>-0.41256749936155651</v>
      </c>
      <c r="H167" s="2">
        <f t="shared" si="6"/>
        <v>-4.8298656366676684E-2</v>
      </c>
    </row>
    <row r="168" spans="1:8">
      <c r="A168" s="1">
        <v>45713</v>
      </c>
      <c r="B168">
        <v>58.21</v>
      </c>
      <c r="C168" s="2">
        <f>IF(COUNTA($B$5:$B168)&lt;=C$1,AVERAGE($B$5:$B168),C$2*($B168-$C167)+$C167)</f>
        <v>56.600139105899537</v>
      </c>
      <c r="D168" s="2">
        <f>IF(COUNTA($B$5:$B168)&lt;=D$1,AVERAGE($B$5:$B168),D$2*($B168-$D167)+$D167)</f>
        <v>56.609435737925324</v>
      </c>
      <c r="E168" s="2">
        <f>IF(COUNTA($B$5:$B168)&lt;=E$1,AVERAGE($B$5:$B168),E$2*($B168-$E167)+$E167)</f>
        <v>56.88526871262961</v>
      </c>
      <c r="F168" s="2">
        <f t="shared" si="5"/>
        <v>-0.27583297470428647</v>
      </c>
      <c r="G168" s="2">
        <f>IF(COUNTA($F$5:$F168)&lt;=G$1,AVERAGE($F$5:$F168),G$2*($F168-$G167)+$G167)</f>
        <v>-0.38522059443010248</v>
      </c>
      <c r="H168" s="2">
        <f t="shared" si="6"/>
        <v>0.10938761972581601</v>
      </c>
    </row>
    <row r="169" spans="1:8">
      <c r="A169" s="1">
        <v>45714</v>
      </c>
      <c r="B169">
        <v>57.38</v>
      </c>
      <c r="C169" s="2">
        <f>IF(COUNTA($B$5:$B169)&lt;=C$1,AVERAGE($B$5:$B169),C$2*($B169-$C168)+$C168)</f>
        <v>56.75611128471963</v>
      </c>
      <c r="D169" s="2">
        <f>IF(COUNTA($B$5:$B169)&lt;=D$1,AVERAGE($B$5:$B169),D$2*($B169-$D168)+$D168)</f>
        <v>56.727984085936811</v>
      </c>
      <c r="E169" s="2">
        <f>IF(COUNTA($B$5:$B169)&lt;=E$1,AVERAGE($B$5:$B169),E$2*($B169-$E168)+$E168)</f>
        <v>56.921915474657048</v>
      </c>
      <c r="F169" s="2">
        <f t="shared" si="5"/>
        <v>-0.19393138872023741</v>
      </c>
      <c r="G169" s="2">
        <f>IF(COUNTA($F$5:$F169)&lt;=G$1,AVERAGE($F$5:$F169),G$2*($F169-$G168)+$G168)</f>
        <v>-0.34696275328812948</v>
      </c>
      <c r="H169" s="2">
        <f t="shared" si="6"/>
        <v>0.15303136456789207</v>
      </c>
    </row>
    <row r="170" spans="1:8">
      <c r="A170" s="1">
        <v>45715</v>
      </c>
      <c r="B170">
        <v>58.8</v>
      </c>
      <c r="C170" s="2">
        <f>IF(COUNTA($B$5:$B170)&lt;=C$1,AVERAGE($B$5:$B170),C$2*($B170-$C169)+$C169)</f>
        <v>57.1648890277757</v>
      </c>
      <c r="D170" s="2">
        <f>IF(COUNTA($B$5:$B170)&lt;=D$1,AVERAGE($B$5:$B170),D$2*($B170-$D169)+$D169)</f>
        <v>57.046755765023455</v>
      </c>
      <c r="E170" s="2">
        <f>IF(COUNTA($B$5:$B170)&lt;=E$1,AVERAGE($B$5:$B170),E$2*($B170-$E169)+$E169)</f>
        <v>57.061032846904673</v>
      </c>
      <c r="F170" s="2">
        <f t="shared" si="5"/>
        <v>-1.4277081881218123E-2</v>
      </c>
      <c r="G170" s="2">
        <f>IF(COUNTA($F$5:$F170)&lt;=G$1,AVERAGE($F$5:$F170),G$2*($F170-$G169)+$G169)</f>
        <v>-0.28042561900674723</v>
      </c>
      <c r="H170" s="2">
        <f t="shared" si="6"/>
        <v>0.26614853712552911</v>
      </c>
    </row>
    <row r="171" spans="1:8">
      <c r="A171" s="1">
        <v>45716</v>
      </c>
      <c r="B171">
        <v>59.62</v>
      </c>
      <c r="C171" s="2">
        <f>IF(COUNTA($B$5:$B171)&lt;=C$1,AVERAGE($B$5:$B171),C$2*($B171-$C170)+$C170)</f>
        <v>57.65591122222056</v>
      </c>
      <c r="D171" s="2">
        <f>IF(COUNTA($B$5:$B171)&lt;=D$1,AVERAGE($B$5:$B171),D$2*($B171-$D170)+$D170)</f>
        <v>57.442639493481387</v>
      </c>
      <c r="E171" s="2">
        <f>IF(COUNTA($B$5:$B171)&lt;=E$1,AVERAGE($B$5:$B171),E$2*($B171-$E170)+$E170)</f>
        <v>57.25058596935618</v>
      </c>
      <c r="F171" s="2">
        <f t="shared" si="5"/>
        <v>0.19205352412520682</v>
      </c>
      <c r="G171" s="2">
        <f>IF(COUNTA($F$5:$F171)&lt;=G$1,AVERAGE($F$5:$F171),G$2*($F171-$G170)+$G170)</f>
        <v>-0.1859297903803564</v>
      </c>
      <c r="H171" s="2">
        <f t="shared" si="6"/>
        <v>0.37798331450556322</v>
      </c>
    </row>
    <row r="172" spans="1:8">
      <c r="A172" s="1">
        <v>45719</v>
      </c>
      <c r="B172">
        <v>59.87</v>
      </c>
      <c r="C172" s="2">
        <f>IF(COUNTA($B$5:$B172)&lt;=C$1,AVERAGE($B$5:$B172),C$2*($B172-$C171)+$C171)</f>
        <v>58.098728977776446</v>
      </c>
      <c r="D172" s="2">
        <f>IF(COUNTA($B$5:$B172)&lt;=D$1,AVERAGE($B$5:$B172),D$2*($B172-$D171)+$D171)</f>
        <v>57.816079571407329</v>
      </c>
      <c r="E172" s="2">
        <f>IF(COUNTA($B$5:$B172)&lt;=E$1,AVERAGE($B$5:$B172),E$2*($B172-$E171)+$E171)</f>
        <v>57.444616638292757</v>
      </c>
      <c r="F172" s="2">
        <f t="shared" si="5"/>
        <v>0.37146293311457157</v>
      </c>
      <c r="G172" s="2">
        <f>IF(COUNTA($F$5:$F172)&lt;=G$1,AVERAGE($F$5:$F172),G$2*($F172-$G171)+$G171)</f>
        <v>-7.4451245681370792E-2</v>
      </c>
      <c r="H172" s="2">
        <f t="shared" si="6"/>
        <v>0.44591417879594236</v>
      </c>
    </row>
    <row r="173" spans="1:8">
      <c r="A173" s="1">
        <v>45720</v>
      </c>
      <c r="B173">
        <v>59.44</v>
      </c>
      <c r="C173" s="2">
        <f>IF(COUNTA($B$5:$B173)&lt;=C$1,AVERAGE($B$5:$B173),C$2*($B173-$C172)+$C172)</f>
        <v>58.366983182221155</v>
      </c>
      <c r="D173" s="2">
        <f>IF(COUNTA($B$5:$B173)&lt;=D$1,AVERAGE($B$5:$B173),D$2*($B173-$D172)+$D172)</f>
        <v>58.065913483498505</v>
      </c>
      <c r="E173" s="2">
        <f>IF(COUNTA($B$5:$B173)&lt;=E$1,AVERAGE($B$5:$B173),E$2*($B173-$E172)+$E172)</f>
        <v>57.592422813234037</v>
      </c>
      <c r="F173" s="2">
        <f t="shared" si="5"/>
        <v>0.47349067026446789</v>
      </c>
      <c r="G173" s="2">
        <f>IF(COUNTA($F$5:$F173)&lt;=G$1,AVERAGE($F$5:$F173),G$2*($F173-$G172)+$G172)</f>
        <v>3.5137137507796956E-2</v>
      </c>
      <c r="H173" s="2">
        <f t="shared" si="6"/>
        <v>0.43835353275667094</v>
      </c>
    </row>
    <row r="174" spans="1:8">
      <c r="A174" s="1">
        <v>45721</v>
      </c>
      <c r="B174">
        <v>59.82</v>
      </c>
      <c r="C174" s="2">
        <f>IF(COUNTA($B$5:$B174)&lt;=C$1,AVERAGE($B$5:$B174),C$2*($B174-$C173)+$C173)</f>
        <v>58.657586545776923</v>
      </c>
      <c r="D174" s="2">
        <f>IF(COUNTA($B$5:$B174)&lt;=D$1,AVERAGE($B$5:$B174),D$2*($B174-$D173)+$D173)</f>
        <v>58.335772947575656</v>
      </c>
      <c r="E174" s="2">
        <f>IF(COUNTA($B$5:$B174)&lt;=E$1,AVERAGE($B$5:$B174),E$2*($B174-$E173)+$E173)</f>
        <v>57.757428530772259</v>
      </c>
      <c r="F174" s="2">
        <f t="shared" si="5"/>
        <v>0.57834441680339665</v>
      </c>
      <c r="G174" s="2">
        <f>IF(COUNTA($F$5:$F174)&lt;=G$1,AVERAGE($F$5:$F174),G$2*($F174-$G173)+$G173)</f>
        <v>0.1437785933669169</v>
      </c>
      <c r="H174" s="2">
        <f t="shared" si="6"/>
        <v>0.43456582343647976</v>
      </c>
    </row>
    <row r="175" spans="1:8">
      <c r="A175" s="1">
        <v>45722</v>
      </c>
      <c r="B175">
        <v>60.18</v>
      </c>
      <c r="C175" s="2">
        <f>IF(COUNTA($B$5:$B175)&lt;=C$1,AVERAGE($B$5:$B175),C$2*($B175-$C174)+$C174)</f>
        <v>58.962069236621538</v>
      </c>
      <c r="D175" s="2">
        <f>IF(COUNTA($B$5:$B175)&lt;=D$1,AVERAGE($B$5:$B175),D$2*($B175-$D174)+$D174)</f>
        <v>58.619500186410171</v>
      </c>
      <c r="E175" s="2">
        <f>IF(COUNTA($B$5:$B175)&lt;=E$1,AVERAGE($B$5:$B175),E$2*($B175-$E174)+$E174)</f>
        <v>57.936878269233574</v>
      </c>
      <c r="F175" s="2">
        <f t="shared" si="5"/>
        <v>0.68262191717659704</v>
      </c>
      <c r="G175" s="2">
        <f>IF(COUNTA($F$5:$F175)&lt;=G$1,AVERAGE($F$5:$F175),G$2*($F175-$G174)+$G174)</f>
        <v>0.25154725812885292</v>
      </c>
      <c r="H175" s="2">
        <f t="shared" si="6"/>
        <v>0.43107465904774411</v>
      </c>
    </row>
    <row r="176" spans="1:8">
      <c r="A176" s="1">
        <v>45723</v>
      </c>
      <c r="B176">
        <v>61.09</v>
      </c>
      <c r="C176" s="2">
        <f>IF(COUNTA($B$5:$B176)&lt;=C$1,AVERAGE($B$5:$B176),C$2*($B176-$C175)+$C175)</f>
        <v>59.38765538929723</v>
      </c>
      <c r="D176" s="2">
        <f>IF(COUNTA($B$5:$B176)&lt;=D$1,AVERAGE($B$5:$B176),D$2*($B176-$D175)+$D175)</f>
        <v>58.999577080808606</v>
      </c>
      <c r="E176" s="2">
        <f>IF(COUNTA($B$5:$B176)&lt;=E$1,AVERAGE($B$5:$B176),E$2*($B176-$E175)+$E175)</f>
        <v>58.170442841882938</v>
      </c>
      <c r="F176" s="2">
        <f t="shared" si="5"/>
        <v>0.8291342389256684</v>
      </c>
      <c r="G176" s="2">
        <f>IF(COUNTA($F$5:$F176)&lt;=G$1,AVERAGE($F$5:$F176),G$2*($F176-$G175)+$G175)</f>
        <v>0.367064654288216</v>
      </c>
      <c r="H176" s="2">
        <f t="shared" si="6"/>
        <v>0.4620695846374524</v>
      </c>
    </row>
    <row r="177" spans="1:8">
      <c r="A177" s="1">
        <v>45726</v>
      </c>
      <c r="B177">
        <v>63.11</v>
      </c>
      <c r="C177" s="2">
        <f>IF(COUNTA($B$5:$B177)&lt;=C$1,AVERAGE($B$5:$B177),C$2*($B177-$C176)+$C176)</f>
        <v>60.132124311437785</v>
      </c>
      <c r="D177" s="2">
        <f>IF(COUNTA($B$5:$B177)&lt;=D$1,AVERAGE($B$5:$B177),D$2*($B177-$D176)+$D176)</f>
        <v>59.63194983760728</v>
      </c>
      <c r="E177" s="2">
        <f>IF(COUNTA($B$5:$B177)&lt;=E$1,AVERAGE($B$5:$B177),E$2*($B177-$E176)+$E176)</f>
        <v>58.536335964706424</v>
      </c>
      <c r="F177" s="2">
        <f t="shared" si="5"/>
        <v>1.0956138729008558</v>
      </c>
      <c r="G177" s="2">
        <f>IF(COUNTA($F$5:$F177)&lt;=G$1,AVERAGE($F$5:$F177),G$2*($F177-$G176)+$G176)</f>
        <v>0.51277449801074393</v>
      </c>
      <c r="H177" s="2">
        <f t="shared" si="6"/>
        <v>0.58283937489011184</v>
      </c>
    </row>
    <row r="178" spans="1:8">
      <c r="A178" s="1">
        <v>45727</v>
      </c>
      <c r="B178">
        <v>61.51</v>
      </c>
      <c r="C178" s="2">
        <f>IF(COUNTA($B$5:$B178)&lt;=C$1,AVERAGE($B$5:$B178),C$2*($B178-$C177)+$C177)</f>
        <v>60.407699449150229</v>
      </c>
      <c r="D178" s="2">
        <f>IF(COUNTA($B$5:$B178)&lt;=D$1,AVERAGE($B$5:$B178),D$2*($B178-$D177)+$D177)</f>
        <v>59.920880631821547</v>
      </c>
      <c r="E178" s="2">
        <f>IF(COUNTA($B$5:$B178)&lt;=E$1,AVERAGE($B$5:$B178),E$2*($B178-$E177)+$E177)</f>
        <v>58.756607374728169</v>
      </c>
      <c r="F178" s="2">
        <f t="shared" si="5"/>
        <v>1.1642732570933774</v>
      </c>
      <c r="G178" s="2">
        <f>IF(COUNTA($F$5:$F178)&lt;=G$1,AVERAGE($F$5:$F178),G$2*($F178-$G177)+$G177)</f>
        <v>0.64307424982727057</v>
      </c>
      <c r="H178" s="2">
        <f t="shared" si="6"/>
        <v>0.5211990072661068</v>
      </c>
    </row>
    <row r="179" spans="1:8">
      <c r="A179" s="1">
        <v>45728</v>
      </c>
      <c r="B179">
        <v>59.81</v>
      </c>
      <c r="C179" s="2">
        <f>IF(COUNTA($B$5:$B179)&lt;=C$1,AVERAGE($B$5:$B179),C$2*($B179-$C178)+$C178)</f>
        <v>60.288159559320185</v>
      </c>
      <c r="D179" s="2">
        <f>IF(COUNTA($B$5:$B179)&lt;=D$1,AVERAGE($B$5:$B179),D$2*($B179-$D178)+$D178)</f>
        <v>59.903822073079773</v>
      </c>
      <c r="E179" s="2">
        <f>IF(COUNTA($B$5:$B179)&lt;=E$1,AVERAGE($B$5:$B179),E$2*($B179-$E178)+$E178)</f>
        <v>58.83463645808164</v>
      </c>
      <c r="F179" s="2">
        <f t="shared" si="5"/>
        <v>1.0691856149981334</v>
      </c>
      <c r="G179" s="2">
        <f>IF(COUNTA($F$5:$F179)&lt;=G$1,AVERAGE($F$5:$F179),G$2*($F179-$G178)+$G178)</f>
        <v>0.72829652286144309</v>
      </c>
      <c r="H179" s="2">
        <f t="shared" si="6"/>
        <v>0.34088909213669027</v>
      </c>
    </row>
    <row r="180" spans="1:8">
      <c r="A180" s="1">
        <v>45729</v>
      </c>
      <c r="B180">
        <v>60.28</v>
      </c>
      <c r="C180" s="2">
        <f>IF(COUNTA($B$5:$B180)&lt;=C$1,AVERAGE($B$5:$B180),C$2*($B180-$C179)+$C179)</f>
        <v>60.286527647456147</v>
      </c>
      <c r="D180" s="2">
        <f>IF(COUNTA($B$5:$B180)&lt;=D$1,AVERAGE($B$5:$B180),D$2*($B180-$D179)+$D179)</f>
        <v>59.96169560029827</v>
      </c>
      <c r="E180" s="2">
        <f>IF(COUNTA($B$5:$B180)&lt;=E$1,AVERAGE($B$5:$B180),E$2*($B180-$E179)+$E179)</f>
        <v>58.941700424149666</v>
      </c>
      <c r="F180" s="2">
        <f t="shared" si="5"/>
        <v>1.0199951761486048</v>
      </c>
      <c r="G180" s="2">
        <f>IF(COUNTA($F$5:$F180)&lt;=G$1,AVERAGE($F$5:$F180),G$2*($F180-$G179)+$G179)</f>
        <v>0.78663625351887545</v>
      </c>
      <c r="H180" s="2">
        <f t="shared" si="6"/>
        <v>0.23335892262972935</v>
      </c>
    </row>
    <row r="181" spans="1:8">
      <c r="A181" s="1">
        <v>45730</v>
      </c>
      <c r="B181">
        <v>59.01</v>
      </c>
      <c r="C181" s="2">
        <f>IF(COUNTA($B$5:$B181)&lt;=C$1,AVERAGE($B$5:$B181),C$2*($B181-$C180)+$C180)</f>
        <v>60.031222117964916</v>
      </c>
      <c r="D181" s="2">
        <f>IF(COUNTA($B$5:$B181)&lt;=D$1,AVERAGE($B$5:$B181),D$2*($B181-$D180)+$D180)</f>
        <v>59.815280892560075</v>
      </c>
      <c r="E181" s="2">
        <f>IF(COUNTA($B$5:$B181)&lt;=E$1,AVERAGE($B$5:$B181),E$2*($B181-$E180)+$E180)</f>
        <v>58.946759651990433</v>
      </c>
      <c r="F181" s="2">
        <f t="shared" si="5"/>
        <v>0.86852124056964186</v>
      </c>
      <c r="G181" s="2">
        <f>IF(COUNTA($F$5:$F181)&lt;=G$1,AVERAGE($F$5:$F181),G$2*($F181-$G180)+$G180)</f>
        <v>0.80301325092902875</v>
      </c>
      <c r="H181" s="2">
        <f t="shared" si="6"/>
        <v>6.5507989640613107E-2</v>
      </c>
    </row>
    <row r="182" spans="1:8">
      <c r="A182" s="1">
        <v>45733</v>
      </c>
      <c r="B182">
        <v>59.99</v>
      </c>
      <c r="C182" s="2">
        <f>IF(COUNTA($B$5:$B182)&lt;=C$1,AVERAGE($B$5:$B182),C$2*($B182-$C181)+$C181)</f>
        <v>60.022977694371932</v>
      </c>
      <c r="D182" s="2">
        <f>IF(COUNTA($B$5:$B182)&lt;=D$1,AVERAGE($B$5:$B182),D$2*($B182-$D181)+$D181)</f>
        <v>59.842160755243142</v>
      </c>
      <c r="E182" s="2">
        <f>IF(COUNTA($B$5:$B182)&lt;=E$1,AVERAGE($B$5:$B182),E$2*($B182-$E181)+$E181)</f>
        <v>59.024036714805959</v>
      </c>
      <c r="F182" s="2">
        <f t="shared" si="5"/>
        <v>0.81812404043718345</v>
      </c>
      <c r="G182" s="2">
        <f>IF(COUNTA($F$5:$F182)&lt;=G$1,AVERAGE($F$5:$F182),G$2*($F182-$G181)+$G181)</f>
        <v>0.80603540883065972</v>
      </c>
      <c r="H182" s="2">
        <f t="shared" si="6"/>
        <v>1.2088631606523736E-2</v>
      </c>
    </row>
    <row r="183" spans="1:8">
      <c r="A183" s="1">
        <v>45734</v>
      </c>
      <c r="B183">
        <v>59.9</v>
      </c>
      <c r="C183" s="2">
        <f>IF(COUNTA($B$5:$B183)&lt;=C$1,AVERAGE($B$5:$B183),C$2*($B183-$C182)+$C182)</f>
        <v>59.998382155497545</v>
      </c>
      <c r="D183" s="2">
        <f>IF(COUNTA($B$5:$B183)&lt;=D$1,AVERAGE($B$5:$B183),D$2*($B183-$D182)+$D182)</f>
        <v>59.851059100590348</v>
      </c>
      <c r="E183" s="2">
        <f>IF(COUNTA($B$5:$B183)&lt;=E$1,AVERAGE($B$5:$B183),E$2*($B183-$E182)+$E182)</f>
        <v>59.088922884079594</v>
      </c>
      <c r="F183" s="2">
        <f t="shared" si="5"/>
        <v>0.76213621651075414</v>
      </c>
      <c r="G183" s="2">
        <f>IF(COUNTA($F$5:$F183)&lt;=G$1,AVERAGE($F$5:$F183),G$2*($F183-$G182)+$G182)</f>
        <v>0.7972555703666786</v>
      </c>
      <c r="H183" s="2">
        <f t="shared" si="6"/>
        <v>-3.5119353855924462E-2</v>
      </c>
    </row>
    <row r="184" spans="1:8">
      <c r="A184" s="1">
        <v>45735</v>
      </c>
      <c r="B184">
        <v>60.08</v>
      </c>
      <c r="C184" s="2">
        <f>IF(COUNTA($B$5:$B184)&lt;=C$1,AVERAGE($B$5:$B184),C$2*($B184-$C183)+$C183)</f>
        <v>60.014705724398034</v>
      </c>
      <c r="D184" s="2">
        <f>IF(COUNTA($B$5:$B184)&lt;=D$1,AVERAGE($B$5:$B184),D$2*($B184-$D183)+$D183)</f>
        <v>59.886280777422598</v>
      </c>
      <c r="E184" s="2">
        <f>IF(COUNTA($B$5:$B184)&lt;=E$1,AVERAGE($B$5:$B184),E$2*($B184-$E183)+$E183)</f>
        <v>59.162336003777405</v>
      </c>
      <c r="F184" s="2">
        <f t="shared" si="5"/>
        <v>0.72394477364519361</v>
      </c>
      <c r="G184" s="2">
        <f>IF(COUNTA($F$5:$F184)&lt;=G$1,AVERAGE($F$5:$F184),G$2*($F184-$G183)+$G183)</f>
        <v>0.78259341102238156</v>
      </c>
      <c r="H184" s="2">
        <f t="shared" si="6"/>
        <v>-5.8648637377187951E-2</v>
      </c>
    </row>
    <row r="185" spans="1:8">
      <c r="A185" s="1">
        <v>45736</v>
      </c>
      <c r="B185">
        <v>60.42</v>
      </c>
      <c r="C185" s="2">
        <f>IF(COUNTA($B$5:$B185)&lt;=C$1,AVERAGE($B$5:$B185),C$2*($B185-$C184)+$C184)</f>
        <v>60.095764579518431</v>
      </c>
      <c r="D185" s="2">
        <f>IF(COUNTA($B$5:$B185)&lt;=D$1,AVERAGE($B$5:$B185),D$2*($B185-$D184)+$D184)</f>
        <v>59.968391427049895</v>
      </c>
      <c r="E185" s="2">
        <f>IF(COUNTA($B$5:$B185)&lt;=E$1,AVERAGE($B$5:$B185),E$2*($B185-$E184)+$E184)</f>
        <v>59.25549629979389</v>
      </c>
      <c r="F185" s="2">
        <f t="shared" si="5"/>
        <v>0.71289512725600446</v>
      </c>
      <c r="G185" s="2">
        <f>IF(COUNTA($F$5:$F185)&lt;=G$1,AVERAGE($F$5:$F185),G$2*($F185-$G184)+$G184)</f>
        <v>0.76865375426910609</v>
      </c>
      <c r="H185" s="2">
        <f t="shared" si="6"/>
        <v>-5.5758627013101636E-2</v>
      </c>
    </row>
    <row r="186" spans="1:8">
      <c r="A186" s="1">
        <v>45737</v>
      </c>
      <c r="B186">
        <v>60.99</v>
      </c>
      <c r="C186" s="2">
        <f>IF(COUNTA($B$5:$B186)&lt;=C$1,AVERAGE($B$5:$B186),C$2*($B186-$C185)+$C185)</f>
        <v>60.274611663614742</v>
      </c>
      <c r="D186" s="2">
        <f>IF(COUNTA($B$5:$B186)&lt;=D$1,AVERAGE($B$5:$B186),D$2*($B186-$D185)+$D185)</f>
        <v>60.125561976734524</v>
      </c>
      <c r="E186" s="2">
        <f>IF(COUNTA($B$5:$B186)&lt;=E$1,AVERAGE($B$5:$B186),E$2*($B186-$E185)+$E185)</f>
        <v>59.383978055364715</v>
      </c>
      <c r="F186" s="2">
        <f t="shared" si="5"/>
        <v>0.74158392136980922</v>
      </c>
      <c r="G186" s="2">
        <f>IF(COUNTA($F$5:$F186)&lt;=G$1,AVERAGE($F$5:$F186),G$2*($F186-$G185)+$G185)</f>
        <v>0.76323978768924672</v>
      </c>
      <c r="H186" s="2">
        <f t="shared" si="6"/>
        <v>-2.16558663194375E-2</v>
      </c>
    </row>
    <row r="187" spans="1:8">
      <c r="A187" s="1">
        <v>45740</v>
      </c>
      <c r="B187">
        <v>61.05</v>
      </c>
      <c r="C187" s="2">
        <f>IF(COUNTA($B$5:$B187)&lt;=C$1,AVERAGE($B$5:$B187),C$2*($B187-$C186)+$C186)</f>
        <v>60.42968933089179</v>
      </c>
      <c r="D187" s="2">
        <f>IF(COUNTA($B$5:$B187)&lt;=D$1,AVERAGE($B$5:$B187),D$2*($B187-$D186)+$D186)</f>
        <v>60.267783211083056</v>
      </c>
      <c r="E187" s="2">
        <f>IF(COUNTA($B$5:$B187)&lt;=E$1,AVERAGE($B$5:$B187),E$2*($B187-$E186)+$E186)</f>
        <v>59.507387088300661</v>
      </c>
      <c r="F187" s="2">
        <f t="shared" si="5"/>
        <v>0.76039612278239588</v>
      </c>
      <c r="G187" s="2">
        <f>IF(COUNTA($F$5:$F187)&lt;=G$1,AVERAGE($F$5:$F187),G$2*($F187-$G186)+$G186)</f>
        <v>0.76267105470787655</v>
      </c>
      <c r="H187" s="2">
        <f t="shared" si="6"/>
        <v>-2.2749319254806721E-3</v>
      </c>
    </row>
    <row r="188" spans="1:8">
      <c r="A188" s="1">
        <v>45741</v>
      </c>
      <c r="B188">
        <v>59.19</v>
      </c>
      <c r="C188" s="2">
        <f>IF(COUNTA($B$5:$B188)&lt;=C$1,AVERAGE($B$5:$B188),C$2*($B188-$C187)+$C187)</f>
        <v>60.181751464713429</v>
      </c>
      <c r="D188" s="2">
        <f>IF(COUNTA($B$5:$B188)&lt;=D$1,AVERAGE($B$5:$B188),D$2*($B188-$D187)+$D187)</f>
        <v>60.101970409377969</v>
      </c>
      <c r="E188" s="2">
        <f>IF(COUNTA($B$5:$B188)&lt;=E$1,AVERAGE($B$5:$B188),E$2*($B188-$E187)+$E187)</f>
        <v>59.483876933611725</v>
      </c>
      <c r="F188" s="2">
        <f t="shared" si="5"/>
        <v>0.61809347576624418</v>
      </c>
      <c r="G188" s="2">
        <f>IF(COUNTA($F$5:$F188)&lt;=G$1,AVERAGE($F$5:$F188),G$2*($F188-$G187)+$G187)</f>
        <v>0.73375553891955003</v>
      </c>
      <c r="H188" s="2">
        <f t="shared" si="6"/>
        <v>-0.11566206315330585</v>
      </c>
    </row>
    <row r="189" spans="1:8">
      <c r="A189" s="1">
        <v>45742</v>
      </c>
      <c r="B189">
        <v>59.21</v>
      </c>
      <c r="C189" s="2">
        <f>IF(COUNTA($B$5:$B189)&lt;=C$1,AVERAGE($B$5:$B189),C$2*($B189-$C188)+$C188)</f>
        <v>59.987401171770742</v>
      </c>
      <c r="D189" s="2">
        <f>IF(COUNTA($B$5:$B189)&lt;=D$1,AVERAGE($B$5:$B189),D$2*($B189-$D188)+$D188)</f>
        <v>59.96474419255059</v>
      </c>
      <c r="E189" s="2">
        <f>IF(COUNTA($B$5:$B189)&lt;=E$1,AVERAGE($B$5:$B189),E$2*($B189-$E188)+$E188)</f>
        <v>59.463589753344188</v>
      </c>
      <c r="F189" s="2">
        <f t="shared" si="5"/>
        <v>0.50115443920640246</v>
      </c>
      <c r="G189" s="2">
        <f>IF(COUNTA($F$5:$F189)&lt;=G$1,AVERAGE($F$5:$F189),G$2*($F189-$G188)+$G188)</f>
        <v>0.68723531897692047</v>
      </c>
      <c r="H189" s="2">
        <f t="shared" si="6"/>
        <v>-0.18608087977051802</v>
      </c>
    </row>
    <row r="190" spans="1:8">
      <c r="A190" s="1">
        <v>45743</v>
      </c>
      <c r="B190">
        <v>58.9</v>
      </c>
      <c r="C190" s="2">
        <f>IF(COUNTA($B$5:$B190)&lt;=C$1,AVERAGE($B$5:$B190),C$2*($B190-$C189)+$C189)</f>
        <v>59.769920937416593</v>
      </c>
      <c r="D190" s="2">
        <f>IF(COUNTA($B$5:$B190)&lt;=D$1,AVERAGE($B$5:$B190),D$2*($B190-$D189)+$D189)</f>
        <v>59.80093739369665</v>
      </c>
      <c r="E190" s="2">
        <f>IF(COUNTA($B$5:$B190)&lt;=E$1,AVERAGE($B$5:$B190),E$2*($B190-$E189)+$E189)</f>
        <v>59.421842364207578</v>
      </c>
      <c r="F190" s="2">
        <f t="shared" si="5"/>
        <v>0.37909502948907203</v>
      </c>
      <c r="G190" s="2">
        <f>IF(COUNTA($F$5:$F190)&lt;=G$1,AVERAGE($F$5:$F190),G$2*($F190-$G189)+$G189)</f>
        <v>0.62560726107935083</v>
      </c>
      <c r="H190" s="2">
        <f t="shared" si="6"/>
        <v>-0.2465122315902788</v>
      </c>
    </row>
    <row r="191" spans="1:8">
      <c r="A191" s="1">
        <v>45744</v>
      </c>
      <c r="B191">
        <v>60.02</v>
      </c>
      <c r="C191" s="2">
        <f>IF(COUNTA($B$5:$B191)&lt;=C$1,AVERAGE($B$5:$B191),C$2*($B191-$C190)+$C190)</f>
        <v>59.819936749933277</v>
      </c>
      <c r="D191" s="2">
        <f>IF(COUNTA($B$5:$B191)&lt;=D$1,AVERAGE($B$5:$B191),D$2*($B191-$D190)+$D190)</f>
        <v>59.834639333127932</v>
      </c>
      <c r="E191" s="2">
        <f>IF(COUNTA($B$5:$B191)&lt;=E$1,AVERAGE($B$5:$B191),E$2*($B191-$E190)+$E190)</f>
        <v>59.466150337229237</v>
      </c>
      <c r="F191" s="2">
        <f t="shared" si="5"/>
        <v>0.36848899589869433</v>
      </c>
      <c r="G191" s="2">
        <f>IF(COUNTA($F$5:$F191)&lt;=G$1,AVERAGE($F$5:$F191),G$2*($F191-$G190)+$G190)</f>
        <v>0.57418360804321955</v>
      </c>
      <c r="H191" s="2">
        <f t="shared" si="6"/>
        <v>-0.20569461214452522</v>
      </c>
    </row>
    <row r="192" spans="1:8">
      <c r="A192" s="1">
        <v>45747</v>
      </c>
      <c r="B192">
        <v>60.99</v>
      </c>
      <c r="C192" s="2">
        <f>IF(COUNTA($B$5:$B192)&lt;=C$1,AVERAGE($B$5:$B192),C$2*($B192-$C191)+$C191)</f>
        <v>60.053949399946625</v>
      </c>
      <c r="D192" s="2">
        <f>IF(COUNTA($B$5:$B192)&lt;=D$1,AVERAGE($B$5:$B192),D$2*($B192-$D191)+$D191)</f>
        <v>60.012387128031328</v>
      </c>
      <c r="E192" s="2">
        <f>IF(COUNTA($B$5:$B192)&lt;=E$1,AVERAGE($B$5:$B192),E$2*($B192-$E191)+$E191)</f>
        <v>59.579028090027073</v>
      </c>
      <c r="F192" s="2">
        <f t="shared" si="5"/>
        <v>0.43335903800425513</v>
      </c>
      <c r="G192" s="2">
        <f>IF(COUNTA($F$5:$F192)&lt;=G$1,AVERAGE($F$5:$F192),G$2*($F192-$G191)+$G191)</f>
        <v>0.54601869403542669</v>
      </c>
      <c r="H192" s="2">
        <f t="shared" si="6"/>
        <v>-0.11265965603117156</v>
      </c>
    </row>
    <row r="194" spans="1:2">
      <c r="A194" t="s">
        <v>9</v>
      </c>
      <c r="B194">
        <f>COUNT(B5:B192)</f>
        <v>188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E3CE-E8B9-4C23-9280-062B6FD19BD1}">
  <dimension ref="A1:K191"/>
  <sheetViews>
    <sheetView topLeftCell="A14" workbookViewId="0">
      <selection activeCell="O4" sqref="O4"/>
    </sheetView>
  </sheetViews>
  <sheetFormatPr defaultRowHeight="14.25"/>
  <cols>
    <col min="1" max="1" width="9.85546875" bestFit="1" customWidth="1"/>
    <col min="6" max="6" width="12.28515625" bestFit="1" customWidth="1"/>
    <col min="7" max="7" width="12" bestFit="1" customWidth="1"/>
    <col min="9" max="9" width="10.7109375" bestFit="1" customWidth="1"/>
  </cols>
  <sheetData>
    <row r="1" spans="1:11">
      <c r="A1" t="s">
        <v>4</v>
      </c>
      <c r="B1" t="s">
        <v>3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s="1">
        <v>45474</v>
      </c>
      <c r="B2">
        <v>41.3</v>
      </c>
    </row>
    <row r="3" spans="1:11">
      <c r="A3" s="1">
        <v>45475</v>
      </c>
      <c r="B3">
        <v>40.450000000000003</v>
      </c>
      <c r="C3">
        <f>B3-B2</f>
        <v>-0.84999999999999432</v>
      </c>
      <c r="D3">
        <f>IF(C3&gt;0,C3,0)</f>
        <v>0</v>
      </c>
      <c r="E3">
        <f>IF(C3&lt;0,-C3,0)</f>
        <v>0.84999999999999432</v>
      </c>
    </row>
    <row r="4" spans="1:11">
      <c r="A4" s="1">
        <v>45476</v>
      </c>
      <c r="B4">
        <v>40.06</v>
      </c>
      <c r="C4">
        <f t="shared" ref="C4:C67" si="0">B4-B3</f>
        <v>-0.39000000000000057</v>
      </c>
      <c r="D4">
        <f t="shared" ref="D4:D67" si="1">IF(C4&gt;0,C4,0)</f>
        <v>0</v>
      </c>
      <c r="E4">
        <f t="shared" ref="E4:E67" si="2">IF(C4&lt;0,-C4,0)</f>
        <v>0.39000000000000057</v>
      </c>
    </row>
    <row r="5" spans="1:11">
      <c r="A5" s="1">
        <v>45478</v>
      </c>
      <c r="B5">
        <v>39.659999999999997</v>
      </c>
      <c r="C5">
        <f t="shared" si="0"/>
        <v>-0.40000000000000568</v>
      </c>
      <c r="D5">
        <f t="shared" si="1"/>
        <v>0</v>
      </c>
      <c r="E5">
        <f t="shared" si="2"/>
        <v>0.40000000000000568</v>
      </c>
    </row>
    <row r="6" spans="1:11">
      <c r="A6" s="1">
        <v>45481</v>
      </c>
      <c r="B6">
        <v>39.99</v>
      </c>
      <c r="C6">
        <f t="shared" si="0"/>
        <v>0.3300000000000054</v>
      </c>
      <c r="D6">
        <f t="shared" si="1"/>
        <v>0.3300000000000054</v>
      </c>
      <c r="E6">
        <f t="shared" si="2"/>
        <v>0</v>
      </c>
    </row>
    <row r="7" spans="1:11">
      <c r="A7" s="1">
        <v>45482</v>
      </c>
      <c r="B7">
        <v>40.86</v>
      </c>
      <c r="C7">
        <f t="shared" si="0"/>
        <v>0.86999999999999744</v>
      </c>
      <c r="D7">
        <f t="shared" si="1"/>
        <v>0.86999999999999744</v>
      </c>
      <c r="E7">
        <f t="shared" si="2"/>
        <v>0</v>
      </c>
    </row>
    <row r="8" spans="1:11">
      <c r="A8" s="1">
        <v>45483</v>
      </c>
      <c r="B8">
        <v>41.12</v>
      </c>
      <c r="C8">
        <f t="shared" si="0"/>
        <v>0.25999999999999801</v>
      </c>
      <c r="D8">
        <f t="shared" si="1"/>
        <v>0.25999999999999801</v>
      </c>
      <c r="E8">
        <f t="shared" si="2"/>
        <v>0</v>
      </c>
    </row>
    <row r="9" spans="1:11">
      <c r="A9" s="1">
        <v>45484</v>
      </c>
      <c r="B9">
        <v>40.75</v>
      </c>
      <c r="C9">
        <f t="shared" si="0"/>
        <v>-0.36999999999999744</v>
      </c>
      <c r="D9">
        <f t="shared" si="1"/>
        <v>0</v>
      </c>
      <c r="E9">
        <f t="shared" si="2"/>
        <v>0.36999999999999744</v>
      </c>
    </row>
    <row r="10" spans="1:11">
      <c r="A10" s="1">
        <v>45485</v>
      </c>
      <c r="B10">
        <v>40.46</v>
      </c>
      <c r="C10">
        <f t="shared" si="0"/>
        <v>-0.28999999999999915</v>
      </c>
      <c r="D10">
        <f t="shared" si="1"/>
        <v>0</v>
      </c>
      <c r="E10">
        <f t="shared" si="2"/>
        <v>0.28999999999999915</v>
      </c>
    </row>
    <row r="11" spans="1:11">
      <c r="A11" s="1">
        <v>45488</v>
      </c>
      <c r="B11">
        <v>40.15</v>
      </c>
      <c r="C11">
        <f t="shared" si="0"/>
        <v>-0.31000000000000227</v>
      </c>
      <c r="D11">
        <f t="shared" si="1"/>
        <v>0</v>
      </c>
      <c r="E11">
        <f t="shared" si="2"/>
        <v>0.31000000000000227</v>
      </c>
    </row>
    <row r="12" spans="1:11">
      <c r="A12" s="1">
        <v>45489</v>
      </c>
      <c r="B12">
        <v>41.2</v>
      </c>
      <c r="C12">
        <f t="shared" si="0"/>
        <v>1.0500000000000043</v>
      </c>
      <c r="D12">
        <f t="shared" si="1"/>
        <v>1.0500000000000043</v>
      </c>
      <c r="E12">
        <f t="shared" si="2"/>
        <v>0</v>
      </c>
    </row>
    <row r="13" spans="1:11">
      <c r="A13" s="1">
        <v>45490</v>
      </c>
      <c r="B13">
        <v>43.15</v>
      </c>
      <c r="C13">
        <f t="shared" si="0"/>
        <v>1.9499999999999957</v>
      </c>
      <c r="D13">
        <f t="shared" si="1"/>
        <v>1.9499999999999957</v>
      </c>
      <c r="E13">
        <f t="shared" si="2"/>
        <v>0</v>
      </c>
    </row>
    <row r="14" spans="1:11">
      <c r="A14" s="1">
        <v>45491</v>
      </c>
      <c r="B14">
        <v>42.39</v>
      </c>
      <c r="C14">
        <f t="shared" si="0"/>
        <v>-0.75999999999999801</v>
      </c>
      <c r="D14">
        <f t="shared" si="1"/>
        <v>0</v>
      </c>
      <c r="E14">
        <f t="shared" si="2"/>
        <v>0.75999999999999801</v>
      </c>
    </row>
    <row r="15" spans="1:11">
      <c r="A15" s="1">
        <v>45492</v>
      </c>
      <c r="B15">
        <v>42.64</v>
      </c>
      <c r="C15">
        <f t="shared" si="0"/>
        <v>0.25</v>
      </c>
      <c r="D15">
        <f t="shared" si="1"/>
        <v>0.25</v>
      </c>
      <c r="E15">
        <f t="shared" si="2"/>
        <v>0</v>
      </c>
    </row>
    <row r="16" spans="1:11">
      <c r="A16" s="1">
        <v>45495</v>
      </c>
      <c r="B16">
        <v>42.67</v>
      </c>
      <c r="C16">
        <f t="shared" si="0"/>
        <v>3.0000000000001137E-2</v>
      </c>
      <c r="D16">
        <f t="shared" si="1"/>
        <v>3.0000000000001137E-2</v>
      </c>
      <c r="E16">
        <f t="shared" si="2"/>
        <v>0</v>
      </c>
      <c r="F16">
        <f>SUM(D3:D16)/14</f>
        <v>0.33857142857142869</v>
      </c>
      <c r="G16">
        <f>SUM(E3:E16)/14</f>
        <v>0.24071428571428552</v>
      </c>
      <c r="H16">
        <f>F16/G16</f>
        <v>1.4065281899109809</v>
      </c>
      <c r="I16">
        <f>IF(H16=0,100,100-(100/(1+H16)))</f>
        <v>58.446362515413099</v>
      </c>
      <c r="J16">
        <f>30</f>
        <v>30</v>
      </c>
      <c r="K16">
        <v>70</v>
      </c>
    </row>
    <row r="17" spans="1:11">
      <c r="A17" s="1">
        <v>45496</v>
      </c>
      <c r="B17">
        <v>42.98</v>
      </c>
      <c r="C17">
        <f t="shared" si="0"/>
        <v>0.30999999999999517</v>
      </c>
      <c r="D17">
        <f t="shared" si="1"/>
        <v>0.30999999999999517</v>
      </c>
      <c r="E17">
        <f t="shared" si="2"/>
        <v>0</v>
      </c>
      <c r="F17">
        <f>((F16*13)+D17)/14</f>
        <v>0.33653061224489772</v>
      </c>
      <c r="G17">
        <f>((G16*13)+E17)/14</f>
        <v>0.22352040816326513</v>
      </c>
      <c r="H17">
        <f t="shared" ref="H17:H80" si="3">F17/G17</f>
        <v>1.5055923305181467</v>
      </c>
      <c r="I17">
        <f t="shared" ref="I17:I80" si="4">IF(H17=0,100,100-(100/(1+H17)))</f>
        <v>60.089277580395375</v>
      </c>
      <c r="J17">
        <f>30</f>
        <v>30</v>
      </c>
      <c r="K17">
        <v>70</v>
      </c>
    </row>
    <row r="18" spans="1:11">
      <c r="A18" s="1">
        <v>45497</v>
      </c>
      <c r="B18">
        <v>44.66</v>
      </c>
      <c r="C18">
        <f t="shared" si="0"/>
        <v>1.6799999999999997</v>
      </c>
      <c r="D18">
        <f t="shared" si="1"/>
        <v>1.6799999999999997</v>
      </c>
      <c r="E18">
        <f t="shared" si="2"/>
        <v>0</v>
      </c>
      <c r="F18">
        <f t="shared" ref="F18:F81" si="5">((F17*13)+D18)/14</f>
        <v>0.43249271137026213</v>
      </c>
      <c r="G18">
        <f t="shared" ref="G18:G81" si="6">((G17*13)+E18)/14</f>
        <v>0.20755466472303191</v>
      </c>
      <c r="H18">
        <f t="shared" si="3"/>
        <v>2.0837532702403738</v>
      </c>
      <c r="I18">
        <f t="shared" si="4"/>
        <v>67.571984125628461</v>
      </c>
      <c r="J18">
        <f>30</f>
        <v>30</v>
      </c>
      <c r="K18">
        <v>70</v>
      </c>
    </row>
    <row r="19" spans="1:11">
      <c r="A19" s="1">
        <v>45498</v>
      </c>
      <c r="B19">
        <v>45.27</v>
      </c>
      <c r="C19">
        <f t="shared" si="0"/>
        <v>0.61000000000000654</v>
      </c>
      <c r="D19">
        <f t="shared" si="1"/>
        <v>0.61000000000000654</v>
      </c>
      <c r="E19">
        <f t="shared" si="2"/>
        <v>0</v>
      </c>
      <c r="F19">
        <f t="shared" si="5"/>
        <v>0.44517180341524387</v>
      </c>
      <c r="G19">
        <f t="shared" si="6"/>
        <v>0.19272933152852964</v>
      </c>
      <c r="H19">
        <f t="shared" si="3"/>
        <v>2.3098290223112472</v>
      </c>
      <c r="I19">
        <f t="shared" si="4"/>
        <v>69.786958986126052</v>
      </c>
      <c r="J19">
        <f>30</f>
        <v>30</v>
      </c>
      <c r="K19">
        <v>70</v>
      </c>
    </row>
    <row r="20" spans="1:11">
      <c r="A20" s="1">
        <v>45499</v>
      </c>
      <c r="B20">
        <v>50.45</v>
      </c>
      <c r="C20">
        <f t="shared" si="0"/>
        <v>5.18</v>
      </c>
      <c r="D20">
        <f t="shared" si="1"/>
        <v>5.18</v>
      </c>
      <c r="E20">
        <f t="shared" si="2"/>
        <v>0</v>
      </c>
      <c r="F20">
        <f t="shared" si="5"/>
        <v>0.78337381745701218</v>
      </c>
      <c r="G20">
        <f t="shared" si="6"/>
        <v>0.17896295070506324</v>
      </c>
      <c r="H20">
        <f t="shared" si="3"/>
        <v>4.377296051337674</v>
      </c>
      <c r="I20">
        <f t="shared" si="4"/>
        <v>81.403292836159977</v>
      </c>
      <c r="J20">
        <f>30</f>
        <v>30</v>
      </c>
      <c r="K20">
        <v>70</v>
      </c>
    </row>
    <row r="21" spans="1:11">
      <c r="A21" s="1">
        <v>45502</v>
      </c>
      <c r="B21">
        <v>48.98</v>
      </c>
      <c r="C21">
        <f t="shared" si="0"/>
        <v>-1.470000000000006</v>
      </c>
      <c r="D21">
        <f t="shared" si="1"/>
        <v>0</v>
      </c>
      <c r="E21">
        <f t="shared" si="2"/>
        <v>1.470000000000006</v>
      </c>
      <c r="F21">
        <f t="shared" si="5"/>
        <v>0.72741854478151136</v>
      </c>
      <c r="G21">
        <f t="shared" si="6"/>
        <v>0.27117988279755917</v>
      </c>
      <c r="H21">
        <f t="shared" si="3"/>
        <v>2.682420750673983</v>
      </c>
      <c r="I21">
        <f t="shared" si="4"/>
        <v>72.843950550273945</v>
      </c>
      <c r="J21">
        <f>30</f>
        <v>30</v>
      </c>
      <c r="K21">
        <v>70</v>
      </c>
    </row>
    <row r="22" spans="1:11">
      <c r="A22" s="1">
        <v>45503</v>
      </c>
      <c r="B22">
        <v>49.05</v>
      </c>
      <c r="C22">
        <f t="shared" si="0"/>
        <v>7.0000000000000284E-2</v>
      </c>
      <c r="D22">
        <f t="shared" si="1"/>
        <v>7.0000000000000284E-2</v>
      </c>
      <c r="E22">
        <f t="shared" si="2"/>
        <v>0</v>
      </c>
      <c r="F22">
        <f t="shared" si="5"/>
        <v>0.68046007729711777</v>
      </c>
      <c r="G22">
        <f t="shared" si="6"/>
        <v>0.25180989116916208</v>
      </c>
      <c r="H22">
        <f t="shared" si="3"/>
        <v>2.7022770000722289</v>
      </c>
      <c r="I22">
        <f t="shared" si="4"/>
        <v>72.98959532254095</v>
      </c>
      <c r="J22">
        <f>30</f>
        <v>30</v>
      </c>
      <c r="K22">
        <v>70</v>
      </c>
    </row>
    <row r="23" spans="1:11">
      <c r="A23" s="1">
        <v>45504</v>
      </c>
      <c r="B23">
        <v>47.56</v>
      </c>
      <c r="C23">
        <f t="shared" si="0"/>
        <v>-1.4899999999999949</v>
      </c>
      <c r="D23">
        <f t="shared" si="1"/>
        <v>0</v>
      </c>
      <c r="E23">
        <f t="shared" si="2"/>
        <v>1.4899999999999949</v>
      </c>
      <c r="F23">
        <f t="shared" si="5"/>
        <v>0.63185578606160941</v>
      </c>
      <c r="G23">
        <f t="shared" si="6"/>
        <v>0.3402520417999359</v>
      </c>
      <c r="H23">
        <f t="shared" si="3"/>
        <v>1.8570227608895085</v>
      </c>
      <c r="I23">
        <f t="shared" si="4"/>
        <v>64.998528759054793</v>
      </c>
      <c r="J23">
        <f>30</f>
        <v>30</v>
      </c>
      <c r="K23">
        <v>70</v>
      </c>
    </row>
    <row r="24" spans="1:11">
      <c r="A24" s="1">
        <v>45505</v>
      </c>
      <c r="B24">
        <v>48.17</v>
      </c>
      <c r="C24">
        <f t="shared" si="0"/>
        <v>0.60999999999999943</v>
      </c>
      <c r="D24">
        <f t="shared" si="1"/>
        <v>0.60999999999999943</v>
      </c>
      <c r="E24">
        <f t="shared" si="2"/>
        <v>0</v>
      </c>
      <c r="F24">
        <f t="shared" si="5"/>
        <v>0.63029465848578015</v>
      </c>
      <c r="G24">
        <f t="shared" si="6"/>
        <v>0.3159483245285119</v>
      </c>
      <c r="H24">
        <f t="shared" si="3"/>
        <v>1.9949295804190945</v>
      </c>
      <c r="I24">
        <f t="shared" si="4"/>
        <v>66.610233291025651</v>
      </c>
      <c r="J24">
        <f>30</f>
        <v>30</v>
      </c>
      <c r="K24">
        <v>70</v>
      </c>
    </row>
    <row r="25" spans="1:11">
      <c r="A25" s="1">
        <v>45506</v>
      </c>
      <c r="B25">
        <v>48.77</v>
      </c>
      <c r="C25">
        <f t="shared" si="0"/>
        <v>0.60000000000000142</v>
      </c>
      <c r="D25">
        <f t="shared" si="1"/>
        <v>0.60000000000000142</v>
      </c>
      <c r="E25">
        <f t="shared" si="2"/>
        <v>0</v>
      </c>
      <c r="F25">
        <f t="shared" si="5"/>
        <v>0.62813075430822451</v>
      </c>
      <c r="G25">
        <f t="shared" si="6"/>
        <v>0.29338058706218961</v>
      </c>
      <c r="H25">
        <f t="shared" si="3"/>
        <v>2.1410099441074331</v>
      </c>
      <c r="I25">
        <f t="shared" si="4"/>
        <v>68.163106204868583</v>
      </c>
      <c r="J25">
        <f>30</f>
        <v>30</v>
      </c>
      <c r="K25">
        <v>70</v>
      </c>
    </row>
    <row r="26" spans="1:11">
      <c r="A26" s="1">
        <v>45509</v>
      </c>
      <c r="B26">
        <v>47.59</v>
      </c>
      <c r="C26">
        <f t="shared" si="0"/>
        <v>-1.1799999999999997</v>
      </c>
      <c r="D26">
        <f t="shared" si="1"/>
        <v>0</v>
      </c>
      <c r="E26">
        <f t="shared" si="2"/>
        <v>1.1799999999999997</v>
      </c>
      <c r="F26">
        <f t="shared" si="5"/>
        <v>0.58326427185763696</v>
      </c>
      <c r="G26">
        <f t="shared" si="6"/>
        <v>0.35671054512917605</v>
      </c>
      <c r="H26">
        <f t="shared" si="3"/>
        <v>1.6351192299246964</v>
      </c>
      <c r="I26">
        <f t="shared" si="4"/>
        <v>62.051052998137891</v>
      </c>
      <c r="J26">
        <f>30</f>
        <v>30</v>
      </c>
      <c r="K26">
        <v>70</v>
      </c>
    </row>
    <row r="27" spans="1:11">
      <c r="A27" s="1">
        <v>45510</v>
      </c>
      <c r="B27">
        <v>47.31</v>
      </c>
      <c r="C27">
        <f t="shared" si="0"/>
        <v>-0.28000000000000114</v>
      </c>
      <c r="D27">
        <f t="shared" si="1"/>
        <v>0</v>
      </c>
      <c r="E27">
        <f t="shared" si="2"/>
        <v>0.28000000000000114</v>
      </c>
      <c r="F27">
        <f t="shared" si="5"/>
        <v>0.54160253815352</v>
      </c>
      <c r="G27">
        <f t="shared" si="6"/>
        <v>0.3512312204770921</v>
      </c>
      <c r="H27">
        <f t="shared" si="3"/>
        <v>1.5420113776270759</v>
      </c>
      <c r="I27">
        <f t="shared" si="4"/>
        <v>60.661073006939766</v>
      </c>
      <c r="J27">
        <f>30</f>
        <v>30</v>
      </c>
      <c r="K27">
        <v>70</v>
      </c>
    </row>
    <row r="28" spans="1:11">
      <c r="A28" s="1">
        <v>45511</v>
      </c>
      <c r="B28">
        <v>46.5</v>
      </c>
      <c r="C28">
        <f t="shared" si="0"/>
        <v>-0.81000000000000227</v>
      </c>
      <c r="D28">
        <f t="shared" si="1"/>
        <v>0</v>
      </c>
      <c r="E28">
        <f t="shared" si="2"/>
        <v>0.81000000000000227</v>
      </c>
      <c r="F28">
        <f t="shared" si="5"/>
        <v>0.50291664257112567</v>
      </c>
      <c r="G28">
        <f t="shared" si="6"/>
        <v>0.38400041901444287</v>
      </c>
      <c r="H28">
        <f t="shared" si="3"/>
        <v>1.3096773275974216</v>
      </c>
      <c r="I28">
        <f t="shared" si="4"/>
        <v>56.703908894485167</v>
      </c>
      <c r="J28">
        <f>30</f>
        <v>30</v>
      </c>
      <c r="K28">
        <v>70</v>
      </c>
    </row>
    <row r="29" spans="1:11">
      <c r="A29" s="1">
        <v>45512</v>
      </c>
      <c r="B29">
        <v>46.85</v>
      </c>
      <c r="C29">
        <f t="shared" si="0"/>
        <v>0.35000000000000142</v>
      </c>
      <c r="D29">
        <f t="shared" si="1"/>
        <v>0.35000000000000142</v>
      </c>
      <c r="E29">
        <f t="shared" si="2"/>
        <v>0</v>
      </c>
      <c r="F29">
        <f t="shared" si="5"/>
        <v>0.49199402524461677</v>
      </c>
      <c r="G29">
        <f t="shared" si="6"/>
        <v>0.35657181765626839</v>
      </c>
      <c r="H29">
        <f t="shared" si="3"/>
        <v>1.3797894305794351</v>
      </c>
      <c r="I29">
        <f t="shared" si="4"/>
        <v>57.979475530466644</v>
      </c>
      <c r="J29">
        <f>30</f>
        <v>30</v>
      </c>
      <c r="K29">
        <v>70</v>
      </c>
    </row>
    <row r="30" spans="1:11">
      <c r="A30" s="1">
        <v>45513</v>
      </c>
      <c r="B30">
        <v>46.72</v>
      </c>
      <c r="C30">
        <f t="shared" si="0"/>
        <v>-0.13000000000000256</v>
      </c>
      <c r="D30">
        <f t="shared" si="1"/>
        <v>0</v>
      </c>
      <c r="E30">
        <f t="shared" si="2"/>
        <v>0.13000000000000256</v>
      </c>
      <c r="F30">
        <f t="shared" si="5"/>
        <v>0.45685159487000127</v>
      </c>
      <c r="G30">
        <f t="shared" si="6"/>
        <v>0.34038811639510652</v>
      </c>
      <c r="H30">
        <f t="shared" si="3"/>
        <v>1.3421490729708949</v>
      </c>
      <c r="I30">
        <f t="shared" si="4"/>
        <v>57.304169425409306</v>
      </c>
      <c r="J30">
        <f>30</f>
        <v>30</v>
      </c>
      <c r="K30">
        <v>70</v>
      </c>
    </row>
    <row r="31" spans="1:11">
      <c r="A31" s="1">
        <v>45516</v>
      </c>
      <c r="B31">
        <v>47.06</v>
      </c>
      <c r="C31">
        <f t="shared" si="0"/>
        <v>0.34000000000000341</v>
      </c>
      <c r="D31">
        <f t="shared" si="1"/>
        <v>0.34000000000000341</v>
      </c>
      <c r="E31">
        <f t="shared" si="2"/>
        <v>0</v>
      </c>
      <c r="F31">
        <f t="shared" si="5"/>
        <v>0.44850505237928712</v>
      </c>
      <c r="G31">
        <f t="shared" si="6"/>
        <v>0.31607467950974177</v>
      </c>
      <c r="H31">
        <f t="shared" si="3"/>
        <v>1.4189844408763015</v>
      </c>
      <c r="I31">
        <f t="shared" si="4"/>
        <v>58.660337656502669</v>
      </c>
      <c r="J31">
        <f>30</f>
        <v>30</v>
      </c>
      <c r="K31">
        <v>70</v>
      </c>
    </row>
    <row r="32" spans="1:11">
      <c r="A32" s="1">
        <v>45517</v>
      </c>
      <c r="B32">
        <v>49.06</v>
      </c>
      <c r="C32">
        <f t="shared" si="0"/>
        <v>2</v>
      </c>
      <c r="D32">
        <f t="shared" si="1"/>
        <v>2</v>
      </c>
      <c r="E32">
        <f t="shared" si="2"/>
        <v>0</v>
      </c>
      <c r="F32">
        <f t="shared" si="5"/>
        <v>0.55932612006648086</v>
      </c>
      <c r="G32">
        <f t="shared" si="6"/>
        <v>0.29349791668761732</v>
      </c>
      <c r="H32">
        <f t="shared" si="3"/>
        <v>1.9057243280598688</v>
      </c>
      <c r="I32">
        <f t="shared" si="4"/>
        <v>65.585173020604714</v>
      </c>
      <c r="J32">
        <f>30</f>
        <v>30</v>
      </c>
      <c r="K32">
        <v>70</v>
      </c>
    </row>
    <row r="33" spans="1:11">
      <c r="A33" s="1">
        <v>45518</v>
      </c>
      <c r="B33">
        <v>48.41</v>
      </c>
      <c r="C33">
        <f t="shared" si="0"/>
        <v>-0.65000000000000568</v>
      </c>
      <c r="D33">
        <f t="shared" si="1"/>
        <v>0</v>
      </c>
      <c r="E33">
        <f t="shared" si="2"/>
        <v>0.65000000000000568</v>
      </c>
      <c r="F33">
        <f t="shared" si="5"/>
        <v>0.51937425434744655</v>
      </c>
      <c r="G33">
        <f t="shared" si="6"/>
        <v>0.31896235120993083</v>
      </c>
      <c r="H33">
        <f t="shared" si="3"/>
        <v>1.6283246357361185</v>
      </c>
      <c r="I33">
        <f t="shared" si="4"/>
        <v>61.95294955564237</v>
      </c>
      <c r="J33">
        <f>30</f>
        <v>30</v>
      </c>
      <c r="K33">
        <v>70</v>
      </c>
    </row>
    <row r="34" spans="1:11">
      <c r="A34" s="1">
        <v>45519</v>
      </c>
      <c r="B34">
        <v>49.11</v>
      </c>
      <c r="C34">
        <f t="shared" si="0"/>
        <v>0.70000000000000284</v>
      </c>
      <c r="D34">
        <f t="shared" si="1"/>
        <v>0.70000000000000284</v>
      </c>
      <c r="E34">
        <f t="shared" si="2"/>
        <v>0</v>
      </c>
      <c r="F34">
        <f t="shared" si="5"/>
        <v>0.53227609332262915</v>
      </c>
      <c r="G34">
        <f t="shared" si="6"/>
        <v>0.29617932612350722</v>
      </c>
      <c r="H34">
        <f t="shared" si="3"/>
        <v>1.79714128021437</v>
      </c>
      <c r="I34">
        <f t="shared" si="4"/>
        <v>64.249213757148482</v>
      </c>
      <c r="J34">
        <f>30</f>
        <v>30</v>
      </c>
      <c r="K34">
        <v>70</v>
      </c>
    </row>
    <row r="35" spans="1:11">
      <c r="A35" s="1">
        <v>45520</v>
      </c>
      <c r="B35">
        <v>49.36</v>
      </c>
      <c r="C35">
        <f t="shared" si="0"/>
        <v>0.25</v>
      </c>
      <c r="D35">
        <f t="shared" si="1"/>
        <v>0.25</v>
      </c>
      <c r="E35">
        <f t="shared" si="2"/>
        <v>0</v>
      </c>
      <c r="F35">
        <f t="shared" si="5"/>
        <v>0.51211351522815562</v>
      </c>
      <c r="G35">
        <f t="shared" si="6"/>
        <v>0.27502365997182815</v>
      </c>
      <c r="H35">
        <f t="shared" si="3"/>
        <v>1.8620707588598508</v>
      </c>
      <c r="I35">
        <f t="shared" si="4"/>
        <v>65.060262856730873</v>
      </c>
      <c r="J35">
        <f>30</f>
        <v>30</v>
      </c>
      <c r="K35">
        <v>70</v>
      </c>
    </row>
    <row r="36" spans="1:11">
      <c r="A36" s="1">
        <v>45523</v>
      </c>
      <c r="B36">
        <v>49.3</v>
      </c>
      <c r="C36">
        <f t="shared" si="0"/>
        <v>-6.0000000000002274E-2</v>
      </c>
      <c r="D36">
        <f t="shared" si="1"/>
        <v>0</v>
      </c>
      <c r="E36">
        <f t="shared" si="2"/>
        <v>6.0000000000002274E-2</v>
      </c>
      <c r="F36">
        <f t="shared" si="5"/>
        <v>0.47553397842614453</v>
      </c>
      <c r="G36">
        <f t="shared" si="6"/>
        <v>0.25966482711669775</v>
      </c>
      <c r="H36">
        <f t="shared" si="3"/>
        <v>1.8313376659690284</v>
      </c>
      <c r="I36">
        <f t="shared" si="4"/>
        <v>64.68100530645296</v>
      </c>
      <c r="J36">
        <f>30</f>
        <v>30</v>
      </c>
      <c r="K36">
        <v>70</v>
      </c>
    </row>
    <row r="37" spans="1:11">
      <c r="A37" s="1">
        <v>45524</v>
      </c>
      <c r="B37">
        <v>48.98</v>
      </c>
      <c r="C37">
        <f t="shared" si="0"/>
        <v>-0.32000000000000028</v>
      </c>
      <c r="D37">
        <f t="shared" si="1"/>
        <v>0</v>
      </c>
      <c r="E37">
        <f t="shared" si="2"/>
        <v>0.32000000000000028</v>
      </c>
      <c r="F37">
        <f t="shared" si="5"/>
        <v>0.44156726568141991</v>
      </c>
      <c r="G37">
        <f t="shared" si="6"/>
        <v>0.26397448232264792</v>
      </c>
      <c r="H37">
        <f t="shared" si="3"/>
        <v>1.6727649649927365</v>
      </c>
      <c r="I37">
        <f t="shared" si="4"/>
        <v>62.585561652529456</v>
      </c>
      <c r="J37">
        <f>30</f>
        <v>30</v>
      </c>
      <c r="K37">
        <v>70</v>
      </c>
    </row>
    <row r="38" spans="1:11">
      <c r="A38" s="1">
        <v>45525</v>
      </c>
      <c r="B38">
        <v>48.44</v>
      </c>
      <c r="C38">
        <f t="shared" si="0"/>
        <v>-0.53999999999999915</v>
      </c>
      <c r="D38">
        <f t="shared" si="1"/>
        <v>0</v>
      </c>
      <c r="E38">
        <f t="shared" si="2"/>
        <v>0.53999999999999915</v>
      </c>
      <c r="F38">
        <f t="shared" si="5"/>
        <v>0.4100267467041756</v>
      </c>
      <c r="G38">
        <f t="shared" si="6"/>
        <v>0.28369059072817299</v>
      </c>
      <c r="H38">
        <f t="shared" si="3"/>
        <v>1.4453307938473559</v>
      </c>
      <c r="I38">
        <f t="shared" si="4"/>
        <v>59.105737247652613</v>
      </c>
      <c r="J38">
        <f>30</f>
        <v>30</v>
      </c>
      <c r="K38">
        <v>70</v>
      </c>
    </row>
    <row r="39" spans="1:11">
      <c r="A39" s="1">
        <v>45526</v>
      </c>
      <c r="B39">
        <v>47.62</v>
      </c>
      <c r="C39">
        <f t="shared" si="0"/>
        <v>-0.82000000000000028</v>
      </c>
      <c r="D39">
        <f t="shared" si="1"/>
        <v>0</v>
      </c>
      <c r="E39">
        <f t="shared" si="2"/>
        <v>0.82000000000000028</v>
      </c>
      <c r="F39">
        <f t="shared" si="5"/>
        <v>0.38073912193959164</v>
      </c>
      <c r="G39">
        <f t="shared" si="6"/>
        <v>0.32199840567616062</v>
      </c>
      <c r="H39">
        <f t="shared" si="3"/>
        <v>1.1824254879153271</v>
      </c>
      <c r="I39">
        <f t="shared" si="4"/>
        <v>54.179420762025224</v>
      </c>
      <c r="J39">
        <f>30</f>
        <v>30</v>
      </c>
      <c r="K39">
        <v>70</v>
      </c>
    </row>
    <row r="40" spans="1:11">
      <c r="A40" s="1">
        <v>45527</v>
      </c>
      <c r="B40">
        <v>48.11</v>
      </c>
      <c r="C40">
        <f t="shared" si="0"/>
        <v>0.49000000000000199</v>
      </c>
      <c r="D40">
        <f t="shared" si="1"/>
        <v>0.49000000000000199</v>
      </c>
      <c r="E40">
        <f t="shared" si="2"/>
        <v>0</v>
      </c>
      <c r="F40">
        <f t="shared" si="5"/>
        <v>0.38854347037247811</v>
      </c>
      <c r="G40">
        <f t="shared" si="6"/>
        <v>0.29899851955643486</v>
      </c>
      <c r="H40">
        <f t="shared" si="3"/>
        <v>1.299482923691005</v>
      </c>
      <c r="I40">
        <f t="shared" si="4"/>
        <v>56.51196233304249</v>
      </c>
      <c r="J40">
        <f>30</f>
        <v>30</v>
      </c>
      <c r="K40">
        <v>70</v>
      </c>
    </row>
    <row r="41" spans="1:11">
      <c r="A41" s="1">
        <v>45530</v>
      </c>
      <c r="B41">
        <v>48.24</v>
      </c>
      <c r="C41">
        <f t="shared" si="0"/>
        <v>0.13000000000000256</v>
      </c>
      <c r="D41">
        <f t="shared" si="1"/>
        <v>0.13000000000000256</v>
      </c>
      <c r="E41">
        <f t="shared" si="2"/>
        <v>0</v>
      </c>
      <c r="F41">
        <f t="shared" si="5"/>
        <v>0.37007607963158701</v>
      </c>
      <c r="G41">
        <f t="shared" si="6"/>
        <v>0.27764148244526093</v>
      </c>
      <c r="H41">
        <f t="shared" si="3"/>
        <v>1.3329279053411993</v>
      </c>
      <c r="I41">
        <f t="shared" si="4"/>
        <v>57.135409212152808</v>
      </c>
      <c r="J41">
        <f>30</f>
        <v>30</v>
      </c>
      <c r="K41">
        <v>70</v>
      </c>
    </row>
    <row r="42" spans="1:11">
      <c r="A42" s="1">
        <v>45531</v>
      </c>
      <c r="B42">
        <v>48.12</v>
      </c>
      <c r="C42">
        <f t="shared" si="0"/>
        <v>-0.12000000000000455</v>
      </c>
      <c r="D42">
        <f t="shared" si="1"/>
        <v>0</v>
      </c>
      <c r="E42">
        <f t="shared" si="2"/>
        <v>0.12000000000000455</v>
      </c>
      <c r="F42">
        <f t="shared" si="5"/>
        <v>0.34364207394361651</v>
      </c>
      <c r="G42">
        <f t="shared" si="6"/>
        <v>0.26638137655631405</v>
      </c>
      <c r="H42">
        <f t="shared" si="3"/>
        <v>1.2900379087536145</v>
      </c>
      <c r="I42">
        <f t="shared" si="4"/>
        <v>56.332600601172402</v>
      </c>
      <c r="J42">
        <f>30</f>
        <v>30</v>
      </c>
      <c r="K42">
        <v>70</v>
      </c>
    </row>
    <row r="43" spans="1:11">
      <c r="A43" s="1">
        <v>45532</v>
      </c>
      <c r="B43">
        <v>49.06</v>
      </c>
      <c r="C43">
        <f t="shared" si="0"/>
        <v>0.94000000000000483</v>
      </c>
      <c r="D43">
        <f t="shared" si="1"/>
        <v>0.94000000000000483</v>
      </c>
      <c r="E43">
        <f t="shared" si="2"/>
        <v>0</v>
      </c>
      <c r="F43">
        <f t="shared" si="5"/>
        <v>0.38623906866192997</v>
      </c>
      <c r="G43">
        <f t="shared" si="6"/>
        <v>0.24735413537372017</v>
      </c>
      <c r="H43">
        <f t="shared" si="3"/>
        <v>1.5614821562549281</v>
      </c>
      <c r="I43">
        <f t="shared" si="4"/>
        <v>60.960102823356294</v>
      </c>
      <c r="J43">
        <f>30</f>
        <v>30</v>
      </c>
      <c r="K43">
        <v>70</v>
      </c>
    </row>
    <row r="44" spans="1:11">
      <c r="A44" s="1">
        <v>45533</v>
      </c>
      <c r="B44">
        <v>49.72</v>
      </c>
      <c r="C44">
        <f t="shared" si="0"/>
        <v>0.65999999999999659</v>
      </c>
      <c r="D44">
        <f t="shared" si="1"/>
        <v>0.65999999999999659</v>
      </c>
      <c r="E44">
        <f t="shared" si="2"/>
        <v>0</v>
      </c>
      <c r="F44">
        <f t="shared" si="5"/>
        <v>0.40579342090036336</v>
      </c>
      <c r="G44">
        <f t="shared" si="6"/>
        <v>0.22968598284702588</v>
      </c>
      <c r="H44">
        <f t="shared" si="3"/>
        <v>1.7667313253966723</v>
      </c>
      <c r="I44">
        <f t="shared" si="4"/>
        <v>63.856266388402283</v>
      </c>
      <c r="J44">
        <f>30</f>
        <v>30</v>
      </c>
      <c r="K44">
        <v>70</v>
      </c>
    </row>
    <row r="45" spans="1:11">
      <c r="A45" s="1">
        <v>45534</v>
      </c>
      <c r="B45">
        <v>49.95</v>
      </c>
      <c r="C45">
        <f t="shared" si="0"/>
        <v>0.23000000000000398</v>
      </c>
      <c r="D45">
        <f t="shared" si="1"/>
        <v>0.23000000000000398</v>
      </c>
      <c r="E45">
        <f t="shared" si="2"/>
        <v>0</v>
      </c>
      <c r="F45">
        <f t="shared" si="5"/>
        <v>0.39323674797890912</v>
      </c>
      <c r="G45">
        <f t="shared" si="6"/>
        <v>0.21327984121509544</v>
      </c>
      <c r="H45">
        <f t="shared" si="3"/>
        <v>1.8437595683612913</v>
      </c>
      <c r="I45">
        <f t="shared" si="4"/>
        <v>64.835283153834013</v>
      </c>
      <c r="J45">
        <f>30</f>
        <v>30</v>
      </c>
      <c r="K45">
        <v>70</v>
      </c>
    </row>
    <row r="46" spans="1:11">
      <c r="A46" s="1">
        <v>45538</v>
      </c>
      <c r="B46">
        <v>50.52</v>
      </c>
      <c r="C46">
        <f t="shared" si="0"/>
        <v>0.57000000000000028</v>
      </c>
      <c r="D46">
        <f t="shared" si="1"/>
        <v>0.57000000000000028</v>
      </c>
      <c r="E46">
        <f t="shared" si="2"/>
        <v>0</v>
      </c>
      <c r="F46">
        <f t="shared" si="5"/>
        <v>0.40586269455184415</v>
      </c>
      <c r="G46">
        <f t="shared" si="6"/>
        <v>0.19804556684258862</v>
      </c>
      <c r="H46">
        <f t="shared" si="3"/>
        <v>2.0493399626280633</v>
      </c>
      <c r="I46">
        <f t="shared" si="4"/>
        <v>67.206017949597424</v>
      </c>
      <c r="J46">
        <f>30</f>
        <v>30</v>
      </c>
      <c r="K46">
        <v>70</v>
      </c>
    </row>
    <row r="47" spans="1:11">
      <c r="A47" s="1">
        <v>45539</v>
      </c>
      <c r="B47">
        <v>49.96</v>
      </c>
      <c r="C47">
        <f t="shared" si="0"/>
        <v>-0.56000000000000227</v>
      </c>
      <c r="D47">
        <f t="shared" si="1"/>
        <v>0</v>
      </c>
      <c r="E47">
        <f t="shared" si="2"/>
        <v>0.56000000000000227</v>
      </c>
      <c r="F47">
        <f t="shared" si="5"/>
        <v>0.37687250208385531</v>
      </c>
      <c r="G47">
        <f t="shared" si="6"/>
        <v>0.22389945492526103</v>
      </c>
      <c r="H47">
        <f t="shared" si="3"/>
        <v>1.6832220614813804</v>
      </c>
      <c r="I47">
        <f t="shared" si="4"/>
        <v>62.731373807805163</v>
      </c>
      <c r="J47">
        <f>30</f>
        <v>30</v>
      </c>
      <c r="K47">
        <v>70</v>
      </c>
    </row>
    <row r="48" spans="1:11">
      <c r="A48" s="1">
        <v>45540</v>
      </c>
      <c r="B48">
        <v>49.8</v>
      </c>
      <c r="C48">
        <f t="shared" si="0"/>
        <v>-0.16000000000000369</v>
      </c>
      <c r="D48">
        <f t="shared" si="1"/>
        <v>0</v>
      </c>
      <c r="E48">
        <f t="shared" si="2"/>
        <v>0.16000000000000369</v>
      </c>
      <c r="F48">
        <f t="shared" si="5"/>
        <v>0.3499530376492942</v>
      </c>
      <c r="G48">
        <f t="shared" si="6"/>
        <v>0.21933520814488552</v>
      </c>
      <c r="H48">
        <f t="shared" si="3"/>
        <v>1.5955169286735165</v>
      </c>
      <c r="I48">
        <f t="shared" si="4"/>
        <v>61.472029369075734</v>
      </c>
      <c r="J48">
        <f>30</f>
        <v>30</v>
      </c>
      <c r="K48">
        <v>70</v>
      </c>
    </row>
    <row r="49" spans="1:11">
      <c r="A49" s="1">
        <v>45541</v>
      </c>
      <c r="B49">
        <v>48.7</v>
      </c>
      <c r="C49">
        <f t="shared" si="0"/>
        <v>-1.0999999999999943</v>
      </c>
      <c r="D49">
        <f t="shared" si="1"/>
        <v>0</v>
      </c>
      <c r="E49">
        <f t="shared" si="2"/>
        <v>1.0999999999999943</v>
      </c>
      <c r="F49">
        <f t="shared" si="5"/>
        <v>0.32495639210291605</v>
      </c>
      <c r="G49">
        <f t="shared" si="6"/>
        <v>0.28223983613453613</v>
      </c>
      <c r="H49">
        <f t="shared" si="3"/>
        <v>1.1513484295959486</v>
      </c>
      <c r="I49">
        <f t="shared" si="4"/>
        <v>53.517524811738049</v>
      </c>
      <c r="J49">
        <f>30</f>
        <v>30</v>
      </c>
      <c r="K49">
        <v>70</v>
      </c>
    </row>
    <row r="50" spans="1:11">
      <c r="A50" s="1">
        <v>45544</v>
      </c>
      <c r="B50">
        <v>48.5</v>
      </c>
      <c r="C50">
        <f t="shared" si="0"/>
        <v>-0.20000000000000284</v>
      </c>
      <c r="D50">
        <f t="shared" si="1"/>
        <v>0</v>
      </c>
      <c r="E50">
        <f t="shared" si="2"/>
        <v>0.20000000000000284</v>
      </c>
      <c r="F50">
        <f t="shared" si="5"/>
        <v>0.30174522123842207</v>
      </c>
      <c r="G50">
        <f t="shared" si="6"/>
        <v>0.27636556212492663</v>
      </c>
      <c r="H50">
        <f t="shared" si="3"/>
        <v>1.0918336529282291</v>
      </c>
      <c r="I50">
        <f t="shared" si="4"/>
        <v>52.195051523329226</v>
      </c>
      <c r="J50">
        <f>30</f>
        <v>30</v>
      </c>
      <c r="K50">
        <v>70</v>
      </c>
    </row>
    <row r="51" spans="1:11">
      <c r="A51" s="1">
        <v>45545</v>
      </c>
      <c r="B51">
        <v>49.28</v>
      </c>
      <c r="C51">
        <f t="shared" si="0"/>
        <v>0.78000000000000114</v>
      </c>
      <c r="D51">
        <f t="shared" si="1"/>
        <v>0.78000000000000114</v>
      </c>
      <c r="E51">
        <f t="shared" si="2"/>
        <v>0</v>
      </c>
      <c r="F51">
        <f t="shared" si="5"/>
        <v>0.33590627686424918</v>
      </c>
      <c r="G51">
        <f t="shared" si="6"/>
        <v>0.25662516483028902</v>
      </c>
      <c r="H51">
        <f t="shared" si="3"/>
        <v>1.3089374032604721</v>
      </c>
      <c r="I51">
        <f t="shared" si="4"/>
        <v>56.690034186812923</v>
      </c>
      <c r="J51">
        <f>30</f>
        <v>30</v>
      </c>
      <c r="K51">
        <v>70</v>
      </c>
    </row>
    <row r="52" spans="1:11">
      <c r="A52" s="1">
        <v>45546</v>
      </c>
      <c r="B52">
        <v>48.59</v>
      </c>
      <c r="C52">
        <f t="shared" si="0"/>
        <v>-0.68999999999999773</v>
      </c>
      <c r="D52">
        <f t="shared" si="1"/>
        <v>0</v>
      </c>
      <c r="E52">
        <f t="shared" si="2"/>
        <v>0.68999999999999773</v>
      </c>
      <c r="F52">
        <f t="shared" si="5"/>
        <v>0.31191297137394569</v>
      </c>
      <c r="G52">
        <f t="shared" si="6"/>
        <v>0.28758051019955388</v>
      </c>
      <c r="H52">
        <f t="shared" si="3"/>
        <v>1.0846109534944053</v>
      </c>
      <c r="I52">
        <f t="shared" si="4"/>
        <v>52.029418327495904</v>
      </c>
      <c r="J52">
        <f>30</f>
        <v>30</v>
      </c>
      <c r="K52">
        <v>70</v>
      </c>
    </row>
    <row r="53" spans="1:11">
      <c r="A53" s="1">
        <v>45547</v>
      </c>
      <c r="B53">
        <v>48.24</v>
      </c>
      <c r="C53">
        <f t="shared" si="0"/>
        <v>-0.35000000000000142</v>
      </c>
      <c r="D53">
        <f t="shared" si="1"/>
        <v>0</v>
      </c>
      <c r="E53">
        <f t="shared" si="2"/>
        <v>0.35000000000000142</v>
      </c>
      <c r="F53">
        <f t="shared" si="5"/>
        <v>0.28963347341866391</v>
      </c>
      <c r="G53">
        <f t="shared" si="6"/>
        <v>0.29203904518530016</v>
      </c>
      <c r="H53">
        <f t="shared" si="3"/>
        <v>0.99176284196823783</v>
      </c>
      <c r="I53">
        <f t="shared" si="4"/>
        <v>49.793219406994702</v>
      </c>
      <c r="J53">
        <f>30</f>
        <v>30</v>
      </c>
      <c r="K53">
        <v>70</v>
      </c>
    </row>
    <row r="54" spans="1:11">
      <c r="A54" s="1">
        <v>45548</v>
      </c>
      <c r="B54">
        <v>49.13</v>
      </c>
      <c r="C54">
        <f t="shared" si="0"/>
        <v>0.89000000000000057</v>
      </c>
      <c r="D54">
        <f t="shared" si="1"/>
        <v>0.89000000000000057</v>
      </c>
      <c r="E54">
        <f t="shared" si="2"/>
        <v>0</v>
      </c>
      <c r="F54">
        <f t="shared" si="5"/>
        <v>0.33251679674590223</v>
      </c>
      <c r="G54">
        <f t="shared" si="6"/>
        <v>0.27117911338635015</v>
      </c>
      <c r="H54">
        <f t="shared" si="3"/>
        <v>1.2261888188717691</v>
      </c>
      <c r="I54">
        <f t="shared" si="4"/>
        <v>55.080180462553969</v>
      </c>
      <c r="J54">
        <f>30</f>
        <v>30</v>
      </c>
      <c r="K54">
        <v>70</v>
      </c>
    </row>
    <row r="55" spans="1:11">
      <c r="A55" s="1">
        <v>45551</v>
      </c>
      <c r="B55">
        <v>49.99</v>
      </c>
      <c r="C55">
        <f t="shared" si="0"/>
        <v>0.85999999999999943</v>
      </c>
      <c r="D55">
        <f t="shared" si="1"/>
        <v>0.85999999999999943</v>
      </c>
      <c r="E55">
        <f t="shared" si="2"/>
        <v>0</v>
      </c>
      <c r="F55">
        <f t="shared" si="5"/>
        <v>0.37019416840690916</v>
      </c>
      <c r="G55">
        <f t="shared" si="6"/>
        <v>0.25180917671589659</v>
      </c>
      <c r="H55">
        <f t="shared" si="3"/>
        <v>1.4701377179139914</v>
      </c>
      <c r="I55">
        <f t="shared" si="4"/>
        <v>59.516427252303536</v>
      </c>
      <c r="J55">
        <f>30</f>
        <v>30</v>
      </c>
      <c r="K55">
        <v>70</v>
      </c>
    </row>
    <row r="56" spans="1:11">
      <c r="A56" s="1">
        <v>45552</v>
      </c>
      <c r="B56">
        <v>49.49</v>
      </c>
      <c r="C56">
        <f t="shared" si="0"/>
        <v>-0.5</v>
      </c>
      <c r="D56">
        <f t="shared" si="1"/>
        <v>0</v>
      </c>
      <c r="E56">
        <f t="shared" si="2"/>
        <v>0.5</v>
      </c>
      <c r="F56">
        <f t="shared" si="5"/>
        <v>0.34375172780641566</v>
      </c>
      <c r="G56">
        <f t="shared" si="6"/>
        <v>0.26953709266476111</v>
      </c>
      <c r="H56">
        <f t="shared" si="3"/>
        <v>1.2753410835144667</v>
      </c>
      <c r="I56">
        <f t="shared" si="4"/>
        <v>56.050545245928092</v>
      </c>
      <c r="J56">
        <f>30</f>
        <v>30</v>
      </c>
      <c r="K56">
        <v>70</v>
      </c>
    </row>
    <row r="57" spans="1:11">
      <c r="A57" s="1">
        <v>45553</v>
      </c>
      <c r="B57">
        <v>49.74</v>
      </c>
      <c r="C57">
        <f t="shared" si="0"/>
        <v>0.25</v>
      </c>
      <c r="D57">
        <f t="shared" si="1"/>
        <v>0.25</v>
      </c>
      <c r="E57">
        <f t="shared" si="2"/>
        <v>0</v>
      </c>
      <c r="F57">
        <f t="shared" si="5"/>
        <v>0.33705517582024314</v>
      </c>
      <c r="G57">
        <f t="shared" si="6"/>
        <v>0.25028444318870674</v>
      </c>
      <c r="H57">
        <f t="shared" si="3"/>
        <v>1.3466884778216677</v>
      </c>
      <c r="I57">
        <f t="shared" si="4"/>
        <v>57.386759706245378</v>
      </c>
      <c r="J57">
        <f>30</f>
        <v>30</v>
      </c>
      <c r="K57">
        <v>70</v>
      </c>
    </row>
    <row r="58" spans="1:11">
      <c r="A58" s="1">
        <v>45554</v>
      </c>
      <c r="B58">
        <v>49.02</v>
      </c>
      <c r="C58">
        <f t="shared" si="0"/>
        <v>-0.71999999999999886</v>
      </c>
      <c r="D58">
        <f t="shared" si="1"/>
        <v>0</v>
      </c>
      <c r="E58">
        <f t="shared" si="2"/>
        <v>0.71999999999999886</v>
      </c>
      <c r="F58">
        <f t="shared" si="5"/>
        <v>0.31297980611879722</v>
      </c>
      <c r="G58">
        <f t="shared" si="6"/>
        <v>0.2838355543895133</v>
      </c>
      <c r="H58">
        <f t="shared" si="3"/>
        <v>1.1026800599099318</v>
      </c>
      <c r="I58">
        <f t="shared" si="4"/>
        <v>52.441647254559733</v>
      </c>
      <c r="J58">
        <f>30</f>
        <v>30</v>
      </c>
      <c r="K58">
        <v>70</v>
      </c>
    </row>
    <row r="59" spans="1:11">
      <c r="A59" s="1">
        <v>45555</v>
      </c>
      <c r="B59">
        <v>49.41</v>
      </c>
      <c r="C59">
        <f t="shared" si="0"/>
        <v>0.38999999999999346</v>
      </c>
      <c r="D59">
        <f t="shared" si="1"/>
        <v>0.38999999999999346</v>
      </c>
      <c r="E59">
        <f t="shared" si="2"/>
        <v>0</v>
      </c>
      <c r="F59">
        <f t="shared" si="5"/>
        <v>0.31848124853888266</v>
      </c>
      <c r="G59">
        <f t="shared" si="6"/>
        <v>0.2635615862188338</v>
      </c>
      <c r="H59">
        <f t="shared" si="3"/>
        <v>1.2083750637107236</v>
      </c>
      <c r="I59">
        <f t="shared" si="4"/>
        <v>54.717836818909554</v>
      </c>
      <c r="J59">
        <f>30</f>
        <v>30</v>
      </c>
      <c r="K59">
        <v>70</v>
      </c>
    </row>
    <row r="60" spans="1:11">
      <c r="A60" s="1">
        <v>45558</v>
      </c>
      <c r="B60">
        <v>50.01</v>
      </c>
      <c r="C60">
        <f t="shared" si="0"/>
        <v>0.60000000000000142</v>
      </c>
      <c r="D60">
        <f t="shared" si="1"/>
        <v>0.60000000000000142</v>
      </c>
      <c r="E60">
        <f t="shared" si="2"/>
        <v>0</v>
      </c>
      <c r="F60">
        <f t="shared" si="5"/>
        <v>0.33858973078610538</v>
      </c>
      <c r="G60">
        <f t="shared" si="6"/>
        <v>0.24473575863177424</v>
      </c>
      <c r="H60">
        <f t="shared" si="3"/>
        <v>1.3834910463392578</v>
      </c>
      <c r="I60">
        <f t="shared" si="4"/>
        <v>58.044734359884671</v>
      </c>
      <c r="J60">
        <f>30</f>
        <v>30</v>
      </c>
      <c r="K60">
        <v>70</v>
      </c>
    </row>
    <row r="61" spans="1:11">
      <c r="A61" s="1">
        <v>45559</v>
      </c>
      <c r="B61">
        <v>50.94</v>
      </c>
      <c r="C61">
        <f t="shared" si="0"/>
        <v>0.92999999999999972</v>
      </c>
      <c r="D61">
        <f t="shared" si="1"/>
        <v>0.92999999999999972</v>
      </c>
      <c r="E61">
        <f t="shared" si="2"/>
        <v>0</v>
      </c>
      <c r="F61">
        <f t="shared" si="5"/>
        <v>0.38083332144424065</v>
      </c>
      <c r="G61">
        <f t="shared" si="6"/>
        <v>0.22725463301521895</v>
      </c>
      <c r="H61">
        <f t="shared" si="3"/>
        <v>1.6758000327268872</v>
      </c>
      <c r="I61">
        <f t="shared" si="4"/>
        <v>62.627999560157427</v>
      </c>
      <c r="J61">
        <f>30</f>
        <v>30</v>
      </c>
      <c r="K61">
        <v>70</v>
      </c>
    </row>
    <row r="62" spans="1:11">
      <c r="A62" s="1">
        <v>45560</v>
      </c>
      <c r="B62">
        <v>49.95</v>
      </c>
      <c r="C62">
        <f t="shared" si="0"/>
        <v>-0.98999999999999488</v>
      </c>
      <c r="D62">
        <f t="shared" si="1"/>
        <v>0</v>
      </c>
      <c r="E62">
        <f t="shared" si="2"/>
        <v>0.98999999999999488</v>
      </c>
      <c r="F62">
        <f t="shared" si="5"/>
        <v>0.35363094134108058</v>
      </c>
      <c r="G62">
        <f t="shared" si="6"/>
        <v>0.28173644494270295</v>
      </c>
      <c r="H62">
        <f t="shared" si="3"/>
        <v>1.255183515263703</v>
      </c>
      <c r="I62">
        <f t="shared" si="4"/>
        <v>55.657710637217562</v>
      </c>
      <c r="J62">
        <f>30</f>
        <v>30</v>
      </c>
      <c r="K62">
        <v>70</v>
      </c>
    </row>
    <row r="63" spans="1:11">
      <c r="A63" s="1">
        <v>45561</v>
      </c>
      <c r="B63">
        <v>50.12</v>
      </c>
      <c r="C63">
        <f t="shared" si="0"/>
        <v>0.1699999999999946</v>
      </c>
      <c r="D63">
        <f t="shared" si="1"/>
        <v>0.1699999999999946</v>
      </c>
      <c r="E63">
        <f t="shared" si="2"/>
        <v>0</v>
      </c>
      <c r="F63">
        <f t="shared" si="5"/>
        <v>0.34051444553100302</v>
      </c>
      <c r="G63">
        <f t="shared" si="6"/>
        <v>0.2616124131610813</v>
      </c>
      <c r="H63">
        <f t="shared" si="3"/>
        <v>1.3015989624366171</v>
      </c>
      <c r="I63">
        <f t="shared" si="4"/>
        <v>56.5519442648107</v>
      </c>
      <c r="J63">
        <f>30</f>
        <v>30</v>
      </c>
      <c r="K63">
        <v>70</v>
      </c>
    </row>
    <row r="64" spans="1:11">
      <c r="A64" s="1">
        <v>45562</v>
      </c>
      <c r="B64">
        <v>50.91</v>
      </c>
      <c r="C64">
        <f t="shared" si="0"/>
        <v>0.78999999999999915</v>
      </c>
      <c r="D64">
        <f t="shared" si="1"/>
        <v>0.78999999999999915</v>
      </c>
      <c r="E64">
        <f t="shared" si="2"/>
        <v>0</v>
      </c>
      <c r="F64">
        <f t="shared" si="5"/>
        <v>0.37262055656450277</v>
      </c>
      <c r="G64">
        <f t="shared" si="6"/>
        <v>0.24292581222100407</v>
      </c>
      <c r="H64">
        <f t="shared" si="3"/>
        <v>1.5338862229490362</v>
      </c>
      <c r="I64">
        <f t="shared" si="4"/>
        <v>60.534928879475856</v>
      </c>
      <c r="J64">
        <f>30</f>
        <v>30</v>
      </c>
      <c r="K64">
        <v>70</v>
      </c>
    </row>
    <row r="65" spans="1:11">
      <c r="A65" s="1">
        <v>45565</v>
      </c>
      <c r="B65">
        <v>51.74</v>
      </c>
      <c r="C65">
        <f t="shared" si="0"/>
        <v>0.8300000000000054</v>
      </c>
      <c r="D65">
        <f t="shared" si="1"/>
        <v>0.8300000000000054</v>
      </c>
      <c r="E65">
        <f t="shared" si="2"/>
        <v>0</v>
      </c>
      <c r="F65">
        <f t="shared" si="5"/>
        <v>0.40529051680989581</v>
      </c>
      <c r="G65">
        <f t="shared" si="6"/>
        <v>0.22557396849093234</v>
      </c>
      <c r="H65">
        <f t="shared" si="3"/>
        <v>1.7967078361091464</v>
      </c>
      <c r="I65">
        <f t="shared" si="4"/>
        <v>64.24367296831312</v>
      </c>
      <c r="J65">
        <f>30</f>
        <v>30</v>
      </c>
      <c r="K65">
        <v>70</v>
      </c>
    </row>
    <row r="66" spans="1:11">
      <c r="A66" s="1">
        <v>45566</v>
      </c>
      <c r="B66">
        <v>52.9</v>
      </c>
      <c r="C66">
        <f t="shared" si="0"/>
        <v>1.1599999999999966</v>
      </c>
      <c r="D66">
        <f t="shared" si="1"/>
        <v>1.1599999999999966</v>
      </c>
      <c r="E66">
        <f t="shared" si="2"/>
        <v>0</v>
      </c>
      <c r="F66">
        <f t="shared" si="5"/>
        <v>0.45919833703776014</v>
      </c>
      <c r="G66">
        <f t="shared" si="6"/>
        <v>0.20946154217015148</v>
      </c>
      <c r="H66">
        <f t="shared" si="3"/>
        <v>2.1922799396976678</v>
      </c>
      <c r="I66">
        <f t="shared" si="4"/>
        <v>68.674426463529159</v>
      </c>
      <c r="J66">
        <f>30</f>
        <v>30</v>
      </c>
      <c r="K66">
        <v>70</v>
      </c>
    </row>
    <row r="67" spans="1:11">
      <c r="A67" s="1">
        <v>45567</v>
      </c>
      <c r="B67">
        <v>53.76</v>
      </c>
      <c r="C67">
        <f t="shared" si="0"/>
        <v>0.85999999999999943</v>
      </c>
      <c r="D67">
        <f t="shared" si="1"/>
        <v>0.85999999999999943</v>
      </c>
      <c r="E67">
        <f t="shared" si="2"/>
        <v>0</v>
      </c>
      <c r="F67">
        <f t="shared" si="5"/>
        <v>0.48782702724934868</v>
      </c>
      <c r="G67">
        <f t="shared" si="6"/>
        <v>0.1945000034437121</v>
      </c>
      <c r="H67">
        <f t="shared" si="3"/>
        <v>2.5081080648439413</v>
      </c>
      <c r="I67">
        <f t="shared" si="4"/>
        <v>71.494606736281227</v>
      </c>
      <c r="J67">
        <f>30</f>
        <v>30</v>
      </c>
      <c r="K67">
        <v>70</v>
      </c>
    </row>
    <row r="68" spans="1:11">
      <c r="A68" s="1">
        <v>45568</v>
      </c>
      <c r="B68">
        <v>54.2</v>
      </c>
      <c r="C68">
        <f t="shared" ref="C68:C131" si="7">B68-B67</f>
        <v>0.44000000000000483</v>
      </c>
      <c r="D68">
        <f t="shared" ref="D68:D131" si="8">IF(C68&gt;0,C68,0)</f>
        <v>0.44000000000000483</v>
      </c>
      <c r="E68">
        <f t="shared" ref="E68:E131" si="9">IF(C68&lt;0,-C68,0)</f>
        <v>0</v>
      </c>
      <c r="F68">
        <f t="shared" si="5"/>
        <v>0.48441081101725264</v>
      </c>
      <c r="G68">
        <f t="shared" si="6"/>
        <v>0.18060714605487552</v>
      </c>
      <c r="H68">
        <f t="shared" si="3"/>
        <v>2.6821242769102263</v>
      </c>
      <c r="I68">
        <f t="shared" si="4"/>
        <v>72.841764025435666</v>
      </c>
      <c r="J68">
        <f>30</f>
        <v>30</v>
      </c>
      <c r="K68">
        <v>70</v>
      </c>
    </row>
    <row r="69" spans="1:11">
      <c r="A69" s="1">
        <v>45569</v>
      </c>
      <c r="B69">
        <v>53.96</v>
      </c>
      <c r="C69">
        <f t="shared" si="7"/>
        <v>-0.24000000000000199</v>
      </c>
      <c r="D69">
        <f t="shared" si="8"/>
        <v>0</v>
      </c>
      <c r="E69">
        <f t="shared" si="9"/>
        <v>0.24000000000000199</v>
      </c>
      <c r="F69">
        <f t="shared" si="5"/>
        <v>0.44981003880173459</v>
      </c>
      <c r="G69">
        <f t="shared" si="6"/>
        <v>0.18484949276524171</v>
      </c>
      <c r="H69">
        <f t="shared" si="3"/>
        <v>2.4333853021332983</v>
      </c>
      <c r="I69">
        <f t="shared" si="4"/>
        <v>70.874227271298082</v>
      </c>
      <c r="J69">
        <f>30</f>
        <v>30</v>
      </c>
      <c r="K69">
        <v>70</v>
      </c>
    </row>
    <row r="70" spans="1:11">
      <c r="A70" s="1">
        <v>45572</v>
      </c>
      <c r="B70">
        <v>53.44</v>
      </c>
      <c r="C70">
        <f t="shared" si="7"/>
        <v>-0.52000000000000313</v>
      </c>
      <c r="D70">
        <f t="shared" si="8"/>
        <v>0</v>
      </c>
      <c r="E70">
        <f t="shared" si="9"/>
        <v>0.52000000000000313</v>
      </c>
      <c r="F70">
        <f t="shared" si="5"/>
        <v>0.41768075031589641</v>
      </c>
      <c r="G70">
        <f t="shared" si="6"/>
        <v>0.2087888147105818</v>
      </c>
      <c r="H70">
        <f t="shared" si="3"/>
        <v>2.0004939004748685</v>
      </c>
      <c r="I70">
        <f t="shared" si="4"/>
        <v>66.672153546396601</v>
      </c>
      <c r="J70">
        <f>30</f>
        <v>30</v>
      </c>
      <c r="K70">
        <v>70</v>
      </c>
    </row>
    <row r="71" spans="1:11">
      <c r="A71" s="1">
        <v>45573</v>
      </c>
      <c r="B71">
        <v>52.48</v>
      </c>
      <c r="C71">
        <f t="shared" si="7"/>
        <v>-0.96000000000000085</v>
      </c>
      <c r="D71">
        <f t="shared" si="8"/>
        <v>0</v>
      </c>
      <c r="E71">
        <f t="shared" si="9"/>
        <v>0.96000000000000085</v>
      </c>
      <c r="F71">
        <f t="shared" si="5"/>
        <v>0.38784641100761813</v>
      </c>
      <c r="G71">
        <f t="shared" si="6"/>
        <v>0.26244675651696886</v>
      </c>
      <c r="H71">
        <f t="shared" si="3"/>
        <v>1.4778098847738719</v>
      </c>
      <c r="I71">
        <f t="shared" si="4"/>
        <v>59.641778566426964</v>
      </c>
      <c r="J71">
        <f>30</f>
        <v>30</v>
      </c>
      <c r="K71">
        <v>70</v>
      </c>
    </row>
    <row r="72" spans="1:11">
      <c r="A72" s="1">
        <v>45574</v>
      </c>
      <c r="B72">
        <v>52.8</v>
      </c>
      <c r="C72">
        <f t="shared" si="7"/>
        <v>0.32000000000000028</v>
      </c>
      <c r="D72">
        <f t="shared" si="8"/>
        <v>0.32000000000000028</v>
      </c>
      <c r="E72">
        <f t="shared" si="9"/>
        <v>0</v>
      </c>
      <c r="F72">
        <f t="shared" si="5"/>
        <v>0.38300023879278827</v>
      </c>
      <c r="G72">
        <f t="shared" si="6"/>
        <v>0.24370055962289966</v>
      </c>
      <c r="H72">
        <f t="shared" si="3"/>
        <v>1.5716018025787051</v>
      </c>
      <c r="I72">
        <f t="shared" si="4"/>
        <v>61.113730788443306</v>
      </c>
      <c r="J72">
        <f>30</f>
        <v>30</v>
      </c>
      <c r="K72">
        <v>70</v>
      </c>
    </row>
    <row r="73" spans="1:11">
      <c r="A73" s="1">
        <v>45575</v>
      </c>
      <c r="B73">
        <v>52.4</v>
      </c>
      <c r="C73">
        <f t="shared" si="7"/>
        <v>-0.39999999999999858</v>
      </c>
      <c r="D73">
        <f t="shared" si="8"/>
        <v>0</v>
      </c>
      <c r="E73">
        <f t="shared" si="9"/>
        <v>0.39999999999999858</v>
      </c>
      <c r="F73">
        <f t="shared" si="5"/>
        <v>0.35564307887901769</v>
      </c>
      <c r="G73">
        <f t="shared" si="6"/>
        <v>0.25486480536412104</v>
      </c>
      <c r="H73">
        <f t="shared" si="3"/>
        <v>1.3954185567949111</v>
      </c>
      <c r="I73">
        <f t="shared" si="4"/>
        <v>58.253642263755026</v>
      </c>
      <c r="J73">
        <f>30</f>
        <v>30</v>
      </c>
      <c r="K73">
        <v>70</v>
      </c>
    </row>
    <row r="74" spans="1:11">
      <c r="A74" s="1">
        <v>45576</v>
      </c>
      <c r="B74">
        <v>52.2</v>
      </c>
      <c r="C74">
        <f t="shared" si="7"/>
        <v>-0.19999999999999574</v>
      </c>
      <c r="D74">
        <f t="shared" si="8"/>
        <v>0</v>
      </c>
      <c r="E74">
        <f t="shared" si="9"/>
        <v>0.19999999999999574</v>
      </c>
      <c r="F74">
        <f t="shared" si="5"/>
        <v>0.3302400018162307</v>
      </c>
      <c r="G74">
        <f t="shared" si="6"/>
        <v>0.25094589069525497</v>
      </c>
      <c r="H74">
        <f t="shared" si="3"/>
        <v>1.3159809108700224</v>
      </c>
      <c r="I74">
        <f t="shared" si="4"/>
        <v>56.821751193780806</v>
      </c>
      <c r="J74">
        <f>30</f>
        <v>30</v>
      </c>
      <c r="K74">
        <v>70</v>
      </c>
    </row>
    <row r="75" spans="1:11">
      <c r="A75" s="1">
        <v>45579</v>
      </c>
      <c r="B75">
        <v>52.67</v>
      </c>
      <c r="C75">
        <f t="shared" si="7"/>
        <v>0.46999999999999886</v>
      </c>
      <c r="D75">
        <f t="shared" si="8"/>
        <v>0.46999999999999886</v>
      </c>
      <c r="E75">
        <f t="shared" si="9"/>
        <v>0</v>
      </c>
      <c r="F75">
        <f t="shared" si="5"/>
        <v>0.34022285882935704</v>
      </c>
      <c r="G75">
        <f t="shared" si="6"/>
        <v>0.23302118421702248</v>
      </c>
      <c r="H75">
        <f t="shared" si="3"/>
        <v>1.4600511965147904</v>
      </c>
      <c r="I75">
        <f t="shared" si="4"/>
        <v>59.350439477978242</v>
      </c>
      <c r="J75">
        <f>30</f>
        <v>30</v>
      </c>
      <c r="K75">
        <v>70</v>
      </c>
    </row>
    <row r="76" spans="1:11">
      <c r="A76" s="1">
        <v>45580</v>
      </c>
      <c r="B76">
        <v>52.76</v>
      </c>
      <c r="C76">
        <f t="shared" si="7"/>
        <v>8.9999999999996305E-2</v>
      </c>
      <c r="D76">
        <f t="shared" si="8"/>
        <v>8.9999999999996305E-2</v>
      </c>
      <c r="E76">
        <f t="shared" si="9"/>
        <v>0</v>
      </c>
      <c r="F76">
        <f t="shared" si="5"/>
        <v>0.32234979748440268</v>
      </c>
      <c r="G76">
        <f t="shared" si="6"/>
        <v>0.2163768139158066</v>
      </c>
      <c r="H76">
        <f t="shared" si="3"/>
        <v>1.4897612717868687</v>
      </c>
      <c r="I76">
        <f t="shared" si="4"/>
        <v>59.835506667580489</v>
      </c>
      <c r="J76">
        <f>30</f>
        <v>30</v>
      </c>
      <c r="K76">
        <v>70</v>
      </c>
    </row>
    <row r="77" spans="1:11">
      <c r="A77" s="1">
        <v>45581</v>
      </c>
      <c r="B77">
        <v>53.37</v>
      </c>
      <c r="C77">
        <f t="shared" si="7"/>
        <v>0.60999999999999943</v>
      </c>
      <c r="D77">
        <f t="shared" si="8"/>
        <v>0.60999999999999943</v>
      </c>
      <c r="E77">
        <f t="shared" si="9"/>
        <v>0</v>
      </c>
      <c r="F77">
        <f t="shared" si="5"/>
        <v>0.34289624052123102</v>
      </c>
      <c r="G77">
        <f t="shared" si="6"/>
        <v>0.20092132720753469</v>
      </c>
      <c r="H77">
        <f t="shared" si="3"/>
        <v>1.7066194280463232</v>
      </c>
      <c r="I77">
        <f t="shared" si="4"/>
        <v>63.053542376963783</v>
      </c>
      <c r="J77">
        <f>30</f>
        <v>30</v>
      </c>
      <c r="K77">
        <v>70</v>
      </c>
    </row>
    <row r="78" spans="1:11">
      <c r="A78" s="1">
        <v>45582</v>
      </c>
      <c r="B78">
        <v>53.18</v>
      </c>
      <c r="C78">
        <f t="shared" si="7"/>
        <v>-0.18999999999999773</v>
      </c>
      <c r="D78">
        <f t="shared" si="8"/>
        <v>0</v>
      </c>
      <c r="E78">
        <f t="shared" si="9"/>
        <v>0.18999999999999773</v>
      </c>
      <c r="F78">
        <f t="shared" si="5"/>
        <v>0.31840365191257164</v>
      </c>
      <c r="G78">
        <f t="shared" si="6"/>
        <v>0.20014123240699636</v>
      </c>
      <c r="H78">
        <f t="shared" si="3"/>
        <v>1.5908948300322407</v>
      </c>
      <c r="I78">
        <f t="shared" si="4"/>
        <v>61.40329632802748</v>
      </c>
      <c r="J78">
        <f>30</f>
        <v>30</v>
      </c>
      <c r="K78">
        <v>70</v>
      </c>
    </row>
    <row r="79" spans="1:11">
      <c r="A79" s="1">
        <v>45583</v>
      </c>
      <c r="B79">
        <v>53.22</v>
      </c>
      <c r="C79">
        <f t="shared" si="7"/>
        <v>3.9999999999999147E-2</v>
      </c>
      <c r="D79">
        <f t="shared" si="8"/>
        <v>3.9999999999999147E-2</v>
      </c>
      <c r="E79">
        <f t="shared" si="9"/>
        <v>0</v>
      </c>
      <c r="F79">
        <f t="shared" si="5"/>
        <v>0.29851767677595931</v>
      </c>
      <c r="G79">
        <f t="shared" si="6"/>
        <v>0.18584543009221091</v>
      </c>
      <c r="H79">
        <f t="shared" si="3"/>
        <v>1.6062685890519008</v>
      </c>
      <c r="I79">
        <f t="shared" si="4"/>
        <v>61.630969110371829</v>
      </c>
      <c r="J79">
        <f>30</f>
        <v>30</v>
      </c>
      <c r="K79">
        <v>70</v>
      </c>
    </row>
    <row r="80" spans="1:11">
      <c r="A80" s="1">
        <v>45586</v>
      </c>
      <c r="B80">
        <v>52.12</v>
      </c>
      <c r="C80">
        <f t="shared" si="7"/>
        <v>-1.1000000000000014</v>
      </c>
      <c r="D80">
        <f t="shared" si="8"/>
        <v>0</v>
      </c>
      <c r="E80">
        <f t="shared" si="9"/>
        <v>1.1000000000000014</v>
      </c>
      <c r="F80">
        <f t="shared" si="5"/>
        <v>0.27719498557767647</v>
      </c>
      <c r="G80">
        <f t="shared" si="6"/>
        <v>0.25114218508562453</v>
      </c>
      <c r="H80">
        <f t="shared" si="3"/>
        <v>1.1037372533936085</v>
      </c>
      <c r="I80">
        <f t="shared" si="4"/>
        <v>52.46554680785983</v>
      </c>
      <c r="J80">
        <f>30</f>
        <v>30</v>
      </c>
      <c r="K80">
        <v>70</v>
      </c>
    </row>
    <row r="81" spans="1:11">
      <c r="A81" s="1">
        <v>45587</v>
      </c>
      <c r="B81">
        <v>52.76</v>
      </c>
      <c r="C81">
        <f t="shared" si="7"/>
        <v>0.64000000000000057</v>
      </c>
      <c r="D81">
        <f t="shared" si="8"/>
        <v>0.64000000000000057</v>
      </c>
      <c r="E81">
        <f t="shared" si="9"/>
        <v>0</v>
      </c>
      <c r="F81">
        <f t="shared" si="5"/>
        <v>0.30310962946498538</v>
      </c>
      <c r="G81">
        <f t="shared" si="6"/>
        <v>0.2332034575795085</v>
      </c>
      <c r="H81">
        <f t="shared" ref="H81:H144" si="10">F81/G81</f>
        <v>1.2997647316684533</v>
      </c>
      <c r="I81">
        <f t="shared" ref="I81:I144" si="11">IF(H81=0,100,100-(100/(1+H81)))</f>
        <v>56.517291258984081</v>
      </c>
      <c r="J81">
        <f>30</f>
        <v>30</v>
      </c>
      <c r="K81">
        <v>70</v>
      </c>
    </row>
    <row r="82" spans="1:11">
      <c r="A82" s="1">
        <v>45588</v>
      </c>
      <c r="B82">
        <v>53.06</v>
      </c>
      <c r="C82">
        <f t="shared" si="7"/>
        <v>0.30000000000000426</v>
      </c>
      <c r="D82">
        <f t="shared" si="8"/>
        <v>0.30000000000000426</v>
      </c>
      <c r="E82">
        <f t="shared" si="9"/>
        <v>0</v>
      </c>
      <c r="F82">
        <f t="shared" ref="F82:F145" si="12">((F81*13)+D82)/14</f>
        <v>0.30288751307462958</v>
      </c>
      <c r="G82">
        <f t="shared" ref="G82:G145" si="13">((G81*13)+E82)/14</f>
        <v>0.21654606775240073</v>
      </c>
      <c r="H82">
        <f t="shared" si="10"/>
        <v>1.3987209106052751</v>
      </c>
      <c r="I82">
        <f t="shared" si="11"/>
        <v>58.311115078924814</v>
      </c>
      <c r="J82">
        <f>30</f>
        <v>30</v>
      </c>
      <c r="K82">
        <v>70</v>
      </c>
    </row>
    <row r="83" spans="1:11">
      <c r="A83" s="1">
        <v>45589</v>
      </c>
      <c r="B83">
        <v>52.92</v>
      </c>
      <c r="C83">
        <f t="shared" si="7"/>
        <v>-0.14000000000000057</v>
      </c>
      <c r="D83">
        <f t="shared" si="8"/>
        <v>0</v>
      </c>
      <c r="E83">
        <f t="shared" si="9"/>
        <v>0.14000000000000057</v>
      </c>
      <c r="F83">
        <f t="shared" si="12"/>
        <v>0.28125269071215603</v>
      </c>
      <c r="G83">
        <f t="shared" si="13"/>
        <v>0.21107849148437216</v>
      </c>
      <c r="H83">
        <f t="shared" si="10"/>
        <v>1.3324554706369949</v>
      </c>
      <c r="I83">
        <f t="shared" si="11"/>
        <v>57.126727065580397</v>
      </c>
      <c r="J83">
        <f>30</f>
        <v>30</v>
      </c>
      <c r="K83">
        <v>70</v>
      </c>
    </row>
    <row r="84" spans="1:11">
      <c r="A84" s="1">
        <v>45590</v>
      </c>
      <c r="B84">
        <v>51.92</v>
      </c>
      <c r="C84">
        <f t="shared" si="7"/>
        <v>-1</v>
      </c>
      <c r="D84">
        <f t="shared" si="8"/>
        <v>0</v>
      </c>
      <c r="E84">
        <f t="shared" si="9"/>
        <v>1</v>
      </c>
      <c r="F84">
        <f t="shared" si="12"/>
        <v>0.2611632128041449</v>
      </c>
      <c r="G84">
        <f t="shared" si="13"/>
        <v>0.26743002780691699</v>
      </c>
      <c r="H84">
        <f t="shared" si="10"/>
        <v>0.97656652450675174</v>
      </c>
      <c r="I84">
        <f t="shared" si="11"/>
        <v>49.407217637182846</v>
      </c>
      <c r="J84">
        <f>30</f>
        <v>30</v>
      </c>
      <c r="K84">
        <v>70</v>
      </c>
    </row>
    <row r="85" spans="1:11">
      <c r="A85" s="1">
        <v>45593</v>
      </c>
      <c r="B85">
        <v>52.64</v>
      </c>
      <c r="C85">
        <f t="shared" si="7"/>
        <v>0.71999999999999886</v>
      </c>
      <c r="D85">
        <f t="shared" si="8"/>
        <v>0.71999999999999886</v>
      </c>
      <c r="E85">
        <f t="shared" si="9"/>
        <v>0</v>
      </c>
      <c r="F85">
        <f t="shared" si="12"/>
        <v>0.29393726903242012</v>
      </c>
      <c r="G85">
        <f t="shared" si="13"/>
        <v>0.24832788296356578</v>
      </c>
      <c r="H85">
        <f t="shared" si="10"/>
        <v>1.1836659883882072</v>
      </c>
      <c r="I85">
        <f t="shared" si="11"/>
        <v>54.205450590082542</v>
      </c>
      <c r="J85">
        <f>30</f>
        <v>30</v>
      </c>
      <c r="K85">
        <v>70</v>
      </c>
    </row>
    <row r="86" spans="1:11">
      <c r="A86" s="1">
        <v>45594</v>
      </c>
      <c r="B86">
        <v>52.5</v>
      </c>
      <c r="C86">
        <f t="shared" si="7"/>
        <v>-0.14000000000000057</v>
      </c>
      <c r="D86">
        <f t="shared" si="8"/>
        <v>0</v>
      </c>
      <c r="E86">
        <f t="shared" si="9"/>
        <v>0.14000000000000057</v>
      </c>
      <c r="F86">
        <f t="shared" si="12"/>
        <v>0.2729417498158187</v>
      </c>
      <c r="G86">
        <f t="shared" si="13"/>
        <v>0.24059017703759686</v>
      </c>
      <c r="H86">
        <f t="shared" si="10"/>
        <v>1.1344675546465319</v>
      </c>
      <c r="I86">
        <f t="shared" si="11"/>
        <v>53.149908611958267</v>
      </c>
      <c r="J86">
        <f>30</f>
        <v>30</v>
      </c>
      <c r="K86">
        <v>70</v>
      </c>
    </row>
    <row r="87" spans="1:11">
      <c r="A87" s="1">
        <v>45595</v>
      </c>
      <c r="B87">
        <v>52.66</v>
      </c>
      <c r="C87">
        <f t="shared" si="7"/>
        <v>0.15999999999999659</v>
      </c>
      <c r="D87">
        <f t="shared" si="8"/>
        <v>0.15999999999999659</v>
      </c>
      <c r="E87">
        <f t="shared" si="9"/>
        <v>0</v>
      </c>
      <c r="F87">
        <f t="shared" si="12"/>
        <v>0.26487448197183144</v>
      </c>
      <c r="G87">
        <f t="shared" si="13"/>
        <v>0.22340516439205424</v>
      </c>
      <c r="H87">
        <f t="shared" si="10"/>
        <v>1.1856238090673794</v>
      </c>
      <c r="I87">
        <f t="shared" si="11"/>
        <v>54.24647206663132</v>
      </c>
      <c r="J87">
        <f>30</f>
        <v>30</v>
      </c>
      <c r="K87">
        <v>70</v>
      </c>
    </row>
    <row r="88" spans="1:11">
      <c r="A88" s="1">
        <v>45596</v>
      </c>
      <c r="B88">
        <v>55.77</v>
      </c>
      <c r="C88">
        <f t="shared" si="7"/>
        <v>3.1100000000000065</v>
      </c>
      <c r="D88">
        <f t="shared" si="8"/>
        <v>3.1100000000000065</v>
      </c>
      <c r="E88">
        <f t="shared" si="9"/>
        <v>0</v>
      </c>
      <c r="F88">
        <f t="shared" si="12"/>
        <v>0.46809773325955822</v>
      </c>
      <c r="G88">
        <f t="shared" si="13"/>
        <v>0.20744765264976464</v>
      </c>
      <c r="H88">
        <f t="shared" si="10"/>
        <v>2.2564619424730297</v>
      </c>
      <c r="I88">
        <f t="shared" si="11"/>
        <v>69.291825985825042</v>
      </c>
      <c r="J88">
        <f>30</f>
        <v>30</v>
      </c>
      <c r="K88">
        <v>70</v>
      </c>
    </row>
    <row r="89" spans="1:11">
      <c r="A89" s="1">
        <v>45597</v>
      </c>
      <c r="B89">
        <v>54.32</v>
      </c>
      <c r="C89">
        <f t="shared" si="7"/>
        <v>-1.4500000000000028</v>
      </c>
      <c r="D89">
        <f t="shared" si="8"/>
        <v>0</v>
      </c>
      <c r="E89">
        <f t="shared" si="9"/>
        <v>1.4500000000000028</v>
      </c>
      <c r="F89">
        <f t="shared" si="12"/>
        <v>0.43466218088387548</v>
      </c>
      <c r="G89">
        <f t="shared" si="13"/>
        <v>0.29620139174621024</v>
      </c>
      <c r="H89">
        <f t="shared" si="10"/>
        <v>1.4674548904763436</v>
      </c>
      <c r="I89">
        <f t="shared" si="11"/>
        <v>59.47241005865159</v>
      </c>
      <c r="J89">
        <f>30</f>
        <v>30</v>
      </c>
      <c r="K89">
        <v>70</v>
      </c>
    </row>
    <row r="90" spans="1:11">
      <c r="A90" s="1">
        <v>45600</v>
      </c>
      <c r="B90">
        <v>55.45</v>
      </c>
      <c r="C90">
        <f t="shared" si="7"/>
        <v>1.1300000000000026</v>
      </c>
      <c r="D90">
        <f t="shared" si="8"/>
        <v>1.1300000000000026</v>
      </c>
      <c r="E90">
        <f t="shared" si="9"/>
        <v>0</v>
      </c>
      <c r="F90">
        <f t="shared" si="12"/>
        <v>0.48432916796359882</v>
      </c>
      <c r="G90">
        <f t="shared" si="13"/>
        <v>0.27504414947862382</v>
      </c>
      <c r="H90">
        <f t="shared" si="10"/>
        <v>1.7609142709695791</v>
      </c>
      <c r="I90">
        <f t="shared" si="11"/>
        <v>63.780114054435323</v>
      </c>
      <c r="J90">
        <f>30</f>
        <v>30</v>
      </c>
      <c r="K90">
        <v>70</v>
      </c>
    </row>
    <row r="91" spans="1:11">
      <c r="A91" s="1">
        <v>45601</v>
      </c>
      <c r="B91">
        <v>55.95</v>
      </c>
      <c r="C91">
        <f t="shared" si="7"/>
        <v>0.5</v>
      </c>
      <c r="D91">
        <f t="shared" si="8"/>
        <v>0.5</v>
      </c>
      <c r="E91">
        <f t="shared" si="9"/>
        <v>0</v>
      </c>
      <c r="F91">
        <f t="shared" si="12"/>
        <v>0.48544851310905607</v>
      </c>
      <c r="G91">
        <f t="shared" si="13"/>
        <v>0.25539813880157924</v>
      </c>
      <c r="H91">
        <f t="shared" si="10"/>
        <v>1.9007519607893646</v>
      </c>
      <c r="I91">
        <f t="shared" si="11"/>
        <v>65.5261803312588</v>
      </c>
      <c r="J91">
        <f>30</f>
        <v>30</v>
      </c>
      <c r="K91">
        <v>70</v>
      </c>
    </row>
    <row r="92" spans="1:11">
      <c r="A92" s="1">
        <v>45602</v>
      </c>
      <c r="B92">
        <v>55.28</v>
      </c>
      <c r="C92">
        <f t="shared" si="7"/>
        <v>-0.67000000000000171</v>
      </c>
      <c r="D92">
        <f t="shared" si="8"/>
        <v>0</v>
      </c>
      <c r="E92">
        <f t="shared" si="9"/>
        <v>0.67000000000000171</v>
      </c>
      <c r="F92">
        <f t="shared" si="12"/>
        <v>0.45077361931555204</v>
      </c>
      <c r="G92">
        <f t="shared" si="13"/>
        <v>0.28501255745860943</v>
      </c>
      <c r="H92">
        <f t="shared" si="10"/>
        <v>1.5815921352202702</v>
      </c>
      <c r="I92">
        <f t="shared" si="11"/>
        <v>61.264214189485955</v>
      </c>
      <c r="J92">
        <f>30</f>
        <v>30</v>
      </c>
      <c r="K92">
        <v>70</v>
      </c>
    </row>
    <row r="93" spans="1:11">
      <c r="A93" s="1">
        <v>45603</v>
      </c>
      <c r="B93">
        <v>54.71</v>
      </c>
      <c r="C93">
        <f t="shared" si="7"/>
        <v>-0.57000000000000028</v>
      </c>
      <c r="D93">
        <f t="shared" si="8"/>
        <v>0</v>
      </c>
      <c r="E93">
        <f t="shared" si="9"/>
        <v>0.57000000000000028</v>
      </c>
      <c r="F93">
        <f t="shared" si="12"/>
        <v>0.41857550365015544</v>
      </c>
      <c r="G93">
        <f t="shared" si="13"/>
        <v>0.30536880335442307</v>
      </c>
      <c r="H93">
        <f t="shared" si="10"/>
        <v>1.3707212362630907</v>
      </c>
      <c r="I93">
        <f t="shared" si="11"/>
        <v>57.81874373486967</v>
      </c>
      <c r="J93">
        <f>30</f>
        <v>30</v>
      </c>
      <c r="K93">
        <v>70</v>
      </c>
    </row>
    <row r="94" spans="1:11">
      <c r="A94" s="1">
        <v>45604</v>
      </c>
      <c r="B94">
        <v>54.14</v>
      </c>
      <c r="C94">
        <f t="shared" si="7"/>
        <v>-0.57000000000000028</v>
      </c>
      <c r="D94">
        <f t="shared" si="8"/>
        <v>0</v>
      </c>
      <c r="E94">
        <f t="shared" si="9"/>
        <v>0.57000000000000028</v>
      </c>
      <c r="F94">
        <f t="shared" si="12"/>
        <v>0.3886772533894301</v>
      </c>
      <c r="G94">
        <f t="shared" si="13"/>
        <v>0.32427103168624999</v>
      </c>
      <c r="H94">
        <f t="shared" si="10"/>
        <v>1.1986184870361676</v>
      </c>
      <c r="I94">
        <f t="shared" si="11"/>
        <v>54.516892953627298</v>
      </c>
      <c r="J94">
        <f>30</f>
        <v>30</v>
      </c>
      <c r="K94">
        <v>70</v>
      </c>
    </row>
    <row r="95" spans="1:11">
      <c r="A95" s="1">
        <v>45607</v>
      </c>
      <c r="B95">
        <v>59.82</v>
      </c>
      <c r="C95">
        <f t="shared" si="7"/>
        <v>5.68</v>
      </c>
      <c r="D95">
        <f t="shared" si="8"/>
        <v>5.68</v>
      </c>
      <c r="E95">
        <f t="shared" si="9"/>
        <v>0</v>
      </c>
      <c r="F95">
        <f t="shared" si="12"/>
        <v>0.76662887814732794</v>
      </c>
      <c r="G95">
        <f t="shared" si="13"/>
        <v>0.30110881513723214</v>
      </c>
      <c r="H95">
        <f t="shared" si="10"/>
        <v>2.5460193777386833</v>
      </c>
      <c r="I95">
        <f t="shared" si="11"/>
        <v>71.799364485207477</v>
      </c>
      <c r="J95">
        <f>30</f>
        <v>30</v>
      </c>
      <c r="K95">
        <v>70</v>
      </c>
    </row>
    <row r="96" spans="1:11">
      <c r="A96" s="1">
        <v>45608</v>
      </c>
      <c r="B96">
        <v>59.02</v>
      </c>
      <c r="C96">
        <f t="shared" si="7"/>
        <v>-0.79999999999999716</v>
      </c>
      <c r="D96">
        <f t="shared" si="8"/>
        <v>0</v>
      </c>
      <c r="E96">
        <f t="shared" si="9"/>
        <v>0.79999999999999716</v>
      </c>
      <c r="F96">
        <f t="shared" si="12"/>
        <v>0.71186967256537592</v>
      </c>
      <c r="G96">
        <f t="shared" si="13"/>
        <v>0.33674389977028685</v>
      </c>
      <c r="H96">
        <f t="shared" si="10"/>
        <v>2.1139794159626493</v>
      </c>
      <c r="I96">
        <f t="shared" si="11"/>
        <v>67.886749832902723</v>
      </c>
      <c r="J96">
        <f>30</f>
        <v>30</v>
      </c>
      <c r="K96">
        <v>70</v>
      </c>
    </row>
    <row r="97" spans="1:11">
      <c r="A97" s="1">
        <v>45609</v>
      </c>
      <c r="B97">
        <v>58.41</v>
      </c>
      <c r="C97">
        <f t="shared" si="7"/>
        <v>-0.61000000000000654</v>
      </c>
      <c r="D97">
        <f t="shared" si="8"/>
        <v>0</v>
      </c>
      <c r="E97">
        <f t="shared" si="9"/>
        <v>0.61000000000000654</v>
      </c>
      <c r="F97">
        <f t="shared" si="12"/>
        <v>0.6610218388107062</v>
      </c>
      <c r="G97">
        <f t="shared" si="13"/>
        <v>0.35626219264383824</v>
      </c>
      <c r="H97">
        <f t="shared" si="10"/>
        <v>1.855436396170002</v>
      </c>
      <c r="I97">
        <f t="shared" si="11"/>
        <v>64.979083360382305</v>
      </c>
      <c r="J97">
        <f>30</f>
        <v>30</v>
      </c>
      <c r="K97">
        <v>70</v>
      </c>
    </row>
    <row r="98" spans="1:11">
      <c r="A98" s="1">
        <v>45610</v>
      </c>
      <c r="B98">
        <v>58.5</v>
      </c>
      <c r="C98">
        <f t="shared" si="7"/>
        <v>9.0000000000003411E-2</v>
      </c>
      <c r="D98">
        <f t="shared" si="8"/>
        <v>9.0000000000003411E-2</v>
      </c>
      <c r="E98">
        <f t="shared" si="9"/>
        <v>0</v>
      </c>
      <c r="F98">
        <f t="shared" si="12"/>
        <v>0.62023456460994175</v>
      </c>
      <c r="G98">
        <f t="shared" si="13"/>
        <v>0.33081489316927837</v>
      </c>
      <c r="H98">
        <f t="shared" si="10"/>
        <v>1.8748689294727943</v>
      </c>
      <c r="I98">
        <f t="shared" si="11"/>
        <v>65.215805501665614</v>
      </c>
      <c r="J98">
        <f>30</f>
        <v>30</v>
      </c>
      <c r="K98">
        <v>70</v>
      </c>
    </row>
    <row r="99" spans="1:11">
      <c r="A99" s="1">
        <v>45611</v>
      </c>
      <c r="B99">
        <v>56.22</v>
      </c>
      <c r="C99">
        <f t="shared" si="7"/>
        <v>-2.2800000000000011</v>
      </c>
      <c r="D99">
        <f t="shared" si="8"/>
        <v>0</v>
      </c>
      <c r="E99">
        <f t="shared" si="9"/>
        <v>2.2800000000000011</v>
      </c>
      <c r="F99">
        <f t="shared" si="12"/>
        <v>0.57593209570923165</v>
      </c>
      <c r="G99">
        <f t="shared" si="13"/>
        <v>0.47004240080004428</v>
      </c>
      <c r="H99">
        <f t="shared" si="10"/>
        <v>1.2252768999753125</v>
      </c>
      <c r="I99">
        <f t="shared" si="11"/>
        <v>55.061772311971865</v>
      </c>
      <c r="J99">
        <f>30</f>
        <v>30</v>
      </c>
      <c r="K99">
        <v>70</v>
      </c>
    </row>
    <row r="100" spans="1:11">
      <c r="A100" s="1">
        <v>45614</v>
      </c>
      <c r="B100">
        <v>56.8</v>
      </c>
      <c r="C100">
        <f t="shared" si="7"/>
        <v>0.57999999999999829</v>
      </c>
      <c r="D100">
        <f t="shared" si="8"/>
        <v>0.57999999999999829</v>
      </c>
      <c r="E100">
        <f t="shared" si="9"/>
        <v>0</v>
      </c>
      <c r="F100">
        <f t="shared" si="12"/>
        <v>0.57622266030142932</v>
      </c>
      <c r="G100">
        <f t="shared" si="13"/>
        <v>0.4364679436000411</v>
      </c>
      <c r="H100">
        <f t="shared" si="10"/>
        <v>1.3201946872631107</v>
      </c>
      <c r="I100">
        <f t="shared" si="11"/>
        <v>56.900168529409285</v>
      </c>
      <c r="J100">
        <f>30</f>
        <v>30</v>
      </c>
      <c r="K100">
        <v>70</v>
      </c>
    </row>
    <row r="101" spans="1:11">
      <c r="A101" s="1">
        <v>45615</v>
      </c>
      <c r="B101">
        <v>58.23</v>
      </c>
      <c r="C101">
        <f t="shared" si="7"/>
        <v>1.4299999999999997</v>
      </c>
      <c r="D101">
        <f t="shared" si="8"/>
        <v>1.4299999999999997</v>
      </c>
      <c r="E101">
        <f t="shared" si="9"/>
        <v>0</v>
      </c>
      <c r="F101">
        <f t="shared" si="12"/>
        <v>0.63720675599418442</v>
      </c>
      <c r="G101">
        <f t="shared" si="13"/>
        <v>0.40529166191432386</v>
      </c>
      <c r="H101">
        <f t="shared" si="10"/>
        <v>1.5722177776479547</v>
      </c>
      <c r="I101">
        <f t="shared" si="11"/>
        <v>61.123042975217921</v>
      </c>
      <c r="J101">
        <f>30</f>
        <v>30</v>
      </c>
      <c r="K101">
        <v>70</v>
      </c>
    </row>
    <row r="102" spans="1:11">
      <c r="A102" s="1">
        <v>45616</v>
      </c>
      <c r="B102">
        <v>57.88</v>
      </c>
      <c r="C102">
        <f t="shared" si="7"/>
        <v>-0.34999999999999432</v>
      </c>
      <c r="D102">
        <f t="shared" si="8"/>
        <v>0</v>
      </c>
      <c r="E102">
        <f t="shared" si="9"/>
        <v>0.34999999999999432</v>
      </c>
      <c r="F102">
        <f t="shared" si="12"/>
        <v>0.59169198770888554</v>
      </c>
      <c r="G102">
        <f t="shared" si="13"/>
        <v>0.4013422574918718</v>
      </c>
      <c r="H102">
        <f t="shared" si="10"/>
        <v>1.4742828014338081</v>
      </c>
      <c r="I102">
        <f t="shared" si="11"/>
        <v>59.58424803258076</v>
      </c>
      <c r="J102">
        <f>30</f>
        <v>30</v>
      </c>
      <c r="K102">
        <v>70</v>
      </c>
    </row>
    <row r="103" spans="1:11">
      <c r="A103" s="1">
        <v>45617</v>
      </c>
      <c r="B103">
        <v>58.23</v>
      </c>
      <c r="C103">
        <f t="shared" si="7"/>
        <v>0.34999999999999432</v>
      </c>
      <c r="D103">
        <f t="shared" si="8"/>
        <v>0.34999999999999432</v>
      </c>
      <c r="E103">
        <f t="shared" si="9"/>
        <v>0</v>
      </c>
      <c r="F103">
        <f t="shared" si="12"/>
        <v>0.57442827430110754</v>
      </c>
      <c r="G103">
        <f t="shared" si="13"/>
        <v>0.37267495338530948</v>
      </c>
      <c r="H103">
        <f t="shared" si="10"/>
        <v>1.5413653884789109</v>
      </c>
      <c r="I103">
        <f t="shared" si="11"/>
        <v>60.651073453135673</v>
      </c>
      <c r="J103">
        <f>30</f>
        <v>30</v>
      </c>
      <c r="K103">
        <v>70</v>
      </c>
    </row>
    <row r="104" spans="1:11">
      <c r="A104" s="1">
        <v>45618</v>
      </c>
      <c r="B104">
        <v>58.87</v>
      </c>
      <c r="C104">
        <f t="shared" si="7"/>
        <v>0.64000000000000057</v>
      </c>
      <c r="D104">
        <f t="shared" si="8"/>
        <v>0.64000000000000057</v>
      </c>
      <c r="E104">
        <f t="shared" si="9"/>
        <v>0</v>
      </c>
      <c r="F104">
        <f t="shared" si="12"/>
        <v>0.57911196899388551</v>
      </c>
      <c r="G104">
        <f t="shared" si="13"/>
        <v>0.34605531385778737</v>
      </c>
      <c r="H104">
        <f t="shared" si="10"/>
        <v>1.6734664829677304</v>
      </c>
      <c r="I104">
        <f t="shared" si="11"/>
        <v>62.595379206327969</v>
      </c>
      <c r="J104">
        <f>30</f>
        <v>30</v>
      </c>
      <c r="K104">
        <v>70</v>
      </c>
    </row>
    <row r="105" spans="1:11">
      <c r="A105" s="1">
        <v>45621</v>
      </c>
      <c r="B105">
        <v>58.78</v>
      </c>
      <c r="C105">
        <f t="shared" si="7"/>
        <v>-8.9999999999996305E-2</v>
      </c>
      <c r="D105">
        <f t="shared" si="8"/>
        <v>0</v>
      </c>
      <c r="E105">
        <f t="shared" si="9"/>
        <v>8.9999999999996305E-2</v>
      </c>
      <c r="F105">
        <f t="shared" si="12"/>
        <v>0.53774682835146514</v>
      </c>
      <c r="G105">
        <f t="shared" si="13"/>
        <v>0.3277656485822309</v>
      </c>
      <c r="H105">
        <f t="shared" si="10"/>
        <v>1.6406442550569893</v>
      </c>
      <c r="I105">
        <f t="shared" si="11"/>
        <v>62.1304536540679</v>
      </c>
      <c r="J105">
        <f>30</f>
        <v>30</v>
      </c>
      <c r="K105">
        <v>70</v>
      </c>
    </row>
    <row r="106" spans="1:11">
      <c r="A106" s="1">
        <v>45622</v>
      </c>
      <c r="B106">
        <v>58.74</v>
      </c>
      <c r="C106">
        <f t="shared" si="7"/>
        <v>-3.9999999999999147E-2</v>
      </c>
      <c r="D106">
        <f t="shared" si="8"/>
        <v>0</v>
      </c>
      <c r="E106">
        <f t="shared" si="9"/>
        <v>3.9999999999999147E-2</v>
      </c>
      <c r="F106">
        <f t="shared" si="12"/>
        <v>0.49933634061207482</v>
      </c>
      <c r="G106">
        <f t="shared" si="13"/>
        <v>0.30721095939778575</v>
      </c>
      <c r="H106">
        <f t="shared" si="10"/>
        <v>1.6253858312571443</v>
      </c>
      <c r="I106">
        <f t="shared" si="11"/>
        <v>61.910360447052533</v>
      </c>
      <c r="J106">
        <f>30</f>
        <v>30</v>
      </c>
      <c r="K106">
        <v>70</v>
      </c>
    </row>
    <row r="107" spans="1:11">
      <c r="A107" s="1">
        <v>45623</v>
      </c>
      <c r="B107">
        <v>59.27</v>
      </c>
      <c r="C107">
        <f t="shared" si="7"/>
        <v>0.53000000000000114</v>
      </c>
      <c r="D107">
        <f t="shared" si="8"/>
        <v>0.53000000000000114</v>
      </c>
      <c r="E107">
        <f t="shared" si="9"/>
        <v>0</v>
      </c>
      <c r="F107">
        <f t="shared" si="12"/>
        <v>0.50152660199692678</v>
      </c>
      <c r="G107">
        <f t="shared" si="13"/>
        <v>0.28526731944080103</v>
      </c>
      <c r="H107">
        <f t="shared" si="10"/>
        <v>1.7580934366405896</v>
      </c>
      <c r="I107">
        <f t="shared" si="11"/>
        <v>63.743070241375904</v>
      </c>
      <c r="J107">
        <f>30</f>
        <v>30</v>
      </c>
      <c r="K107">
        <v>70</v>
      </c>
    </row>
    <row r="108" spans="1:11">
      <c r="A108" s="1">
        <v>45625</v>
      </c>
      <c r="B108">
        <v>59.22</v>
      </c>
      <c r="C108">
        <f t="shared" si="7"/>
        <v>-5.0000000000004263E-2</v>
      </c>
      <c r="D108">
        <f t="shared" si="8"/>
        <v>0</v>
      </c>
      <c r="E108">
        <f t="shared" si="9"/>
        <v>5.0000000000004263E-2</v>
      </c>
      <c r="F108">
        <f t="shared" si="12"/>
        <v>0.4657032732828606</v>
      </c>
      <c r="G108">
        <f t="shared" si="13"/>
        <v>0.26846251090931555</v>
      </c>
      <c r="H108">
        <f t="shared" si="10"/>
        <v>1.7347050495261567</v>
      </c>
      <c r="I108">
        <f t="shared" si="11"/>
        <v>63.432985207188231</v>
      </c>
      <c r="J108">
        <f>30</f>
        <v>30</v>
      </c>
      <c r="K108">
        <v>70</v>
      </c>
    </row>
    <row r="109" spans="1:11">
      <c r="A109" s="1">
        <v>45628</v>
      </c>
      <c r="B109">
        <v>59.94</v>
      </c>
      <c r="C109">
        <f t="shared" si="7"/>
        <v>0.71999999999999886</v>
      </c>
      <c r="D109">
        <f t="shared" si="8"/>
        <v>0.71999999999999886</v>
      </c>
      <c r="E109">
        <f t="shared" si="9"/>
        <v>0</v>
      </c>
      <c r="F109">
        <f t="shared" si="12"/>
        <v>0.48386732519122766</v>
      </c>
      <c r="G109">
        <f t="shared" si="13"/>
        <v>0.24928661727293586</v>
      </c>
      <c r="H109">
        <f t="shared" si="10"/>
        <v>1.9410080271635961</v>
      </c>
      <c r="I109">
        <f t="shared" si="11"/>
        <v>65.998052682486815</v>
      </c>
      <c r="J109">
        <f>30</f>
        <v>30</v>
      </c>
      <c r="K109">
        <v>70</v>
      </c>
    </row>
    <row r="110" spans="1:11">
      <c r="A110" s="1">
        <v>45629</v>
      </c>
      <c r="B110">
        <v>58.69</v>
      </c>
      <c r="C110">
        <f t="shared" si="7"/>
        <v>-1.25</v>
      </c>
      <c r="D110">
        <f t="shared" si="8"/>
        <v>0</v>
      </c>
      <c r="E110">
        <f t="shared" si="9"/>
        <v>1.25</v>
      </c>
      <c r="F110">
        <f t="shared" si="12"/>
        <v>0.44930537339185422</v>
      </c>
      <c r="G110">
        <f t="shared" si="13"/>
        <v>0.32076614461058334</v>
      </c>
      <c r="H110">
        <f t="shared" si="10"/>
        <v>1.4007256717734977</v>
      </c>
      <c r="I110">
        <f t="shared" si="11"/>
        <v>58.345927993460997</v>
      </c>
      <c r="J110">
        <f>30</f>
        <v>30</v>
      </c>
      <c r="K110">
        <v>70</v>
      </c>
    </row>
    <row r="111" spans="1:11">
      <c r="A111" s="1">
        <v>45630</v>
      </c>
      <c r="B111">
        <v>58.37</v>
      </c>
      <c r="C111">
        <f t="shared" si="7"/>
        <v>-0.32000000000000028</v>
      </c>
      <c r="D111">
        <f t="shared" si="8"/>
        <v>0</v>
      </c>
      <c r="E111">
        <f t="shared" si="9"/>
        <v>0.32000000000000028</v>
      </c>
      <c r="F111">
        <f t="shared" si="12"/>
        <v>0.4172121324352932</v>
      </c>
      <c r="G111">
        <f t="shared" si="13"/>
        <v>0.3207114199955417</v>
      </c>
      <c r="H111">
        <f t="shared" si="10"/>
        <v>1.3008957786445303</v>
      </c>
      <c r="I111">
        <f t="shared" si="11"/>
        <v>56.538665971689284</v>
      </c>
      <c r="J111">
        <f>30</f>
        <v>30</v>
      </c>
      <c r="K111">
        <v>70</v>
      </c>
    </row>
    <row r="112" spans="1:11">
      <c r="A112" s="1">
        <v>45631</v>
      </c>
      <c r="B112">
        <v>58.84</v>
      </c>
      <c r="C112">
        <f t="shared" si="7"/>
        <v>0.47000000000000597</v>
      </c>
      <c r="D112">
        <f t="shared" si="8"/>
        <v>0.47000000000000597</v>
      </c>
      <c r="E112">
        <f t="shared" si="9"/>
        <v>0</v>
      </c>
      <c r="F112">
        <f t="shared" si="12"/>
        <v>0.42098269440420127</v>
      </c>
      <c r="G112">
        <f t="shared" si="13"/>
        <v>0.29780346142443159</v>
      </c>
      <c r="H112">
        <f t="shared" si="10"/>
        <v>1.4136259276187988</v>
      </c>
      <c r="I112">
        <f t="shared" si="11"/>
        <v>58.568559089578308</v>
      </c>
      <c r="J112">
        <f>30</f>
        <v>30</v>
      </c>
      <c r="K112">
        <v>70</v>
      </c>
    </row>
    <row r="113" spans="1:11">
      <c r="A113" s="1">
        <v>45632</v>
      </c>
      <c r="B113">
        <v>59.38</v>
      </c>
      <c r="C113">
        <f t="shared" si="7"/>
        <v>0.53999999999999915</v>
      </c>
      <c r="D113">
        <f t="shared" si="8"/>
        <v>0.53999999999999915</v>
      </c>
      <c r="E113">
        <f t="shared" si="9"/>
        <v>0</v>
      </c>
      <c r="F113">
        <f t="shared" si="12"/>
        <v>0.42948393051818684</v>
      </c>
      <c r="G113">
        <f t="shared" si="13"/>
        <v>0.27653178560840075</v>
      </c>
      <c r="H113">
        <f t="shared" si="10"/>
        <v>1.5531087306049622</v>
      </c>
      <c r="I113">
        <f t="shared" si="11"/>
        <v>60.832063749864318</v>
      </c>
      <c r="J113">
        <f>30</f>
        <v>30</v>
      </c>
      <c r="K113">
        <v>70</v>
      </c>
    </row>
    <row r="114" spans="1:11">
      <c r="A114" s="1">
        <v>45635</v>
      </c>
      <c r="B114">
        <v>58.71</v>
      </c>
      <c r="C114">
        <f t="shared" si="7"/>
        <v>-0.67000000000000171</v>
      </c>
      <c r="D114">
        <f t="shared" si="8"/>
        <v>0</v>
      </c>
      <c r="E114">
        <f t="shared" si="9"/>
        <v>0.67000000000000171</v>
      </c>
      <c r="F114">
        <f t="shared" si="12"/>
        <v>0.3988065069097449</v>
      </c>
      <c r="G114">
        <f t="shared" si="13"/>
        <v>0.30463665806494372</v>
      </c>
      <c r="H114">
        <f t="shared" si="10"/>
        <v>1.3091218550090766</v>
      </c>
      <c r="I114">
        <f t="shared" si="11"/>
        <v>56.693493769904613</v>
      </c>
      <c r="J114">
        <f>30</f>
        <v>30</v>
      </c>
      <c r="K114">
        <v>70</v>
      </c>
    </row>
    <row r="115" spans="1:11">
      <c r="A115" s="1">
        <v>45636</v>
      </c>
      <c r="B115">
        <v>58.12</v>
      </c>
      <c r="C115">
        <f t="shared" si="7"/>
        <v>-0.59000000000000341</v>
      </c>
      <c r="D115">
        <f t="shared" si="8"/>
        <v>0</v>
      </c>
      <c r="E115">
        <f t="shared" si="9"/>
        <v>0.59000000000000341</v>
      </c>
      <c r="F115">
        <f t="shared" si="12"/>
        <v>0.37032032784476315</v>
      </c>
      <c r="G115">
        <f t="shared" si="13"/>
        <v>0.32501975391744803</v>
      </c>
      <c r="H115">
        <f t="shared" si="10"/>
        <v>1.1393779097464367</v>
      </c>
      <c r="I115">
        <f t="shared" si="11"/>
        <v>53.257440144433303</v>
      </c>
      <c r="J115">
        <f>30</f>
        <v>30</v>
      </c>
      <c r="K115">
        <v>70</v>
      </c>
    </row>
    <row r="116" spans="1:11">
      <c r="A116" s="1">
        <v>45637</v>
      </c>
      <c r="B116">
        <v>56.65</v>
      </c>
      <c r="C116">
        <f t="shared" si="7"/>
        <v>-1.4699999999999989</v>
      </c>
      <c r="D116">
        <f t="shared" si="8"/>
        <v>0</v>
      </c>
      <c r="E116">
        <f t="shared" si="9"/>
        <v>1.4699999999999989</v>
      </c>
      <c r="F116">
        <f t="shared" si="12"/>
        <v>0.34386887585585152</v>
      </c>
      <c r="G116">
        <f t="shared" si="13"/>
        <v>0.40680405720905882</v>
      </c>
      <c r="H116">
        <f t="shared" si="10"/>
        <v>0.84529362419592446</v>
      </c>
      <c r="I116">
        <f t="shared" si="11"/>
        <v>45.80808241638271</v>
      </c>
      <c r="J116">
        <f>30</f>
        <v>30</v>
      </c>
      <c r="K116">
        <v>70</v>
      </c>
    </row>
    <row r="117" spans="1:11">
      <c r="A117" s="1">
        <v>45638</v>
      </c>
      <c r="B117">
        <v>56.28</v>
      </c>
      <c r="C117">
        <f t="shared" si="7"/>
        <v>-0.36999999999999744</v>
      </c>
      <c r="D117">
        <f t="shared" si="8"/>
        <v>0</v>
      </c>
      <c r="E117">
        <f t="shared" si="9"/>
        <v>0.36999999999999744</v>
      </c>
      <c r="F117">
        <f t="shared" si="12"/>
        <v>0.31930681329471927</v>
      </c>
      <c r="G117">
        <f t="shared" si="13"/>
        <v>0.4041751959798402</v>
      </c>
      <c r="H117">
        <f t="shared" si="10"/>
        <v>0.79002080402441599</v>
      </c>
      <c r="I117">
        <f t="shared" si="11"/>
        <v>44.134727498599517</v>
      </c>
      <c r="J117">
        <f>30</f>
        <v>30</v>
      </c>
      <c r="K117">
        <v>70</v>
      </c>
    </row>
    <row r="118" spans="1:11">
      <c r="A118" s="1">
        <v>45639</v>
      </c>
      <c r="B118">
        <v>55.78</v>
      </c>
      <c r="C118">
        <f t="shared" si="7"/>
        <v>-0.5</v>
      </c>
      <c r="D118">
        <f t="shared" si="8"/>
        <v>0</v>
      </c>
      <c r="E118">
        <f t="shared" si="9"/>
        <v>0.5</v>
      </c>
      <c r="F118">
        <f t="shared" si="12"/>
        <v>0.29649918377366785</v>
      </c>
      <c r="G118">
        <f t="shared" si="13"/>
        <v>0.41101982483842303</v>
      </c>
      <c r="H118">
        <f t="shared" si="10"/>
        <v>0.72137441032248351</v>
      </c>
      <c r="I118">
        <f t="shared" si="11"/>
        <v>41.906885916082643</v>
      </c>
      <c r="J118">
        <f>30</f>
        <v>30</v>
      </c>
      <c r="K118">
        <v>70</v>
      </c>
    </row>
    <row r="119" spans="1:11">
      <c r="A119" s="1">
        <v>45642</v>
      </c>
      <c r="B119">
        <v>55.87</v>
      </c>
      <c r="C119">
        <f t="shared" si="7"/>
        <v>8.9999999999996305E-2</v>
      </c>
      <c r="D119">
        <f t="shared" si="8"/>
        <v>8.9999999999996305E-2</v>
      </c>
      <c r="E119">
        <f t="shared" si="9"/>
        <v>0</v>
      </c>
      <c r="F119">
        <f t="shared" si="12"/>
        <v>0.28174924207554847</v>
      </c>
      <c r="G119">
        <f t="shared" si="13"/>
        <v>0.38166126592139282</v>
      </c>
      <c r="H119">
        <f t="shared" si="10"/>
        <v>0.7382180672575186</v>
      </c>
      <c r="I119">
        <f t="shared" si="11"/>
        <v>42.469819015415332</v>
      </c>
      <c r="J119">
        <f>30</f>
        <v>30</v>
      </c>
      <c r="K119">
        <v>70</v>
      </c>
    </row>
    <row r="120" spans="1:11">
      <c r="A120" s="1">
        <v>45643</v>
      </c>
      <c r="B120">
        <v>57.65</v>
      </c>
      <c r="C120">
        <f t="shared" si="7"/>
        <v>1.7800000000000011</v>
      </c>
      <c r="D120">
        <f t="shared" si="8"/>
        <v>1.7800000000000011</v>
      </c>
      <c r="E120">
        <f t="shared" si="9"/>
        <v>0</v>
      </c>
      <c r="F120">
        <f t="shared" si="12"/>
        <v>0.38876715335586648</v>
      </c>
      <c r="G120">
        <f t="shared" si="13"/>
        <v>0.35439974692700765</v>
      </c>
      <c r="H120">
        <f t="shared" si="10"/>
        <v>1.0969735636858036</v>
      </c>
      <c r="I120">
        <f t="shared" si="11"/>
        <v>52.312226662394238</v>
      </c>
      <c r="J120">
        <f>30</f>
        <v>30</v>
      </c>
      <c r="K120">
        <v>70</v>
      </c>
    </row>
    <row r="121" spans="1:11">
      <c r="A121" s="1">
        <v>45644</v>
      </c>
      <c r="B121">
        <v>56.84</v>
      </c>
      <c r="C121">
        <f t="shared" si="7"/>
        <v>-0.80999999999999517</v>
      </c>
      <c r="D121">
        <f t="shared" si="8"/>
        <v>0</v>
      </c>
      <c r="E121">
        <f t="shared" si="9"/>
        <v>0.80999999999999517</v>
      </c>
      <c r="F121">
        <f t="shared" si="12"/>
        <v>0.36099807097330455</v>
      </c>
      <c r="G121">
        <f t="shared" si="13"/>
        <v>0.38694262214650677</v>
      </c>
      <c r="H121">
        <f t="shared" si="10"/>
        <v>0.93294987502467763</v>
      </c>
      <c r="I121">
        <f t="shared" si="11"/>
        <v>48.265601042177401</v>
      </c>
      <c r="J121">
        <f>30</f>
        <v>30</v>
      </c>
      <c r="K121">
        <v>70</v>
      </c>
    </row>
    <row r="122" spans="1:11">
      <c r="A122" s="1">
        <v>45645</v>
      </c>
      <c r="B122">
        <v>56.3</v>
      </c>
      <c r="C122">
        <f t="shared" si="7"/>
        <v>-0.54000000000000625</v>
      </c>
      <c r="D122">
        <f t="shared" si="8"/>
        <v>0</v>
      </c>
      <c r="E122">
        <f t="shared" si="9"/>
        <v>0.54000000000000625</v>
      </c>
      <c r="F122">
        <f t="shared" si="12"/>
        <v>0.33521249447521134</v>
      </c>
      <c r="G122">
        <f t="shared" si="13"/>
        <v>0.39787529199318528</v>
      </c>
      <c r="H122">
        <f t="shared" si="10"/>
        <v>0.84250643661721214</v>
      </c>
      <c r="I122">
        <f t="shared" si="11"/>
        <v>45.726105476409039</v>
      </c>
      <c r="J122">
        <f>30</f>
        <v>30</v>
      </c>
      <c r="K122">
        <v>70</v>
      </c>
    </row>
    <row r="123" spans="1:11">
      <c r="A123" s="1">
        <v>45646</v>
      </c>
      <c r="B123">
        <v>57.33</v>
      </c>
      <c r="C123">
        <f t="shared" si="7"/>
        <v>1.0300000000000011</v>
      </c>
      <c r="D123">
        <f t="shared" si="8"/>
        <v>1.0300000000000011</v>
      </c>
      <c r="E123">
        <f t="shared" si="9"/>
        <v>0</v>
      </c>
      <c r="F123">
        <f t="shared" si="12"/>
        <v>0.38484017344126775</v>
      </c>
      <c r="G123">
        <f t="shared" si="13"/>
        <v>0.36945562827938633</v>
      </c>
      <c r="H123">
        <f t="shared" si="10"/>
        <v>1.0416411173204472</v>
      </c>
      <c r="I123">
        <f t="shared" si="11"/>
        <v>51.019795226672819</v>
      </c>
      <c r="J123">
        <f>30</f>
        <v>30</v>
      </c>
      <c r="K123">
        <v>70</v>
      </c>
    </row>
    <row r="124" spans="1:11">
      <c r="A124" s="1">
        <v>45649</v>
      </c>
      <c r="B124">
        <v>57.58</v>
      </c>
      <c r="C124">
        <f t="shared" si="7"/>
        <v>0.25</v>
      </c>
      <c r="D124">
        <f t="shared" si="8"/>
        <v>0.25</v>
      </c>
      <c r="E124">
        <f t="shared" si="9"/>
        <v>0</v>
      </c>
      <c r="F124">
        <f t="shared" si="12"/>
        <v>0.3752087324811772</v>
      </c>
      <c r="G124">
        <f t="shared" si="13"/>
        <v>0.34306594054514444</v>
      </c>
      <c r="H124">
        <f t="shared" si="10"/>
        <v>1.0936927515595301</v>
      </c>
      <c r="I124">
        <f t="shared" si="11"/>
        <v>52.237500022143678</v>
      </c>
      <c r="J124">
        <f>30</f>
        <v>30</v>
      </c>
      <c r="K124">
        <v>70</v>
      </c>
    </row>
    <row r="125" spans="1:11">
      <c r="A125" s="1">
        <v>45650</v>
      </c>
      <c r="B125">
        <v>57.76</v>
      </c>
      <c r="C125">
        <f t="shared" si="7"/>
        <v>0.17999999999999972</v>
      </c>
      <c r="D125">
        <f t="shared" si="8"/>
        <v>0.17999999999999972</v>
      </c>
      <c r="E125">
        <f t="shared" si="9"/>
        <v>0</v>
      </c>
      <c r="F125">
        <f t="shared" si="12"/>
        <v>0.36126525158966455</v>
      </c>
      <c r="G125">
        <f t="shared" si="13"/>
        <v>0.31856123050620555</v>
      </c>
      <c r="H125">
        <f t="shared" si="10"/>
        <v>1.1340527879541422</v>
      </c>
      <c r="I125">
        <f t="shared" si="11"/>
        <v>53.140802999598129</v>
      </c>
      <c r="J125">
        <f>30</f>
        <v>30</v>
      </c>
      <c r="K125">
        <v>70</v>
      </c>
    </row>
    <row r="126" spans="1:11">
      <c r="A126" s="1">
        <v>45652</v>
      </c>
      <c r="B126">
        <v>58</v>
      </c>
      <c r="C126">
        <f t="shared" si="7"/>
        <v>0.24000000000000199</v>
      </c>
      <c r="D126">
        <f t="shared" si="8"/>
        <v>0.24000000000000199</v>
      </c>
      <c r="E126">
        <f t="shared" si="9"/>
        <v>0</v>
      </c>
      <c r="F126">
        <f t="shared" si="12"/>
        <v>0.35260344790468867</v>
      </c>
      <c r="G126">
        <f t="shared" si="13"/>
        <v>0.29580685689861941</v>
      </c>
      <c r="H126">
        <f t="shared" si="10"/>
        <v>1.1920056607258935</v>
      </c>
      <c r="I126">
        <f t="shared" si="11"/>
        <v>54.379679855897585</v>
      </c>
      <c r="J126">
        <f>30</f>
        <v>30</v>
      </c>
      <c r="K126">
        <v>70</v>
      </c>
    </row>
    <row r="127" spans="1:11">
      <c r="A127" s="1">
        <v>45653</v>
      </c>
      <c r="B127">
        <v>57.68</v>
      </c>
      <c r="C127">
        <f t="shared" si="7"/>
        <v>-0.32000000000000028</v>
      </c>
      <c r="D127">
        <f t="shared" si="8"/>
        <v>0</v>
      </c>
      <c r="E127">
        <f t="shared" si="9"/>
        <v>0.32000000000000028</v>
      </c>
      <c r="F127">
        <f t="shared" si="12"/>
        <v>0.32741748734006804</v>
      </c>
      <c r="G127">
        <f t="shared" si="13"/>
        <v>0.29753493854871804</v>
      </c>
      <c r="H127">
        <f t="shared" si="10"/>
        <v>1.100433747166325</v>
      </c>
      <c r="I127">
        <f t="shared" si="11"/>
        <v>52.390785886529848</v>
      </c>
      <c r="J127">
        <f>30</f>
        <v>30</v>
      </c>
      <c r="K127">
        <v>70</v>
      </c>
    </row>
    <row r="128" spans="1:11">
      <c r="A128" s="1">
        <v>45656</v>
      </c>
      <c r="B128">
        <v>56.06</v>
      </c>
      <c r="C128">
        <f t="shared" si="7"/>
        <v>-1.6199999999999974</v>
      </c>
      <c r="D128">
        <f t="shared" si="8"/>
        <v>0</v>
      </c>
      <c r="E128">
        <f t="shared" si="9"/>
        <v>1.6199999999999974</v>
      </c>
      <c r="F128">
        <f t="shared" si="12"/>
        <v>0.30403052395863461</v>
      </c>
      <c r="G128">
        <f t="shared" si="13"/>
        <v>0.39199672865238089</v>
      </c>
      <c r="H128">
        <f t="shared" si="10"/>
        <v>0.77559454387244675</v>
      </c>
      <c r="I128">
        <f t="shared" si="11"/>
        <v>43.680836176761936</v>
      </c>
      <c r="J128">
        <f>30</f>
        <v>30</v>
      </c>
      <c r="K128">
        <v>70</v>
      </c>
    </row>
    <row r="129" spans="1:11">
      <c r="A129" s="1">
        <v>45657</v>
      </c>
      <c r="B129">
        <v>56.56</v>
      </c>
      <c r="C129">
        <f t="shared" si="7"/>
        <v>0.5</v>
      </c>
      <c r="D129">
        <f t="shared" si="8"/>
        <v>0.5</v>
      </c>
      <c r="E129">
        <f t="shared" si="9"/>
        <v>0</v>
      </c>
      <c r="F129">
        <f t="shared" si="12"/>
        <v>0.31802834367587501</v>
      </c>
      <c r="G129">
        <f t="shared" si="13"/>
        <v>0.36399696232006795</v>
      </c>
      <c r="H129">
        <f t="shared" si="10"/>
        <v>0.87371153223039255</v>
      </c>
      <c r="I129">
        <f t="shared" si="11"/>
        <v>46.629991714378825</v>
      </c>
      <c r="J129">
        <f>30</f>
        <v>30</v>
      </c>
      <c r="K129">
        <v>70</v>
      </c>
    </row>
    <row r="130" spans="1:11">
      <c r="A130" s="1">
        <v>45659</v>
      </c>
      <c r="B130">
        <v>56.79</v>
      </c>
      <c r="C130">
        <f t="shared" si="7"/>
        <v>0.22999999999999687</v>
      </c>
      <c r="D130">
        <f t="shared" si="8"/>
        <v>0.22999999999999687</v>
      </c>
      <c r="E130">
        <f t="shared" si="9"/>
        <v>0</v>
      </c>
      <c r="F130">
        <f t="shared" si="12"/>
        <v>0.31174060484188371</v>
      </c>
      <c r="G130">
        <f t="shared" si="13"/>
        <v>0.33799717929720596</v>
      </c>
      <c r="H130">
        <f t="shared" si="10"/>
        <v>0.92231717877078956</v>
      </c>
      <c r="I130">
        <f t="shared" si="11"/>
        <v>47.979448394700292</v>
      </c>
      <c r="J130">
        <f>30</f>
        <v>30</v>
      </c>
      <c r="K130">
        <v>70</v>
      </c>
    </row>
    <row r="131" spans="1:11">
      <c r="A131" s="1">
        <v>45660</v>
      </c>
      <c r="B131">
        <v>56.57</v>
      </c>
      <c r="C131">
        <f t="shared" si="7"/>
        <v>-0.21999999999999886</v>
      </c>
      <c r="D131">
        <f t="shared" si="8"/>
        <v>0</v>
      </c>
      <c r="E131">
        <f t="shared" si="9"/>
        <v>0.21999999999999886</v>
      </c>
      <c r="F131">
        <f t="shared" si="12"/>
        <v>0.2894734187817492</v>
      </c>
      <c r="G131">
        <f t="shared" si="13"/>
        <v>0.32956880934740546</v>
      </c>
      <c r="H131">
        <f t="shared" si="10"/>
        <v>0.87833985065197462</v>
      </c>
      <c r="I131">
        <f t="shared" si="11"/>
        <v>46.761497944426914</v>
      </c>
      <c r="J131">
        <f>30</f>
        <v>30</v>
      </c>
      <c r="K131">
        <v>70</v>
      </c>
    </row>
    <row r="132" spans="1:11">
      <c r="A132" s="1">
        <v>45663</v>
      </c>
      <c r="B132">
        <v>56.68</v>
      </c>
      <c r="C132">
        <f t="shared" ref="C132:C189" si="14">B132-B131</f>
        <v>0.10999999999999943</v>
      </c>
      <c r="D132">
        <f t="shared" ref="D132:D189" si="15">IF(C132&gt;0,C132,0)</f>
        <v>0.10999999999999943</v>
      </c>
      <c r="E132">
        <f t="shared" ref="E132:E189" si="16">IF(C132&lt;0,-C132,0)</f>
        <v>0</v>
      </c>
      <c r="F132">
        <f t="shared" si="12"/>
        <v>0.27665388886876707</v>
      </c>
      <c r="G132">
        <f t="shared" si="13"/>
        <v>0.30602818010830507</v>
      </c>
      <c r="H132">
        <f t="shared" si="10"/>
        <v>0.90401442367450513</v>
      </c>
      <c r="I132">
        <f t="shared" si="11"/>
        <v>47.479389464386124</v>
      </c>
      <c r="J132">
        <f>30</f>
        <v>30</v>
      </c>
      <c r="K132">
        <v>70</v>
      </c>
    </row>
    <row r="133" spans="1:11">
      <c r="A133" s="1">
        <v>45664</v>
      </c>
      <c r="B133">
        <v>57.14</v>
      </c>
      <c r="C133">
        <f t="shared" si="14"/>
        <v>0.46000000000000085</v>
      </c>
      <c r="D133">
        <f t="shared" si="15"/>
        <v>0.46000000000000085</v>
      </c>
      <c r="E133">
        <f t="shared" si="16"/>
        <v>0</v>
      </c>
      <c r="F133">
        <f t="shared" si="12"/>
        <v>0.28975003966385515</v>
      </c>
      <c r="G133">
        <f t="shared" si="13"/>
        <v>0.28416902438628328</v>
      </c>
      <c r="H133">
        <f t="shared" si="10"/>
        <v>1.0196397735102378</v>
      </c>
      <c r="I133">
        <f t="shared" si="11"/>
        <v>50.486219715214432</v>
      </c>
      <c r="J133">
        <f>30</f>
        <v>30</v>
      </c>
      <c r="K133">
        <v>70</v>
      </c>
    </row>
    <row r="134" spans="1:11">
      <c r="A134" s="1">
        <v>45665</v>
      </c>
      <c r="B134">
        <v>56.81</v>
      </c>
      <c r="C134">
        <f t="shared" si="14"/>
        <v>-0.32999999999999829</v>
      </c>
      <c r="D134">
        <f t="shared" si="15"/>
        <v>0</v>
      </c>
      <c r="E134">
        <f t="shared" si="16"/>
        <v>0.32999999999999829</v>
      </c>
      <c r="F134">
        <f t="shared" si="12"/>
        <v>0.26905360825929409</v>
      </c>
      <c r="G134">
        <f t="shared" si="13"/>
        <v>0.28744266550154862</v>
      </c>
      <c r="H134">
        <f t="shared" si="10"/>
        <v>0.93602530365431968</v>
      </c>
      <c r="I134">
        <f t="shared" si="11"/>
        <v>48.347782536082413</v>
      </c>
      <c r="J134">
        <f>30</f>
        <v>30</v>
      </c>
      <c r="K134">
        <v>70</v>
      </c>
    </row>
    <row r="135" spans="1:11">
      <c r="A135" s="1">
        <v>45667</v>
      </c>
      <c r="B135">
        <v>55.83</v>
      </c>
      <c r="C135">
        <f t="shared" si="14"/>
        <v>-0.98000000000000398</v>
      </c>
      <c r="D135">
        <f t="shared" si="15"/>
        <v>0</v>
      </c>
      <c r="E135">
        <f t="shared" si="16"/>
        <v>0.98000000000000398</v>
      </c>
      <c r="F135">
        <f t="shared" si="12"/>
        <v>0.24983549338363023</v>
      </c>
      <c r="G135">
        <f t="shared" si="13"/>
        <v>0.33691104653715254</v>
      </c>
      <c r="H135">
        <f t="shared" si="10"/>
        <v>0.74154734892635787</v>
      </c>
      <c r="I135">
        <f t="shared" si="11"/>
        <v>42.579798326098484</v>
      </c>
      <c r="J135">
        <f>30</f>
        <v>30</v>
      </c>
      <c r="K135">
        <v>70</v>
      </c>
    </row>
    <row r="136" spans="1:11">
      <c r="A136" s="1">
        <v>45670</v>
      </c>
      <c r="B136">
        <v>55.36</v>
      </c>
      <c r="C136">
        <f t="shared" si="14"/>
        <v>-0.46999999999999886</v>
      </c>
      <c r="D136">
        <f t="shared" si="15"/>
        <v>0</v>
      </c>
      <c r="E136">
        <f t="shared" si="16"/>
        <v>0.46999999999999886</v>
      </c>
      <c r="F136">
        <f t="shared" si="12"/>
        <v>0.23199010099908521</v>
      </c>
      <c r="G136">
        <f t="shared" si="13"/>
        <v>0.34641740035592727</v>
      </c>
      <c r="H136">
        <f t="shared" si="10"/>
        <v>0.66968374210050219</v>
      </c>
      <c r="I136">
        <f t="shared" si="11"/>
        <v>40.108418451629888</v>
      </c>
      <c r="J136">
        <f>30</f>
        <v>30</v>
      </c>
      <c r="K136">
        <v>70</v>
      </c>
    </row>
    <row r="137" spans="1:11">
      <c r="A137" s="1">
        <v>45671</v>
      </c>
      <c r="B137">
        <v>55.74</v>
      </c>
      <c r="C137">
        <f t="shared" si="14"/>
        <v>0.38000000000000256</v>
      </c>
      <c r="D137">
        <f t="shared" si="15"/>
        <v>0.38000000000000256</v>
      </c>
      <c r="E137">
        <f t="shared" si="16"/>
        <v>0</v>
      </c>
      <c r="F137">
        <f t="shared" si="12"/>
        <v>0.24256223664200788</v>
      </c>
      <c r="G137">
        <f t="shared" si="13"/>
        <v>0.32167330033050384</v>
      </c>
      <c r="H137">
        <f t="shared" si="10"/>
        <v>0.75406394124966802</v>
      </c>
      <c r="I137">
        <f t="shared" si="11"/>
        <v>42.989535530411821</v>
      </c>
      <c r="J137">
        <f>30</f>
        <v>30</v>
      </c>
      <c r="K137">
        <v>70</v>
      </c>
    </row>
    <row r="138" spans="1:11">
      <c r="A138" s="1">
        <v>45672</v>
      </c>
      <c r="B138">
        <v>55.91</v>
      </c>
      <c r="C138">
        <f t="shared" si="14"/>
        <v>0.1699999999999946</v>
      </c>
      <c r="D138">
        <f t="shared" si="15"/>
        <v>0.1699999999999946</v>
      </c>
      <c r="E138">
        <f t="shared" si="16"/>
        <v>0</v>
      </c>
      <c r="F138">
        <f t="shared" si="12"/>
        <v>0.23737921973900694</v>
      </c>
      <c r="G138">
        <f t="shared" si="13"/>
        <v>0.29869663602118213</v>
      </c>
      <c r="H138">
        <f t="shared" si="10"/>
        <v>0.79471674974663309</v>
      </c>
      <c r="I138">
        <f t="shared" si="11"/>
        <v>44.280901142691526</v>
      </c>
      <c r="J138">
        <f>30</f>
        <v>30</v>
      </c>
      <c r="K138">
        <v>70</v>
      </c>
    </row>
    <row r="139" spans="1:11">
      <c r="A139" s="1">
        <v>45673</v>
      </c>
      <c r="B139">
        <v>56.38</v>
      </c>
      <c r="C139">
        <f t="shared" si="14"/>
        <v>0.47000000000000597</v>
      </c>
      <c r="D139">
        <f t="shared" si="15"/>
        <v>0.47000000000000597</v>
      </c>
      <c r="E139">
        <f t="shared" si="16"/>
        <v>0</v>
      </c>
      <c r="F139">
        <f t="shared" si="12"/>
        <v>0.25399498975764973</v>
      </c>
      <c r="G139">
        <f t="shared" si="13"/>
        <v>0.27736116201966909</v>
      </c>
      <c r="H139">
        <f t="shared" si="10"/>
        <v>0.91575542843895952</v>
      </c>
      <c r="I139">
        <f t="shared" si="11"/>
        <v>47.801270185367905</v>
      </c>
      <c r="J139">
        <f>30</f>
        <v>30</v>
      </c>
      <c r="K139">
        <v>70</v>
      </c>
    </row>
    <row r="140" spans="1:11">
      <c r="A140" s="1">
        <v>45674</v>
      </c>
      <c r="B140">
        <v>56.29</v>
      </c>
      <c r="C140">
        <f t="shared" si="14"/>
        <v>-9.0000000000003411E-2</v>
      </c>
      <c r="D140">
        <f t="shared" si="15"/>
        <v>0</v>
      </c>
      <c r="E140">
        <f t="shared" si="16"/>
        <v>9.0000000000003411E-2</v>
      </c>
      <c r="F140">
        <f t="shared" si="12"/>
        <v>0.2358524904892462</v>
      </c>
      <c r="G140">
        <f t="shared" si="13"/>
        <v>0.26397822187540726</v>
      </c>
      <c r="H140">
        <f t="shared" si="10"/>
        <v>0.89345434942949242</v>
      </c>
      <c r="I140">
        <f t="shared" si="11"/>
        <v>47.186474271148647</v>
      </c>
      <c r="J140">
        <f>30</f>
        <v>30</v>
      </c>
      <c r="K140">
        <v>70</v>
      </c>
    </row>
    <row r="141" spans="1:11">
      <c r="A141" s="1">
        <v>45678</v>
      </c>
      <c r="B141">
        <v>57.04</v>
      </c>
      <c r="C141">
        <f t="shared" si="14"/>
        <v>0.75</v>
      </c>
      <c r="D141">
        <f t="shared" si="15"/>
        <v>0.75</v>
      </c>
      <c r="E141">
        <f t="shared" si="16"/>
        <v>0</v>
      </c>
      <c r="F141">
        <f t="shared" si="12"/>
        <v>0.27257731259715717</v>
      </c>
      <c r="G141">
        <f t="shared" si="13"/>
        <v>0.24512263459859246</v>
      </c>
      <c r="H141">
        <f t="shared" si="10"/>
        <v>1.112003846741954</v>
      </c>
      <c r="I141">
        <f t="shared" si="11"/>
        <v>52.651601390658797</v>
      </c>
      <c r="J141">
        <f>30</f>
        <v>30</v>
      </c>
      <c r="K141">
        <v>70</v>
      </c>
    </row>
    <row r="142" spans="1:11">
      <c r="A142" s="1">
        <v>45679</v>
      </c>
      <c r="B142">
        <v>57.09</v>
      </c>
      <c r="C142">
        <f t="shared" si="14"/>
        <v>5.0000000000004263E-2</v>
      </c>
      <c r="D142">
        <f t="shared" si="15"/>
        <v>5.0000000000004263E-2</v>
      </c>
      <c r="E142">
        <f t="shared" si="16"/>
        <v>0</v>
      </c>
      <c r="F142">
        <f t="shared" si="12"/>
        <v>0.25667893312593199</v>
      </c>
      <c r="G142">
        <f t="shared" si="13"/>
        <v>0.22761387498440727</v>
      </c>
      <c r="H142">
        <f t="shared" si="10"/>
        <v>1.1276945798823372</v>
      </c>
      <c r="I142">
        <f t="shared" si="11"/>
        <v>53.000773256878787</v>
      </c>
      <c r="J142">
        <f>30</f>
        <v>30</v>
      </c>
      <c r="K142">
        <v>70</v>
      </c>
    </row>
    <row r="143" spans="1:11">
      <c r="A143" s="1">
        <v>45680</v>
      </c>
      <c r="B143">
        <v>59.14</v>
      </c>
      <c r="C143">
        <f t="shared" si="14"/>
        <v>2.0499999999999972</v>
      </c>
      <c r="D143">
        <f t="shared" si="15"/>
        <v>2.0499999999999972</v>
      </c>
      <c r="E143">
        <f t="shared" si="16"/>
        <v>0</v>
      </c>
      <c r="F143">
        <f t="shared" si="12"/>
        <v>0.38477329504550806</v>
      </c>
      <c r="G143">
        <f t="shared" si="13"/>
        <v>0.2113557410569496</v>
      </c>
      <c r="H143">
        <f t="shared" si="10"/>
        <v>1.8205007970038121</v>
      </c>
      <c r="I143">
        <f t="shared" si="11"/>
        <v>64.545303406320983</v>
      </c>
      <c r="J143">
        <f>30</f>
        <v>30</v>
      </c>
      <c r="K143">
        <v>70</v>
      </c>
    </row>
    <row r="144" spans="1:11">
      <c r="A144" s="1">
        <v>45681</v>
      </c>
      <c r="B144">
        <v>59.67</v>
      </c>
      <c r="C144">
        <f t="shared" si="14"/>
        <v>0.53000000000000114</v>
      </c>
      <c r="D144">
        <f t="shared" si="15"/>
        <v>0.53000000000000114</v>
      </c>
      <c r="E144">
        <f t="shared" si="16"/>
        <v>0</v>
      </c>
      <c r="F144">
        <f t="shared" si="12"/>
        <v>0.39514663111368614</v>
      </c>
      <c r="G144">
        <f t="shared" si="13"/>
        <v>0.19625890241002461</v>
      </c>
      <c r="H144">
        <f t="shared" si="10"/>
        <v>2.013394685598235</v>
      </c>
      <c r="I144">
        <f t="shared" si="11"/>
        <v>66.814834950786576</v>
      </c>
      <c r="J144">
        <f>30</f>
        <v>30</v>
      </c>
      <c r="K144">
        <v>70</v>
      </c>
    </row>
    <row r="145" spans="1:11">
      <c r="A145" s="1">
        <v>45684</v>
      </c>
      <c r="B145">
        <v>60.6</v>
      </c>
      <c r="C145">
        <f t="shared" si="14"/>
        <v>0.92999999999999972</v>
      </c>
      <c r="D145">
        <f t="shared" si="15"/>
        <v>0.92999999999999972</v>
      </c>
      <c r="E145">
        <f t="shared" si="16"/>
        <v>0</v>
      </c>
      <c r="F145">
        <f t="shared" si="12"/>
        <v>0.43335044317699423</v>
      </c>
      <c r="G145">
        <f t="shared" si="13"/>
        <v>0.18224040938073713</v>
      </c>
      <c r="H145">
        <f t="shared" ref="H145:H189" si="17">F145/G145</f>
        <v>2.377905343000176</v>
      </c>
      <c r="I145">
        <f t="shared" ref="I145:I189" si="18">IF(H145=0,100,100-(100/(1+H145)))</f>
        <v>70.395854872835969</v>
      </c>
      <c r="J145">
        <f>30</f>
        <v>30</v>
      </c>
      <c r="K145">
        <v>70</v>
      </c>
    </row>
    <row r="146" spans="1:11">
      <c r="A146" s="1">
        <v>45685</v>
      </c>
      <c r="B146">
        <v>58.76</v>
      </c>
      <c r="C146">
        <f t="shared" si="14"/>
        <v>-1.8400000000000034</v>
      </c>
      <c r="D146">
        <f t="shared" si="15"/>
        <v>0</v>
      </c>
      <c r="E146">
        <f t="shared" si="16"/>
        <v>1.8400000000000034</v>
      </c>
      <c r="F146">
        <f t="shared" ref="F146:F189" si="19">((F145*13)+D146)/14</f>
        <v>0.4023968400929232</v>
      </c>
      <c r="G146">
        <f t="shared" ref="G146:G189" si="20">((G145*13)+E146)/14</f>
        <v>0.3006518087106847</v>
      </c>
      <c r="H146">
        <f t="shared" si="17"/>
        <v>1.3384148321560476</v>
      </c>
      <c r="I146">
        <f t="shared" si="18"/>
        <v>57.235987975752465</v>
      </c>
      <c r="J146">
        <f>30</f>
        <v>30</v>
      </c>
      <c r="K146">
        <v>70</v>
      </c>
    </row>
    <row r="147" spans="1:11">
      <c r="A147" s="1">
        <v>45686</v>
      </c>
      <c r="B147">
        <v>59.05</v>
      </c>
      <c r="C147">
        <f t="shared" si="14"/>
        <v>0.28999999999999915</v>
      </c>
      <c r="D147">
        <f t="shared" si="15"/>
        <v>0.28999999999999915</v>
      </c>
      <c r="E147">
        <f t="shared" si="16"/>
        <v>0</v>
      </c>
      <c r="F147">
        <f t="shared" si="19"/>
        <v>0.394368494372</v>
      </c>
      <c r="G147">
        <f t="shared" si="20"/>
        <v>0.27917667951706437</v>
      </c>
      <c r="H147">
        <f t="shared" si="17"/>
        <v>1.4126125973494668</v>
      </c>
      <c r="I147">
        <f t="shared" si="18"/>
        <v>58.551157318061954</v>
      </c>
      <c r="J147">
        <f>30</f>
        <v>30</v>
      </c>
      <c r="K147">
        <v>70</v>
      </c>
    </row>
    <row r="148" spans="1:11">
      <c r="A148" s="1">
        <v>45687</v>
      </c>
      <c r="B148">
        <v>59.14</v>
      </c>
      <c r="C148">
        <f t="shared" si="14"/>
        <v>9.0000000000003411E-2</v>
      </c>
      <c r="D148">
        <f t="shared" si="15"/>
        <v>9.0000000000003411E-2</v>
      </c>
      <c r="E148">
        <f t="shared" si="16"/>
        <v>0</v>
      </c>
      <c r="F148">
        <f t="shared" si="19"/>
        <v>0.37262788763114313</v>
      </c>
      <c r="G148">
        <f t="shared" si="20"/>
        <v>0.25923548812298836</v>
      </c>
      <c r="H148">
        <f t="shared" si="17"/>
        <v>1.4374107894300272</v>
      </c>
      <c r="I148">
        <f t="shared" si="18"/>
        <v>58.972857413425842</v>
      </c>
      <c r="J148">
        <f>30</f>
        <v>30</v>
      </c>
      <c r="K148">
        <v>70</v>
      </c>
    </row>
    <row r="149" spans="1:11">
      <c r="A149" s="1">
        <v>45688</v>
      </c>
      <c r="B149">
        <v>58.95</v>
      </c>
      <c r="C149">
        <f t="shared" si="14"/>
        <v>-0.18999999999999773</v>
      </c>
      <c r="D149">
        <f t="shared" si="15"/>
        <v>0</v>
      </c>
      <c r="E149">
        <f t="shared" si="16"/>
        <v>0.18999999999999773</v>
      </c>
      <c r="F149">
        <f t="shared" si="19"/>
        <v>0.34601160994320435</v>
      </c>
      <c r="G149">
        <f t="shared" si="20"/>
        <v>0.25429009611420333</v>
      </c>
      <c r="H149">
        <f t="shared" si="17"/>
        <v>1.3606963669863426</v>
      </c>
      <c r="I149">
        <f t="shared" si="18"/>
        <v>57.639617954061713</v>
      </c>
      <c r="J149">
        <f>30</f>
        <v>30</v>
      </c>
      <c r="K149">
        <v>70</v>
      </c>
    </row>
    <row r="150" spans="1:11">
      <c r="A150" s="1">
        <v>45691</v>
      </c>
      <c r="B150">
        <v>59.95</v>
      </c>
      <c r="C150">
        <f t="shared" si="14"/>
        <v>1</v>
      </c>
      <c r="D150">
        <f t="shared" si="15"/>
        <v>1</v>
      </c>
      <c r="E150">
        <f t="shared" si="16"/>
        <v>0</v>
      </c>
      <c r="F150">
        <f t="shared" si="19"/>
        <v>0.39272506637583265</v>
      </c>
      <c r="G150">
        <f t="shared" si="20"/>
        <v>0.23612651782033164</v>
      </c>
      <c r="H150">
        <f t="shared" si="17"/>
        <v>1.6631976365935173</v>
      </c>
      <c r="I150">
        <f t="shared" si="18"/>
        <v>62.451153220491179</v>
      </c>
      <c r="J150">
        <f>30</f>
        <v>30</v>
      </c>
      <c r="K150">
        <v>70</v>
      </c>
    </row>
    <row r="151" spans="1:11">
      <c r="A151" s="1">
        <v>45692</v>
      </c>
      <c r="B151">
        <v>59.12</v>
      </c>
      <c r="C151">
        <f t="shared" si="14"/>
        <v>-0.8300000000000054</v>
      </c>
      <c r="D151">
        <f t="shared" si="15"/>
        <v>0</v>
      </c>
      <c r="E151">
        <f t="shared" si="16"/>
        <v>0.8300000000000054</v>
      </c>
      <c r="F151">
        <f t="shared" si="19"/>
        <v>0.36467327592041604</v>
      </c>
      <c r="G151">
        <f t="shared" si="20"/>
        <v>0.2785460522617369</v>
      </c>
      <c r="H151">
        <f t="shared" si="17"/>
        <v>1.3092028156900581</v>
      </c>
      <c r="I151">
        <f t="shared" si="18"/>
        <v>56.695012096580591</v>
      </c>
      <c r="J151">
        <f>30</f>
        <v>30</v>
      </c>
      <c r="K151">
        <v>70</v>
      </c>
    </row>
    <row r="152" spans="1:11">
      <c r="A152" s="1">
        <v>45693</v>
      </c>
      <c r="B152">
        <v>59.71</v>
      </c>
      <c r="C152">
        <f t="shared" si="14"/>
        <v>0.59000000000000341</v>
      </c>
      <c r="D152">
        <f t="shared" si="15"/>
        <v>0.59000000000000341</v>
      </c>
      <c r="E152">
        <f t="shared" si="16"/>
        <v>0</v>
      </c>
      <c r="F152">
        <f t="shared" si="19"/>
        <v>0.38076804192610086</v>
      </c>
      <c r="G152">
        <f t="shared" si="20"/>
        <v>0.25864990567161283</v>
      </c>
      <c r="H152">
        <f t="shared" si="17"/>
        <v>1.4721367902199496</v>
      </c>
      <c r="I152">
        <f t="shared" si="18"/>
        <v>59.549163947718746</v>
      </c>
      <c r="J152">
        <f>30</f>
        <v>30</v>
      </c>
      <c r="K152">
        <v>70</v>
      </c>
    </row>
    <row r="153" spans="1:11">
      <c r="A153" s="1">
        <v>45694</v>
      </c>
      <c r="B153">
        <v>57.42</v>
      </c>
      <c r="C153">
        <f t="shared" si="14"/>
        <v>-2.2899999999999991</v>
      </c>
      <c r="D153">
        <f t="shared" si="15"/>
        <v>0</v>
      </c>
      <c r="E153">
        <f t="shared" si="16"/>
        <v>2.2899999999999991</v>
      </c>
      <c r="F153">
        <f t="shared" si="19"/>
        <v>0.35357032464566507</v>
      </c>
      <c r="G153">
        <f t="shared" si="20"/>
        <v>0.40374634098078327</v>
      </c>
      <c r="H153">
        <f t="shared" si="17"/>
        <v>0.87572391067809974</v>
      </c>
      <c r="I153">
        <f t="shared" si="18"/>
        <v>46.687249956818732</v>
      </c>
      <c r="J153">
        <f>30</f>
        <v>30</v>
      </c>
      <c r="K153">
        <v>70</v>
      </c>
    </row>
    <row r="154" spans="1:11">
      <c r="A154" s="1">
        <v>45695</v>
      </c>
      <c r="B154">
        <v>56.85</v>
      </c>
      <c r="C154">
        <f t="shared" si="14"/>
        <v>-0.57000000000000028</v>
      </c>
      <c r="D154">
        <f t="shared" si="15"/>
        <v>0</v>
      </c>
      <c r="E154">
        <f t="shared" si="16"/>
        <v>0.57000000000000028</v>
      </c>
      <c r="F154">
        <f t="shared" si="19"/>
        <v>0.32831530145668897</v>
      </c>
      <c r="G154">
        <f t="shared" si="20"/>
        <v>0.41562160233929873</v>
      </c>
      <c r="H154">
        <f t="shared" si="17"/>
        <v>0.78993800998020314</v>
      </c>
      <c r="I154">
        <f t="shared" si="18"/>
        <v>44.132143436014296</v>
      </c>
      <c r="J154">
        <f>30</f>
        <v>30</v>
      </c>
      <c r="K154">
        <v>70</v>
      </c>
    </row>
    <row r="155" spans="1:11">
      <c r="A155" s="1">
        <v>45698</v>
      </c>
      <c r="B155">
        <v>55.53</v>
      </c>
      <c r="C155">
        <f t="shared" si="14"/>
        <v>-1.3200000000000003</v>
      </c>
      <c r="D155">
        <f t="shared" si="15"/>
        <v>0</v>
      </c>
      <c r="E155">
        <f t="shared" si="16"/>
        <v>1.3200000000000003</v>
      </c>
      <c r="F155">
        <f t="shared" si="19"/>
        <v>0.30486420849549695</v>
      </c>
      <c r="G155">
        <f t="shared" si="20"/>
        <v>0.48022005931506312</v>
      </c>
      <c r="H155">
        <f t="shared" si="17"/>
        <v>0.63484271966965344</v>
      </c>
      <c r="I155">
        <f t="shared" si="18"/>
        <v>38.832036380718861</v>
      </c>
      <c r="J155">
        <f>30</f>
        <v>30</v>
      </c>
      <c r="K155">
        <v>70</v>
      </c>
    </row>
    <row r="156" spans="1:11">
      <c r="A156" s="1">
        <v>45699</v>
      </c>
      <c r="B156">
        <v>55.94</v>
      </c>
      <c r="C156">
        <f t="shared" si="14"/>
        <v>0.40999999999999659</v>
      </c>
      <c r="D156">
        <f t="shared" si="15"/>
        <v>0.40999999999999659</v>
      </c>
      <c r="E156">
        <f t="shared" si="16"/>
        <v>0</v>
      </c>
      <c r="F156">
        <f t="shared" si="19"/>
        <v>0.31237390788867547</v>
      </c>
      <c r="G156">
        <f t="shared" si="20"/>
        <v>0.44591862650684433</v>
      </c>
      <c r="H156">
        <f t="shared" si="17"/>
        <v>0.7005177387087258</v>
      </c>
      <c r="I156">
        <f t="shared" si="18"/>
        <v>41.194379968106546</v>
      </c>
      <c r="J156">
        <f>30</f>
        <v>30</v>
      </c>
      <c r="K156">
        <v>70</v>
      </c>
    </row>
    <row r="157" spans="1:11">
      <c r="A157" s="1">
        <v>45700</v>
      </c>
      <c r="B157">
        <v>56.15</v>
      </c>
      <c r="C157">
        <f t="shared" si="14"/>
        <v>0.21000000000000085</v>
      </c>
      <c r="D157">
        <f t="shared" si="15"/>
        <v>0.21000000000000085</v>
      </c>
      <c r="E157">
        <f t="shared" si="16"/>
        <v>0</v>
      </c>
      <c r="F157">
        <f t="shared" si="19"/>
        <v>0.30506148589662729</v>
      </c>
      <c r="G157">
        <f t="shared" si="20"/>
        <v>0.41406729604206971</v>
      </c>
      <c r="H157">
        <f t="shared" si="17"/>
        <v>0.73674373420119776</v>
      </c>
      <c r="I157">
        <f t="shared" si="18"/>
        <v>42.420981270449637</v>
      </c>
      <c r="J157">
        <f>30</f>
        <v>30</v>
      </c>
      <c r="K157">
        <v>70</v>
      </c>
    </row>
    <row r="158" spans="1:11">
      <c r="A158" s="1">
        <v>45701</v>
      </c>
      <c r="B158">
        <v>55.97</v>
      </c>
      <c r="C158">
        <f t="shared" si="14"/>
        <v>-0.17999999999999972</v>
      </c>
      <c r="D158">
        <f t="shared" si="15"/>
        <v>0</v>
      </c>
      <c r="E158">
        <f t="shared" si="16"/>
        <v>0.17999999999999972</v>
      </c>
      <c r="F158">
        <f t="shared" si="19"/>
        <v>0.28327137976115391</v>
      </c>
      <c r="G158">
        <f t="shared" si="20"/>
        <v>0.39734820346763616</v>
      </c>
      <c r="H158">
        <f t="shared" si="17"/>
        <v>0.71290464456378555</v>
      </c>
      <c r="I158">
        <f t="shared" si="18"/>
        <v>41.619634042462202</v>
      </c>
      <c r="J158">
        <f>30</f>
        <v>30</v>
      </c>
      <c r="K158">
        <v>70</v>
      </c>
    </row>
    <row r="159" spans="1:11">
      <c r="A159" s="1">
        <v>45702</v>
      </c>
      <c r="B159">
        <v>53.9</v>
      </c>
      <c r="C159">
        <f t="shared" si="14"/>
        <v>-2.0700000000000003</v>
      </c>
      <c r="D159">
        <f t="shared" si="15"/>
        <v>0</v>
      </c>
      <c r="E159">
        <f t="shared" si="16"/>
        <v>2.0700000000000003</v>
      </c>
      <c r="F159">
        <f t="shared" si="19"/>
        <v>0.26303770977821433</v>
      </c>
      <c r="G159">
        <f t="shared" si="20"/>
        <v>0.51682333179137641</v>
      </c>
      <c r="H159">
        <f t="shared" si="17"/>
        <v>0.50895091919803948</v>
      </c>
      <c r="I159">
        <f t="shared" si="18"/>
        <v>33.728792151074799</v>
      </c>
      <c r="J159">
        <f>30</f>
        <v>30</v>
      </c>
      <c r="K159">
        <v>70</v>
      </c>
    </row>
    <row r="160" spans="1:11">
      <c r="A160" s="1">
        <v>45706</v>
      </c>
      <c r="B160">
        <v>54.43</v>
      </c>
      <c r="C160">
        <f t="shared" si="14"/>
        <v>0.53000000000000114</v>
      </c>
      <c r="D160">
        <f t="shared" si="15"/>
        <v>0.53000000000000114</v>
      </c>
      <c r="E160">
        <f t="shared" si="16"/>
        <v>0</v>
      </c>
      <c r="F160">
        <f t="shared" si="19"/>
        <v>0.28210644479405628</v>
      </c>
      <c r="G160">
        <f t="shared" si="20"/>
        <v>0.47990737952056378</v>
      </c>
      <c r="H160">
        <f t="shared" si="17"/>
        <v>0.58783518827296588</v>
      </c>
      <c r="I160">
        <f t="shared" si="18"/>
        <v>37.021171505358438</v>
      </c>
      <c r="J160">
        <f>30</f>
        <v>30</v>
      </c>
      <c r="K160">
        <v>70</v>
      </c>
    </row>
    <row r="161" spans="1:11">
      <c r="A161" s="1">
        <v>45707</v>
      </c>
      <c r="B161">
        <v>54.98</v>
      </c>
      <c r="C161">
        <f t="shared" si="14"/>
        <v>0.54999999999999716</v>
      </c>
      <c r="D161">
        <f t="shared" si="15"/>
        <v>0.54999999999999716</v>
      </c>
      <c r="E161">
        <f t="shared" si="16"/>
        <v>0</v>
      </c>
      <c r="F161">
        <f t="shared" si="19"/>
        <v>0.3012416987373378</v>
      </c>
      <c r="G161">
        <f t="shared" si="20"/>
        <v>0.44562828098338064</v>
      </c>
      <c r="H161">
        <f t="shared" si="17"/>
        <v>0.67599322482984958</v>
      </c>
      <c r="I161">
        <f t="shared" si="18"/>
        <v>40.333887680153232</v>
      </c>
      <c r="J161">
        <f>30</f>
        <v>30</v>
      </c>
      <c r="K161">
        <v>70</v>
      </c>
    </row>
    <row r="162" spans="1:11">
      <c r="A162" s="1">
        <v>45708</v>
      </c>
      <c r="B162">
        <v>55.79</v>
      </c>
      <c r="C162">
        <f t="shared" si="14"/>
        <v>0.81000000000000227</v>
      </c>
      <c r="D162">
        <f t="shared" si="15"/>
        <v>0.81000000000000227</v>
      </c>
      <c r="E162">
        <f t="shared" si="16"/>
        <v>0</v>
      </c>
      <c r="F162">
        <f t="shared" si="19"/>
        <v>0.33758157739895672</v>
      </c>
      <c r="G162">
        <f t="shared" si="20"/>
        <v>0.41379768948456774</v>
      </c>
      <c r="H162">
        <f t="shared" si="17"/>
        <v>0.81581310378860039</v>
      </c>
      <c r="I162">
        <f t="shared" si="18"/>
        <v>44.928252918014984</v>
      </c>
      <c r="J162">
        <f>30</f>
        <v>30</v>
      </c>
      <c r="K162">
        <v>70</v>
      </c>
    </row>
    <row r="163" spans="1:11">
      <c r="A163" s="1">
        <v>45709</v>
      </c>
      <c r="B163">
        <v>55.83</v>
      </c>
      <c r="C163">
        <f t="shared" si="14"/>
        <v>3.9999999999999147E-2</v>
      </c>
      <c r="D163">
        <f t="shared" si="15"/>
        <v>3.9999999999999147E-2</v>
      </c>
      <c r="E163">
        <f t="shared" si="16"/>
        <v>0</v>
      </c>
      <c r="F163">
        <f t="shared" si="19"/>
        <v>0.31632575044188832</v>
      </c>
      <c r="G163">
        <f t="shared" si="20"/>
        <v>0.38424071166424145</v>
      </c>
      <c r="H163">
        <f t="shared" si="17"/>
        <v>0.82324891881394702</v>
      </c>
      <c r="I163">
        <f t="shared" si="18"/>
        <v>45.152853805035235</v>
      </c>
      <c r="J163">
        <f>30</f>
        <v>30</v>
      </c>
      <c r="K163">
        <v>70</v>
      </c>
    </row>
    <row r="164" spans="1:11">
      <c r="A164" s="1">
        <v>45712</v>
      </c>
      <c r="B164">
        <v>57.88</v>
      </c>
      <c r="C164">
        <f t="shared" si="14"/>
        <v>2.0500000000000043</v>
      </c>
      <c r="D164">
        <f t="shared" si="15"/>
        <v>2.0500000000000043</v>
      </c>
      <c r="E164">
        <f t="shared" si="16"/>
        <v>0</v>
      </c>
      <c r="F164">
        <f t="shared" si="19"/>
        <v>0.44015962541032516</v>
      </c>
      <c r="G164">
        <f t="shared" si="20"/>
        <v>0.35679494654536709</v>
      </c>
      <c r="H164">
        <f t="shared" si="17"/>
        <v>1.233648709635965</v>
      </c>
      <c r="I164">
        <f t="shared" si="18"/>
        <v>55.230202686483416</v>
      </c>
      <c r="J164">
        <f>30</f>
        <v>30</v>
      </c>
      <c r="K164">
        <v>70</v>
      </c>
    </row>
    <row r="165" spans="1:11">
      <c r="A165" s="1">
        <v>45713</v>
      </c>
      <c r="B165">
        <v>58.21</v>
      </c>
      <c r="C165">
        <f t="shared" si="14"/>
        <v>0.32999999999999829</v>
      </c>
      <c r="D165">
        <f t="shared" si="15"/>
        <v>0.32999999999999829</v>
      </c>
      <c r="E165">
        <f t="shared" si="16"/>
        <v>0</v>
      </c>
      <c r="F165">
        <f t="shared" si="19"/>
        <v>0.43229108073815897</v>
      </c>
      <c r="G165">
        <f t="shared" si="20"/>
        <v>0.33130959322069803</v>
      </c>
      <c r="H165">
        <f t="shared" si="17"/>
        <v>1.3047949397897249</v>
      </c>
      <c r="I165">
        <f t="shared" si="18"/>
        <v>56.612192141864313</v>
      </c>
      <c r="J165">
        <f>30</f>
        <v>30</v>
      </c>
      <c r="K165">
        <v>70</v>
      </c>
    </row>
    <row r="166" spans="1:11">
      <c r="A166" s="1">
        <v>45714</v>
      </c>
      <c r="B166">
        <v>57.38</v>
      </c>
      <c r="C166">
        <f t="shared" si="14"/>
        <v>-0.82999999999999829</v>
      </c>
      <c r="D166">
        <f t="shared" si="15"/>
        <v>0</v>
      </c>
      <c r="E166">
        <f t="shared" si="16"/>
        <v>0.82999999999999829</v>
      </c>
      <c r="F166">
        <f t="shared" si="19"/>
        <v>0.40141314639971909</v>
      </c>
      <c r="G166">
        <f t="shared" si="20"/>
        <v>0.36693033656207658</v>
      </c>
      <c r="H166">
        <f t="shared" si="17"/>
        <v>1.0939764483927013</v>
      </c>
      <c r="I166">
        <f t="shared" si="18"/>
        <v>52.24397099749703</v>
      </c>
      <c r="J166">
        <f>30</f>
        <v>30</v>
      </c>
      <c r="K166">
        <v>70</v>
      </c>
    </row>
    <row r="167" spans="1:11">
      <c r="A167" s="1">
        <v>45715</v>
      </c>
      <c r="B167">
        <v>58.8</v>
      </c>
      <c r="C167">
        <f t="shared" si="14"/>
        <v>1.4199999999999946</v>
      </c>
      <c r="D167">
        <f t="shared" si="15"/>
        <v>1.4199999999999946</v>
      </c>
      <c r="E167">
        <f t="shared" si="16"/>
        <v>0</v>
      </c>
      <c r="F167">
        <f t="shared" si="19"/>
        <v>0.47416935022831019</v>
      </c>
      <c r="G167">
        <f t="shared" si="20"/>
        <v>0.34072102680764255</v>
      </c>
      <c r="H167">
        <f t="shared" si="17"/>
        <v>1.3916644789169623</v>
      </c>
      <c r="I167">
        <f t="shared" si="18"/>
        <v>58.188115063161433</v>
      </c>
      <c r="J167">
        <f>30</f>
        <v>30</v>
      </c>
      <c r="K167">
        <v>70</v>
      </c>
    </row>
    <row r="168" spans="1:11">
      <c r="A168" s="1">
        <v>45716</v>
      </c>
      <c r="B168">
        <v>59.62</v>
      </c>
      <c r="C168">
        <f t="shared" si="14"/>
        <v>0.82000000000000028</v>
      </c>
      <c r="D168">
        <f t="shared" si="15"/>
        <v>0.82000000000000028</v>
      </c>
      <c r="E168">
        <f t="shared" si="16"/>
        <v>0</v>
      </c>
      <c r="F168">
        <f t="shared" si="19"/>
        <v>0.49887153949771662</v>
      </c>
      <c r="G168">
        <f t="shared" si="20"/>
        <v>0.31638381060709664</v>
      </c>
      <c r="H168">
        <f t="shared" si="17"/>
        <v>1.5767922465452684</v>
      </c>
      <c r="I168">
        <f t="shared" si="18"/>
        <v>61.192059571713237</v>
      </c>
      <c r="J168">
        <f>30</f>
        <v>30</v>
      </c>
      <c r="K168">
        <v>70</v>
      </c>
    </row>
    <row r="169" spans="1:11">
      <c r="A169" s="1">
        <v>45719</v>
      </c>
      <c r="B169">
        <v>59.87</v>
      </c>
      <c r="C169">
        <f t="shared" si="14"/>
        <v>0.25</v>
      </c>
      <c r="D169">
        <f t="shared" si="15"/>
        <v>0.25</v>
      </c>
      <c r="E169">
        <f t="shared" si="16"/>
        <v>0</v>
      </c>
      <c r="F169">
        <f t="shared" si="19"/>
        <v>0.4810950009621654</v>
      </c>
      <c r="G169">
        <f t="shared" si="20"/>
        <v>0.293784966992304</v>
      </c>
      <c r="H169">
        <f t="shared" si="17"/>
        <v>1.6375752846971512</v>
      </c>
      <c r="I169">
        <f t="shared" si="18"/>
        <v>62.08639026146998</v>
      </c>
      <c r="J169">
        <f>30</f>
        <v>30</v>
      </c>
      <c r="K169">
        <v>70</v>
      </c>
    </row>
    <row r="170" spans="1:11">
      <c r="A170" s="1">
        <v>45720</v>
      </c>
      <c r="B170">
        <v>59.44</v>
      </c>
      <c r="C170">
        <f t="shared" si="14"/>
        <v>-0.42999999999999972</v>
      </c>
      <c r="D170">
        <f t="shared" si="15"/>
        <v>0</v>
      </c>
      <c r="E170">
        <f t="shared" si="16"/>
        <v>0.42999999999999972</v>
      </c>
      <c r="F170">
        <f t="shared" si="19"/>
        <v>0.44673107232201076</v>
      </c>
      <c r="G170">
        <f t="shared" si="20"/>
        <v>0.30351461220713943</v>
      </c>
      <c r="H170">
        <f t="shared" si="17"/>
        <v>1.4718601818654138</v>
      </c>
      <c r="I170">
        <f t="shared" si="18"/>
        <v>59.544637381336834</v>
      </c>
      <c r="J170">
        <f>30</f>
        <v>30</v>
      </c>
      <c r="K170">
        <v>70</v>
      </c>
    </row>
    <row r="171" spans="1:11">
      <c r="A171" s="1">
        <v>45721</v>
      </c>
      <c r="B171">
        <v>59.82</v>
      </c>
      <c r="C171">
        <f t="shared" si="14"/>
        <v>0.38000000000000256</v>
      </c>
      <c r="D171">
        <f t="shared" si="15"/>
        <v>0.38000000000000256</v>
      </c>
      <c r="E171">
        <f t="shared" si="16"/>
        <v>0</v>
      </c>
      <c r="F171">
        <f t="shared" si="19"/>
        <v>0.44196456715615307</v>
      </c>
      <c r="G171">
        <f t="shared" si="20"/>
        <v>0.28183499704948661</v>
      </c>
      <c r="H171">
        <f t="shared" si="17"/>
        <v>1.5681677995389258</v>
      </c>
      <c r="I171">
        <f t="shared" si="18"/>
        <v>61.061734354759281</v>
      </c>
      <c r="J171">
        <f>30</f>
        <v>30</v>
      </c>
      <c r="K171">
        <v>70</v>
      </c>
    </row>
    <row r="172" spans="1:11">
      <c r="A172" s="1">
        <v>45722</v>
      </c>
      <c r="B172">
        <v>60.18</v>
      </c>
      <c r="C172">
        <f t="shared" si="14"/>
        <v>0.35999999999999943</v>
      </c>
      <c r="D172">
        <f t="shared" si="15"/>
        <v>0.35999999999999943</v>
      </c>
      <c r="E172">
        <f t="shared" si="16"/>
        <v>0</v>
      </c>
      <c r="F172">
        <f t="shared" si="19"/>
        <v>0.43610995521642781</v>
      </c>
      <c r="G172">
        <f t="shared" si="20"/>
        <v>0.26170392583166613</v>
      </c>
      <c r="H172">
        <f t="shared" si="17"/>
        <v>1.6664249641289048</v>
      </c>
      <c r="I172">
        <f t="shared" si="18"/>
        <v>62.496600749959967</v>
      </c>
      <c r="J172">
        <f>30</f>
        <v>30</v>
      </c>
      <c r="K172">
        <v>70</v>
      </c>
    </row>
    <row r="173" spans="1:11">
      <c r="A173" s="1">
        <v>45723</v>
      </c>
      <c r="B173">
        <v>61.09</v>
      </c>
      <c r="C173">
        <f t="shared" si="14"/>
        <v>0.91000000000000369</v>
      </c>
      <c r="D173">
        <f t="shared" si="15"/>
        <v>0.91000000000000369</v>
      </c>
      <c r="E173">
        <f t="shared" si="16"/>
        <v>0</v>
      </c>
      <c r="F173">
        <f t="shared" si="19"/>
        <v>0.46995924412954038</v>
      </c>
      <c r="G173">
        <f t="shared" si="20"/>
        <v>0.24301078827226141</v>
      </c>
      <c r="H173">
        <f t="shared" si="17"/>
        <v>1.9339028010682935</v>
      </c>
      <c r="I173">
        <f t="shared" si="18"/>
        <v>65.915707922025234</v>
      </c>
      <c r="J173">
        <f>30</f>
        <v>30</v>
      </c>
      <c r="K173">
        <v>70</v>
      </c>
    </row>
    <row r="174" spans="1:11">
      <c r="A174" s="1">
        <v>45726</v>
      </c>
      <c r="B174">
        <v>63.11</v>
      </c>
      <c r="C174">
        <f t="shared" si="14"/>
        <v>2.019999999999996</v>
      </c>
      <c r="D174">
        <f t="shared" si="15"/>
        <v>2.019999999999996</v>
      </c>
      <c r="E174">
        <f t="shared" si="16"/>
        <v>0</v>
      </c>
      <c r="F174">
        <f t="shared" si="19"/>
        <v>0.5806764409774301</v>
      </c>
      <c r="G174">
        <f t="shared" si="20"/>
        <v>0.22565287482424276</v>
      </c>
      <c r="H174">
        <f t="shared" si="17"/>
        <v>2.5733172751719171</v>
      </c>
      <c r="I174">
        <f t="shared" si="18"/>
        <v>72.014799610765351</v>
      </c>
      <c r="J174">
        <f>30</f>
        <v>30</v>
      </c>
      <c r="K174">
        <v>70</v>
      </c>
    </row>
    <row r="175" spans="1:11">
      <c r="A175" s="1">
        <v>45727</v>
      </c>
      <c r="B175">
        <v>61.51</v>
      </c>
      <c r="C175">
        <f t="shared" si="14"/>
        <v>-1.6000000000000014</v>
      </c>
      <c r="D175">
        <f t="shared" si="15"/>
        <v>0</v>
      </c>
      <c r="E175">
        <f t="shared" si="16"/>
        <v>1.6000000000000014</v>
      </c>
      <c r="F175">
        <f t="shared" si="19"/>
        <v>0.53919955233618511</v>
      </c>
      <c r="G175">
        <f t="shared" si="20"/>
        <v>0.32382052662251126</v>
      </c>
      <c r="H175">
        <f t="shared" si="17"/>
        <v>1.6651185085766615</v>
      </c>
      <c r="I175">
        <f t="shared" si="18"/>
        <v>62.478216380176576</v>
      </c>
      <c r="J175">
        <f>30</f>
        <v>30</v>
      </c>
      <c r="K175">
        <v>70</v>
      </c>
    </row>
    <row r="176" spans="1:11">
      <c r="A176" s="1">
        <v>45728</v>
      </c>
      <c r="B176">
        <v>59.81</v>
      </c>
      <c r="C176">
        <f t="shared" si="14"/>
        <v>-1.6999999999999957</v>
      </c>
      <c r="D176">
        <f t="shared" si="15"/>
        <v>0</v>
      </c>
      <c r="E176">
        <f t="shared" si="16"/>
        <v>1.6999999999999957</v>
      </c>
      <c r="F176">
        <f t="shared" si="19"/>
        <v>0.50068529859788613</v>
      </c>
      <c r="G176">
        <f t="shared" si="20"/>
        <v>0.42211906043518871</v>
      </c>
      <c r="H176">
        <f t="shared" si="17"/>
        <v>1.1861234081249461</v>
      </c>
      <c r="I176">
        <f t="shared" si="18"/>
        <v>54.256928209843963</v>
      </c>
      <c r="J176">
        <f>30</f>
        <v>30</v>
      </c>
      <c r="K176">
        <v>70</v>
      </c>
    </row>
    <row r="177" spans="1:11">
      <c r="A177" s="1">
        <v>45729</v>
      </c>
      <c r="B177">
        <v>60.28</v>
      </c>
      <c r="C177">
        <f t="shared" si="14"/>
        <v>0.46999999999999886</v>
      </c>
      <c r="D177">
        <f t="shared" si="15"/>
        <v>0.46999999999999886</v>
      </c>
      <c r="E177">
        <f t="shared" si="16"/>
        <v>0</v>
      </c>
      <c r="F177">
        <f t="shared" si="19"/>
        <v>0.49849349155517991</v>
      </c>
      <c r="G177">
        <f t="shared" si="20"/>
        <v>0.39196769897553235</v>
      </c>
      <c r="H177">
        <f t="shared" si="17"/>
        <v>1.2717718650237482</v>
      </c>
      <c r="I177">
        <f t="shared" si="18"/>
        <v>55.981495527961101</v>
      </c>
      <c r="J177">
        <f>30</f>
        <v>30</v>
      </c>
      <c r="K177">
        <v>70</v>
      </c>
    </row>
    <row r="178" spans="1:11">
      <c r="A178" s="1">
        <v>45730</v>
      </c>
      <c r="B178">
        <v>59.01</v>
      </c>
      <c r="C178">
        <f t="shared" si="14"/>
        <v>-1.2700000000000031</v>
      </c>
      <c r="D178">
        <f t="shared" si="15"/>
        <v>0</v>
      </c>
      <c r="E178">
        <f t="shared" si="16"/>
        <v>1.2700000000000031</v>
      </c>
      <c r="F178">
        <f t="shared" si="19"/>
        <v>0.46288681358695277</v>
      </c>
      <c r="G178">
        <f t="shared" si="20"/>
        <v>0.45468429190585169</v>
      </c>
      <c r="H178">
        <f t="shared" si="17"/>
        <v>1.0180400375098058</v>
      </c>
      <c r="I178">
        <f t="shared" si="18"/>
        <v>50.446969266577753</v>
      </c>
      <c r="J178">
        <f>30</f>
        <v>30</v>
      </c>
      <c r="K178">
        <v>70</v>
      </c>
    </row>
    <row r="179" spans="1:11">
      <c r="A179" s="1">
        <v>45733</v>
      </c>
      <c r="B179">
        <v>59.99</v>
      </c>
      <c r="C179">
        <f t="shared" si="14"/>
        <v>0.98000000000000398</v>
      </c>
      <c r="D179">
        <f t="shared" si="15"/>
        <v>0.98000000000000398</v>
      </c>
      <c r="E179">
        <f t="shared" si="16"/>
        <v>0</v>
      </c>
      <c r="F179">
        <f t="shared" si="19"/>
        <v>0.49982346975931352</v>
      </c>
      <c r="G179">
        <f t="shared" si="20"/>
        <v>0.42220684248400514</v>
      </c>
      <c r="H179">
        <f t="shared" si="17"/>
        <v>1.183835550410931</v>
      </c>
      <c r="I179">
        <f t="shared" si="18"/>
        <v>54.209006268268212</v>
      </c>
      <c r="J179">
        <f>30</f>
        <v>30</v>
      </c>
      <c r="K179">
        <v>70</v>
      </c>
    </row>
    <row r="180" spans="1:11">
      <c r="A180" s="1">
        <v>45734</v>
      </c>
      <c r="B180">
        <v>59.9</v>
      </c>
      <c r="C180">
        <f t="shared" si="14"/>
        <v>-9.0000000000003411E-2</v>
      </c>
      <c r="D180">
        <f t="shared" si="15"/>
        <v>0</v>
      </c>
      <c r="E180">
        <f t="shared" si="16"/>
        <v>9.0000000000003411E-2</v>
      </c>
      <c r="F180">
        <f t="shared" si="19"/>
        <v>0.46412179334793396</v>
      </c>
      <c r="G180">
        <f t="shared" si="20"/>
        <v>0.39847778230657649</v>
      </c>
      <c r="H180">
        <f t="shared" si="17"/>
        <v>1.16473694132049</v>
      </c>
      <c r="I180">
        <f t="shared" si="18"/>
        <v>53.805010626833955</v>
      </c>
      <c r="J180">
        <f>30</f>
        <v>30</v>
      </c>
      <c r="K180">
        <v>70</v>
      </c>
    </row>
    <row r="181" spans="1:11">
      <c r="A181" s="1">
        <v>45735</v>
      </c>
      <c r="B181">
        <v>60.08</v>
      </c>
      <c r="C181">
        <f t="shared" si="14"/>
        <v>0.17999999999999972</v>
      </c>
      <c r="D181">
        <f t="shared" si="15"/>
        <v>0.17999999999999972</v>
      </c>
      <c r="E181">
        <f t="shared" si="16"/>
        <v>0</v>
      </c>
      <c r="F181">
        <f t="shared" si="19"/>
        <v>0.44382737953736723</v>
      </c>
      <c r="G181">
        <f t="shared" si="20"/>
        <v>0.37001508357039242</v>
      </c>
      <c r="H181">
        <f t="shared" si="17"/>
        <v>1.1994845595339969</v>
      </c>
      <c r="I181">
        <f t="shared" si="18"/>
        <v>54.534802453358928</v>
      </c>
      <c r="J181">
        <f>30</f>
        <v>30</v>
      </c>
      <c r="K181">
        <v>70</v>
      </c>
    </row>
    <row r="182" spans="1:11">
      <c r="A182" s="1">
        <v>45736</v>
      </c>
      <c r="B182">
        <v>60.42</v>
      </c>
      <c r="C182">
        <f t="shared" si="14"/>
        <v>0.34000000000000341</v>
      </c>
      <c r="D182">
        <f t="shared" si="15"/>
        <v>0.34000000000000341</v>
      </c>
      <c r="E182">
        <f t="shared" si="16"/>
        <v>0</v>
      </c>
      <c r="F182">
        <f t="shared" si="19"/>
        <v>0.43641113814184124</v>
      </c>
      <c r="G182">
        <f t="shared" si="20"/>
        <v>0.34358543474393582</v>
      </c>
      <c r="H182">
        <f t="shared" si="17"/>
        <v>1.2701677487204477</v>
      </c>
      <c r="I182">
        <f t="shared" si="18"/>
        <v>55.950391746881358</v>
      </c>
      <c r="J182">
        <f>30</f>
        <v>30</v>
      </c>
      <c r="K182">
        <v>70</v>
      </c>
    </row>
    <row r="183" spans="1:11">
      <c r="A183" s="1">
        <v>45737</v>
      </c>
      <c r="B183">
        <v>60.99</v>
      </c>
      <c r="C183">
        <f t="shared" si="14"/>
        <v>0.57000000000000028</v>
      </c>
      <c r="D183">
        <f t="shared" si="15"/>
        <v>0.57000000000000028</v>
      </c>
      <c r="E183">
        <f t="shared" si="16"/>
        <v>0</v>
      </c>
      <c r="F183">
        <f t="shared" si="19"/>
        <v>0.44595319970313829</v>
      </c>
      <c r="G183">
        <f t="shared" si="20"/>
        <v>0.31904361797651187</v>
      </c>
      <c r="H183">
        <f t="shared" si="17"/>
        <v>1.3977812893783368</v>
      </c>
      <c r="I183">
        <f t="shared" si="18"/>
        <v>58.294778409115615</v>
      </c>
      <c r="J183">
        <f>30</f>
        <v>30</v>
      </c>
      <c r="K183">
        <v>70</v>
      </c>
    </row>
    <row r="184" spans="1:11">
      <c r="A184" s="1">
        <v>45740</v>
      </c>
      <c r="B184">
        <v>61.05</v>
      </c>
      <c r="C184">
        <f t="shared" si="14"/>
        <v>5.9999999999995168E-2</v>
      </c>
      <c r="D184">
        <f t="shared" si="15"/>
        <v>5.9999999999995168E-2</v>
      </c>
      <c r="E184">
        <f t="shared" si="16"/>
        <v>0</v>
      </c>
      <c r="F184">
        <f t="shared" si="19"/>
        <v>0.41838511401005668</v>
      </c>
      <c r="G184">
        <f t="shared" si="20"/>
        <v>0.29625478812104677</v>
      </c>
      <c r="H184">
        <f t="shared" si="17"/>
        <v>1.4122476016796348</v>
      </c>
      <c r="I184">
        <f t="shared" si="18"/>
        <v>58.544885719703672</v>
      </c>
      <c r="J184">
        <f>30</f>
        <v>30</v>
      </c>
      <c r="K184">
        <v>70</v>
      </c>
    </row>
    <row r="185" spans="1:11">
      <c r="A185" s="1">
        <v>45741</v>
      </c>
      <c r="B185">
        <v>59.19</v>
      </c>
      <c r="C185">
        <f t="shared" si="14"/>
        <v>-1.8599999999999994</v>
      </c>
      <c r="D185">
        <f t="shared" si="15"/>
        <v>0</v>
      </c>
      <c r="E185">
        <f t="shared" si="16"/>
        <v>1.8599999999999994</v>
      </c>
      <c r="F185">
        <f t="shared" si="19"/>
        <v>0.38850046300933838</v>
      </c>
      <c r="G185">
        <f t="shared" si="20"/>
        <v>0.40795087468382907</v>
      </c>
      <c r="H185">
        <f t="shared" si="17"/>
        <v>0.95232168164962216</v>
      </c>
      <c r="I185">
        <f t="shared" si="18"/>
        <v>48.778932826528568</v>
      </c>
      <c r="J185">
        <f>30</f>
        <v>30</v>
      </c>
      <c r="K185">
        <v>70</v>
      </c>
    </row>
    <row r="186" spans="1:11">
      <c r="A186" s="1">
        <v>45742</v>
      </c>
      <c r="B186">
        <v>59.21</v>
      </c>
      <c r="C186">
        <f t="shared" si="14"/>
        <v>2.0000000000003126E-2</v>
      </c>
      <c r="D186">
        <f t="shared" si="15"/>
        <v>2.0000000000003126E-2</v>
      </c>
      <c r="E186">
        <f t="shared" si="16"/>
        <v>0</v>
      </c>
      <c r="F186">
        <f t="shared" si="19"/>
        <v>0.36217900136581443</v>
      </c>
      <c r="G186">
        <f t="shared" si="20"/>
        <v>0.37881152649212702</v>
      </c>
      <c r="H186">
        <f t="shared" si="17"/>
        <v>0.95609287478569305</v>
      </c>
      <c r="I186">
        <f t="shared" si="18"/>
        <v>48.877683013412202</v>
      </c>
      <c r="J186">
        <f>30</f>
        <v>30</v>
      </c>
      <c r="K186">
        <v>70</v>
      </c>
    </row>
    <row r="187" spans="1:11">
      <c r="A187" s="1">
        <v>45743</v>
      </c>
      <c r="B187">
        <v>58.9</v>
      </c>
      <c r="C187">
        <f t="shared" si="14"/>
        <v>-0.31000000000000227</v>
      </c>
      <c r="D187">
        <f t="shared" si="15"/>
        <v>0</v>
      </c>
      <c r="E187">
        <f t="shared" si="16"/>
        <v>0.31000000000000227</v>
      </c>
      <c r="F187">
        <f t="shared" si="19"/>
        <v>0.33630907269682769</v>
      </c>
      <c r="G187">
        <f t="shared" si="20"/>
        <v>0.37389641745697527</v>
      </c>
      <c r="H187">
        <f t="shared" si="17"/>
        <v>0.89947123586849342</v>
      </c>
      <c r="I187">
        <f t="shared" si="18"/>
        <v>47.35376976936579</v>
      </c>
      <c r="J187">
        <f>30</f>
        <v>30</v>
      </c>
      <c r="K187">
        <v>70</v>
      </c>
    </row>
    <row r="188" spans="1:11">
      <c r="A188" s="1">
        <v>45744</v>
      </c>
      <c r="B188">
        <v>60.02</v>
      </c>
      <c r="C188">
        <f t="shared" si="14"/>
        <v>1.1200000000000045</v>
      </c>
      <c r="D188">
        <f t="shared" si="15"/>
        <v>1.1200000000000045</v>
      </c>
      <c r="E188">
        <f t="shared" si="16"/>
        <v>0</v>
      </c>
      <c r="F188">
        <f t="shared" si="19"/>
        <v>0.392286996075626</v>
      </c>
      <c r="G188">
        <f t="shared" si="20"/>
        <v>0.34718953049576273</v>
      </c>
      <c r="H188">
        <f t="shared" si="17"/>
        <v>1.1298929305715735</v>
      </c>
      <c r="I188">
        <f t="shared" si="18"/>
        <v>53.049283104966122</v>
      </c>
      <c r="J188">
        <f>30</f>
        <v>30</v>
      </c>
      <c r="K188">
        <v>70</v>
      </c>
    </row>
    <row r="189" spans="1:11">
      <c r="A189" s="1">
        <v>45747</v>
      </c>
      <c r="B189">
        <v>60.99</v>
      </c>
      <c r="C189">
        <f t="shared" si="14"/>
        <v>0.96999999999999886</v>
      </c>
      <c r="D189">
        <f t="shared" si="15"/>
        <v>0.96999999999999886</v>
      </c>
      <c r="E189">
        <f t="shared" si="16"/>
        <v>0</v>
      </c>
      <c r="F189">
        <f t="shared" si="19"/>
        <v>0.43355221064165267</v>
      </c>
      <c r="G189">
        <f t="shared" si="20"/>
        <v>0.32239027831749395</v>
      </c>
      <c r="H189">
        <f t="shared" si="17"/>
        <v>1.3448054727465606</v>
      </c>
      <c r="I189">
        <f t="shared" si="18"/>
        <v>57.352538979335385</v>
      </c>
      <c r="J189">
        <f>30</f>
        <v>30</v>
      </c>
      <c r="K189">
        <v>70</v>
      </c>
    </row>
    <row r="191" spans="1:11">
      <c r="A191" t="s">
        <v>44</v>
      </c>
      <c r="B191">
        <f>COUNT(B2:B189)</f>
        <v>188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1CE2-0002-4E28-883F-7649B1C7EBB1}">
  <dimension ref="A1:F191"/>
  <sheetViews>
    <sheetView topLeftCell="A167" workbookViewId="0">
      <selection activeCell="A183" sqref="A183"/>
    </sheetView>
  </sheetViews>
  <sheetFormatPr defaultRowHeight="14.25"/>
  <cols>
    <col min="1" max="1" width="9.85546875" bestFit="1" customWidth="1"/>
    <col min="3" max="3" width="9.5703125" bestFit="1" customWidth="1"/>
    <col min="5" max="5" width="10.28515625" bestFit="1" customWidth="1"/>
  </cols>
  <sheetData>
    <row r="1" spans="1:6">
      <c r="A1" t="s">
        <v>4</v>
      </c>
      <c r="B1" t="s">
        <v>3</v>
      </c>
      <c r="C1" t="s">
        <v>45</v>
      </c>
      <c r="D1" t="s">
        <v>46</v>
      </c>
      <c r="E1" t="s">
        <v>47</v>
      </c>
      <c r="F1" t="s">
        <v>48</v>
      </c>
    </row>
    <row r="2" spans="1:6">
      <c r="A2" s="1">
        <v>45474</v>
      </c>
      <c r="B2">
        <v>41.3</v>
      </c>
    </row>
    <row r="3" spans="1:6">
      <c r="A3" s="1">
        <v>45475</v>
      </c>
      <c r="B3">
        <v>40.450000000000003</v>
      </c>
    </row>
    <row r="4" spans="1:6">
      <c r="A4" s="1">
        <v>45476</v>
      </c>
      <c r="B4">
        <v>40.06</v>
      </c>
    </row>
    <row r="5" spans="1:6">
      <c r="A5" s="1">
        <v>45478</v>
      </c>
      <c r="B5">
        <v>39.659999999999997</v>
      </c>
    </row>
    <row r="6" spans="1:6">
      <c r="A6" s="1">
        <v>45481</v>
      </c>
      <c r="B6">
        <v>39.99</v>
      </c>
    </row>
    <row r="7" spans="1:6">
      <c r="A7" s="1">
        <v>45482</v>
      </c>
      <c r="B7">
        <v>40.86</v>
      </c>
    </row>
    <row r="8" spans="1:6">
      <c r="A8" s="1">
        <v>45483</v>
      </c>
      <c r="B8">
        <v>41.12</v>
      </c>
    </row>
    <row r="9" spans="1:6">
      <c r="A9" s="1">
        <v>45484</v>
      </c>
      <c r="B9">
        <v>40.75</v>
      </c>
    </row>
    <row r="10" spans="1:6">
      <c r="A10" s="1">
        <v>45485</v>
      </c>
      <c r="B10">
        <v>40.46</v>
      </c>
    </row>
    <row r="11" spans="1:6">
      <c r="A11" s="1">
        <v>45488</v>
      </c>
      <c r="B11">
        <v>40.15</v>
      </c>
    </row>
    <row r="12" spans="1:6">
      <c r="A12" s="1">
        <v>45489</v>
      </c>
      <c r="B12">
        <v>41.2</v>
      </c>
    </row>
    <row r="13" spans="1:6">
      <c r="A13" s="1">
        <v>45490</v>
      </c>
      <c r="B13">
        <v>43.15</v>
      </c>
    </row>
    <row r="14" spans="1:6">
      <c r="A14" s="1">
        <v>45491</v>
      </c>
      <c r="B14">
        <v>42.39</v>
      </c>
    </row>
    <row r="15" spans="1:6">
      <c r="A15" s="1">
        <v>45492</v>
      </c>
      <c r="B15">
        <v>42.64</v>
      </c>
    </row>
    <row r="16" spans="1:6">
      <c r="A16" s="1">
        <v>45495</v>
      </c>
      <c r="B16">
        <v>42.67</v>
      </c>
    </row>
    <row r="17" spans="1:6">
      <c r="A17" s="1">
        <v>45496</v>
      </c>
      <c r="B17">
        <v>42.98</v>
      </c>
    </row>
    <row r="18" spans="1:6">
      <c r="A18" s="1">
        <v>45497</v>
      </c>
      <c r="B18">
        <v>44.66</v>
      </c>
    </row>
    <row r="19" spans="1:6">
      <c r="A19" s="1">
        <v>45498</v>
      </c>
      <c r="B19">
        <v>45.27</v>
      </c>
    </row>
    <row r="20" spans="1:6">
      <c r="A20" s="1">
        <v>45499</v>
      </c>
      <c r="B20">
        <v>50.45</v>
      </c>
    </row>
    <row r="21" spans="1:6">
      <c r="A21" s="1">
        <v>45502</v>
      </c>
      <c r="B21">
        <v>48.98</v>
      </c>
      <c r="C21">
        <f>AVERAGE(B2:B21)</f>
        <v>42.459499999999998</v>
      </c>
      <c r="D21">
        <f>_xlfn.STDEV.S(B2:B21)</f>
        <v>2.9308207490663594</v>
      </c>
      <c r="E21">
        <f>C21+2*D21</f>
        <v>48.321141498132718</v>
      </c>
      <c r="F21">
        <f>C21-2*D21</f>
        <v>36.597858501867279</v>
      </c>
    </row>
    <row r="22" spans="1:6">
      <c r="A22" s="1">
        <v>45503</v>
      </c>
      <c r="B22">
        <v>49.05</v>
      </c>
      <c r="C22">
        <f t="shared" ref="C22:C85" si="0">AVERAGE(B3:B22)</f>
        <v>42.846999999999994</v>
      </c>
      <c r="D22">
        <f t="shared" ref="D22:D85" si="1">_xlfn.STDEV.S(B3:B22)</f>
        <v>3.2629629738047981</v>
      </c>
      <c r="E22">
        <f t="shared" ref="E22:E85" si="2">C22+2*D22</f>
        <v>49.372925947609588</v>
      </c>
      <c r="F22">
        <f t="shared" ref="F22:F85" si="3">C22-2*D22</f>
        <v>36.321074052390401</v>
      </c>
    </row>
    <row r="23" spans="1:6">
      <c r="A23" s="1">
        <v>45504</v>
      </c>
      <c r="B23">
        <v>47.56</v>
      </c>
      <c r="C23">
        <f t="shared" si="0"/>
        <v>43.202500000000001</v>
      </c>
      <c r="D23">
        <f t="shared" si="1"/>
        <v>3.3735096124456438</v>
      </c>
      <c r="E23">
        <f t="shared" si="2"/>
        <v>49.94951922489129</v>
      </c>
      <c r="F23">
        <f t="shared" si="3"/>
        <v>36.455480775108711</v>
      </c>
    </row>
    <row r="24" spans="1:6">
      <c r="A24" s="1">
        <v>45505</v>
      </c>
      <c r="B24">
        <v>48.17</v>
      </c>
      <c r="C24">
        <f t="shared" si="0"/>
        <v>43.607999999999997</v>
      </c>
      <c r="D24">
        <f t="shared" si="1"/>
        <v>3.4621481010615667</v>
      </c>
      <c r="E24">
        <f t="shared" si="2"/>
        <v>50.532296202123128</v>
      </c>
      <c r="F24">
        <f t="shared" si="3"/>
        <v>36.683703797876866</v>
      </c>
    </row>
    <row r="25" spans="1:6">
      <c r="A25" s="1">
        <v>45506</v>
      </c>
      <c r="B25">
        <v>48.77</v>
      </c>
      <c r="C25">
        <f t="shared" si="0"/>
        <v>44.063499999999991</v>
      </c>
      <c r="D25">
        <f t="shared" si="1"/>
        <v>3.5142780571773056</v>
      </c>
      <c r="E25">
        <f t="shared" si="2"/>
        <v>51.092056114354605</v>
      </c>
      <c r="F25">
        <f t="shared" si="3"/>
        <v>37.034943885645376</v>
      </c>
    </row>
    <row r="26" spans="1:6">
      <c r="A26" s="1">
        <v>45509</v>
      </c>
      <c r="B26">
        <v>47.59</v>
      </c>
      <c r="C26">
        <f t="shared" si="0"/>
        <v>44.443499999999993</v>
      </c>
      <c r="D26">
        <f t="shared" si="1"/>
        <v>3.4611197990185052</v>
      </c>
      <c r="E26">
        <f t="shared" si="2"/>
        <v>51.365739598037003</v>
      </c>
      <c r="F26">
        <f t="shared" si="3"/>
        <v>37.521260401962984</v>
      </c>
    </row>
    <row r="27" spans="1:6">
      <c r="A27" s="1">
        <v>45510</v>
      </c>
      <c r="B27">
        <v>47.31</v>
      </c>
      <c r="C27">
        <f t="shared" si="0"/>
        <v>44.765999999999998</v>
      </c>
      <c r="D27">
        <f t="shared" si="1"/>
        <v>3.4097606028020584</v>
      </c>
      <c r="E27">
        <f t="shared" si="2"/>
        <v>51.585521205604117</v>
      </c>
      <c r="F27">
        <f t="shared" si="3"/>
        <v>37.94647879439588</v>
      </c>
    </row>
    <row r="28" spans="1:6">
      <c r="A28" s="1">
        <v>45511</v>
      </c>
      <c r="B28">
        <v>46.5</v>
      </c>
      <c r="C28">
        <f t="shared" si="0"/>
        <v>45.035000000000004</v>
      </c>
      <c r="D28">
        <f t="shared" si="1"/>
        <v>3.3179662445540341</v>
      </c>
      <c r="E28">
        <f t="shared" si="2"/>
        <v>51.670932489108068</v>
      </c>
      <c r="F28">
        <f t="shared" si="3"/>
        <v>38.399067510891939</v>
      </c>
    </row>
    <row r="29" spans="1:6">
      <c r="A29" s="1">
        <v>45512</v>
      </c>
      <c r="B29">
        <v>46.85</v>
      </c>
      <c r="C29">
        <f t="shared" si="0"/>
        <v>45.339999999999989</v>
      </c>
      <c r="D29">
        <f t="shared" si="1"/>
        <v>3.1808770720303579</v>
      </c>
      <c r="E29">
        <f t="shared" si="2"/>
        <v>51.701754144060708</v>
      </c>
      <c r="F29">
        <f t="shared" si="3"/>
        <v>38.978245855939271</v>
      </c>
    </row>
    <row r="30" spans="1:6">
      <c r="A30" s="1">
        <v>45513</v>
      </c>
      <c r="B30">
        <v>46.72</v>
      </c>
      <c r="C30">
        <f t="shared" si="0"/>
        <v>45.653000000000006</v>
      </c>
      <c r="D30">
        <f t="shared" si="1"/>
        <v>2.9768600554063149</v>
      </c>
      <c r="E30">
        <f t="shared" si="2"/>
        <v>51.606720110812638</v>
      </c>
      <c r="F30">
        <f t="shared" si="3"/>
        <v>39.699279889187373</v>
      </c>
    </row>
    <row r="31" spans="1:6">
      <c r="A31" s="1">
        <v>45516</v>
      </c>
      <c r="B31">
        <v>47.06</v>
      </c>
      <c r="C31">
        <f t="shared" si="0"/>
        <v>45.9985</v>
      </c>
      <c r="D31">
        <f t="shared" si="1"/>
        <v>2.691912399841617</v>
      </c>
      <c r="E31">
        <f t="shared" si="2"/>
        <v>51.382324799683232</v>
      </c>
      <c r="F31">
        <f t="shared" si="3"/>
        <v>40.614675200316768</v>
      </c>
    </row>
    <row r="32" spans="1:6">
      <c r="A32" s="1">
        <v>45517</v>
      </c>
      <c r="B32">
        <v>49.06</v>
      </c>
      <c r="C32">
        <f t="shared" si="0"/>
        <v>46.391500000000008</v>
      </c>
      <c r="D32">
        <f t="shared" si="1"/>
        <v>2.522943717168499</v>
      </c>
      <c r="E32">
        <f t="shared" si="2"/>
        <v>51.437387434337005</v>
      </c>
      <c r="F32">
        <f t="shared" si="3"/>
        <v>41.345612565663011</v>
      </c>
    </row>
    <row r="33" spans="1:6">
      <c r="A33" s="1">
        <v>45518</v>
      </c>
      <c r="B33">
        <v>48.41</v>
      </c>
      <c r="C33">
        <f t="shared" si="0"/>
        <v>46.654499999999999</v>
      </c>
      <c r="D33">
        <f t="shared" si="1"/>
        <v>2.4400527927852194</v>
      </c>
      <c r="E33">
        <f t="shared" si="2"/>
        <v>51.534605585570439</v>
      </c>
      <c r="F33">
        <f t="shared" si="3"/>
        <v>41.774394414429558</v>
      </c>
    </row>
    <row r="34" spans="1:6">
      <c r="A34" s="1">
        <v>45519</v>
      </c>
      <c r="B34">
        <v>49.11</v>
      </c>
      <c r="C34">
        <f t="shared" si="0"/>
        <v>46.990500000000011</v>
      </c>
      <c r="D34">
        <f t="shared" si="1"/>
        <v>2.2792992344139464</v>
      </c>
      <c r="E34">
        <f t="shared" si="2"/>
        <v>51.549098468827907</v>
      </c>
      <c r="F34">
        <f t="shared" si="3"/>
        <v>42.431901531172116</v>
      </c>
    </row>
    <row r="35" spans="1:6">
      <c r="A35" s="1">
        <v>45520</v>
      </c>
      <c r="B35">
        <v>49.36</v>
      </c>
      <c r="C35">
        <f t="shared" si="0"/>
        <v>47.326500000000003</v>
      </c>
      <c r="D35">
        <f t="shared" si="1"/>
        <v>2.091821857666309</v>
      </c>
      <c r="E35">
        <f t="shared" si="2"/>
        <v>51.510143715332617</v>
      </c>
      <c r="F35">
        <f t="shared" si="3"/>
        <v>43.142856284667388</v>
      </c>
    </row>
    <row r="36" spans="1:6">
      <c r="A36" s="1">
        <v>45523</v>
      </c>
      <c r="B36">
        <v>49.3</v>
      </c>
      <c r="C36">
        <f t="shared" si="0"/>
        <v>47.658000000000001</v>
      </c>
      <c r="D36">
        <f t="shared" si="1"/>
        <v>1.8231337970936925</v>
      </c>
      <c r="E36">
        <f t="shared" si="2"/>
        <v>51.304267594187387</v>
      </c>
      <c r="F36">
        <f t="shared" si="3"/>
        <v>44.011732405812616</v>
      </c>
    </row>
    <row r="37" spans="1:6">
      <c r="A37" s="1">
        <v>45524</v>
      </c>
      <c r="B37">
        <v>48.98</v>
      </c>
      <c r="C37">
        <f t="shared" si="0"/>
        <v>47.957999999999998</v>
      </c>
      <c r="D37">
        <f t="shared" si="1"/>
        <v>1.472851155519725</v>
      </c>
      <c r="E37">
        <f t="shared" si="2"/>
        <v>50.903702311039446</v>
      </c>
      <c r="F37">
        <f t="shared" si="3"/>
        <v>45.012297688960551</v>
      </c>
    </row>
    <row r="38" spans="1:6">
      <c r="A38" s="1">
        <v>45525</v>
      </c>
      <c r="B38">
        <v>48.44</v>
      </c>
      <c r="C38">
        <f t="shared" si="0"/>
        <v>48.146999999999991</v>
      </c>
      <c r="D38">
        <f t="shared" si="1"/>
        <v>1.2535763575508769</v>
      </c>
      <c r="E38">
        <f t="shared" si="2"/>
        <v>50.654152715101745</v>
      </c>
      <c r="F38">
        <f t="shared" si="3"/>
        <v>45.639847284898238</v>
      </c>
    </row>
    <row r="39" spans="1:6">
      <c r="A39" s="1">
        <v>45526</v>
      </c>
      <c r="B39">
        <v>47.62</v>
      </c>
      <c r="C39">
        <f t="shared" si="0"/>
        <v>48.264499999999991</v>
      </c>
      <c r="D39">
        <f t="shared" si="1"/>
        <v>1.0657859714042517</v>
      </c>
      <c r="E39">
        <f t="shared" si="2"/>
        <v>50.396071942808497</v>
      </c>
      <c r="F39">
        <f t="shared" si="3"/>
        <v>46.132928057191485</v>
      </c>
    </row>
    <row r="40" spans="1:6">
      <c r="A40" s="1">
        <v>45527</v>
      </c>
      <c r="B40">
        <v>48.11</v>
      </c>
      <c r="C40">
        <f t="shared" si="0"/>
        <v>48.147499999999994</v>
      </c>
      <c r="D40">
        <f t="shared" si="1"/>
        <v>0.93346482469741021</v>
      </c>
      <c r="E40">
        <f t="shared" si="2"/>
        <v>50.014429649394813</v>
      </c>
      <c r="F40">
        <f t="shared" si="3"/>
        <v>46.280570350605174</v>
      </c>
    </row>
    <row r="41" spans="1:6">
      <c r="A41" s="1">
        <v>45530</v>
      </c>
      <c r="B41">
        <v>48.24</v>
      </c>
      <c r="C41">
        <f t="shared" si="0"/>
        <v>48.110500000000002</v>
      </c>
      <c r="D41">
        <f t="shared" si="1"/>
        <v>0.91317534489621122</v>
      </c>
      <c r="E41">
        <f t="shared" si="2"/>
        <v>49.936850689792422</v>
      </c>
      <c r="F41">
        <f t="shared" si="3"/>
        <v>46.284149310207582</v>
      </c>
    </row>
    <row r="42" spans="1:6">
      <c r="A42" s="1">
        <v>45531</v>
      </c>
      <c r="B42">
        <v>48.12</v>
      </c>
      <c r="C42">
        <f t="shared" si="0"/>
        <v>48.064000000000007</v>
      </c>
      <c r="D42">
        <f t="shared" si="1"/>
        <v>0.88609373390356216</v>
      </c>
      <c r="E42">
        <f t="shared" si="2"/>
        <v>49.836187467807129</v>
      </c>
      <c r="F42">
        <f t="shared" si="3"/>
        <v>46.291812532192885</v>
      </c>
    </row>
    <row r="43" spans="1:6">
      <c r="A43" s="1">
        <v>45532</v>
      </c>
      <c r="B43">
        <v>49.06</v>
      </c>
      <c r="C43">
        <f t="shared" si="0"/>
        <v>48.138999999999996</v>
      </c>
      <c r="D43">
        <f t="shared" si="1"/>
        <v>0.90447949556346274</v>
      </c>
      <c r="E43">
        <f t="shared" si="2"/>
        <v>49.947958991126924</v>
      </c>
      <c r="F43">
        <f t="shared" si="3"/>
        <v>46.330041008873067</v>
      </c>
    </row>
    <row r="44" spans="1:6">
      <c r="A44" s="1">
        <v>45533</v>
      </c>
      <c r="B44">
        <v>49.72</v>
      </c>
      <c r="C44">
        <f t="shared" si="0"/>
        <v>48.216500000000011</v>
      </c>
      <c r="D44">
        <f t="shared" si="1"/>
        <v>0.97121884898903099</v>
      </c>
      <c r="E44">
        <f t="shared" si="2"/>
        <v>50.158937697978075</v>
      </c>
      <c r="F44">
        <f t="shared" si="3"/>
        <v>46.274062302021946</v>
      </c>
    </row>
    <row r="45" spans="1:6">
      <c r="A45" s="1">
        <v>45534</v>
      </c>
      <c r="B45">
        <v>49.95</v>
      </c>
      <c r="C45">
        <f t="shared" si="0"/>
        <v>48.275500000000008</v>
      </c>
      <c r="D45">
        <f t="shared" si="1"/>
        <v>1.0400175858837042</v>
      </c>
      <c r="E45">
        <f t="shared" si="2"/>
        <v>50.355535171767414</v>
      </c>
      <c r="F45">
        <f t="shared" si="3"/>
        <v>46.195464828232602</v>
      </c>
    </row>
    <row r="46" spans="1:6">
      <c r="A46" s="1">
        <v>45538</v>
      </c>
      <c r="B46">
        <v>50.52</v>
      </c>
      <c r="C46">
        <f t="shared" si="0"/>
        <v>48.422000000000004</v>
      </c>
      <c r="D46">
        <f t="shared" si="1"/>
        <v>1.1399381331319791</v>
      </c>
      <c r="E46">
        <f t="shared" si="2"/>
        <v>50.701876266263966</v>
      </c>
      <c r="F46">
        <f t="shared" si="3"/>
        <v>46.142123733736042</v>
      </c>
    </row>
    <row r="47" spans="1:6">
      <c r="A47" s="1">
        <v>45539</v>
      </c>
      <c r="B47">
        <v>49.96</v>
      </c>
      <c r="C47">
        <f t="shared" si="0"/>
        <v>48.554500000000004</v>
      </c>
      <c r="D47">
        <f t="shared" si="1"/>
        <v>1.1577540644213744</v>
      </c>
      <c r="E47">
        <f t="shared" si="2"/>
        <v>50.870008128842755</v>
      </c>
      <c r="F47">
        <f t="shared" si="3"/>
        <v>46.238991871157253</v>
      </c>
    </row>
    <row r="48" spans="1:6">
      <c r="A48" s="1">
        <v>45540</v>
      </c>
      <c r="B48">
        <v>49.8</v>
      </c>
      <c r="C48">
        <f t="shared" si="0"/>
        <v>48.719500000000004</v>
      </c>
      <c r="D48">
        <f t="shared" si="1"/>
        <v>1.0822319772727007</v>
      </c>
      <c r="E48">
        <f t="shared" si="2"/>
        <v>50.883963954545408</v>
      </c>
      <c r="F48">
        <f t="shared" si="3"/>
        <v>46.5550360454546</v>
      </c>
    </row>
    <row r="49" spans="1:6">
      <c r="A49" s="1">
        <v>45541</v>
      </c>
      <c r="B49">
        <v>48.7</v>
      </c>
      <c r="C49">
        <f t="shared" si="0"/>
        <v>48.812000000000012</v>
      </c>
      <c r="D49">
        <f t="shared" si="1"/>
        <v>0.9890857022097681</v>
      </c>
      <c r="E49">
        <f t="shared" si="2"/>
        <v>50.790171404419546</v>
      </c>
      <c r="F49">
        <f t="shared" si="3"/>
        <v>46.833828595580478</v>
      </c>
    </row>
    <row r="50" spans="1:6">
      <c r="A50" s="1">
        <v>45544</v>
      </c>
      <c r="B50">
        <v>48.5</v>
      </c>
      <c r="C50">
        <f t="shared" si="0"/>
        <v>48.90100000000001</v>
      </c>
      <c r="D50">
        <f t="shared" si="1"/>
        <v>0.86298075846086209</v>
      </c>
      <c r="E50">
        <f t="shared" si="2"/>
        <v>50.626961516921732</v>
      </c>
      <c r="F50">
        <f t="shared" si="3"/>
        <v>47.175038483078289</v>
      </c>
    </row>
    <row r="51" spans="1:6">
      <c r="A51" s="1">
        <v>45545</v>
      </c>
      <c r="B51">
        <v>49.28</v>
      </c>
      <c r="C51">
        <f t="shared" si="0"/>
        <v>49.012</v>
      </c>
      <c r="D51">
        <f t="shared" si="1"/>
        <v>0.7489613861172939</v>
      </c>
      <c r="E51">
        <f t="shared" si="2"/>
        <v>50.509922772234589</v>
      </c>
      <c r="F51">
        <f t="shared" si="3"/>
        <v>47.514077227765412</v>
      </c>
    </row>
    <row r="52" spans="1:6">
      <c r="A52" s="1">
        <v>45546</v>
      </c>
      <c r="B52">
        <v>48.59</v>
      </c>
      <c r="C52">
        <f t="shared" si="0"/>
        <v>48.988500000000002</v>
      </c>
      <c r="D52">
        <f t="shared" si="1"/>
        <v>0.75472738194173972</v>
      </c>
      <c r="E52">
        <f t="shared" si="2"/>
        <v>50.497954763883484</v>
      </c>
      <c r="F52">
        <f t="shared" si="3"/>
        <v>47.479045236116519</v>
      </c>
    </row>
    <row r="53" spans="1:6">
      <c r="A53" s="1">
        <v>45547</v>
      </c>
      <c r="B53">
        <v>48.24</v>
      </c>
      <c r="C53">
        <f t="shared" si="0"/>
        <v>48.980000000000004</v>
      </c>
      <c r="D53">
        <f t="shared" si="1"/>
        <v>0.76250280413634552</v>
      </c>
      <c r="E53">
        <f t="shared" si="2"/>
        <v>50.505005608272697</v>
      </c>
      <c r="F53">
        <f t="shared" si="3"/>
        <v>47.454994391727311</v>
      </c>
    </row>
    <row r="54" spans="1:6">
      <c r="A54" s="1">
        <v>45548</v>
      </c>
      <c r="B54">
        <v>49.13</v>
      </c>
      <c r="C54">
        <f t="shared" si="0"/>
        <v>48.981000000000009</v>
      </c>
      <c r="D54">
        <f t="shared" si="1"/>
        <v>0.76269535892538154</v>
      </c>
      <c r="E54">
        <f t="shared" si="2"/>
        <v>50.50639071785077</v>
      </c>
      <c r="F54">
        <f t="shared" si="3"/>
        <v>47.455609282149247</v>
      </c>
    </row>
    <row r="55" spans="1:6">
      <c r="A55" s="1">
        <v>45551</v>
      </c>
      <c r="B55">
        <v>49.99</v>
      </c>
      <c r="C55">
        <f t="shared" si="0"/>
        <v>49.012500000000003</v>
      </c>
      <c r="D55">
        <f t="shared" si="1"/>
        <v>0.79163305561152719</v>
      </c>
      <c r="E55">
        <f t="shared" si="2"/>
        <v>50.595766111223057</v>
      </c>
      <c r="F55">
        <f t="shared" si="3"/>
        <v>47.429233888776949</v>
      </c>
    </row>
    <row r="56" spans="1:6">
      <c r="A56" s="1">
        <v>45552</v>
      </c>
      <c r="B56">
        <v>49.49</v>
      </c>
      <c r="C56">
        <f t="shared" si="0"/>
        <v>49.021999999999998</v>
      </c>
      <c r="D56">
        <f t="shared" si="1"/>
        <v>0.79639054159177658</v>
      </c>
      <c r="E56">
        <f t="shared" si="2"/>
        <v>50.614781083183551</v>
      </c>
      <c r="F56">
        <f t="shared" si="3"/>
        <v>47.429218916816446</v>
      </c>
    </row>
    <row r="57" spans="1:6">
      <c r="A57" s="1">
        <v>45553</v>
      </c>
      <c r="B57">
        <v>49.74</v>
      </c>
      <c r="C57">
        <f t="shared" si="0"/>
        <v>49.06</v>
      </c>
      <c r="D57">
        <f t="shared" si="1"/>
        <v>0.81225482130723181</v>
      </c>
      <c r="E57">
        <f t="shared" si="2"/>
        <v>50.684509642614465</v>
      </c>
      <c r="F57">
        <f t="shared" si="3"/>
        <v>47.43549035738554</v>
      </c>
    </row>
    <row r="58" spans="1:6">
      <c r="A58" s="1">
        <v>45554</v>
      </c>
      <c r="B58">
        <v>49.02</v>
      </c>
      <c r="C58">
        <f t="shared" si="0"/>
        <v>49.088999999999999</v>
      </c>
      <c r="D58">
        <f t="shared" si="1"/>
        <v>0.79920289236081699</v>
      </c>
      <c r="E58">
        <f t="shared" si="2"/>
        <v>50.687405784721633</v>
      </c>
      <c r="F58">
        <f t="shared" si="3"/>
        <v>47.490594215278364</v>
      </c>
    </row>
    <row r="59" spans="1:6">
      <c r="A59" s="1">
        <v>45555</v>
      </c>
      <c r="B59">
        <v>49.41</v>
      </c>
      <c r="C59">
        <f t="shared" si="0"/>
        <v>49.1785</v>
      </c>
      <c r="D59">
        <f t="shared" si="1"/>
        <v>0.72259237253247111</v>
      </c>
      <c r="E59">
        <f t="shared" si="2"/>
        <v>50.623684745064942</v>
      </c>
      <c r="F59">
        <f t="shared" si="3"/>
        <v>47.733315254935057</v>
      </c>
    </row>
    <row r="60" spans="1:6">
      <c r="A60" s="1">
        <v>45558</v>
      </c>
      <c r="B60">
        <v>50.01</v>
      </c>
      <c r="C60">
        <f t="shared" si="0"/>
        <v>49.273499999999999</v>
      </c>
      <c r="D60">
        <f t="shared" si="1"/>
        <v>0.69924225905054194</v>
      </c>
      <c r="E60">
        <f t="shared" si="2"/>
        <v>50.671984518101084</v>
      </c>
      <c r="F60">
        <f t="shared" si="3"/>
        <v>47.875015481898913</v>
      </c>
    </row>
    <row r="61" spans="1:6">
      <c r="A61" s="1">
        <v>45559</v>
      </c>
      <c r="B61">
        <v>50.94</v>
      </c>
      <c r="C61">
        <f t="shared" si="0"/>
        <v>49.408500000000004</v>
      </c>
      <c r="D61">
        <f t="shared" si="1"/>
        <v>0.74813645673415508</v>
      </c>
      <c r="E61">
        <f t="shared" si="2"/>
        <v>50.904772913468314</v>
      </c>
      <c r="F61">
        <f t="shared" si="3"/>
        <v>47.912227086531693</v>
      </c>
    </row>
    <row r="62" spans="1:6">
      <c r="A62" s="1">
        <v>45560</v>
      </c>
      <c r="B62">
        <v>49.95</v>
      </c>
      <c r="C62">
        <f t="shared" si="0"/>
        <v>49.5</v>
      </c>
      <c r="D62">
        <f t="shared" si="1"/>
        <v>0.69206023467690414</v>
      </c>
      <c r="E62">
        <f t="shared" si="2"/>
        <v>50.88412046935381</v>
      </c>
      <c r="F62">
        <f t="shared" si="3"/>
        <v>48.11587953064619</v>
      </c>
    </row>
    <row r="63" spans="1:6">
      <c r="A63" s="1">
        <v>45561</v>
      </c>
      <c r="B63">
        <v>50.12</v>
      </c>
      <c r="C63">
        <f t="shared" si="0"/>
        <v>49.553000000000004</v>
      </c>
      <c r="D63">
        <f t="shared" si="1"/>
        <v>0.69716040591742334</v>
      </c>
      <c r="E63">
        <f t="shared" si="2"/>
        <v>50.94732081183485</v>
      </c>
      <c r="F63">
        <f t="shared" si="3"/>
        <v>48.158679188165159</v>
      </c>
    </row>
    <row r="64" spans="1:6">
      <c r="A64" s="1">
        <v>45562</v>
      </c>
      <c r="B64">
        <v>50.91</v>
      </c>
      <c r="C64">
        <f t="shared" si="0"/>
        <v>49.612499999999997</v>
      </c>
      <c r="D64">
        <f t="shared" si="1"/>
        <v>0.7601030054850243</v>
      </c>
      <c r="E64">
        <f t="shared" si="2"/>
        <v>51.132706010970047</v>
      </c>
      <c r="F64">
        <f t="shared" si="3"/>
        <v>48.092293989029947</v>
      </c>
    </row>
    <row r="65" spans="1:6">
      <c r="A65" s="1">
        <v>45565</v>
      </c>
      <c r="B65">
        <v>51.74</v>
      </c>
      <c r="C65">
        <f t="shared" si="0"/>
        <v>49.701999999999998</v>
      </c>
      <c r="D65">
        <f t="shared" si="1"/>
        <v>0.89529530558946013</v>
      </c>
      <c r="E65">
        <f t="shared" si="2"/>
        <v>51.492590611178919</v>
      </c>
      <c r="F65">
        <f t="shared" si="3"/>
        <v>47.911409388821077</v>
      </c>
    </row>
    <row r="66" spans="1:6">
      <c r="A66" s="1">
        <v>45566</v>
      </c>
      <c r="B66">
        <v>52.9</v>
      </c>
      <c r="C66">
        <f t="shared" si="0"/>
        <v>49.820999999999998</v>
      </c>
      <c r="D66">
        <f t="shared" si="1"/>
        <v>1.1356514476397737</v>
      </c>
      <c r="E66">
        <f t="shared" si="2"/>
        <v>52.092302895279545</v>
      </c>
      <c r="F66">
        <f t="shared" si="3"/>
        <v>47.549697104720451</v>
      </c>
    </row>
    <row r="67" spans="1:6">
      <c r="A67" s="1">
        <v>45567</v>
      </c>
      <c r="B67">
        <v>53.76</v>
      </c>
      <c r="C67">
        <f t="shared" si="0"/>
        <v>50.010999999999996</v>
      </c>
      <c r="D67">
        <f t="shared" si="1"/>
        <v>1.4378123001721446</v>
      </c>
      <c r="E67">
        <f t="shared" si="2"/>
        <v>52.886624600344284</v>
      </c>
      <c r="F67">
        <f t="shared" si="3"/>
        <v>47.135375399655707</v>
      </c>
    </row>
    <row r="68" spans="1:6">
      <c r="A68" s="1">
        <v>45568</v>
      </c>
      <c r="B68">
        <v>54.2</v>
      </c>
      <c r="C68">
        <f t="shared" si="0"/>
        <v>50.231000000000002</v>
      </c>
      <c r="D68">
        <f t="shared" si="1"/>
        <v>1.7139363741798701</v>
      </c>
      <c r="E68">
        <f t="shared" si="2"/>
        <v>53.658872748359741</v>
      </c>
      <c r="F68">
        <f t="shared" si="3"/>
        <v>46.803127251640262</v>
      </c>
    </row>
    <row r="69" spans="1:6">
      <c r="A69" s="1">
        <v>45569</v>
      </c>
      <c r="B69">
        <v>53.96</v>
      </c>
      <c r="C69">
        <f t="shared" si="0"/>
        <v>50.494</v>
      </c>
      <c r="D69">
        <f t="shared" si="1"/>
        <v>1.8636704023032211</v>
      </c>
      <c r="E69">
        <f t="shared" si="2"/>
        <v>54.221340804606442</v>
      </c>
      <c r="F69">
        <f t="shared" si="3"/>
        <v>46.766659195393558</v>
      </c>
    </row>
    <row r="70" spans="1:6">
      <c r="A70" s="1">
        <v>45572</v>
      </c>
      <c r="B70">
        <v>53.44</v>
      </c>
      <c r="C70">
        <f t="shared" si="0"/>
        <v>50.741</v>
      </c>
      <c r="D70">
        <f t="shared" si="1"/>
        <v>1.9122153038873657</v>
      </c>
      <c r="E70">
        <f t="shared" si="2"/>
        <v>54.565430607774729</v>
      </c>
      <c r="F70">
        <f t="shared" si="3"/>
        <v>46.91656939222527</v>
      </c>
    </row>
    <row r="71" spans="1:6">
      <c r="A71" s="1">
        <v>45573</v>
      </c>
      <c r="B71">
        <v>52.48</v>
      </c>
      <c r="C71">
        <f t="shared" si="0"/>
        <v>50.900999999999996</v>
      </c>
      <c r="D71">
        <f t="shared" si="1"/>
        <v>1.9174047701598051</v>
      </c>
      <c r="E71">
        <f t="shared" si="2"/>
        <v>54.735809540319607</v>
      </c>
      <c r="F71">
        <f t="shared" si="3"/>
        <v>47.066190459680385</v>
      </c>
    </row>
    <row r="72" spans="1:6">
      <c r="A72" s="1">
        <v>45574</v>
      </c>
      <c r="B72">
        <v>52.8</v>
      </c>
      <c r="C72">
        <f t="shared" si="0"/>
        <v>51.111499999999999</v>
      </c>
      <c r="D72">
        <f t="shared" si="1"/>
        <v>1.8810922778786621</v>
      </c>
      <c r="E72">
        <f t="shared" si="2"/>
        <v>54.873684555757322</v>
      </c>
      <c r="F72">
        <f t="shared" si="3"/>
        <v>47.349315444242677</v>
      </c>
    </row>
    <row r="73" spans="1:6">
      <c r="A73" s="1">
        <v>45575</v>
      </c>
      <c r="B73">
        <v>52.4</v>
      </c>
      <c r="C73">
        <f t="shared" si="0"/>
        <v>51.319500000000005</v>
      </c>
      <c r="D73">
        <f t="shared" si="1"/>
        <v>1.7738019678229666</v>
      </c>
      <c r="E73">
        <f t="shared" si="2"/>
        <v>54.867103935645936</v>
      </c>
      <c r="F73">
        <f t="shared" si="3"/>
        <v>47.771896064354074</v>
      </c>
    </row>
    <row r="74" spans="1:6">
      <c r="A74" s="1">
        <v>45576</v>
      </c>
      <c r="B74">
        <v>52.2</v>
      </c>
      <c r="C74">
        <f t="shared" si="0"/>
        <v>51.472999999999999</v>
      </c>
      <c r="D74">
        <f t="shared" si="1"/>
        <v>1.7058910312579507</v>
      </c>
      <c r="E74">
        <f t="shared" si="2"/>
        <v>54.884782062515903</v>
      </c>
      <c r="F74">
        <f t="shared" si="3"/>
        <v>48.061217937484095</v>
      </c>
    </row>
    <row r="75" spans="1:6">
      <c r="A75" s="1">
        <v>45579</v>
      </c>
      <c r="B75">
        <v>52.67</v>
      </c>
      <c r="C75">
        <f t="shared" si="0"/>
        <v>51.607000000000006</v>
      </c>
      <c r="D75">
        <f t="shared" si="1"/>
        <v>1.6884377706220495</v>
      </c>
      <c r="E75">
        <f t="shared" si="2"/>
        <v>54.983875541244103</v>
      </c>
      <c r="F75">
        <f t="shared" si="3"/>
        <v>48.23012445875591</v>
      </c>
    </row>
    <row r="76" spans="1:6">
      <c r="A76" s="1">
        <v>45580</v>
      </c>
      <c r="B76">
        <v>52.76</v>
      </c>
      <c r="C76">
        <f t="shared" si="0"/>
        <v>51.770500000000006</v>
      </c>
      <c r="D76">
        <f t="shared" si="1"/>
        <v>1.6299611716395672</v>
      </c>
      <c r="E76">
        <f t="shared" si="2"/>
        <v>55.030422343279142</v>
      </c>
      <c r="F76">
        <f t="shared" si="3"/>
        <v>48.510577656720869</v>
      </c>
    </row>
    <row r="77" spans="1:6">
      <c r="A77" s="1">
        <v>45581</v>
      </c>
      <c r="B77">
        <v>53.37</v>
      </c>
      <c r="C77">
        <f t="shared" si="0"/>
        <v>51.951999999999998</v>
      </c>
      <c r="D77">
        <f t="shared" si="1"/>
        <v>1.5936604670413728</v>
      </c>
      <c r="E77">
        <f t="shared" si="2"/>
        <v>55.139320934082747</v>
      </c>
      <c r="F77">
        <f t="shared" si="3"/>
        <v>48.76467906591725</v>
      </c>
    </row>
    <row r="78" spans="1:6">
      <c r="A78" s="1">
        <v>45582</v>
      </c>
      <c r="B78">
        <v>53.18</v>
      </c>
      <c r="C78">
        <f t="shared" si="0"/>
        <v>52.160000000000004</v>
      </c>
      <c r="D78">
        <f t="shared" si="1"/>
        <v>1.4564087049278012</v>
      </c>
      <c r="E78">
        <f t="shared" si="2"/>
        <v>55.072817409855602</v>
      </c>
      <c r="F78">
        <f t="shared" si="3"/>
        <v>49.247182590144405</v>
      </c>
    </row>
    <row r="79" spans="1:6">
      <c r="A79" s="1">
        <v>45583</v>
      </c>
      <c r="B79">
        <v>53.22</v>
      </c>
      <c r="C79">
        <f t="shared" si="0"/>
        <v>52.35049999999999</v>
      </c>
      <c r="D79">
        <f t="shared" si="1"/>
        <v>1.3206197707695311</v>
      </c>
      <c r="E79">
        <f t="shared" si="2"/>
        <v>54.991739541539054</v>
      </c>
      <c r="F79">
        <f t="shared" si="3"/>
        <v>49.709260458460925</v>
      </c>
    </row>
    <row r="80" spans="1:6">
      <c r="A80" s="1">
        <v>45586</v>
      </c>
      <c r="B80">
        <v>52.12</v>
      </c>
      <c r="C80">
        <f t="shared" si="0"/>
        <v>52.455999999999996</v>
      </c>
      <c r="D80">
        <f t="shared" si="1"/>
        <v>1.2028317465573961</v>
      </c>
      <c r="E80">
        <f t="shared" si="2"/>
        <v>54.86166349311479</v>
      </c>
      <c r="F80">
        <f t="shared" si="3"/>
        <v>50.050336506885202</v>
      </c>
    </row>
    <row r="81" spans="1:6">
      <c r="A81" s="1">
        <v>45587</v>
      </c>
      <c r="B81">
        <v>52.76</v>
      </c>
      <c r="C81">
        <f t="shared" si="0"/>
        <v>52.54699999999999</v>
      </c>
      <c r="D81">
        <f t="shared" si="1"/>
        <v>1.1497784683650105</v>
      </c>
      <c r="E81">
        <f t="shared" si="2"/>
        <v>54.846556936730011</v>
      </c>
      <c r="F81">
        <f t="shared" si="3"/>
        <v>50.247443063269969</v>
      </c>
    </row>
    <row r="82" spans="1:6">
      <c r="A82" s="1">
        <v>45588</v>
      </c>
      <c r="B82">
        <v>53.06</v>
      </c>
      <c r="C82">
        <f t="shared" si="0"/>
        <v>52.702500000000001</v>
      </c>
      <c r="D82">
        <f t="shared" si="1"/>
        <v>0.97745574674360924</v>
      </c>
      <c r="E82">
        <f t="shared" si="2"/>
        <v>54.657411493487217</v>
      </c>
      <c r="F82">
        <f t="shared" si="3"/>
        <v>50.747588506512784</v>
      </c>
    </row>
    <row r="83" spans="1:6">
      <c r="A83" s="1">
        <v>45589</v>
      </c>
      <c r="B83">
        <v>52.92</v>
      </c>
      <c r="C83">
        <f t="shared" si="0"/>
        <v>52.842500000000008</v>
      </c>
      <c r="D83">
        <f t="shared" si="1"/>
        <v>0.7656773746854898</v>
      </c>
      <c r="E83">
        <f t="shared" si="2"/>
        <v>54.373854749370985</v>
      </c>
      <c r="F83">
        <f t="shared" si="3"/>
        <v>51.311145250629032</v>
      </c>
    </row>
    <row r="84" spans="1:6">
      <c r="A84" s="1">
        <v>45590</v>
      </c>
      <c r="B84">
        <v>51.92</v>
      </c>
      <c r="C84">
        <f t="shared" si="0"/>
        <v>52.892999999999994</v>
      </c>
      <c r="D84">
        <f t="shared" si="1"/>
        <v>0.65712371662219604</v>
      </c>
      <c r="E84">
        <f t="shared" si="2"/>
        <v>54.207247433244383</v>
      </c>
      <c r="F84">
        <f t="shared" si="3"/>
        <v>51.578752566755604</v>
      </c>
    </row>
    <row r="85" spans="1:6">
      <c r="A85" s="1">
        <v>45593</v>
      </c>
      <c r="B85">
        <v>52.64</v>
      </c>
      <c r="C85">
        <f t="shared" si="0"/>
        <v>52.938000000000002</v>
      </c>
      <c r="D85">
        <f t="shared" si="1"/>
        <v>0.60256120021123183</v>
      </c>
      <c r="E85">
        <f t="shared" si="2"/>
        <v>54.143122400422463</v>
      </c>
      <c r="F85">
        <f t="shared" si="3"/>
        <v>51.732877599577542</v>
      </c>
    </row>
    <row r="86" spans="1:6">
      <c r="A86" s="1">
        <v>45594</v>
      </c>
      <c r="B86">
        <v>52.5</v>
      </c>
      <c r="C86">
        <f t="shared" ref="C86:C149" si="4">AVERAGE(B67:B86)</f>
        <v>52.918000000000006</v>
      </c>
      <c r="D86">
        <f t="shared" ref="D86:D149" si="5">_xlfn.STDEV.S(B67:B86)</f>
        <v>0.61047522472251081</v>
      </c>
      <c r="E86">
        <f t="shared" ref="E86:E149" si="6">C86+2*D86</f>
        <v>54.138950449445026</v>
      </c>
      <c r="F86">
        <f t="shared" ref="F86:F149" si="7">C86-2*D86</f>
        <v>51.697049550554986</v>
      </c>
    </row>
    <row r="87" spans="1:6">
      <c r="A87" s="1">
        <v>45595</v>
      </c>
      <c r="B87">
        <v>52.66</v>
      </c>
      <c r="C87">
        <f t="shared" si="4"/>
        <v>52.862999999999985</v>
      </c>
      <c r="D87">
        <f t="shared" si="5"/>
        <v>0.57938351992259418</v>
      </c>
      <c r="E87">
        <f t="shared" si="6"/>
        <v>54.021767039845173</v>
      </c>
      <c r="F87">
        <f t="shared" si="7"/>
        <v>51.704232960154798</v>
      </c>
    </row>
    <row r="88" spans="1:6">
      <c r="A88" s="1">
        <v>45596</v>
      </c>
      <c r="B88">
        <v>55.77</v>
      </c>
      <c r="C88">
        <f t="shared" si="4"/>
        <v>52.941499999999998</v>
      </c>
      <c r="D88">
        <f t="shared" si="5"/>
        <v>0.82455266979323938</v>
      </c>
      <c r="E88">
        <f t="shared" si="6"/>
        <v>54.590605339586475</v>
      </c>
      <c r="F88">
        <f t="shared" si="7"/>
        <v>51.292394660413521</v>
      </c>
    </row>
    <row r="89" spans="1:6">
      <c r="A89" s="1">
        <v>45597</v>
      </c>
      <c r="B89">
        <v>54.32</v>
      </c>
      <c r="C89">
        <f t="shared" si="4"/>
        <v>52.959499999999991</v>
      </c>
      <c r="D89">
        <f t="shared" si="5"/>
        <v>0.85144752905674881</v>
      </c>
      <c r="E89">
        <f t="shared" si="6"/>
        <v>54.662395058113489</v>
      </c>
      <c r="F89">
        <f t="shared" si="7"/>
        <v>51.256604941886494</v>
      </c>
    </row>
    <row r="90" spans="1:6">
      <c r="A90" s="1">
        <v>45600</v>
      </c>
      <c r="B90">
        <v>55.45</v>
      </c>
      <c r="C90">
        <f t="shared" si="4"/>
        <v>53.059999999999988</v>
      </c>
      <c r="D90">
        <f t="shared" si="5"/>
        <v>1.0142147597759412</v>
      </c>
      <c r="E90">
        <f t="shared" si="6"/>
        <v>55.088429519551873</v>
      </c>
      <c r="F90">
        <f t="shared" si="7"/>
        <v>51.031570480448103</v>
      </c>
    </row>
    <row r="91" spans="1:6">
      <c r="A91" s="1">
        <v>45601</v>
      </c>
      <c r="B91">
        <v>55.95</v>
      </c>
      <c r="C91">
        <f t="shared" si="4"/>
        <v>53.233499999999992</v>
      </c>
      <c r="D91">
        <f t="shared" si="5"/>
        <v>1.1911439658447771</v>
      </c>
      <c r="E91">
        <f t="shared" si="6"/>
        <v>55.615787931689546</v>
      </c>
      <c r="F91">
        <f t="shared" si="7"/>
        <v>50.851212068310438</v>
      </c>
    </row>
    <row r="92" spans="1:6">
      <c r="A92" s="1">
        <v>45602</v>
      </c>
      <c r="B92">
        <v>55.28</v>
      </c>
      <c r="C92">
        <f t="shared" si="4"/>
        <v>53.357500000000002</v>
      </c>
      <c r="D92">
        <f t="shared" si="5"/>
        <v>1.2701092990679779</v>
      </c>
      <c r="E92">
        <f t="shared" si="6"/>
        <v>55.89771859813596</v>
      </c>
      <c r="F92">
        <f t="shared" si="7"/>
        <v>50.817281401864044</v>
      </c>
    </row>
    <row r="93" spans="1:6">
      <c r="A93" s="1">
        <v>45603</v>
      </c>
      <c r="B93">
        <v>54.71</v>
      </c>
      <c r="C93">
        <f t="shared" si="4"/>
        <v>53.472999999999999</v>
      </c>
      <c r="D93">
        <f t="shared" si="5"/>
        <v>1.2834169031801099</v>
      </c>
      <c r="E93">
        <f t="shared" si="6"/>
        <v>56.039833806360221</v>
      </c>
      <c r="F93">
        <f t="shared" si="7"/>
        <v>50.906166193639777</v>
      </c>
    </row>
    <row r="94" spans="1:6">
      <c r="A94" s="1">
        <v>45604</v>
      </c>
      <c r="B94">
        <v>54.14</v>
      </c>
      <c r="C94">
        <f t="shared" si="4"/>
        <v>53.570000000000007</v>
      </c>
      <c r="D94">
        <f t="shared" si="5"/>
        <v>1.2551410069663185</v>
      </c>
      <c r="E94">
        <f t="shared" si="6"/>
        <v>56.080282013932646</v>
      </c>
      <c r="F94">
        <f t="shared" si="7"/>
        <v>51.059717986067369</v>
      </c>
    </row>
    <row r="95" spans="1:6">
      <c r="A95" s="1">
        <v>45607</v>
      </c>
      <c r="B95">
        <v>59.82</v>
      </c>
      <c r="C95">
        <f t="shared" si="4"/>
        <v>53.927500000000009</v>
      </c>
      <c r="D95">
        <f t="shared" si="5"/>
        <v>1.8585304749494405</v>
      </c>
      <c r="E95">
        <f t="shared" si="6"/>
        <v>57.644560949898889</v>
      </c>
      <c r="F95">
        <f t="shared" si="7"/>
        <v>50.21043905010113</v>
      </c>
    </row>
    <row r="96" spans="1:6">
      <c r="A96" s="1">
        <v>45608</v>
      </c>
      <c r="B96">
        <v>59.02</v>
      </c>
      <c r="C96">
        <f t="shared" si="4"/>
        <v>54.240500000000011</v>
      </c>
      <c r="D96">
        <f t="shared" si="5"/>
        <v>2.1550393206816931</v>
      </c>
      <c r="E96">
        <f t="shared" si="6"/>
        <v>58.550578641363401</v>
      </c>
      <c r="F96">
        <f t="shared" si="7"/>
        <v>49.930421358636622</v>
      </c>
    </row>
    <row r="97" spans="1:6">
      <c r="A97" s="1">
        <v>45609</v>
      </c>
      <c r="B97">
        <v>58.41</v>
      </c>
      <c r="C97">
        <f t="shared" si="4"/>
        <v>54.492500000000021</v>
      </c>
      <c r="D97">
        <f t="shared" si="5"/>
        <v>2.3350484611222688</v>
      </c>
      <c r="E97">
        <f t="shared" si="6"/>
        <v>59.16259692224456</v>
      </c>
      <c r="F97">
        <f t="shared" si="7"/>
        <v>49.822403077755482</v>
      </c>
    </row>
    <row r="98" spans="1:6">
      <c r="A98" s="1">
        <v>45610</v>
      </c>
      <c r="B98">
        <v>58.5</v>
      </c>
      <c r="C98">
        <f t="shared" si="4"/>
        <v>54.758500000000005</v>
      </c>
      <c r="D98">
        <f t="shared" si="5"/>
        <v>2.4764028985182271</v>
      </c>
      <c r="E98">
        <f t="shared" si="6"/>
        <v>59.711305797036459</v>
      </c>
      <c r="F98">
        <f t="shared" si="7"/>
        <v>49.805694202963551</v>
      </c>
    </row>
    <row r="99" spans="1:6">
      <c r="A99" s="1">
        <v>45611</v>
      </c>
      <c r="B99">
        <v>56.22</v>
      </c>
      <c r="C99">
        <f t="shared" si="4"/>
        <v>54.908500000000018</v>
      </c>
      <c r="D99">
        <f t="shared" si="5"/>
        <v>2.469155566287049</v>
      </c>
      <c r="E99">
        <f t="shared" si="6"/>
        <v>59.846811132574118</v>
      </c>
      <c r="F99">
        <f t="shared" si="7"/>
        <v>49.970188867425918</v>
      </c>
    </row>
    <row r="100" spans="1:6">
      <c r="A100" s="1">
        <v>45614</v>
      </c>
      <c r="B100">
        <v>56.8</v>
      </c>
      <c r="C100">
        <f t="shared" si="4"/>
        <v>55.142499999999998</v>
      </c>
      <c r="D100">
        <f t="shared" si="5"/>
        <v>2.4120833428038049</v>
      </c>
      <c r="E100">
        <f t="shared" si="6"/>
        <v>59.966666685607606</v>
      </c>
      <c r="F100">
        <f t="shared" si="7"/>
        <v>50.31833331439239</v>
      </c>
    </row>
    <row r="101" spans="1:6">
      <c r="A101" s="1">
        <v>45615</v>
      </c>
      <c r="B101">
        <v>58.23</v>
      </c>
      <c r="C101">
        <f t="shared" si="4"/>
        <v>55.416000000000011</v>
      </c>
      <c r="D101">
        <f t="shared" si="5"/>
        <v>2.4376982240587011</v>
      </c>
      <c r="E101">
        <f t="shared" si="6"/>
        <v>60.291396448117411</v>
      </c>
      <c r="F101">
        <f t="shared" si="7"/>
        <v>50.540603551882612</v>
      </c>
    </row>
    <row r="102" spans="1:6">
      <c r="A102" s="1">
        <v>45616</v>
      </c>
      <c r="B102">
        <v>57.88</v>
      </c>
      <c r="C102">
        <f t="shared" si="4"/>
        <v>55.657000000000004</v>
      </c>
      <c r="D102">
        <f t="shared" si="5"/>
        <v>2.4307679098546093</v>
      </c>
      <c r="E102">
        <f t="shared" si="6"/>
        <v>60.518535819709221</v>
      </c>
      <c r="F102">
        <f t="shared" si="7"/>
        <v>50.795464180290786</v>
      </c>
    </row>
    <row r="103" spans="1:6">
      <c r="A103" s="1">
        <v>45617</v>
      </c>
      <c r="B103">
        <v>58.23</v>
      </c>
      <c r="C103">
        <f t="shared" si="4"/>
        <v>55.922499999999999</v>
      </c>
      <c r="D103">
        <f t="shared" si="5"/>
        <v>2.405950681998807</v>
      </c>
      <c r="E103">
        <f t="shared" si="6"/>
        <v>60.734401363997613</v>
      </c>
      <c r="F103">
        <f t="shared" si="7"/>
        <v>51.110598636002386</v>
      </c>
    </row>
    <row r="104" spans="1:6">
      <c r="A104" s="1">
        <v>45618</v>
      </c>
      <c r="B104">
        <v>58.87</v>
      </c>
      <c r="C104">
        <f t="shared" si="4"/>
        <v>56.269999999999996</v>
      </c>
      <c r="D104">
        <f t="shared" si="5"/>
        <v>2.2968628490548624</v>
      </c>
      <c r="E104">
        <f t="shared" si="6"/>
        <v>60.863725698109718</v>
      </c>
      <c r="F104">
        <f t="shared" si="7"/>
        <v>51.676274301890274</v>
      </c>
    </row>
    <row r="105" spans="1:6">
      <c r="A105" s="1">
        <v>45621</v>
      </c>
      <c r="B105">
        <v>58.78</v>
      </c>
      <c r="C105">
        <f t="shared" si="4"/>
        <v>56.576999999999984</v>
      </c>
      <c r="D105">
        <f t="shared" si="5"/>
        <v>2.1941815402511589</v>
      </c>
      <c r="E105">
        <f t="shared" si="6"/>
        <v>60.9653630805023</v>
      </c>
      <c r="F105">
        <f t="shared" si="7"/>
        <v>52.188636919497668</v>
      </c>
    </row>
    <row r="106" spans="1:6">
      <c r="A106" s="1">
        <v>45622</v>
      </c>
      <c r="B106">
        <v>58.74</v>
      </c>
      <c r="C106">
        <f t="shared" si="4"/>
        <v>56.888999999999996</v>
      </c>
      <c r="D106">
        <f t="shared" si="5"/>
        <v>2.0207343636463087</v>
      </c>
      <c r="E106">
        <f t="shared" si="6"/>
        <v>60.930468727292613</v>
      </c>
      <c r="F106">
        <f t="shared" si="7"/>
        <v>52.847531272707378</v>
      </c>
    </row>
    <row r="107" spans="1:6">
      <c r="A107" s="1">
        <v>45623</v>
      </c>
      <c r="B107">
        <v>59.27</v>
      </c>
      <c r="C107">
        <f t="shared" si="4"/>
        <v>57.219499999999996</v>
      </c>
      <c r="D107">
        <f t="shared" si="5"/>
        <v>1.8235895054015103</v>
      </c>
      <c r="E107">
        <f t="shared" si="6"/>
        <v>60.866679010803018</v>
      </c>
      <c r="F107">
        <f t="shared" si="7"/>
        <v>53.572320989196974</v>
      </c>
    </row>
    <row r="108" spans="1:6">
      <c r="A108" s="1">
        <v>45625</v>
      </c>
      <c r="B108">
        <v>59.22</v>
      </c>
      <c r="C108">
        <f t="shared" si="4"/>
        <v>57.391999999999996</v>
      </c>
      <c r="D108">
        <f t="shared" si="5"/>
        <v>1.8423371884075597</v>
      </c>
      <c r="E108">
        <f t="shared" si="6"/>
        <v>61.076674376815113</v>
      </c>
      <c r="F108">
        <f t="shared" si="7"/>
        <v>53.707325623184879</v>
      </c>
    </row>
    <row r="109" spans="1:6">
      <c r="A109" s="1">
        <v>45628</v>
      </c>
      <c r="B109">
        <v>59.94</v>
      </c>
      <c r="C109">
        <f t="shared" si="4"/>
        <v>57.673000000000002</v>
      </c>
      <c r="D109">
        <f t="shared" si="5"/>
        <v>1.7765403990547703</v>
      </c>
      <c r="E109">
        <f t="shared" si="6"/>
        <v>61.226080798109543</v>
      </c>
      <c r="F109">
        <f t="shared" si="7"/>
        <v>54.119919201890461</v>
      </c>
    </row>
    <row r="110" spans="1:6">
      <c r="A110" s="1">
        <v>45629</v>
      </c>
      <c r="B110">
        <v>58.69</v>
      </c>
      <c r="C110">
        <f t="shared" si="4"/>
        <v>57.835000000000001</v>
      </c>
      <c r="D110">
        <f t="shared" si="5"/>
        <v>1.7096244586088731</v>
      </c>
      <c r="E110">
        <f t="shared" si="6"/>
        <v>61.254248917217744</v>
      </c>
      <c r="F110">
        <f t="shared" si="7"/>
        <v>54.415751082782258</v>
      </c>
    </row>
    <row r="111" spans="1:6">
      <c r="A111" s="1">
        <v>45630</v>
      </c>
      <c r="B111">
        <v>58.37</v>
      </c>
      <c r="C111">
        <f t="shared" si="4"/>
        <v>57.955999999999996</v>
      </c>
      <c r="D111">
        <f t="shared" si="5"/>
        <v>1.6539216553710343</v>
      </c>
      <c r="E111">
        <f t="shared" si="6"/>
        <v>61.263843310742061</v>
      </c>
      <c r="F111">
        <f t="shared" si="7"/>
        <v>54.648156689257931</v>
      </c>
    </row>
    <row r="112" spans="1:6">
      <c r="A112" s="1">
        <v>45631</v>
      </c>
      <c r="B112">
        <v>58.84</v>
      </c>
      <c r="C112">
        <f t="shared" si="4"/>
        <v>58.133999999999993</v>
      </c>
      <c r="D112">
        <f t="shared" si="5"/>
        <v>1.5382916019505468</v>
      </c>
      <c r="E112">
        <f t="shared" si="6"/>
        <v>61.210583203901088</v>
      </c>
      <c r="F112">
        <f t="shared" si="7"/>
        <v>55.057416796098899</v>
      </c>
    </row>
    <row r="113" spans="1:6">
      <c r="A113" s="1">
        <v>45632</v>
      </c>
      <c r="B113">
        <v>59.38</v>
      </c>
      <c r="C113">
        <f t="shared" si="4"/>
        <v>58.367500000000007</v>
      </c>
      <c r="D113">
        <f t="shared" si="5"/>
        <v>1.3317731551739984</v>
      </c>
      <c r="E113">
        <f t="shared" si="6"/>
        <v>61.031046310348003</v>
      </c>
      <c r="F113">
        <f t="shared" si="7"/>
        <v>55.70395368965201</v>
      </c>
    </row>
    <row r="114" spans="1:6">
      <c r="A114" s="1">
        <v>45635</v>
      </c>
      <c r="B114">
        <v>58.71</v>
      </c>
      <c r="C114">
        <f t="shared" si="4"/>
        <v>58.596000000000018</v>
      </c>
      <c r="D114">
        <f t="shared" si="5"/>
        <v>0.88555899681619543</v>
      </c>
      <c r="E114">
        <f t="shared" si="6"/>
        <v>60.367117993632405</v>
      </c>
      <c r="F114">
        <f t="shared" si="7"/>
        <v>56.824882006367631</v>
      </c>
    </row>
    <row r="115" spans="1:6">
      <c r="A115" s="1">
        <v>45636</v>
      </c>
      <c r="B115">
        <v>58.12</v>
      </c>
      <c r="C115">
        <f t="shared" si="4"/>
        <v>58.511000000000003</v>
      </c>
      <c r="D115">
        <f t="shared" si="5"/>
        <v>0.84242694513811578</v>
      </c>
      <c r="E115">
        <f t="shared" si="6"/>
        <v>60.195853890276233</v>
      </c>
      <c r="F115">
        <f t="shared" si="7"/>
        <v>56.826146109723773</v>
      </c>
    </row>
    <row r="116" spans="1:6">
      <c r="A116" s="1">
        <v>45637</v>
      </c>
      <c r="B116">
        <v>56.65</v>
      </c>
      <c r="C116">
        <f t="shared" si="4"/>
        <v>58.392500000000005</v>
      </c>
      <c r="D116">
        <f t="shared" si="5"/>
        <v>0.92927178620228224</v>
      </c>
      <c r="E116">
        <f t="shared" si="6"/>
        <v>60.251043572404569</v>
      </c>
      <c r="F116">
        <f t="shared" si="7"/>
        <v>56.533956427595442</v>
      </c>
    </row>
    <row r="117" spans="1:6">
      <c r="A117" s="1">
        <v>45638</v>
      </c>
      <c r="B117">
        <v>56.28</v>
      </c>
      <c r="C117">
        <f t="shared" si="4"/>
        <v>58.286000000000016</v>
      </c>
      <c r="D117">
        <f t="shared" si="5"/>
        <v>1.0423374541966022</v>
      </c>
      <c r="E117">
        <f t="shared" si="6"/>
        <v>60.370674908393219</v>
      </c>
      <c r="F117">
        <f t="shared" si="7"/>
        <v>56.201325091606812</v>
      </c>
    </row>
    <row r="118" spans="1:6">
      <c r="A118" s="1">
        <v>45639</v>
      </c>
      <c r="B118">
        <v>55.78</v>
      </c>
      <c r="C118">
        <f t="shared" si="4"/>
        <v>58.150000000000013</v>
      </c>
      <c r="D118">
        <f t="shared" si="5"/>
        <v>1.1811501976775369</v>
      </c>
      <c r="E118">
        <f t="shared" si="6"/>
        <v>60.512300395355084</v>
      </c>
      <c r="F118">
        <f t="shared" si="7"/>
        <v>55.787699604644942</v>
      </c>
    </row>
    <row r="119" spans="1:6">
      <c r="A119" s="1">
        <v>45642</v>
      </c>
      <c r="B119">
        <v>55.87</v>
      </c>
      <c r="C119">
        <f t="shared" si="4"/>
        <v>58.132500000000007</v>
      </c>
      <c r="D119">
        <f t="shared" si="5"/>
        <v>1.2134026753850429</v>
      </c>
      <c r="E119">
        <f t="shared" si="6"/>
        <v>60.559305350770096</v>
      </c>
      <c r="F119">
        <f t="shared" si="7"/>
        <v>55.705694649229919</v>
      </c>
    </row>
    <row r="120" spans="1:6">
      <c r="A120" s="1">
        <v>45643</v>
      </c>
      <c r="B120">
        <v>57.65</v>
      </c>
      <c r="C120">
        <f t="shared" si="4"/>
        <v>58.175000000000011</v>
      </c>
      <c r="D120">
        <f t="shared" si="5"/>
        <v>1.1786633821499051</v>
      </c>
      <c r="E120">
        <f t="shared" si="6"/>
        <v>60.532326764299825</v>
      </c>
      <c r="F120">
        <f t="shared" si="7"/>
        <v>55.817673235700198</v>
      </c>
    </row>
    <row r="121" spans="1:6">
      <c r="A121" s="1">
        <v>45644</v>
      </c>
      <c r="B121">
        <v>56.84</v>
      </c>
      <c r="C121">
        <f t="shared" si="4"/>
        <v>58.105499999999992</v>
      </c>
      <c r="D121">
        <f t="shared" si="5"/>
        <v>1.2156500318759507</v>
      </c>
      <c r="E121">
        <f t="shared" si="6"/>
        <v>60.53680006375189</v>
      </c>
      <c r="F121">
        <f t="shared" si="7"/>
        <v>55.674199936248094</v>
      </c>
    </row>
    <row r="122" spans="1:6">
      <c r="A122" s="1">
        <v>45645</v>
      </c>
      <c r="B122">
        <v>56.3</v>
      </c>
      <c r="C122">
        <f t="shared" si="4"/>
        <v>58.026499999999999</v>
      </c>
      <c r="D122">
        <f t="shared" si="5"/>
        <v>1.2806752947278699</v>
      </c>
      <c r="E122">
        <f t="shared" si="6"/>
        <v>60.587850589455741</v>
      </c>
      <c r="F122">
        <f t="shared" si="7"/>
        <v>55.465149410544257</v>
      </c>
    </row>
    <row r="123" spans="1:6">
      <c r="A123" s="1">
        <v>45646</v>
      </c>
      <c r="B123">
        <v>57.33</v>
      </c>
      <c r="C123">
        <f t="shared" si="4"/>
        <v>57.981499999999997</v>
      </c>
      <c r="D123">
        <f t="shared" si="5"/>
        <v>1.2889337698880792</v>
      </c>
      <c r="E123">
        <f t="shared" si="6"/>
        <v>60.559367539776154</v>
      </c>
      <c r="F123">
        <f t="shared" si="7"/>
        <v>55.403632460223839</v>
      </c>
    </row>
    <row r="124" spans="1:6">
      <c r="A124" s="1">
        <v>45649</v>
      </c>
      <c r="B124">
        <v>57.58</v>
      </c>
      <c r="C124">
        <f t="shared" si="4"/>
        <v>57.916999999999994</v>
      </c>
      <c r="D124">
        <f t="shared" si="5"/>
        <v>1.2743258279535399</v>
      </c>
      <c r="E124">
        <f t="shared" si="6"/>
        <v>60.465651655907074</v>
      </c>
      <c r="F124">
        <f t="shared" si="7"/>
        <v>55.368348344092915</v>
      </c>
    </row>
    <row r="125" spans="1:6">
      <c r="A125" s="1">
        <v>45650</v>
      </c>
      <c r="B125">
        <v>57.76</v>
      </c>
      <c r="C125">
        <f t="shared" si="4"/>
        <v>57.866</v>
      </c>
      <c r="D125">
        <f t="shared" si="5"/>
        <v>1.2582795271405529</v>
      </c>
      <c r="E125">
        <f t="shared" si="6"/>
        <v>60.382559054281103</v>
      </c>
      <c r="F125">
        <f t="shared" si="7"/>
        <v>55.349440945718897</v>
      </c>
    </row>
    <row r="126" spans="1:6">
      <c r="A126" s="1">
        <v>45652</v>
      </c>
      <c r="B126">
        <v>58</v>
      </c>
      <c r="C126">
        <f t="shared" si="4"/>
        <v>57.828999999999994</v>
      </c>
      <c r="D126">
        <f t="shared" si="5"/>
        <v>1.2420013560463827</v>
      </c>
      <c r="E126">
        <f t="shared" si="6"/>
        <v>60.313002712092761</v>
      </c>
      <c r="F126">
        <f t="shared" si="7"/>
        <v>55.344997287907226</v>
      </c>
    </row>
    <row r="127" spans="1:6">
      <c r="A127" s="1">
        <v>45653</v>
      </c>
      <c r="B127">
        <v>57.68</v>
      </c>
      <c r="C127">
        <f t="shared" si="4"/>
        <v>57.749499999999998</v>
      </c>
      <c r="D127">
        <f t="shared" si="5"/>
        <v>1.1949035415815832</v>
      </c>
      <c r="E127">
        <f t="shared" si="6"/>
        <v>60.13930708316316</v>
      </c>
      <c r="F127">
        <f t="shared" si="7"/>
        <v>55.359692916836835</v>
      </c>
    </row>
    <row r="128" spans="1:6">
      <c r="A128" s="1">
        <v>45656</v>
      </c>
      <c r="B128">
        <v>56.06</v>
      </c>
      <c r="C128">
        <f t="shared" si="4"/>
        <v>57.591500000000011</v>
      </c>
      <c r="D128">
        <f t="shared" si="5"/>
        <v>1.1991412497458773</v>
      </c>
      <c r="E128">
        <f t="shared" si="6"/>
        <v>59.989782499491767</v>
      </c>
      <c r="F128">
        <f t="shared" si="7"/>
        <v>55.193217500508254</v>
      </c>
    </row>
    <row r="129" spans="1:6">
      <c r="A129" s="1">
        <v>45657</v>
      </c>
      <c r="B129">
        <v>56.56</v>
      </c>
      <c r="C129">
        <f t="shared" si="4"/>
        <v>57.422499999999992</v>
      </c>
      <c r="D129">
        <f t="shared" si="5"/>
        <v>1.0833227394893623</v>
      </c>
      <c r="E129">
        <f t="shared" si="6"/>
        <v>59.589145478978715</v>
      </c>
      <c r="F129">
        <f t="shared" si="7"/>
        <v>55.25585452102127</v>
      </c>
    </row>
    <row r="130" spans="1:6">
      <c r="A130" s="1">
        <v>45659</v>
      </c>
      <c r="B130">
        <v>56.79</v>
      </c>
      <c r="C130">
        <f t="shared" si="4"/>
        <v>57.327500000000001</v>
      </c>
      <c r="D130">
        <f t="shared" si="5"/>
        <v>1.0490892039739694</v>
      </c>
      <c r="E130">
        <f t="shared" si="6"/>
        <v>59.425678407947942</v>
      </c>
      <c r="F130">
        <f t="shared" si="7"/>
        <v>55.229321592052059</v>
      </c>
    </row>
    <row r="131" spans="1:6">
      <c r="A131" s="1">
        <v>45660</v>
      </c>
      <c r="B131">
        <v>56.57</v>
      </c>
      <c r="C131">
        <f t="shared" si="4"/>
        <v>57.23749999999999</v>
      </c>
      <c r="D131">
        <f t="shared" si="5"/>
        <v>1.0320183341904656</v>
      </c>
      <c r="E131">
        <f t="shared" si="6"/>
        <v>59.301536668380919</v>
      </c>
      <c r="F131">
        <f t="shared" si="7"/>
        <v>55.173463331619061</v>
      </c>
    </row>
    <row r="132" spans="1:6">
      <c r="A132" s="1">
        <v>45663</v>
      </c>
      <c r="B132">
        <v>56.68</v>
      </c>
      <c r="C132">
        <f t="shared" si="4"/>
        <v>57.129499999999993</v>
      </c>
      <c r="D132">
        <f t="shared" si="5"/>
        <v>0.96642844917170212</v>
      </c>
      <c r="E132">
        <f t="shared" si="6"/>
        <v>59.062356898343396</v>
      </c>
      <c r="F132">
        <f t="shared" si="7"/>
        <v>55.196643101656591</v>
      </c>
    </row>
    <row r="133" spans="1:6">
      <c r="A133" s="1">
        <v>45664</v>
      </c>
      <c r="B133">
        <v>57.14</v>
      </c>
      <c r="C133">
        <f t="shared" si="4"/>
        <v>57.017499999999998</v>
      </c>
      <c r="D133">
        <f t="shared" si="5"/>
        <v>0.80883851097861592</v>
      </c>
      <c r="E133">
        <f t="shared" si="6"/>
        <v>58.635177021957233</v>
      </c>
      <c r="F133">
        <f t="shared" si="7"/>
        <v>55.399822978042764</v>
      </c>
    </row>
    <row r="134" spans="1:6">
      <c r="A134" s="1">
        <v>45665</v>
      </c>
      <c r="B134">
        <v>56.81</v>
      </c>
      <c r="C134">
        <f t="shared" si="4"/>
        <v>56.922499999999992</v>
      </c>
      <c r="D134">
        <f t="shared" si="5"/>
        <v>0.70442865986706171</v>
      </c>
      <c r="E134">
        <f t="shared" si="6"/>
        <v>58.331357319734117</v>
      </c>
      <c r="F134">
        <f t="shared" si="7"/>
        <v>55.513642680265868</v>
      </c>
    </row>
    <row r="135" spans="1:6">
      <c r="A135" s="1">
        <v>45667</v>
      </c>
      <c r="B135">
        <v>55.83</v>
      </c>
      <c r="C135">
        <f t="shared" si="4"/>
        <v>56.807999999999993</v>
      </c>
      <c r="D135">
        <f t="shared" si="5"/>
        <v>0.68539347131871298</v>
      </c>
      <c r="E135">
        <f t="shared" si="6"/>
        <v>58.178786942637416</v>
      </c>
      <c r="F135">
        <f t="shared" si="7"/>
        <v>55.43721305736257</v>
      </c>
    </row>
    <row r="136" spans="1:6">
      <c r="A136" s="1">
        <v>45670</v>
      </c>
      <c r="B136">
        <v>55.36</v>
      </c>
      <c r="C136">
        <f t="shared" si="4"/>
        <v>56.743499999999983</v>
      </c>
      <c r="D136">
        <f t="shared" si="5"/>
        <v>0.75790761136725682</v>
      </c>
      <c r="E136">
        <f t="shared" si="6"/>
        <v>58.2593152227345</v>
      </c>
      <c r="F136">
        <f t="shared" si="7"/>
        <v>55.227684777265466</v>
      </c>
    </row>
    <row r="137" spans="1:6">
      <c r="A137" s="1">
        <v>45671</v>
      </c>
      <c r="B137">
        <v>55.74</v>
      </c>
      <c r="C137">
        <f t="shared" si="4"/>
        <v>56.716499999999996</v>
      </c>
      <c r="D137">
        <f t="shared" si="5"/>
        <v>0.78444264491286697</v>
      </c>
      <c r="E137">
        <f t="shared" si="6"/>
        <v>58.285385289825733</v>
      </c>
      <c r="F137">
        <f t="shared" si="7"/>
        <v>55.14761471017426</v>
      </c>
    </row>
    <row r="138" spans="1:6">
      <c r="A138" s="1">
        <v>45672</v>
      </c>
      <c r="B138">
        <v>55.91</v>
      </c>
      <c r="C138">
        <f t="shared" si="4"/>
        <v>56.722999999999999</v>
      </c>
      <c r="D138">
        <f t="shared" si="5"/>
        <v>0.7767753858098233</v>
      </c>
      <c r="E138">
        <f t="shared" si="6"/>
        <v>58.276550771619647</v>
      </c>
      <c r="F138">
        <f t="shared" si="7"/>
        <v>55.169449228380351</v>
      </c>
    </row>
    <row r="139" spans="1:6">
      <c r="A139" s="1">
        <v>45673</v>
      </c>
      <c r="B139">
        <v>56.38</v>
      </c>
      <c r="C139">
        <f t="shared" si="4"/>
        <v>56.748500000000014</v>
      </c>
      <c r="D139">
        <f t="shared" si="5"/>
        <v>0.75537564722530748</v>
      </c>
      <c r="E139">
        <f t="shared" si="6"/>
        <v>58.259251294450628</v>
      </c>
      <c r="F139">
        <f t="shared" si="7"/>
        <v>55.2377487055494</v>
      </c>
    </row>
    <row r="140" spans="1:6">
      <c r="A140" s="1">
        <v>45674</v>
      </c>
      <c r="B140">
        <v>56.29</v>
      </c>
      <c r="C140">
        <f t="shared" si="4"/>
        <v>56.680499999999995</v>
      </c>
      <c r="D140">
        <f t="shared" si="5"/>
        <v>0.73076365968470902</v>
      </c>
      <c r="E140">
        <f t="shared" si="6"/>
        <v>58.142027319369411</v>
      </c>
      <c r="F140">
        <f t="shared" si="7"/>
        <v>55.218972680630579</v>
      </c>
    </row>
    <row r="141" spans="1:6">
      <c r="A141" s="1">
        <v>45678</v>
      </c>
      <c r="B141">
        <v>57.04</v>
      </c>
      <c r="C141">
        <f t="shared" si="4"/>
        <v>56.6905</v>
      </c>
      <c r="D141">
        <f t="shared" si="5"/>
        <v>0.73442046611776224</v>
      </c>
      <c r="E141">
        <f t="shared" si="6"/>
        <v>58.159340932235523</v>
      </c>
      <c r="F141">
        <f t="shared" si="7"/>
        <v>55.221659067764477</v>
      </c>
    </row>
    <row r="142" spans="1:6">
      <c r="A142" s="1">
        <v>45679</v>
      </c>
      <c r="B142">
        <v>57.09</v>
      </c>
      <c r="C142">
        <f t="shared" si="4"/>
        <v>56.73</v>
      </c>
      <c r="D142">
        <f t="shared" si="5"/>
        <v>0.73355658483711694</v>
      </c>
      <c r="E142">
        <f t="shared" si="6"/>
        <v>58.197113169674232</v>
      </c>
      <c r="F142">
        <f t="shared" si="7"/>
        <v>55.262886830325762</v>
      </c>
    </row>
    <row r="143" spans="1:6">
      <c r="A143" s="1">
        <v>45680</v>
      </c>
      <c r="B143">
        <v>59.14</v>
      </c>
      <c r="C143">
        <f t="shared" si="4"/>
        <v>56.820500000000003</v>
      </c>
      <c r="D143">
        <f t="shared" si="5"/>
        <v>0.90345229682124262</v>
      </c>
      <c r="E143">
        <f t="shared" si="6"/>
        <v>58.627404593642488</v>
      </c>
      <c r="F143">
        <f t="shared" si="7"/>
        <v>55.013595406357517</v>
      </c>
    </row>
    <row r="144" spans="1:6">
      <c r="A144" s="1">
        <v>45681</v>
      </c>
      <c r="B144">
        <v>59.67</v>
      </c>
      <c r="C144">
        <f t="shared" si="4"/>
        <v>56.924999999999997</v>
      </c>
      <c r="D144">
        <f t="shared" si="5"/>
        <v>1.0962303830087814</v>
      </c>
      <c r="E144">
        <f t="shared" si="6"/>
        <v>59.117460766017558</v>
      </c>
      <c r="F144">
        <f t="shared" si="7"/>
        <v>54.732539233982436</v>
      </c>
    </row>
    <row r="145" spans="1:6">
      <c r="A145" s="1">
        <v>45684</v>
      </c>
      <c r="B145">
        <v>60.6</v>
      </c>
      <c r="C145">
        <f t="shared" si="4"/>
        <v>57.066999999999993</v>
      </c>
      <c r="D145">
        <f t="shared" si="5"/>
        <v>1.3618451105992775</v>
      </c>
      <c r="E145">
        <f t="shared" si="6"/>
        <v>59.790690221198545</v>
      </c>
      <c r="F145">
        <f t="shared" si="7"/>
        <v>54.343309778801441</v>
      </c>
    </row>
    <row r="146" spans="1:6">
      <c r="A146" s="1">
        <v>45685</v>
      </c>
      <c r="B146">
        <v>58.76</v>
      </c>
      <c r="C146">
        <f t="shared" si="4"/>
        <v>57.104999999999997</v>
      </c>
      <c r="D146">
        <f t="shared" si="5"/>
        <v>1.3993363088490052</v>
      </c>
      <c r="E146">
        <f t="shared" si="6"/>
        <v>59.903672617698007</v>
      </c>
      <c r="F146">
        <f t="shared" si="7"/>
        <v>54.306327382301987</v>
      </c>
    </row>
    <row r="147" spans="1:6">
      <c r="A147" s="1">
        <v>45686</v>
      </c>
      <c r="B147">
        <v>59.05</v>
      </c>
      <c r="C147">
        <f t="shared" si="4"/>
        <v>57.17349999999999</v>
      </c>
      <c r="D147">
        <f t="shared" si="5"/>
        <v>1.4611324915608224</v>
      </c>
      <c r="E147">
        <f t="shared" si="6"/>
        <v>60.095764983121633</v>
      </c>
      <c r="F147">
        <f t="shared" si="7"/>
        <v>54.251235016878347</v>
      </c>
    </row>
    <row r="148" spans="1:6">
      <c r="A148" s="1">
        <v>45687</v>
      </c>
      <c r="B148">
        <v>59.14</v>
      </c>
      <c r="C148">
        <f t="shared" si="4"/>
        <v>57.327500000000001</v>
      </c>
      <c r="D148">
        <f t="shared" si="5"/>
        <v>1.4994064615180589</v>
      </c>
      <c r="E148">
        <f t="shared" si="6"/>
        <v>60.32631292303612</v>
      </c>
      <c r="F148">
        <f t="shared" si="7"/>
        <v>54.328687076963881</v>
      </c>
    </row>
    <row r="149" spans="1:6">
      <c r="A149" s="1">
        <v>45688</v>
      </c>
      <c r="B149">
        <v>58.95</v>
      </c>
      <c r="C149">
        <f t="shared" si="4"/>
        <v>57.447000000000003</v>
      </c>
      <c r="D149">
        <f t="shared" si="5"/>
        <v>1.5299470235066452</v>
      </c>
      <c r="E149">
        <f t="shared" si="6"/>
        <v>60.50689404701329</v>
      </c>
      <c r="F149">
        <f t="shared" si="7"/>
        <v>54.387105952986715</v>
      </c>
    </row>
    <row r="150" spans="1:6">
      <c r="A150" s="1">
        <v>45691</v>
      </c>
      <c r="B150">
        <v>59.95</v>
      </c>
      <c r="C150">
        <f t="shared" ref="C150:C189" si="8">AVERAGE(B131:B150)</f>
        <v>57.604999999999997</v>
      </c>
      <c r="D150">
        <f t="shared" ref="D150:D189" si="9">_xlfn.STDEV.S(B131:B150)</f>
        <v>1.6190981895389862</v>
      </c>
      <c r="E150">
        <f t="shared" ref="E150:E189" si="10">C150+2*D150</f>
        <v>60.843196379077966</v>
      </c>
      <c r="F150">
        <f t="shared" ref="F150:F189" si="11">C150-2*D150</f>
        <v>54.366803620922028</v>
      </c>
    </row>
    <row r="151" spans="1:6">
      <c r="A151" s="1">
        <v>45692</v>
      </c>
      <c r="B151">
        <v>59.12</v>
      </c>
      <c r="C151">
        <f t="shared" si="8"/>
        <v>57.732499999999995</v>
      </c>
      <c r="D151">
        <f t="shared" si="9"/>
        <v>1.6336426040890151</v>
      </c>
      <c r="E151">
        <f t="shared" si="10"/>
        <v>60.999785208178025</v>
      </c>
      <c r="F151">
        <f t="shared" si="11"/>
        <v>54.465214791821964</v>
      </c>
    </row>
    <row r="152" spans="1:6">
      <c r="A152" s="1">
        <v>45693</v>
      </c>
      <c r="B152">
        <v>59.71</v>
      </c>
      <c r="C152">
        <f t="shared" si="8"/>
        <v>57.883999999999993</v>
      </c>
      <c r="D152">
        <f t="shared" si="9"/>
        <v>1.670970093278626</v>
      </c>
      <c r="E152">
        <f t="shared" si="10"/>
        <v>61.225940186557246</v>
      </c>
      <c r="F152">
        <f t="shared" si="11"/>
        <v>54.542059813442741</v>
      </c>
    </row>
    <row r="153" spans="1:6">
      <c r="A153" s="1">
        <v>45694</v>
      </c>
      <c r="B153">
        <v>57.42</v>
      </c>
      <c r="C153">
        <f t="shared" si="8"/>
        <v>57.898000000000003</v>
      </c>
      <c r="D153">
        <f t="shared" si="9"/>
        <v>1.6655727638199864</v>
      </c>
      <c r="E153">
        <f t="shared" si="10"/>
        <v>61.229145527639979</v>
      </c>
      <c r="F153">
        <f t="shared" si="11"/>
        <v>54.566854472360028</v>
      </c>
    </row>
    <row r="154" spans="1:6">
      <c r="A154" s="1">
        <v>45695</v>
      </c>
      <c r="B154">
        <v>56.85</v>
      </c>
      <c r="C154">
        <f t="shared" si="8"/>
        <v>57.9</v>
      </c>
      <c r="D154">
        <f t="shared" si="9"/>
        <v>1.664221012650474</v>
      </c>
      <c r="E154">
        <f t="shared" si="10"/>
        <v>61.22844202530095</v>
      </c>
      <c r="F154">
        <f t="shared" si="11"/>
        <v>54.571557974699047</v>
      </c>
    </row>
    <row r="155" spans="1:6">
      <c r="A155" s="1">
        <v>45698</v>
      </c>
      <c r="B155">
        <v>55.53</v>
      </c>
      <c r="C155">
        <f t="shared" si="8"/>
        <v>57.885000000000005</v>
      </c>
      <c r="D155">
        <f t="shared" si="9"/>
        <v>1.685081600398034</v>
      </c>
      <c r="E155">
        <f t="shared" si="10"/>
        <v>61.255163200796076</v>
      </c>
      <c r="F155">
        <f t="shared" si="11"/>
        <v>54.514836799203934</v>
      </c>
    </row>
    <row r="156" spans="1:6">
      <c r="A156" s="1">
        <v>45699</v>
      </c>
      <c r="B156">
        <v>55.94</v>
      </c>
      <c r="C156">
        <f t="shared" si="8"/>
        <v>57.914000000000001</v>
      </c>
      <c r="D156">
        <f t="shared" si="9"/>
        <v>1.6438254485386088</v>
      </c>
      <c r="E156">
        <f t="shared" si="10"/>
        <v>61.201650897077222</v>
      </c>
      <c r="F156">
        <f t="shared" si="11"/>
        <v>54.626349102922781</v>
      </c>
    </row>
    <row r="157" spans="1:6">
      <c r="A157" s="1">
        <v>45700</v>
      </c>
      <c r="B157">
        <v>56.15</v>
      </c>
      <c r="C157">
        <f t="shared" si="8"/>
        <v>57.934500000000014</v>
      </c>
      <c r="D157">
        <f t="shared" si="9"/>
        <v>1.6176346441966631</v>
      </c>
      <c r="E157">
        <f t="shared" si="10"/>
        <v>61.16976928839334</v>
      </c>
      <c r="F157">
        <f t="shared" si="11"/>
        <v>54.699230711606688</v>
      </c>
    </row>
    <row r="158" spans="1:6">
      <c r="A158" s="1">
        <v>45701</v>
      </c>
      <c r="B158">
        <v>55.97</v>
      </c>
      <c r="C158">
        <f t="shared" si="8"/>
        <v>57.937500000000014</v>
      </c>
      <c r="D158">
        <f t="shared" si="9"/>
        <v>1.6137334124060858</v>
      </c>
      <c r="E158">
        <f t="shared" si="10"/>
        <v>61.164966824812183</v>
      </c>
      <c r="F158">
        <f t="shared" si="11"/>
        <v>54.710033175187846</v>
      </c>
    </row>
    <row r="159" spans="1:6">
      <c r="A159" s="1">
        <v>45702</v>
      </c>
      <c r="B159">
        <v>53.9</v>
      </c>
      <c r="C159">
        <f t="shared" si="8"/>
        <v>57.813500000000019</v>
      </c>
      <c r="D159">
        <f t="shared" si="9"/>
        <v>1.821605061477378</v>
      </c>
      <c r="E159">
        <f t="shared" si="10"/>
        <v>61.456710122954775</v>
      </c>
      <c r="F159">
        <f t="shared" si="11"/>
        <v>54.170289877045263</v>
      </c>
    </row>
    <row r="160" spans="1:6">
      <c r="A160" s="1">
        <v>45706</v>
      </c>
      <c r="B160">
        <v>54.43</v>
      </c>
      <c r="C160">
        <f t="shared" si="8"/>
        <v>57.720500000000001</v>
      </c>
      <c r="D160">
        <f t="shared" si="9"/>
        <v>1.9466664488704521</v>
      </c>
      <c r="E160">
        <f t="shared" si="10"/>
        <v>61.613832897740906</v>
      </c>
      <c r="F160">
        <f t="shared" si="11"/>
        <v>53.827167102259097</v>
      </c>
    </row>
    <row r="161" spans="1:6">
      <c r="A161" s="1">
        <v>45707</v>
      </c>
      <c r="B161">
        <v>54.98</v>
      </c>
      <c r="C161">
        <f t="shared" si="8"/>
        <v>57.617500000000007</v>
      </c>
      <c r="D161">
        <f t="shared" si="9"/>
        <v>2.0369711131455639</v>
      </c>
      <c r="E161">
        <f t="shared" si="10"/>
        <v>61.691442226291137</v>
      </c>
      <c r="F161">
        <f t="shared" si="11"/>
        <v>53.543557773708876</v>
      </c>
    </row>
    <row r="162" spans="1:6">
      <c r="A162" s="1">
        <v>45708</v>
      </c>
      <c r="B162">
        <v>55.79</v>
      </c>
      <c r="C162">
        <f t="shared" si="8"/>
        <v>57.552499999999995</v>
      </c>
      <c r="D162">
        <f t="shared" si="9"/>
        <v>2.0750748242691857</v>
      </c>
      <c r="E162">
        <f t="shared" si="10"/>
        <v>61.702649648538369</v>
      </c>
      <c r="F162">
        <f t="shared" si="11"/>
        <v>53.402350351461621</v>
      </c>
    </row>
    <row r="163" spans="1:6">
      <c r="A163" s="1">
        <v>45709</v>
      </c>
      <c r="B163">
        <v>55.83</v>
      </c>
      <c r="C163">
        <f t="shared" si="8"/>
        <v>57.386999999999979</v>
      </c>
      <c r="D163">
        <f t="shared" si="9"/>
        <v>2.0737941328066203</v>
      </c>
      <c r="E163">
        <f t="shared" si="10"/>
        <v>61.534588265613223</v>
      </c>
      <c r="F163">
        <f t="shared" si="11"/>
        <v>53.239411734386735</v>
      </c>
    </row>
    <row r="164" spans="1:6">
      <c r="A164" s="1">
        <v>45712</v>
      </c>
      <c r="B164">
        <v>57.88</v>
      </c>
      <c r="C164">
        <f t="shared" si="8"/>
        <v>57.297499999999999</v>
      </c>
      <c r="D164">
        <f t="shared" si="9"/>
        <v>2.0076508267388697</v>
      </c>
      <c r="E164">
        <f t="shared" si="10"/>
        <v>61.312801653477742</v>
      </c>
      <c r="F164">
        <f t="shared" si="11"/>
        <v>53.282198346522257</v>
      </c>
    </row>
    <row r="165" spans="1:6">
      <c r="A165" s="1">
        <v>45713</v>
      </c>
      <c r="B165">
        <v>58.21</v>
      </c>
      <c r="C165">
        <f t="shared" si="8"/>
        <v>57.177999999999997</v>
      </c>
      <c r="D165">
        <f t="shared" si="9"/>
        <v>1.8669299313099716</v>
      </c>
      <c r="E165">
        <f t="shared" si="10"/>
        <v>60.911859862619941</v>
      </c>
      <c r="F165">
        <f t="shared" si="11"/>
        <v>53.444140137380053</v>
      </c>
    </row>
    <row r="166" spans="1:6">
      <c r="A166" s="1">
        <v>45714</v>
      </c>
      <c r="B166">
        <v>57.38</v>
      </c>
      <c r="C166">
        <f t="shared" si="8"/>
        <v>57.109000000000016</v>
      </c>
      <c r="D166">
        <f t="shared" si="9"/>
        <v>1.8305302654235416</v>
      </c>
      <c r="E166">
        <f t="shared" si="10"/>
        <v>60.770060530847097</v>
      </c>
      <c r="F166">
        <f t="shared" si="11"/>
        <v>53.447939469152935</v>
      </c>
    </row>
    <row r="167" spans="1:6">
      <c r="A167" s="1">
        <v>45715</v>
      </c>
      <c r="B167">
        <v>58.8</v>
      </c>
      <c r="C167">
        <f t="shared" si="8"/>
        <v>57.096500000000006</v>
      </c>
      <c r="D167">
        <f t="shared" si="9"/>
        <v>1.8173846882988645</v>
      </c>
      <c r="E167">
        <f t="shared" si="10"/>
        <v>60.731269376597737</v>
      </c>
      <c r="F167">
        <f t="shared" si="11"/>
        <v>53.461730623402275</v>
      </c>
    </row>
    <row r="168" spans="1:6">
      <c r="A168" s="1">
        <v>45716</v>
      </c>
      <c r="B168">
        <v>59.62</v>
      </c>
      <c r="C168">
        <f t="shared" si="8"/>
        <v>57.120500000000007</v>
      </c>
      <c r="D168">
        <f t="shared" si="9"/>
        <v>1.8486907885254769</v>
      </c>
      <c r="E168">
        <f t="shared" si="10"/>
        <v>60.817881577050962</v>
      </c>
      <c r="F168">
        <f t="shared" si="11"/>
        <v>53.423118422949052</v>
      </c>
    </row>
    <row r="169" spans="1:6">
      <c r="A169" s="1">
        <v>45719</v>
      </c>
      <c r="B169">
        <v>59.87</v>
      </c>
      <c r="C169">
        <f t="shared" si="8"/>
        <v>57.166499999999985</v>
      </c>
      <c r="D169">
        <f t="shared" si="9"/>
        <v>1.9071314226234897</v>
      </c>
      <c r="E169">
        <f t="shared" si="10"/>
        <v>60.980762845246964</v>
      </c>
      <c r="F169">
        <f t="shared" si="11"/>
        <v>53.352237154753006</v>
      </c>
    </row>
    <row r="170" spans="1:6">
      <c r="A170" s="1">
        <v>45720</v>
      </c>
      <c r="B170">
        <v>59.44</v>
      </c>
      <c r="C170">
        <f t="shared" si="8"/>
        <v>57.140999999999998</v>
      </c>
      <c r="D170">
        <f t="shared" si="9"/>
        <v>1.8710225180787896</v>
      </c>
      <c r="E170">
        <f t="shared" si="10"/>
        <v>60.883045036157576</v>
      </c>
      <c r="F170">
        <f t="shared" si="11"/>
        <v>53.398954963842421</v>
      </c>
    </row>
    <row r="171" spans="1:6">
      <c r="A171" s="1">
        <v>45721</v>
      </c>
      <c r="B171">
        <v>59.82</v>
      </c>
      <c r="C171">
        <f t="shared" si="8"/>
        <v>57.175999999999988</v>
      </c>
      <c r="D171">
        <f t="shared" si="9"/>
        <v>1.9159974728035196</v>
      </c>
      <c r="E171">
        <f t="shared" si="10"/>
        <v>61.007994945607024</v>
      </c>
      <c r="F171">
        <f t="shared" si="11"/>
        <v>53.344005054392952</v>
      </c>
    </row>
    <row r="172" spans="1:6">
      <c r="A172" s="1">
        <v>45722</v>
      </c>
      <c r="B172">
        <v>60.18</v>
      </c>
      <c r="C172">
        <f t="shared" si="8"/>
        <v>57.1995</v>
      </c>
      <c r="D172">
        <f t="shared" si="9"/>
        <v>1.951270773516312</v>
      </c>
      <c r="E172">
        <f t="shared" si="10"/>
        <v>61.102041547032627</v>
      </c>
      <c r="F172">
        <f t="shared" si="11"/>
        <v>53.296958452967374</v>
      </c>
    </row>
    <row r="173" spans="1:6">
      <c r="A173" s="1">
        <v>45723</v>
      </c>
      <c r="B173">
        <v>61.09</v>
      </c>
      <c r="C173">
        <f t="shared" si="8"/>
        <v>57.382999999999996</v>
      </c>
      <c r="D173">
        <f t="shared" si="9"/>
        <v>2.1368400181478013</v>
      </c>
      <c r="E173">
        <f t="shared" si="10"/>
        <v>61.656680036295597</v>
      </c>
      <c r="F173">
        <f t="shared" si="11"/>
        <v>53.109319963704394</v>
      </c>
    </row>
    <row r="174" spans="1:6">
      <c r="A174" s="1">
        <v>45726</v>
      </c>
      <c r="B174">
        <v>63.11</v>
      </c>
      <c r="C174">
        <f t="shared" si="8"/>
        <v>57.695999999999991</v>
      </c>
      <c r="D174">
        <f t="shared" si="9"/>
        <v>2.4848030738449829</v>
      </c>
      <c r="E174">
        <f t="shared" si="10"/>
        <v>62.665606147689957</v>
      </c>
      <c r="F174">
        <f t="shared" si="11"/>
        <v>52.726393852310025</v>
      </c>
    </row>
    <row r="175" spans="1:6">
      <c r="A175" s="1">
        <v>45727</v>
      </c>
      <c r="B175">
        <v>61.51</v>
      </c>
      <c r="C175">
        <f t="shared" si="8"/>
        <v>57.99499999999999</v>
      </c>
      <c r="D175">
        <f t="shared" si="9"/>
        <v>2.5688180775970642</v>
      </c>
      <c r="E175">
        <f t="shared" si="10"/>
        <v>63.13263615519412</v>
      </c>
      <c r="F175">
        <f t="shared" si="11"/>
        <v>52.85736384480586</v>
      </c>
    </row>
    <row r="176" spans="1:6">
      <c r="A176" s="1">
        <v>45728</v>
      </c>
      <c r="B176">
        <v>59.81</v>
      </c>
      <c r="C176">
        <f t="shared" si="8"/>
        <v>58.188499999999998</v>
      </c>
      <c r="D176">
        <f t="shared" si="9"/>
        <v>2.5515738693062207</v>
      </c>
      <c r="E176">
        <f t="shared" si="10"/>
        <v>63.29164773861244</v>
      </c>
      <c r="F176">
        <f t="shared" si="11"/>
        <v>53.085352261387555</v>
      </c>
    </row>
    <row r="177" spans="1:6">
      <c r="A177" s="1">
        <v>45729</v>
      </c>
      <c r="B177">
        <v>60.28</v>
      </c>
      <c r="C177">
        <f t="shared" si="8"/>
        <v>58.394999999999996</v>
      </c>
      <c r="D177">
        <f t="shared" si="9"/>
        <v>2.5450271428601186</v>
      </c>
      <c r="E177">
        <f t="shared" si="10"/>
        <v>63.485054285720231</v>
      </c>
      <c r="F177">
        <f t="shared" si="11"/>
        <v>53.304945714279761</v>
      </c>
    </row>
    <row r="178" spans="1:6">
      <c r="A178" s="1">
        <v>45730</v>
      </c>
      <c r="B178">
        <v>59.01</v>
      </c>
      <c r="C178">
        <f t="shared" si="8"/>
        <v>58.54699999999999</v>
      </c>
      <c r="D178">
        <f t="shared" si="9"/>
        <v>2.4825879960023047</v>
      </c>
      <c r="E178">
        <f t="shared" si="10"/>
        <v>63.5121759920046</v>
      </c>
      <c r="F178">
        <f t="shared" si="11"/>
        <v>53.58182400799538</v>
      </c>
    </row>
    <row r="179" spans="1:6">
      <c r="A179" s="1">
        <v>45733</v>
      </c>
      <c r="B179">
        <v>59.99</v>
      </c>
      <c r="C179">
        <f t="shared" si="8"/>
        <v>58.851500000000001</v>
      </c>
      <c r="D179">
        <f t="shared" si="9"/>
        <v>2.2446996634176632</v>
      </c>
      <c r="E179">
        <f t="shared" si="10"/>
        <v>63.340899326835327</v>
      </c>
      <c r="F179">
        <f t="shared" si="11"/>
        <v>54.362100673164676</v>
      </c>
    </row>
    <row r="180" spans="1:6">
      <c r="A180" s="1">
        <v>45734</v>
      </c>
      <c r="B180">
        <v>59.9</v>
      </c>
      <c r="C180">
        <f t="shared" si="8"/>
        <v>59.125</v>
      </c>
      <c r="D180">
        <f t="shared" si="9"/>
        <v>1.997215166438667</v>
      </c>
      <c r="E180">
        <f t="shared" si="10"/>
        <v>63.119430332877336</v>
      </c>
      <c r="F180">
        <f t="shared" si="11"/>
        <v>55.130569667122664</v>
      </c>
    </row>
    <row r="181" spans="1:6">
      <c r="A181" s="1">
        <v>45735</v>
      </c>
      <c r="B181">
        <v>60.08</v>
      </c>
      <c r="C181">
        <f t="shared" si="8"/>
        <v>59.38000000000001</v>
      </c>
      <c r="D181">
        <f t="shared" si="9"/>
        <v>1.7504736201202353</v>
      </c>
      <c r="E181">
        <f t="shared" si="10"/>
        <v>62.880947240240481</v>
      </c>
      <c r="F181">
        <f t="shared" si="11"/>
        <v>55.879052759759539</v>
      </c>
    </row>
    <row r="182" spans="1:6">
      <c r="A182" s="1">
        <v>45736</v>
      </c>
      <c r="B182">
        <v>60.42</v>
      </c>
      <c r="C182">
        <f t="shared" si="8"/>
        <v>59.611499999999999</v>
      </c>
      <c r="D182">
        <f t="shared" si="9"/>
        <v>1.5447816231292679</v>
      </c>
      <c r="E182">
        <f t="shared" si="10"/>
        <v>62.701063246258535</v>
      </c>
      <c r="F182">
        <f t="shared" si="11"/>
        <v>56.521936753741464</v>
      </c>
    </row>
    <row r="183" spans="1:6">
      <c r="A183" s="1">
        <v>45737</v>
      </c>
      <c r="B183">
        <v>60.99</v>
      </c>
      <c r="C183">
        <f t="shared" si="8"/>
        <v>59.869500000000002</v>
      </c>
      <c r="D183">
        <f t="shared" si="9"/>
        <v>1.2898366889690049</v>
      </c>
      <c r="E183">
        <f t="shared" si="10"/>
        <v>62.44917337793801</v>
      </c>
      <c r="F183">
        <f t="shared" si="11"/>
        <v>57.289826622061994</v>
      </c>
    </row>
    <row r="184" spans="1:6">
      <c r="A184" s="1">
        <v>45740</v>
      </c>
      <c r="B184">
        <v>61.05</v>
      </c>
      <c r="C184">
        <f t="shared" si="8"/>
        <v>60.027999999999999</v>
      </c>
      <c r="D184">
        <f t="shared" si="9"/>
        <v>1.2256667358496847</v>
      </c>
      <c r="E184">
        <f t="shared" si="10"/>
        <v>62.47933347169937</v>
      </c>
      <c r="F184">
        <f t="shared" si="11"/>
        <v>57.576666528300628</v>
      </c>
    </row>
    <row r="185" spans="1:6">
      <c r="A185" s="1">
        <v>45741</v>
      </c>
      <c r="B185">
        <v>59.19</v>
      </c>
      <c r="C185">
        <f t="shared" si="8"/>
        <v>60.076999999999998</v>
      </c>
      <c r="D185">
        <f t="shared" si="9"/>
        <v>1.1673636514543539</v>
      </c>
      <c r="E185">
        <f t="shared" si="10"/>
        <v>62.411727302908709</v>
      </c>
      <c r="F185">
        <f t="shared" si="11"/>
        <v>57.742272697091288</v>
      </c>
    </row>
    <row r="186" spans="1:6">
      <c r="A186" s="1">
        <v>45742</v>
      </c>
      <c r="B186">
        <v>59.21</v>
      </c>
      <c r="C186">
        <f t="shared" si="8"/>
        <v>60.168500000000009</v>
      </c>
      <c r="D186">
        <f t="shared" si="9"/>
        <v>1.0053136457423575</v>
      </c>
      <c r="E186">
        <f t="shared" si="10"/>
        <v>62.179127291484726</v>
      </c>
      <c r="F186">
        <f t="shared" si="11"/>
        <v>58.157872708515292</v>
      </c>
    </row>
    <row r="187" spans="1:6">
      <c r="A187" s="1">
        <v>45743</v>
      </c>
      <c r="B187">
        <v>58.9</v>
      </c>
      <c r="C187">
        <f t="shared" si="8"/>
        <v>60.173500000000011</v>
      </c>
      <c r="D187">
        <f t="shared" si="9"/>
        <v>0.9983738093309017</v>
      </c>
      <c r="E187">
        <f t="shared" si="10"/>
        <v>62.170247618661811</v>
      </c>
      <c r="F187">
        <f t="shared" si="11"/>
        <v>58.176752381338211</v>
      </c>
    </row>
    <row r="188" spans="1:6">
      <c r="A188" s="1">
        <v>45744</v>
      </c>
      <c r="B188">
        <v>60.02</v>
      </c>
      <c r="C188">
        <f t="shared" si="8"/>
        <v>60.193500000000007</v>
      </c>
      <c r="D188">
        <f t="shared" si="9"/>
        <v>0.99067906003912309</v>
      </c>
      <c r="E188">
        <f t="shared" si="10"/>
        <v>62.174858120078255</v>
      </c>
      <c r="F188">
        <f t="shared" si="11"/>
        <v>58.212141879921759</v>
      </c>
    </row>
    <row r="189" spans="1:6">
      <c r="A189" s="1">
        <v>45747</v>
      </c>
      <c r="B189">
        <v>60.99</v>
      </c>
      <c r="C189">
        <f t="shared" si="8"/>
        <v>60.249499999999998</v>
      </c>
      <c r="D189">
        <f t="shared" si="9"/>
        <v>1.0030085007773264</v>
      </c>
      <c r="E189">
        <f t="shared" si="10"/>
        <v>62.255517001554651</v>
      </c>
      <c r="F189">
        <f t="shared" si="11"/>
        <v>58.243482998445344</v>
      </c>
    </row>
    <row r="191" spans="1:6">
      <c r="A191" t="s">
        <v>49</v>
      </c>
      <c r="B191">
        <f>COUNT(B2:B189)</f>
        <v>188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2C40-1F60-4E89-9306-8EBDAE231822}">
  <dimension ref="A1:F189"/>
  <sheetViews>
    <sheetView workbookViewId="0">
      <selection activeCell="G37" sqref="G37"/>
    </sheetView>
  </sheetViews>
  <sheetFormatPr defaultRowHeight="14.25"/>
  <cols>
    <col min="1" max="1" width="9.85546875" bestFit="1" customWidth="1"/>
  </cols>
  <sheetData>
    <row r="1" spans="1:6">
      <c r="A1" t="s">
        <v>4</v>
      </c>
      <c r="B1" t="s">
        <v>3</v>
      </c>
      <c r="C1" t="s">
        <v>50</v>
      </c>
      <c r="D1" t="s">
        <v>51</v>
      </c>
      <c r="E1" t="s">
        <v>52</v>
      </c>
      <c r="F1" t="s">
        <v>53</v>
      </c>
    </row>
    <row r="2" spans="1:6">
      <c r="A2" s="1">
        <v>45474</v>
      </c>
      <c r="B2">
        <v>41.3</v>
      </c>
    </row>
    <row r="3" spans="1:6">
      <c r="A3" s="1">
        <v>45475</v>
      </c>
      <c r="B3">
        <v>40.450000000000003</v>
      </c>
    </row>
    <row r="4" spans="1:6">
      <c r="A4" s="1">
        <v>45476</v>
      </c>
      <c r="B4">
        <v>40.06</v>
      </c>
    </row>
    <row r="5" spans="1:6">
      <c r="A5" s="1">
        <v>45478</v>
      </c>
      <c r="B5">
        <v>39.659999999999997</v>
      </c>
    </row>
    <row r="6" spans="1:6">
      <c r="A6" s="1">
        <v>45481</v>
      </c>
      <c r="B6">
        <v>39.99</v>
      </c>
    </row>
    <row r="7" spans="1:6">
      <c r="A7" s="1">
        <v>45482</v>
      </c>
      <c r="B7">
        <v>40.86</v>
      </c>
    </row>
    <row r="8" spans="1:6">
      <c r="A8" s="1">
        <v>45483</v>
      </c>
      <c r="B8">
        <v>41.12</v>
      </c>
    </row>
    <row r="9" spans="1:6">
      <c r="A9" s="1">
        <v>45484</v>
      </c>
      <c r="B9">
        <v>40.75</v>
      </c>
    </row>
    <row r="10" spans="1:6">
      <c r="A10" s="1">
        <v>45485</v>
      </c>
      <c r="B10">
        <v>40.46</v>
      </c>
    </row>
    <row r="11" spans="1:6">
      <c r="A11" s="1">
        <v>45488</v>
      </c>
      <c r="B11">
        <v>40.15</v>
      </c>
    </row>
    <row r="12" spans="1:6">
      <c r="A12" s="1">
        <v>45489</v>
      </c>
      <c r="B12">
        <v>41.2</v>
      </c>
      <c r="E12">
        <v>80</v>
      </c>
      <c r="F12">
        <v>20</v>
      </c>
    </row>
    <row r="13" spans="1:6">
      <c r="A13" s="1">
        <v>45490</v>
      </c>
      <c r="B13">
        <v>43.15</v>
      </c>
      <c r="E13">
        <v>80</v>
      </c>
      <c r="F13">
        <v>20</v>
      </c>
    </row>
    <row r="14" spans="1:6">
      <c r="A14" s="1">
        <v>45491</v>
      </c>
      <c r="B14">
        <v>42.39</v>
      </c>
      <c r="E14">
        <v>80</v>
      </c>
      <c r="F14">
        <v>20</v>
      </c>
    </row>
    <row r="15" spans="1:6">
      <c r="A15" s="1">
        <v>45492</v>
      </c>
      <c r="B15">
        <v>42.64</v>
      </c>
      <c r="C15">
        <f>(B15-MIN(B2:B15))/(MAX(B2:B15)-MIN(B2:B15))*100</f>
        <v>85.386819484240746</v>
      </c>
      <c r="E15">
        <v>80</v>
      </c>
      <c r="F15">
        <v>20</v>
      </c>
    </row>
    <row r="16" spans="1:6">
      <c r="A16" s="1">
        <v>45495</v>
      </c>
      <c r="B16">
        <v>42.67</v>
      </c>
      <c r="C16">
        <f t="shared" ref="C16:C79" si="0">(B16-MIN(B3:B16))/(MAX(B3:B16)-MIN(B3:B16))*100</f>
        <v>86.246418338108981</v>
      </c>
      <c r="E16">
        <v>80</v>
      </c>
      <c r="F16">
        <v>20</v>
      </c>
    </row>
    <row r="17" spans="1:6">
      <c r="A17" s="1">
        <v>45496</v>
      </c>
      <c r="B17">
        <v>42.98</v>
      </c>
      <c r="C17">
        <f t="shared" si="0"/>
        <v>95.128939828080178</v>
      </c>
      <c r="D17">
        <f>AVERAGE(C15:C17)</f>
        <v>88.920725883476621</v>
      </c>
      <c r="E17">
        <v>80</v>
      </c>
      <c r="F17">
        <v>20</v>
      </c>
    </row>
    <row r="18" spans="1:6">
      <c r="A18" s="1">
        <v>45497</v>
      </c>
      <c r="B18">
        <v>44.66</v>
      </c>
      <c r="C18">
        <f t="shared" si="0"/>
        <v>100</v>
      </c>
      <c r="D18">
        <f t="shared" ref="D18:D81" si="1">AVERAGE(C16:C18)</f>
        <v>93.791786055396372</v>
      </c>
      <c r="E18">
        <v>80</v>
      </c>
      <c r="F18">
        <v>20</v>
      </c>
    </row>
    <row r="19" spans="1:6">
      <c r="A19" s="1">
        <v>45498</v>
      </c>
      <c r="B19">
        <v>45.27</v>
      </c>
      <c r="C19">
        <f t="shared" si="0"/>
        <v>100</v>
      </c>
      <c r="D19">
        <f t="shared" si="1"/>
        <v>98.376313276026735</v>
      </c>
      <c r="E19">
        <v>80</v>
      </c>
      <c r="F19">
        <v>20</v>
      </c>
    </row>
    <row r="20" spans="1:6">
      <c r="A20" s="1">
        <v>45499</v>
      </c>
      <c r="B20">
        <v>50.45</v>
      </c>
      <c r="C20">
        <f t="shared" si="0"/>
        <v>100</v>
      </c>
      <c r="D20">
        <f t="shared" si="1"/>
        <v>100</v>
      </c>
      <c r="E20">
        <v>80</v>
      </c>
      <c r="F20">
        <v>20</v>
      </c>
    </row>
    <row r="21" spans="1:6">
      <c r="A21" s="1">
        <v>45502</v>
      </c>
      <c r="B21">
        <v>48.98</v>
      </c>
      <c r="C21">
        <f t="shared" si="0"/>
        <v>85.728155339805781</v>
      </c>
      <c r="D21">
        <f t="shared" si="1"/>
        <v>95.242718446601927</v>
      </c>
      <c r="E21">
        <v>80</v>
      </c>
      <c r="F21">
        <v>20</v>
      </c>
    </row>
    <row r="22" spans="1:6">
      <c r="A22" s="1">
        <v>45503</v>
      </c>
      <c r="B22">
        <v>49.05</v>
      </c>
      <c r="C22">
        <f t="shared" si="0"/>
        <v>86.407766990291208</v>
      </c>
      <c r="D22">
        <f t="shared" si="1"/>
        <v>90.711974110032315</v>
      </c>
      <c r="E22">
        <v>80</v>
      </c>
      <c r="F22">
        <v>20</v>
      </c>
    </row>
    <row r="23" spans="1:6">
      <c r="A23" s="1">
        <v>45504</v>
      </c>
      <c r="B23">
        <v>47.56</v>
      </c>
      <c r="C23">
        <f t="shared" si="0"/>
        <v>71.941747572815544</v>
      </c>
      <c r="D23">
        <f t="shared" si="1"/>
        <v>81.359223300970839</v>
      </c>
      <c r="E23">
        <v>80</v>
      </c>
      <c r="F23">
        <v>20</v>
      </c>
    </row>
    <row r="24" spans="1:6">
      <c r="A24" s="1">
        <v>45505</v>
      </c>
      <c r="B24">
        <v>48.17</v>
      </c>
      <c r="C24">
        <f t="shared" si="0"/>
        <v>77.864077669902912</v>
      </c>
      <c r="D24">
        <f t="shared" si="1"/>
        <v>78.737864077669897</v>
      </c>
      <c r="E24">
        <v>80</v>
      </c>
      <c r="F24">
        <v>20</v>
      </c>
    </row>
    <row r="25" spans="1:6">
      <c r="A25" s="1">
        <v>45506</v>
      </c>
      <c r="B25">
        <v>48.77</v>
      </c>
      <c r="C25">
        <f t="shared" si="0"/>
        <v>81.837837837837839</v>
      </c>
      <c r="D25">
        <f t="shared" si="1"/>
        <v>77.214554360185431</v>
      </c>
      <c r="E25">
        <v>80</v>
      </c>
      <c r="F25">
        <v>20</v>
      </c>
    </row>
    <row r="26" spans="1:6">
      <c r="A26" s="1">
        <v>45509</v>
      </c>
      <c r="B26">
        <v>47.59</v>
      </c>
      <c r="C26">
        <f t="shared" si="0"/>
        <v>64.516129032258078</v>
      </c>
      <c r="D26">
        <f t="shared" si="1"/>
        <v>74.73934817999961</v>
      </c>
      <c r="E26">
        <v>80</v>
      </c>
      <c r="F26">
        <v>20</v>
      </c>
    </row>
    <row r="27" spans="1:6">
      <c r="A27" s="1">
        <v>45510</v>
      </c>
      <c r="B27">
        <v>47.31</v>
      </c>
      <c r="C27">
        <f t="shared" si="0"/>
        <v>61.04218362282878</v>
      </c>
      <c r="D27">
        <f t="shared" si="1"/>
        <v>69.132050164308239</v>
      </c>
      <c r="E27">
        <v>80</v>
      </c>
      <c r="F27">
        <v>20</v>
      </c>
    </row>
    <row r="28" spans="1:6">
      <c r="A28" s="1">
        <v>45511</v>
      </c>
      <c r="B28">
        <v>46.5</v>
      </c>
      <c r="C28">
        <f t="shared" si="0"/>
        <v>49.423815620998695</v>
      </c>
      <c r="D28">
        <f t="shared" si="1"/>
        <v>58.327376092028523</v>
      </c>
      <c r="E28">
        <v>80</v>
      </c>
      <c r="F28">
        <v>20</v>
      </c>
    </row>
    <row r="29" spans="1:6">
      <c r="A29" s="1">
        <v>45512</v>
      </c>
      <c r="B29">
        <v>46.85</v>
      </c>
      <c r="C29">
        <f t="shared" si="0"/>
        <v>53.727506426735204</v>
      </c>
      <c r="D29">
        <f t="shared" si="1"/>
        <v>54.731168556854222</v>
      </c>
      <c r="E29">
        <v>80</v>
      </c>
      <c r="F29">
        <v>20</v>
      </c>
    </row>
    <row r="30" spans="1:6">
      <c r="A30" s="1">
        <v>45513</v>
      </c>
      <c r="B30">
        <v>46.72</v>
      </c>
      <c r="C30">
        <f t="shared" si="0"/>
        <v>50.066934404283792</v>
      </c>
      <c r="D30">
        <f t="shared" si="1"/>
        <v>51.072752150672564</v>
      </c>
      <c r="E30">
        <v>80</v>
      </c>
      <c r="F30">
        <v>20</v>
      </c>
    </row>
    <row r="31" spans="1:6">
      <c r="A31" s="1">
        <v>45516</v>
      </c>
      <c r="B31">
        <v>47.06</v>
      </c>
      <c r="C31">
        <f t="shared" si="0"/>
        <v>41.450777202072594</v>
      </c>
      <c r="D31">
        <f t="shared" si="1"/>
        <v>48.415072677697196</v>
      </c>
      <c r="E31">
        <v>80</v>
      </c>
      <c r="F31">
        <v>20</v>
      </c>
    </row>
    <row r="32" spans="1:6">
      <c r="A32" s="1">
        <v>45517</v>
      </c>
      <c r="B32">
        <v>49.06</v>
      </c>
      <c r="C32">
        <f t="shared" si="0"/>
        <v>73.166023166023152</v>
      </c>
      <c r="D32">
        <f t="shared" si="1"/>
        <v>54.894578257459841</v>
      </c>
      <c r="E32">
        <v>80</v>
      </c>
      <c r="F32">
        <v>20</v>
      </c>
    </row>
    <row r="33" spans="1:6">
      <c r="A33" s="1">
        <v>45518</v>
      </c>
      <c r="B33">
        <v>48.41</v>
      </c>
      <c r="C33">
        <f t="shared" si="0"/>
        <v>48.354430379746717</v>
      </c>
      <c r="D33">
        <f t="shared" si="1"/>
        <v>54.323743582614156</v>
      </c>
      <c r="E33">
        <v>80</v>
      </c>
      <c r="F33">
        <v>20</v>
      </c>
    </row>
    <row r="34" spans="1:6">
      <c r="A34" s="1">
        <v>45519</v>
      </c>
      <c r="B34">
        <v>49.11</v>
      </c>
      <c r="C34">
        <f t="shared" si="0"/>
        <v>100</v>
      </c>
      <c r="D34">
        <f t="shared" si="1"/>
        <v>73.840151181923289</v>
      </c>
      <c r="E34">
        <v>80</v>
      </c>
      <c r="F34">
        <v>20</v>
      </c>
    </row>
    <row r="35" spans="1:6">
      <c r="A35" s="1">
        <v>45520</v>
      </c>
      <c r="B35">
        <v>49.36</v>
      </c>
      <c r="C35">
        <f t="shared" si="0"/>
        <v>100</v>
      </c>
      <c r="D35">
        <f t="shared" si="1"/>
        <v>82.784810126582229</v>
      </c>
      <c r="E35">
        <v>80</v>
      </c>
      <c r="F35">
        <v>20</v>
      </c>
    </row>
    <row r="36" spans="1:6">
      <c r="A36" s="1">
        <v>45523</v>
      </c>
      <c r="B36">
        <v>49.3</v>
      </c>
      <c r="C36">
        <f t="shared" si="0"/>
        <v>97.902097902097822</v>
      </c>
      <c r="D36">
        <f t="shared" si="1"/>
        <v>99.300699300699264</v>
      </c>
      <c r="E36">
        <v>80</v>
      </c>
      <c r="F36">
        <v>20</v>
      </c>
    </row>
    <row r="37" spans="1:6">
      <c r="A37" s="1">
        <v>45524</v>
      </c>
      <c r="B37">
        <v>48.98</v>
      </c>
      <c r="C37">
        <f t="shared" si="0"/>
        <v>86.713286713286621</v>
      </c>
      <c r="D37">
        <f t="shared" si="1"/>
        <v>94.871794871794805</v>
      </c>
      <c r="E37">
        <v>80</v>
      </c>
      <c r="F37">
        <v>20</v>
      </c>
    </row>
    <row r="38" spans="1:6">
      <c r="A38" s="1">
        <v>45525</v>
      </c>
      <c r="B38">
        <v>48.44</v>
      </c>
      <c r="C38">
        <f t="shared" si="0"/>
        <v>67.832167832167769</v>
      </c>
      <c r="D38">
        <f t="shared" si="1"/>
        <v>84.149184149184066</v>
      </c>
      <c r="E38">
        <v>80</v>
      </c>
      <c r="F38">
        <v>20</v>
      </c>
    </row>
    <row r="39" spans="1:6">
      <c r="A39" s="1">
        <v>45526</v>
      </c>
      <c r="B39">
        <v>47.62</v>
      </c>
      <c r="C39">
        <f t="shared" si="0"/>
        <v>39.160839160839075</v>
      </c>
      <c r="D39">
        <f t="shared" si="1"/>
        <v>64.568764568764493</v>
      </c>
      <c r="E39">
        <v>80</v>
      </c>
      <c r="F39">
        <v>20</v>
      </c>
    </row>
    <row r="40" spans="1:6">
      <c r="A40" s="1">
        <v>45527</v>
      </c>
      <c r="B40">
        <v>48.11</v>
      </c>
      <c r="C40">
        <f t="shared" si="0"/>
        <v>56.293706293706279</v>
      </c>
      <c r="D40">
        <f t="shared" si="1"/>
        <v>54.428904428904367</v>
      </c>
      <c r="E40">
        <v>80</v>
      </c>
      <c r="F40">
        <v>20</v>
      </c>
    </row>
    <row r="41" spans="1:6">
      <c r="A41" s="1">
        <v>45530</v>
      </c>
      <c r="B41">
        <v>48.24</v>
      </c>
      <c r="C41">
        <f t="shared" si="0"/>
        <v>60.839160839160925</v>
      </c>
      <c r="D41">
        <f t="shared" si="1"/>
        <v>52.0979020979021</v>
      </c>
      <c r="E41">
        <v>80</v>
      </c>
      <c r="F41">
        <v>20</v>
      </c>
    </row>
    <row r="42" spans="1:6">
      <c r="A42" s="1">
        <v>45531</v>
      </c>
      <c r="B42">
        <v>48.12</v>
      </c>
      <c r="C42">
        <f t="shared" si="0"/>
        <v>53.03030303030296</v>
      </c>
      <c r="D42">
        <f t="shared" si="1"/>
        <v>56.721056721056719</v>
      </c>
      <c r="E42">
        <v>80</v>
      </c>
      <c r="F42">
        <v>20</v>
      </c>
    </row>
    <row r="43" spans="1:6">
      <c r="A43" s="1">
        <v>45532</v>
      </c>
      <c r="B43">
        <v>49.06</v>
      </c>
      <c r="C43">
        <f t="shared" si="0"/>
        <v>88.63636363636374</v>
      </c>
      <c r="D43">
        <f t="shared" si="1"/>
        <v>67.501942501942537</v>
      </c>
      <c r="E43">
        <v>80</v>
      </c>
      <c r="F43">
        <v>20</v>
      </c>
    </row>
    <row r="44" spans="1:6">
      <c r="A44" s="1">
        <v>45533</v>
      </c>
      <c r="B44">
        <v>49.72</v>
      </c>
      <c r="C44">
        <f t="shared" si="0"/>
        <v>100</v>
      </c>
      <c r="D44">
        <f t="shared" si="1"/>
        <v>80.555555555555557</v>
      </c>
      <c r="E44">
        <v>80</v>
      </c>
      <c r="F44">
        <v>20</v>
      </c>
    </row>
    <row r="45" spans="1:6">
      <c r="A45" s="1">
        <v>45534</v>
      </c>
      <c r="B45">
        <v>49.95</v>
      </c>
      <c r="C45">
        <f t="shared" si="0"/>
        <v>100</v>
      </c>
      <c r="D45">
        <f t="shared" si="1"/>
        <v>96.212121212121247</v>
      </c>
      <c r="E45">
        <v>80</v>
      </c>
      <c r="F45">
        <v>20</v>
      </c>
    </row>
    <row r="46" spans="1:6">
      <c r="A46" s="1">
        <v>45538</v>
      </c>
      <c r="B46">
        <v>50.52</v>
      </c>
      <c r="C46">
        <f t="shared" si="0"/>
        <v>100</v>
      </c>
      <c r="D46">
        <f t="shared" si="1"/>
        <v>100</v>
      </c>
      <c r="E46">
        <v>80</v>
      </c>
      <c r="F46">
        <v>20</v>
      </c>
    </row>
    <row r="47" spans="1:6">
      <c r="A47" s="1">
        <v>45539</v>
      </c>
      <c r="B47">
        <v>49.96</v>
      </c>
      <c r="C47">
        <f t="shared" si="0"/>
        <v>80.689655172413751</v>
      </c>
      <c r="D47">
        <f t="shared" si="1"/>
        <v>93.563218390804579</v>
      </c>
      <c r="E47">
        <v>80</v>
      </c>
      <c r="F47">
        <v>20</v>
      </c>
    </row>
    <row r="48" spans="1:6">
      <c r="A48" s="1">
        <v>45540</v>
      </c>
      <c r="B48">
        <v>49.8</v>
      </c>
      <c r="C48">
        <f t="shared" si="0"/>
        <v>75.172413793103289</v>
      </c>
      <c r="D48">
        <f t="shared" si="1"/>
        <v>85.287356321839013</v>
      </c>
      <c r="E48">
        <v>80</v>
      </c>
      <c r="F48">
        <v>20</v>
      </c>
    </row>
    <row r="49" spans="1:6">
      <c r="A49" s="1">
        <v>45541</v>
      </c>
      <c r="B49">
        <v>48.7</v>
      </c>
      <c r="C49">
        <f t="shared" si="0"/>
        <v>37.241379310344939</v>
      </c>
      <c r="D49">
        <f t="shared" si="1"/>
        <v>64.367816091953998</v>
      </c>
      <c r="E49">
        <v>80</v>
      </c>
      <c r="F49">
        <v>20</v>
      </c>
    </row>
    <row r="50" spans="1:6">
      <c r="A50" s="1">
        <v>45544</v>
      </c>
      <c r="B50">
        <v>48.5</v>
      </c>
      <c r="C50">
        <f t="shared" si="0"/>
        <v>30.344827586206925</v>
      </c>
      <c r="D50">
        <f t="shared" si="1"/>
        <v>47.586206896551715</v>
      </c>
      <c r="E50">
        <v>80</v>
      </c>
      <c r="F50">
        <v>20</v>
      </c>
    </row>
    <row r="51" spans="1:6">
      <c r="A51" s="1">
        <v>45545</v>
      </c>
      <c r="B51">
        <v>49.28</v>
      </c>
      <c r="C51">
        <f t="shared" si="0"/>
        <v>57.24137931034484</v>
      </c>
      <c r="D51">
        <f t="shared" si="1"/>
        <v>41.609195402298901</v>
      </c>
      <c r="E51">
        <v>80</v>
      </c>
      <c r="F51">
        <v>20</v>
      </c>
    </row>
    <row r="52" spans="1:6">
      <c r="A52" s="1">
        <v>45546</v>
      </c>
      <c r="B52">
        <v>48.59</v>
      </c>
      <c r="C52">
        <f t="shared" si="0"/>
        <v>33.448275862069103</v>
      </c>
      <c r="D52">
        <f t="shared" si="1"/>
        <v>40.344827586206954</v>
      </c>
      <c r="E52">
        <v>80</v>
      </c>
      <c r="F52">
        <v>20</v>
      </c>
    </row>
    <row r="53" spans="1:6">
      <c r="A53" s="1">
        <v>45547</v>
      </c>
      <c r="B53">
        <v>48.24</v>
      </c>
      <c r="C53">
        <f t="shared" si="0"/>
        <v>5.3941908713693927</v>
      </c>
      <c r="D53">
        <f t="shared" si="1"/>
        <v>32.027948681261115</v>
      </c>
      <c r="E53">
        <v>80</v>
      </c>
      <c r="F53">
        <v>20</v>
      </c>
    </row>
    <row r="54" spans="1:6">
      <c r="A54" s="1">
        <v>45548</v>
      </c>
      <c r="B54">
        <v>49.13</v>
      </c>
      <c r="C54">
        <f t="shared" si="0"/>
        <v>42.083333333333442</v>
      </c>
      <c r="D54">
        <f t="shared" si="1"/>
        <v>26.97526668892398</v>
      </c>
      <c r="E54">
        <v>80</v>
      </c>
      <c r="F54">
        <v>20</v>
      </c>
    </row>
    <row r="55" spans="1:6">
      <c r="A55" s="1">
        <v>45551</v>
      </c>
      <c r="B55">
        <v>49.99</v>
      </c>
      <c r="C55">
        <f t="shared" si="0"/>
        <v>77.916666666666671</v>
      </c>
      <c r="D55">
        <f t="shared" si="1"/>
        <v>41.798063623789837</v>
      </c>
      <c r="E55">
        <v>80</v>
      </c>
      <c r="F55">
        <v>20</v>
      </c>
    </row>
    <row r="56" spans="1:6">
      <c r="A56" s="1">
        <v>45552</v>
      </c>
      <c r="B56">
        <v>49.49</v>
      </c>
      <c r="C56">
        <f t="shared" si="0"/>
        <v>54.824561403508746</v>
      </c>
      <c r="D56">
        <f t="shared" si="1"/>
        <v>58.27485380116962</v>
      </c>
      <c r="E56">
        <v>80</v>
      </c>
      <c r="F56">
        <v>20</v>
      </c>
    </row>
    <row r="57" spans="1:6">
      <c r="A57" s="1">
        <v>45553</v>
      </c>
      <c r="B57">
        <v>49.74</v>
      </c>
      <c r="C57">
        <f t="shared" si="0"/>
        <v>65.789473684210492</v>
      </c>
      <c r="D57">
        <f t="shared" si="1"/>
        <v>66.176900584795305</v>
      </c>
      <c r="E57">
        <v>80</v>
      </c>
      <c r="F57">
        <v>20</v>
      </c>
    </row>
    <row r="58" spans="1:6">
      <c r="A58" s="1">
        <v>45554</v>
      </c>
      <c r="B58">
        <v>49.02</v>
      </c>
      <c r="C58">
        <f t="shared" si="0"/>
        <v>34.210526315789508</v>
      </c>
      <c r="D58">
        <f t="shared" si="1"/>
        <v>51.608187134502913</v>
      </c>
      <c r="E58">
        <v>80</v>
      </c>
      <c r="F58">
        <v>20</v>
      </c>
    </row>
    <row r="59" spans="1:6">
      <c r="A59" s="1">
        <v>45555</v>
      </c>
      <c r="B59">
        <v>49.41</v>
      </c>
      <c r="C59">
        <f t="shared" si="0"/>
        <v>51.315789473683949</v>
      </c>
      <c r="D59">
        <f t="shared" si="1"/>
        <v>50.438596491227976</v>
      </c>
      <c r="E59">
        <v>80</v>
      </c>
      <c r="F59">
        <v>20</v>
      </c>
    </row>
    <row r="60" spans="1:6">
      <c r="A60" s="1">
        <v>45558</v>
      </c>
      <c r="B60">
        <v>50.01</v>
      </c>
      <c r="C60">
        <f t="shared" si="0"/>
        <v>100</v>
      </c>
      <c r="D60">
        <f t="shared" si="1"/>
        <v>61.842105263157826</v>
      </c>
      <c r="E60">
        <v>80</v>
      </c>
      <c r="F60">
        <v>20</v>
      </c>
    </row>
    <row r="61" spans="1:6">
      <c r="A61" s="1">
        <v>45559</v>
      </c>
      <c r="B61">
        <v>50.94</v>
      </c>
      <c r="C61">
        <f t="shared" si="0"/>
        <v>100</v>
      </c>
      <c r="D61">
        <f t="shared" si="1"/>
        <v>83.771929824561312</v>
      </c>
      <c r="E61">
        <v>80</v>
      </c>
      <c r="F61">
        <v>20</v>
      </c>
    </row>
    <row r="62" spans="1:6">
      <c r="A62" s="1">
        <v>45560</v>
      </c>
      <c r="B62">
        <v>49.95</v>
      </c>
      <c r="C62">
        <f t="shared" si="0"/>
        <v>63.333333333333464</v>
      </c>
      <c r="D62">
        <f t="shared" si="1"/>
        <v>87.777777777777828</v>
      </c>
      <c r="E62">
        <v>80</v>
      </c>
      <c r="F62">
        <v>20</v>
      </c>
    </row>
    <row r="63" spans="1:6">
      <c r="A63" s="1">
        <v>45561</v>
      </c>
      <c r="B63">
        <v>50.12</v>
      </c>
      <c r="C63">
        <f t="shared" si="0"/>
        <v>69.629629629629576</v>
      </c>
      <c r="D63">
        <f t="shared" si="1"/>
        <v>77.654320987654344</v>
      </c>
      <c r="E63">
        <v>80</v>
      </c>
      <c r="F63">
        <v>20</v>
      </c>
    </row>
    <row r="64" spans="1:6">
      <c r="A64" s="1">
        <v>45562</v>
      </c>
      <c r="B64">
        <v>50.91</v>
      </c>
      <c r="C64">
        <f t="shared" si="0"/>
        <v>98.888888888888843</v>
      </c>
      <c r="D64">
        <f t="shared" si="1"/>
        <v>77.283950617283963</v>
      </c>
      <c r="E64">
        <v>80</v>
      </c>
      <c r="F64">
        <v>20</v>
      </c>
    </row>
    <row r="65" spans="1:6">
      <c r="A65" s="1">
        <v>45565</v>
      </c>
      <c r="B65">
        <v>51.74</v>
      </c>
      <c r="C65">
        <f t="shared" si="0"/>
        <v>100</v>
      </c>
      <c r="D65">
        <f t="shared" si="1"/>
        <v>89.506172839506135</v>
      </c>
      <c r="E65">
        <v>80</v>
      </c>
      <c r="F65">
        <v>20</v>
      </c>
    </row>
    <row r="66" spans="1:6">
      <c r="A66" s="1">
        <v>45566</v>
      </c>
      <c r="B66">
        <v>52.9</v>
      </c>
      <c r="C66">
        <f t="shared" si="0"/>
        <v>100</v>
      </c>
      <c r="D66">
        <f t="shared" si="1"/>
        <v>99.629629629629619</v>
      </c>
      <c r="E66">
        <v>80</v>
      </c>
      <c r="F66">
        <v>20</v>
      </c>
    </row>
    <row r="67" spans="1:6">
      <c r="A67" s="1">
        <v>45567</v>
      </c>
      <c r="B67">
        <v>53.76</v>
      </c>
      <c r="C67">
        <f t="shared" si="0"/>
        <v>100</v>
      </c>
      <c r="D67">
        <f t="shared" si="1"/>
        <v>100</v>
      </c>
      <c r="E67">
        <v>80</v>
      </c>
      <c r="F67">
        <v>20</v>
      </c>
    </row>
    <row r="68" spans="1:6">
      <c r="A68" s="1">
        <v>45568</v>
      </c>
      <c r="B68">
        <v>54.2</v>
      </c>
      <c r="C68">
        <f t="shared" si="0"/>
        <v>100</v>
      </c>
      <c r="D68">
        <f t="shared" si="1"/>
        <v>100</v>
      </c>
      <c r="E68">
        <v>80</v>
      </c>
      <c r="F68">
        <v>20</v>
      </c>
    </row>
    <row r="69" spans="1:6">
      <c r="A69" s="1">
        <v>45569</v>
      </c>
      <c r="B69">
        <v>53.96</v>
      </c>
      <c r="C69">
        <f t="shared" si="0"/>
        <v>95.36679536679533</v>
      </c>
      <c r="D69">
        <f t="shared" si="1"/>
        <v>98.455598455598434</v>
      </c>
      <c r="E69">
        <v>80</v>
      </c>
      <c r="F69">
        <v>20</v>
      </c>
    </row>
    <row r="70" spans="1:6">
      <c r="A70" s="1">
        <v>45572</v>
      </c>
      <c r="B70">
        <v>53.44</v>
      </c>
      <c r="C70">
        <f t="shared" si="0"/>
        <v>85.328185328185228</v>
      </c>
      <c r="D70">
        <f t="shared" si="1"/>
        <v>93.564993564993514</v>
      </c>
      <c r="E70">
        <v>80</v>
      </c>
      <c r="F70">
        <v>20</v>
      </c>
    </row>
    <row r="71" spans="1:6">
      <c r="A71" s="1">
        <v>45573</v>
      </c>
      <c r="B71">
        <v>52.48</v>
      </c>
      <c r="C71">
        <f t="shared" si="0"/>
        <v>66.795366795366675</v>
      </c>
      <c r="D71">
        <f t="shared" si="1"/>
        <v>82.496782496782416</v>
      </c>
      <c r="E71">
        <v>80</v>
      </c>
      <c r="F71">
        <v>20</v>
      </c>
    </row>
    <row r="72" spans="1:6">
      <c r="A72" s="1">
        <v>45574</v>
      </c>
      <c r="B72">
        <v>52.8</v>
      </c>
      <c r="C72">
        <f t="shared" si="0"/>
        <v>70.772442588726435</v>
      </c>
      <c r="D72">
        <f t="shared" si="1"/>
        <v>74.298664904092789</v>
      </c>
      <c r="E72">
        <v>80</v>
      </c>
      <c r="F72">
        <v>20</v>
      </c>
    </row>
    <row r="73" spans="1:6">
      <c r="A73" s="1">
        <v>45575</v>
      </c>
      <c r="B73">
        <v>52.4</v>
      </c>
      <c r="C73">
        <f t="shared" si="0"/>
        <v>57.647058823529306</v>
      </c>
      <c r="D73">
        <f t="shared" si="1"/>
        <v>65.071622735874129</v>
      </c>
      <c r="E73">
        <v>80</v>
      </c>
      <c r="F73">
        <v>20</v>
      </c>
    </row>
    <row r="74" spans="1:6">
      <c r="A74" s="1">
        <v>45576</v>
      </c>
      <c r="B74">
        <v>52.2</v>
      </c>
      <c r="C74">
        <f t="shared" si="0"/>
        <v>52.941176470588239</v>
      </c>
      <c r="D74">
        <f t="shared" si="1"/>
        <v>60.45355929428132</v>
      </c>
      <c r="E74">
        <v>80</v>
      </c>
      <c r="F74">
        <v>20</v>
      </c>
    </row>
    <row r="75" spans="1:6">
      <c r="A75" s="1">
        <v>45579</v>
      </c>
      <c r="B75">
        <v>52.67</v>
      </c>
      <c r="C75">
        <f t="shared" si="0"/>
        <v>63.999999999999972</v>
      </c>
      <c r="D75">
        <f t="shared" si="1"/>
        <v>58.196078431372506</v>
      </c>
      <c r="E75">
        <v>80</v>
      </c>
      <c r="F75">
        <v>20</v>
      </c>
    </row>
    <row r="76" spans="1:6">
      <c r="A76" s="1">
        <v>45580</v>
      </c>
      <c r="B76">
        <v>52.76</v>
      </c>
      <c r="C76">
        <f t="shared" si="0"/>
        <v>64.705882352941103</v>
      </c>
      <c r="D76">
        <f t="shared" si="1"/>
        <v>60.5490196078431</v>
      </c>
      <c r="E76">
        <v>80</v>
      </c>
      <c r="F76">
        <v>20</v>
      </c>
    </row>
    <row r="77" spans="1:6">
      <c r="A77" s="1">
        <v>45581</v>
      </c>
      <c r="B77">
        <v>53.37</v>
      </c>
      <c r="C77">
        <f t="shared" si="0"/>
        <v>74.772036474164011</v>
      </c>
      <c r="D77">
        <f t="shared" si="1"/>
        <v>67.825972942368367</v>
      </c>
      <c r="E77">
        <v>80</v>
      </c>
      <c r="F77">
        <v>20</v>
      </c>
    </row>
    <row r="78" spans="1:6">
      <c r="A78" s="1">
        <v>45582</v>
      </c>
      <c r="B78">
        <v>53.18</v>
      </c>
      <c r="C78">
        <f t="shared" si="0"/>
        <v>58.536585365853547</v>
      </c>
      <c r="D78">
        <f t="shared" si="1"/>
        <v>66.004834730986218</v>
      </c>
      <c r="E78">
        <v>80</v>
      </c>
      <c r="F78">
        <v>20</v>
      </c>
    </row>
    <row r="79" spans="1:6">
      <c r="A79" s="1">
        <v>45583</v>
      </c>
      <c r="B79">
        <v>53.22</v>
      </c>
      <c r="C79">
        <f t="shared" si="0"/>
        <v>50.999999999999801</v>
      </c>
      <c r="D79">
        <f t="shared" si="1"/>
        <v>61.436207280005789</v>
      </c>
      <c r="E79">
        <v>80</v>
      </c>
      <c r="F79">
        <v>20</v>
      </c>
    </row>
    <row r="80" spans="1:6">
      <c r="A80" s="1">
        <v>45586</v>
      </c>
      <c r="B80">
        <v>52.12</v>
      </c>
      <c r="C80">
        <f t="shared" ref="C80:C143" si="2">(B80-MIN(B67:B80))/(MAX(B67:B80)-MIN(B67:B80))*100</f>
        <v>0</v>
      </c>
      <c r="D80">
        <f t="shared" si="1"/>
        <v>36.512195121951116</v>
      </c>
      <c r="E80">
        <v>80</v>
      </c>
      <c r="F80">
        <v>20</v>
      </c>
    </row>
    <row r="81" spans="1:6">
      <c r="A81" s="1">
        <v>45587</v>
      </c>
      <c r="B81">
        <v>52.76</v>
      </c>
      <c r="C81">
        <f t="shared" si="2"/>
        <v>30.769230769230717</v>
      </c>
      <c r="D81">
        <f t="shared" si="1"/>
        <v>27.256410256410174</v>
      </c>
      <c r="E81">
        <v>80</v>
      </c>
      <c r="F81">
        <v>20</v>
      </c>
    </row>
    <row r="82" spans="1:6">
      <c r="A82" s="1">
        <v>45588</v>
      </c>
      <c r="B82">
        <v>53.06</v>
      </c>
      <c r="C82">
        <f t="shared" si="2"/>
        <v>51.086956521739303</v>
      </c>
      <c r="D82">
        <f t="shared" ref="D82:D145" si="3">AVERAGE(C80:C82)</f>
        <v>27.28539576365667</v>
      </c>
      <c r="E82">
        <v>80</v>
      </c>
      <c r="F82">
        <v>20</v>
      </c>
    </row>
    <row r="83" spans="1:6">
      <c r="A83" s="1">
        <v>45589</v>
      </c>
      <c r="B83">
        <v>52.92</v>
      </c>
      <c r="C83">
        <f t="shared" si="2"/>
        <v>60.606060606060922</v>
      </c>
      <c r="D83">
        <f t="shared" si="3"/>
        <v>47.487415965676973</v>
      </c>
      <c r="E83">
        <v>80</v>
      </c>
      <c r="F83">
        <v>20</v>
      </c>
    </row>
    <row r="84" spans="1:6">
      <c r="A84" s="1">
        <v>45590</v>
      </c>
      <c r="B84">
        <v>51.92</v>
      </c>
      <c r="C84">
        <f t="shared" si="2"/>
        <v>0</v>
      </c>
      <c r="D84">
        <f t="shared" si="3"/>
        <v>37.231005709266746</v>
      </c>
      <c r="E84">
        <v>80</v>
      </c>
      <c r="F84">
        <v>20</v>
      </c>
    </row>
    <row r="85" spans="1:6">
      <c r="A85" s="1">
        <v>45593</v>
      </c>
      <c r="B85">
        <v>52.64</v>
      </c>
      <c r="C85">
        <f t="shared" si="2"/>
        <v>49.655172413793167</v>
      </c>
      <c r="D85">
        <f t="shared" si="3"/>
        <v>36.753744339951361</v>
      </c>
      <c r="E85">
        <v>80</v>
      </c>
      <c r="F85">
        <v>20</v>
      </c>
    </row>
    <row r="86" spans="1:6">
      <c r="A86" s="1">
        <v>45594</v>
      </c>
      <c r="B86">
        <v>52.5</v>
      </c>
      <c r="C86">
        <f t="shared" si="2"/>
        <v>40</v>
      </c>
      <c r="D86">
        <f t="shared" si="3"/>
        <v>29.885057471264389</v>
      </c>
      <c r="E86">
        <v>80</v>
      </c>
      <c r="F86">
        <v>20</v>
      </c>
    </row>
    <row r="87" spans="1:6">
      <c r="A87" s="1">
        <v>45595</v>
      </c>
      <c r="B87">
        <v>52.66</v>
      </c>
      <c r="C87">
        <f t="shared" si="2"/>
        <v>51.034482758620491</v>
      </c>
      <c r="D87">
        <f t="shared" si="3"/>
        <v>46.896551724137886</v>
      </c>
      <c r="E87">
        <v>80</v>
      </c>
      <c r="F87">
        <v>20</v>
      </c>
    </row>
    <row r="88" spans="1:6">
      <c r="A88" s="1">
        <v>45596</v>
      </c>
      <c r="B88">
        <v>55.77</v>
      </c>
      <c r="C88">
        <f t="shared" si="2"/>
        <v>100</v>
      </c>
      <c r="D88">
        <f t="shared" si="3"/>
        <v>63.678160919540169</v>
      </c>
      <c r="E88">
        <v>80</v>
      </c>
      <c r="F88">
        <v>20</v>
      </c>
    </row>
    <row r="89" spans="1:6">
      <c r="A89" s="1">
        <v>45597</v>
      </c>
      <c r="B89">
        <v>54.32</v>
      </c>
      <c r="C89">
        <f t="shared" si="2"/>
        <v>62.33766233766228</v>
      </c>
      <c r="D89">
        <f t="shared" si="3"/>
        <v>71.124048365427598</v>
      </c>
      <c r="E89">
        <v>80</v>
      </c>
      <c r="F89">
        <v>20</v>
      </c>
    </row>
    <row r="90" spans="1:6">
      <c r="A90" s="1">
        <v>45600</v>
      </c>
      <c r="B90">
        <v>55.45</v>
      </c>
      <c r="C90">
        <f t="shared" si="2"/>
        <v>91.688311688311686</v>
      </c>
      <c r="D90">
        <f t="shared" si="3"/>
        <v>84.675324675324646</v>
      </c>
      <c r="E90">
        <v>80</v>
      </c>
      <c r="F90">
        <v>20</v>
      </c>
    </row>
    <row r="91" spans="1:6">
      <c r="A91" s="1">
        <v>45601</v>
      </c>
      <c r="B91">
        <v>55.95</v>
      </c>
      <c r="C91">
        <f t="shared" si="2"/>
        <v>100</v>
      </c>
      <c r="D91">
        <f t="shared" si="3"/>
        <v>84.67532467532466</v>
      </c>
      <c r="E91">
        <v>80</v>
      </c>
      <c r="F91">
        <v>20</v>
      </c>
    </row>
    <row r="92" spans="1:6">
      <c r="A92" s="1">
        <v>45602</v>
      </c>
      <c r="B92">
        <v>55.28</v>
      </c>
      <c r="C92">
        <f t="shared" si="2"/>
        <v>83.374689826302699</v>
      </c>
      <c r="D92">
        <f t="shared" si="3"/>
        <v>91.687667171538124</v>
      </c>
      <c r="E92">
        <v>80</v>
      </c>
      <c r="F92">
        <v>20</v>
      </c>
    </row>
    <row r="93" spans="1:6">
      <c r="A93" s="1">
        <v>45603</v>
      </c>
      <c r="B93">
        <v>54.71</v>
      </c>
      <c r="C93">
        <f t="shared" si="2"/>
        <v>69.230769230769184</v>
      </c>
      <c r="D93">
        <f t="shared" si="3"/>
        <v>84.201819685690623</v>
      </c>
      <c r="E93">
        <v>80</v>
      </c>
      <c r="F93">
        <v>20</v>
      </c>
    </row>
    <row r="94" spans="1:6">
      <c r="A94" s="1">
        <v>45604</v>
      </c>
      <c r="B94">
        <v>54.14</v>
      </c>
      <c r="C94">
        <f t="shared" si="2"/>
        <v>55.086848635235683</v>
      </c>
      <c r="D94">
        <f t="shared" si="3"/>
        <v>69.230769230769184</v>
      </c>
      <c r="E94">
        <v>80</v>
      </c>
      <c r="F94">
        <v>20</v>
      </c>
    </row>
    <row r="95" spans="1:6">
      <c r="A95" s="1">
        <v>45607</v>
      </c>
      <c r="B95">
        <v>59.82</v>
      </c>
      <c r="C95">
        <f t="shared" si="2"/>
        <v>100</v>
      </c>
      <c r="D95">
        <f t="shared" si="3"/>
        <v>74.772539288668284</v>
      </c>
      <c r="E95">
        <v>80</v>
      </c>
      <c r="F95">
        <v>20</v>
      </c>
    </row>
    <row r="96" spans="1:6">
      <c r="A96" s="1">
        <v>45608</v>
      </c>
      <c r="B96">
        <v>59.02</v>
      </c>
      <c r="C96">
        <f t="shared" si="2"/>
        <v>89.873417721519019</v>
      </c>
      <c r="D96">
        <f t="shared" si="3"/>
        <v>81.653422118918243</v>
      </c>
      <c r="E96">
        <v>80</v>
      </c>
      <c r="F96">
        <v>20</v>
      </c>
    </row>
    <row r="97" spans="1:6">
      <c r="A97" s="1">
        <v>45609</v>
      </c>
      <c r="B97">
        <v>58.41</v>
      </c>
      <c r="C97">
        <f t="shared" si="2"/>
        <v>82.151898734177166</v>
      </c>
      <c r="D97">
        <f t="shared" si="3"/>
        <v>90.675105485232052</v>
      </c>
      <c r="E97">
        <v>80</v>
      </c>
      <c r="F97">
        <v>20</v>
      </c>
    </row>
    <row r="98" spans="1:6">
      <c r="A98" s="1">
        <v>45610</v>
      </c>
      <c r="B98">
        <v>58.5</v>
      </c>
      <c r="C98">
        <f t="shared" si="2"/>
        <v>81.967213114754102</v>
      </c>
      <c r="D98">
        <f t="shared" si="3"/>
        <v>84.664176523483434</v>
      </c>
      <c r="E98">
        <v>80</v>
      </c>
      <c r="F98">
        <v>20</v>
      </c>
    </row>
    <row r="99" spans="1:6">
      <c r="A99" s="1">
        <v>45611</v>
      </c>
      <c r="B99">
        <v>56.22</v>
      </c>
      <c r="C99">
        <f t="shared" si="2"/>
        <v>50.81967213114752</v>
      </c>
      <c r="D99">
        <f t="shared" si="3"/>
        <v>71.646261326692922</v>
      </c>
      <c r="E99">
        <v>80</v>
      </c>
      <c r="F99">
        <v>20</v>
      </c>
    </row>
    <row r="100" spans="1:6">
      <c r="A100" s="1">
        <v>45614</v>
      </c>
      <c r="B100">
        <v>56.8</v>
      </c>
      <c r="C100">
        <f t="shared" si="2"/>
        <v>57.821229050279314</v>
      </c>
      <c r="D100">
        <f t="shared" si="3"/>
        <v>63.536038098726976</v>
      </c>
      <c r="E100">
        <v>80</v>
      </c>
      <c r="F100">
        <v>20</v>
      </c>
    </row>
    <row r="101" spans="1:6">
      <c r="A101" s="1">
        <v>45615</v>
      </c>
      <c r="B101">
        <v>58.23</v>
      </c>
      <c r="C101">
        <f t="shared" si="2"/>
        <v>72.007042253521064</v>
      </c>
      <c r="D101">
        <f t="shared" si="3"/>
        <v>60.215981144982635</v>
      </c>
      <c r="E101">
        <v>80</v>
      </c>
      <c r="F101">
        <v>20</v>
      </c>
    </row>
    <row r="102" spans="1:6">
      <c r="A102" s="1">
        <v>45616</v>
      </c>
      <c r="B102">
        <v>57.88</v>
      </c>
      <c r="C102">
        <f t="shared" si="2"/>
        <v>65.845070422535244</v>
      </c>
      <c r="D102">
        <f t="shared" si="3"/>
        <v>65.224447242111864</v>
      </c>
      <c r="E102">
        <v>80</v>
      </c>
      <c r="F102">
        <v>20</v>
      </c>
    </row>
    <row r="103" spans="1:6">
      <c r="A103" s="1">
        <v>45617</v>
      </c>
      <c r="B103">
        <v>58.23</v>
      </c>
      <c r="C103">
        <f t="shared" si="2"/>
        <v>72.007042253521064</v>
      </c>
      <c r="D103">
        <f t="shared" si="3"/>
        <v>69.953051643192467</v>
      </c>
      <c r="E103">
        <v>80</v>
      </c>
      <c r="F103">
        <v>20</v>
      </c>
    </row>
    <row r="104" spans="1:6">
      <c r="A104" s="1">
        <v>45618</v>
      </c>
      <c r="B104">
        <v>58.87</v>
      </c>
      <c r="C104">
        <f t="shared" si="2"/>
        <v>83.274647887323894</v>
      </c>
      <c r="D104">
        <f t="shared" si="3"/>
        <v>73.70892018779341</v>
      </c>
      <c r="E104">
        <v>80</v>
      </c>
      <c r="F104">
        <v>20</v>
      </c>
    </row>
    <row r="105" spans="1:6">
      <c r="A105" s="1">
        <v>45621</v>
      </c>
      <c r="B105">
        <v>58.78</v>
      </c>
      <c r="C105">
        <f t="shared" si="2"/>
        <v>81.690140845070431</v>
      </c>
      <c r="D105">
        <f t="shared" si="3"/>
        <v>78.990610328638454</v>
      </c>
      <c r="E105">
        <v>80</v>
      </c>
      <c r="F105">
        <v>20</v>
      </c>
    </row>
    <row r="106" spans="1:6">
      <c r="A106" s="1">
        <v>45622</v>
      </c>
      <c r="B106">
        <v>58.74</v>
      </c>
      <c r="C106">
        <f t="shared" si="2"/>
        <v>80.985915492957773</v>
      </c>
      <c r="D106">
        <f t="shared" si="3"/>
        <v>81.983568075117361</v>
      </c>
      <c r="E106">
        <v>80</v>
      </c>
      <c r="F106">
        <v>20</v>
      </c>
    </row>
    <row r="107" spans="1:6">
      <c r="A107" s="1">
        <v>45623</v>
      </c>
      <c r="B107">
        <v>59.27</v>
      </c>
      <c r="C107">
        <f t="shared" si="2"/>
        <v>90.316901408450761</v>
      </c>
      <c r="D107">
        <f t="shared" si="3"/>
        <v>84.330985915492988</v>
      </c>
      <c r="E107">
        <v>80</v>
      </c>
      <c r="F107">
        <v>20</v>
      </c>
    </row>
    <row r="108" spans="1:6">
      <c r="A108" s="1">
        <v>45625</v>
      </c>
      <c r="B108">
        <v>59.22</v>
      </c>
      <c r="C108">
        <f t="shared" si="2"/>
        <v>83.3333333333333</v>
      </c>
      <c r="D108">
        <f t="shared" si="3"/>
        <v>84.878716744913945</v>
      </c>
      <c r="E108">
        <v>80</v>
      </c>
      <c r="F108">
        <v>20</v>
      </c>
    </row>
    <row r="109" spans="1:6">
      <c r="A109" s="1">
        <v>45628</v>
      </c>
      <c r="B109">
        <v>59.94</v>
      </c>
      <c r="C109">
        <f t="shared" si="2"/>
        <v>100</v>
      </c>
      <c r="D109">
        <f t="shared" si="3"/>
        <v>91.216744913928025</v>
      </c>
      <c r="E109">
        <v>80</v>
      </c>
      <c r="F109">
        <v>20</v>
      </c>
    </row>
    <row r="110" spans="1:6">
      <c r="A110" s="1">
        <v>45629</v>
      </c>
      <c r="B110">
        <v>58.69</v>
      </c>
      <c r="C110">
        <f t="shared" si="2"/>
        <v>66.397849462365571</v>
      </c>
      <c r="D110">
        <f t="shared" si="3"/>
        <v>83.243727598566295</v>
      </c>
      <c r="E110">
        <v>80</v>
      </c>
      <c r="F110">
        <v>20</v>
      </c>
    </row>
    <row r="111" spans="1:6">
      <c r="A111" s="1">
        <v>45630</v>
      </c>
      <c r="B111">
        <v>58.37</v>
      </c>
      <c r="C111">
        <f t="shared" si="2"/>
        <v>57.795698924731163</v>
      </c>
      <c r="D111">
        <f t="shared" si="3"/>
        <v>74.731182795698913</v>
      </c>
      <c r="E111">
        <v>80</v>
      </c>
      <c r="F111">
        <v>20</v>
      </c>
    </row>
    <row r="112" spans="1:6">
      <c r="A112" s="1">
        <v>45631</v>
      </c>
      <c r="B112">
        <v>58.84</v>
      </c>
      <c r="C112">
        <f t="shared" si="2"/>
        <v>70.430107526881869</v>
      </c>
      <c r="D112">
        <f t="shared" si="3"/>
        <v>64.874551971326198</v>
      </c>
      <c r="E112">
        <v>80</v>
      </c>
      <c r="F112">
        <v>20</v>
      </c>
    </row>
    <row r="113" spans="1:6">
      <c r="A113" s="1">
        <v>45632</v>
      </c>
      <c r="B113">
        <v>59.38</v>
      </c>
      <c r="C113">
        <f t="shared" si="2"/>
        <v>82.165605095541565</v>
      </c>
      <c r="D113">
        <f t="shared" si="3"/>
        <v>70.130470515718201</v>
      </c>
      <c r="E113">
        <v>80</v>
      </c>
      <c r="F113">
        <v>20</v>
      </c>
    </row>
    <row r="114" spans="1:6">
      <c r="A114" s="1">
        <v>45635</v>
      </c>
      <c r="B114">
        <v>58.71</v>
      </c>
      <c r="C114">
        <f t="shared" si="2"/>
        <v>40.291262135922338</v>
      </c>
      <c r="D114">
        <f t="shared" si="3"/>
        <v>64.295658252781934</v>
      </c>
      <c r="E114">
        <v>80</v>
      </c>
      <c r="F114">
        <v>20</v>
      </c>
    </row>
    <row r="115" spans="1:6">
      <c r="A115" s="1">
        <v>45636</v>
      </c>
      <c r="B115">
        <v>58.12</v>
      </c>
      <c r="C115">
        <f t="shared" si="2"/>
        <v>11.650485436892982</v>
      </c>
      <c r="D115">
        <f t="shared" si="3"/>
        <v>44.702450889452301</v>
      </c>
      <c r="E115">
        <v>80</v>
      </c>
      <c r="F115">
        <v>20</v>
      </c>
    </row>
    <row r="116" spans="1:6">
      <c r="A116" s="1">
        <v>45637</v>
      </c>
      <c r="B116">
        <v>56.65</v>
      </c>
      <c r="C116">
        <f t="shared" si="2"/>
        <v>0</v>
      </c>
      <c r="D116">
        <f t="shared" si="3"/>
        <v>17.313915857605107</v>
      </c>
      <c r="E116">
        <v>80</v>
      </c>
      <c r="F116">
        <v>20</v>
      </c>
    </row>
    <row r="117" spans="1:6">
      <c r="A117" s="1">
        <v>45638</v>
      </c>
      <c r="B117">
        <v>56.28</v>
      </c>
      <c r="C117">
        <f t="shared" si="2"/>
        <v>0</v>
      </c>
      <c r="D117">
        <f t="shared" si="3"/>
        <v>3.8834951456309939</v>
      </c>
      <c r="E117">
        <v>80</v>
      </c>
      <c r="F117">
        <v>20</v>
      </c>
    </row>
    <row r="118" spans="1:6">
      <c r="A118" s="1">
        <v>45639</v>
      </c>
      <c r="B118">
        <v>55.78</v>
      </c>
      <c r="C118">
        <f t="shared" si="2"/>
        <v>0</v>
      </c>
      <c r="D118">
        <f t="shared" si="3"/>
        <v>0</v>
      </c>
      <c r="E118">
        <v>80</v>
      </c>
      <c r="F118">
        <v>20</v>
      </c>
    </row>
    <row r="119" spans="1:6">
      <c r="A119" s="1">
        <v>45642</v>
      </c>
      <c r="B119">
        <v>55.87</v>
      </c>
      <c r="C119">
        <f t="shared" si="2"/>
        <v>2.1634615384614513</v>
      </c>
      <c r="D119">
        <f t="shared" si="3"/>
        <v>0.72115384615381706</v>
      </c>
      <c r="E119">
        <v>80</v>
      </c>
      <c r="F119">
        <v>20</v>
      </c>
    </row>
    <row r="120" spans="1:6">
      <c r="A120" s="1">
        <v>45643</v>
      </c>
      <c r="B120">
        <v>57.65</v>
      </c>
      <c r="C120">
        <f t="shared" si="2"/>
        <v>44.951923076923052</v>
      </c>
      <c r="D120">
        <f t="shared" si="3"/>
        <v>15.705128205128167</v>
      </c>
      <c r="E120">
        <v>80</v>
      </c>
      <c r="F120">
        <v>20</v>
      </c>
    </row>
    <row r="121" spans="1:6">
      <c r="A121" s="1">
        <v>45644</v>
      </c>
      <c r="B121">
        <v>56.84</v>
      </c>
      <c r="C121">
        <f t="shared" si="2"/>
        <v>25.480769230769308</v>
      </c>
      <c r="D121">
        <f t="shared" si="3"/>
        <v>24.198717948717938</v>
      </c>
      <c r="E121">
        <v>80</v>
      </c>
      <c r="F121">
        <v>20</v>
      </c>
    </row>
    <row r="122" spans="1:6">
      <c r="A122" s="1">
        <v>45645</v>
      </c>
      <c r="B122">
        <v>56.3</v>
      </c>
      <c r="C122">
        <f t="shared" si="2"/>
        <v>12.499999999999915</v>
      </c>
      <c r="D122">
        <f t="shared" si="3"/>
        <v>27.644230769230759</v>
      </c>
      <c r="E122">
        <v>80</v>
      </c>
      <c r="F122">
        <v>20</v>
      </c>
    </row>
    <row r="123" spans="1:6">
      <c r="A123" s="1">
        <v>45646</v>
      </c>
      <c r="B123">
        <v>57.33</v>
      </c>
      <c r="C123">
        <f t="shared" si="2"/>
        <v>43.055555555555458</v>
      </c>
      <c r="D123">
        <f t="shared" si="3"/>
        <v>27.012108262108228</v>
      </c>
      <c r="E123">
        <v>80</v>
      </c>
      <c r="F123">
        <v>20</v>
      </c>
    </row>
    <row r="124" spans="1:6">
      <c r="A124" s="1">
        <v>45649</v>
      </c>
      <c r="B124">
        <v>57.58</v>
      </c>
      <c r="C124">
        <f t="shared" si="2"/>
        <v>49.999999999999901</v>
      </c>
      <c r="D124">
        <f t="shared" si="3"/>
        <v>35.185185185185091</v>
      </c>
      <c r="E124">
        <v>80</v>
      </c>
      <c r="F124">
        <v>20</v>
      </c>
    </row>
    <row r="125" spans="1:6">
      <c r="A125" s="1">
        <v>45650</v>
      </c>
      <c r="B125">
        <v>57.76</v>
      </c>
      <c r="C125">
        <f t="shared" si="2"/>
        <v>54.999999999999893</v>
      </c>
      <c r="D125">
        <f t="shared" si="3"/>
        <v>49.351851851851755</v>
      </c>
      <c r="E125">
        <v>80</v>
      </c>
      <c r="F125">
        <v>20</v>
      </c>
    </row>
    <row r="126" spans="1:6">
      <c r="A126" s="1">
        <v>45652</v>
      </c>
      <c r="B126">
        <v>58</v>
      </c>
      <c r="C126">
        <f t="shared" si="2"/>
        <v>61.666666666666615</v>
      </c>
      <c r="D126">
        <f t="shared" si="3"/>
        <v>55.555555555555465</v>
      </c>
      <c r="E126">
        <v>80</v>
      </c>
      <c r="F126">
        <v>20</v>
      </c>
    </row>
    <row r="127" spans="1:6">
      <c r="A127" s="1">
        <v>45653</v>
      </c>
      <c r="B127">
        <v>57.68</v>
      </c>
      <c r="C127">
        <f t="shared" si="2"/>
        <v>64.846416382252514</v>
      </c>
      <c r="D127">
        <f t="shared" si="3"/>
        <v>60.504361016306348</v>
      </c>
      <c r="E127">
        <v>80</v>
      </c>
      <c r="F127">
        <v>20</v>
      </c>
    </row>
    <row r="128" spans="1:6">
      <c r="A128" s="1">
        <v>45656</v>
      </c>
      <c r="B128">
        <v>56.06</v>
      </c>
      <c r="C128">
        <f t="shared" si="2"/>
        <v>11.965811965812033</v>
      </c>
      <c r="D128">
        <f t="shared" si="3"/>
        <v>46.159631671577053</v>
      </c>
      <c r="E128">
        <v>80</v>
      </c>
      <c r="F128">
        <v>20</v>
      </c>
    </row>
    <row r="129" spans="1:6">
      <c r="A129" s="1">
        <v>45657</v>
      </c>
      <c r="B129">
        <v>56.56</v>
      </c>
      <c r="C129">
        <f t="shared" si="2"/>
        <v>35.135135135135201</v>
      </c>
      <c r="D129">
        <f t="shared" si="3"/>
        <v>37.315787827733253</v>
      </c>
      <c r="E129">
        <v>80</v>
      </c>
      <c r="F129">
        <v>20</v>
      </c>
    </row>
    <row r="130" spans="1:6">
      <c r="A130" s="1">
        <v>45659</v>
      </c>
      <c r="B130">
        <v>56.79</v>
      </c>
      <c r="C130">
        <f t="shared" si="2"/>
        <v>45.495495495495433</v>
      </c>
      <c r="D130">
        <f t="shared" si="3"/>
        <v>30.86548086548089</v>
      </c>
      <c r="E130">
        <v>80</v>
      </c>
      <c r="F130">
        <v>20</v>
      </c>
    </row>
    <row r="131" spans="1:6">
      <c r="A131" s="1">
        <v>45660</v>
      </c>
      <c r="B131">
        <v>56.57</v>
      </c>
      <c r="C131">
        <f t="shared" si="2"/>
        <v>35.585585585585569</v>
      </c>
      <c r="D131">
        <f t="shared" si="3"/>
        <v>38.738738738738732</v>
      </c>
      <c r="E131">
        <v>80</v>
      </c>
      <c r="F131">
        <v>20</v>
      </c>
    </row>
    <row r="132" spans="1:6">
      <c r="A132" s="1">
        <v>45663</v>
      </c>
      <c r="B132">
        <v>56.68</v>
      </c>
      <c r="C132">
        <f t="shared" si="2"/>
        <v>38.028169014084568</v>
      </c>
      <c r="D132">
        <f t="shared" si="3"/>
        <v>39.703083365055193</v>
      </c>
      <c r="E132">
        <v>80</v>
      </c>
      <c r="F132">
        <v>20</v>
      </c>
    </row>
    <row r="133" spans="1:6">
      <c r="A133" s="1">
        <v>45664</v>
      </c>
      <c r="B133">
        <v>57.14</v>
      </c>
      <c r="C133">
        <f t="shared" si="2"/>
        <v>55.670103092783485</v>
      </c>
      <c r="D133">
        <f t="shared" si="3"/>
        <v>43.094619230817869</v>
      </c>
      <c r="E133">
        <v>80</v>
      </c>
      <c r="F133">
        <v>20</v>
      </c>
    </row>
    <row r="134" spans="1:6">
      <c r="A134" s="1">
        <v>45665</v>
      </c>
      <c r="B134">
        <v>56.81</v>
      </c>
      <c r="C134">
        <f t="shared" si="2"/>
        <v>38.659793814433037</v>
      </c>
      <c r="D134">
        <f t="shared" si="3"/>
        <v>44.119355307100363</v>
      </c>
      <c r="E134">
        <v>80</v>
      </c>
      <c r="F134">
        <v>20</v>
      </c>
    </row>
    <row r="135" spans="1:6">
      <c r="A135" s="1">
        <v>45667</v>
      </c>
      <c r="B135">
        <v>55.83</v>
      </c>
      <c r="C135">
        <f t="shared" si="2"/>
        <v>0</v>
      </c>
      <c r="D135">
        <f t="shared" si="3"/>
        <v>31.443298969072174</v>
      </c>
      <c r="E135">
        <v>80</v>
      </c>
      <c r="F135">
        <v>20</v>
      </c>
    </row>
    <row r="136" spans="1:6">
      <c r="A136" s="1">
        <v>45670</v>
      </c>
      <c r="B136">
        <v>55.36</v>
      </c>
      <c r="C136">
        <f t="shared" si="2"/>
        <v>0</v>
      </c>
      <c r="D136">
        <f t="shared" si="3"/>
        <v>12.886597938144346</v>
      </c>
      <c r="E136">
        <v>80</v>
      </c>
      <c r="F136">
        <v>20</v>
      </c>
    </row>
    <row r="137" spans="1:6">
      <c r="A137" s="1">
        <v>45671</v>
      </c>
      <c r="B137">
        <v>55.74</v>
      </c>
      <c r="C137">
        <f t="shared" si="2"/>
        <v>14.393939393939487</v>
      </c>
      <c r="D137">
        <f t="shared" si="3"/>
        <v>4.7979797979798287</v>
      </c>
      <c r="E137">
        <v>80</v>
      </c>
      <c r="F137">
        <v>20</v>
      </c>
    </row>
    <row r="138" spans="1:6">
      <c r="A138" s="1">
        <v>45672</v>
      </c>
      <c r="B138">
        <v>55.91</v>
      </c>
      <c r="C138">
        <f t="shared" si="2"/>
        <v>20.833333333333222</v>
      </c>
      <c r="D138">
        <f t="shared" si="3"/>
        <v>11.742424242424235</v>
      </c>
      <c r="E138">
        <v>80</v>
      </c>
      <c r="F138">
        <v>20</v>
      </c>
    </row>
    <row r="139" spans="1:6">
      <c r="A139" s="1">
        <v>45673</v>
      </c>
      <c r="B139">
        <v>56.38</v>
      </c>
      <c r="C139">
        <f t="shared" si="2"/>
        <v>38.636363636363747</v>
      </c>
      <c r="D139">
        <f t="shared" si="3"/>
        <v>24.621212121212153</v>
      </c>
      <c r="E139">
        <v>80</v>
      </c>
      <c r="F139">
        <v>20</v>
      </c>
    </row>
    <row r="140" spans="1:6">
      <c r="A140" s="1">
        <v>45674</v>
      </c>
      <c r="B140">
        <v>56.29</v>
      </c>
      <c r="C140">
        <f t="shared" si="2"/>
        <v>40.086206896551708</v>
      </c>
      <c r="D140">
        <f t="shared" si="3"/>
        <v>33.185301288749564</v>
      </c>
      <c r="E140">
        <v>80</v>
      </c>
      <c r="F140">
        <v>20</v>
      </c>
    </row>
    <row r="141" spans="1:6">
      <c r="A141" s="1">
        <v>45678</v>
      </c>
      <c r="B141">
        <v>57.04</v>
      </c>
      <c r="C141">
        <f t="shared" si="2"/>
        <v>94.382022471910034</v>
      </c>
      <c r="D141">
        <f t="shared" si="3"/>
        <v>57.701531001608494</v>
      </c>
      <c r="E141">
        <v>80</v>
      </c>
      <c r="F141">
        <v>20</v>
      </c>
    </row>
    <row r="142" spans="1:6">
      <c r="A142" s="1">
        <v>45679</v>
      </c>
      <c r="B142">
        <v>57.09</v>
      </c>
      <c r="C142">
        <f t="shared" si="2"/>
        <v>97.191011235955216</v>
      </c>
      <c r="D142">
        <f t="shared" si="3"/>
        <v>77.219746868138984</v>
      </c>
      <c r="E142">
        <v>80</v>
      </c>
      <c r="F142">
        <v>20</v>
      </c>
    </row>
    <row r="143" spans="1:6">
      <c r="A143" s="1">
        <v>45680</v>
      </c>
      <c r="B143">
        <v>59.14</v>
      </c>
      <c r="C143">
        <f t="shared" si="2"/>
        <v>100</v>
      </c>
      <c r="D143">
        <f t="shared" si="3"/>
        <v>97.191011235955088</v>
      </c>
      <c r="E143">
        <v>80</v>
      </c>
      <c r="F143">
        <v>20</v>
      </c>
    </row>
    <row r="144" spans="1:6">
      <c r="A144" s="1">
        <v>45681</v>
      </c>
      <c r="B144">
        <v>59.67</v>
      </c>
      <c r="C144">
        <f t="shared" ref="C144:C189" si="4">(B144-MIN(B131:B144))/(MAX(B131:B144)-MIN(B131:B144))*100</f>
        <v>100</v>
      </c>
      <c r="D144">
        <f t="shared" si="3"/>
        <v>99.063670411985072</v>
      </c>
      <c r="E144">
        <v>80</v>
      </c>
      <c r="F144">
        <v>20</v>
      </c>
    </row>
    <row r="145" spans="1:6">
      <c r="A145" s="1">
        <v>45684</v>
      </c>
      <c r="B145">
        <v>60.6</v>
      </c>
      <c r="C145">
        <f t="shared" si="4"/>
        <v>100</v>
      </c>
      <c r="D145">
        <f t="shared" si="3"/>
        <v>100</v>
      </c>
      <c r="E145">
        <v>80</v>
      </c>
      <c r="F145">
        <v>20</v>
      </c>
    </row>
    <row r="146" spans="1:6">
      <c r="A146" s="1">
        <v>45685</v>
      </c>
      <c r="B146">
        <v>58.76</v>
      </c>
      <c r="C146">
        <f t="shared" si="4"/>
        <v>64.885496183206058</v>
      </c>
      <c r="D146">
        <f t="shared" ref="D146:D189" si="5">AVERAGE(C144:C146)</f>
        <v>88.295165394402019</v>
      </c>
      <c r="E146">
        <v>80</v>
      </c>
      <c r="F146">
        <v>20</v>
      </c>
    </row>
    <row r="147" spans="1:6">
      <c r="A147" s="1">
        <v>45686</v>
      </c>
      <c r="B147">
        <v>59.05</v>
      </c>
      <c r="C147">
        <f t="shared" si="4"/>
        <v>70.419847328244202</v>
      </c>
      <c r="D147">
        <f t="shared" si="5"/>
        <v>78.435114503816749</v>
      </c>
      <c r="E147">
        <v>80</v>
      </c>
      <c r="F147">
        <v>20</v>
      </c>
    </row>
    <row r="148" spans="1:6">
      <c r="A148" s="1">
        <v>45687</v>
      </c>
      <c r="B148">
        <v>59.14</v>
      </c>
      <c r="C148">
        <f t="shared" si="4"/>
        <v>72.137404580152662</v>
      </c>
      <c r="D148">
        <f t="shared" si="5"/>
        <v>69.147582697200974</v>
      </c>
      <c r="E148">
        <v>80</v>
      </c>
      <c r="F148">
        <v>20</v>
      </c>
    </row>
    <row r="149" spans="1:6">
      <c r="A149" s="1">
        <v>45688</v>
      </c>
      <c r="B149">
        <v>58.95</v>
      </c>
      <c r="C149">
        <f t="shared" si="4"/>
        <v>68.511450381679424</v>
      </c>
      <c r="D149">
        <f t="shared" si="5"/>
        <v>70.356234096692091</v>
      </c>
      <c r="E149">
        <v>80</v>
      </c>
      <c r="F149">
        <v>20</v>
      </c>
    </row>
    <row r="150" spans="1:6">
      <c r="A150" s="1">
        <v>45691</v>
      </c>
      <c r="B150">
        <v>59.95</v>
      </c>
      <c r="C150">
        <f t="shared" si="4"/>
        <v>86.625514403292215</v>
      </c>
      <c r="D150">
        <f t="shared" si="5"/>
        <v>75.758123121708095</v>
      </c>
      <c r="E150">
        <v>80</v>
      </c>
      <c r="F150">
        <v>20</v>
      </c>
    </row>
    <row r="151" spans="1:6">
      <c r="A151" s="1">
        <v>45692</v>
      </c>
      <c r="B151">
        <v>59.12</v>
      </c>
      <c r="C151">
        <f t="shared" si="4"/>
        <v>68.443496801705706</v>
      </c>
      <c r="D151">
        <f t="shared" si="5"/>
        <v>74.526820528892458</v>
      </c>
      <c r="E151">
        <v>80</v>
      </c>
      <c r="F151">
        <v>20</v>
      </c>
    </row>
    <row r="152" spans="1:6">
      <c r="A152" s="1">
        <v>45693</v>
      </c>
      <c r="B152">
        <v>59.71</v>
      </c>
      <c r="C152">
        <f t="shared" si="4"/>
        <v>79.350348027842216</v>
      </c>
      <c r="D152">
        <f t="shared" si="5"/>
        <v>78.139786410946712</v>
      </c>
      <c r="E152">
        <v>80</v>
      </c>
      <c r="F152">
        <v>20</v>
      </c>
    </row>
    <row r="153" spans="1:6">
      <c r="A153" s="1">
        <v>45694</v>
      </c>
      <c r="B153">
        <v>57.42</v>
      </c>
      <c r="C153">
        <f t="shared" si="4"/>
        <v>26.21809744779587</v>
      </c>
      <c r="D153">
        <f t="shared" si="5"/>
        <v>58.003980759114597</v>
      </c>
      <c r="E153">
        <v>80</v>
      </c>
      <c r="F153">
        <v>20</v>
      </c>
    </row>
    <row r="154" spans="1:6">
      <c r="A154" s="1">
        <v>45695</v>
      </c>
      <c r="B154">
        <v>56.85</v>
      </c>
      <c r="C154">
        <f t="shared" si="4"/>
        <v>0</v>
      </c>
      <c r="D154">
        <f t="shared" si="5"/>
        <v>35.189481825212695</v>
      </c>
      <c r="E154">
        <v>80</v>
      </c>
      <c r="F154">
        <v>20</v>
      </c>
    </row>
    <row r="155" spans="1:6">
      <c r="A155" s="1">
        <v>45698</v>
      </c>
      <c r="B155">
        <v>55.53</v>
      </c>
      <c r="C155">
        <f t="shared" si="4"/>
        <v>0</v>
      </c>
      <c r="D155">
        <f t="shared" si="5"/>
        <v>8.739365815931956</v>
      </c>
      <c r="E155">
        <v>80</v>
      </c>
      <c r="F155">
        <v>20</v>
      </c>
    </row>
    <row r="156" spans="1:6">
      <c r="A156" s="1">
        <v>45699</v>
      </c>
      <c r="B156">
        <v>55.94</v>
      </c>
      <c r="C156">
        <f t="shared" si="4"/>
        <v>8.086785009861865</v>
      </c>
      <c r="D156">
        <f t="shared" si="5"/>
        <v>2.6955950032872882</v>
      </c>
      <c r="E156">
        <v>80</v>
      </c>
      <c r="F156">
        <v>20</v>
      </c>
    </row>
    <row r="157" spans="1:6">
      <c r="A157" s="1">
        <v>45700</v>
      </c>
      <c r="B157">
        <v>56.15</v>
      </c>
      <c r="C157">
        <f t="shared" si="4"/>
        <v>12.228796844181408</v>
      </c>
      <c r="D157">
        <f t="shared" si="5"/>
        <v>6.7718606180144247</v>
      </c>
      <c r="E157">
        <v>80</v>
      </c>
      <c r="F157">
        <v>20</v>
      </c>
    </row>
    <row r="158" spans="1:6">
      <c r="A158" s="1">
        <v>45701</v>
      </c>
      <c r="B158">
        <v>55.97</v>
      </c>
      <c r="C158">
        <f t="shared" si="4"/>
        <v>8.6785009861932476</v>
      </c>
      <c r="D158">
        <f t="shared" si="5"/>
        <v>9.6646942800788409</v>
      </c>
      <c r="E158">
        <v>80</v>
      </c>
      <c r="F158">
        <v>20</v>
      </c>
    </row>
    <row r="159" spans="1:6">
      <c r="A159" s="1">
        <v>45702</v>
      </c>
      <c r="B159">
        <v>53.9</v>
      </c>
      <c r="C159">
        <f t="shared" si="4"/>
        <v>0</v>
      </c>
      <c r="D159">
        <f t="shared" si="5"/>
        <v>6.9690992767915523</v>
      </c>
      <c r="E159">
        <v>80</v>
      </c>
      <c r="F159">
        <v>20</v>
      </c>
    </row>
    <row r="160" spans="1:6">
      <c r="A160" s="1">
        <v>45706</v>
      </c>
      <c r="B160">
        <v>54.43</v>
      </c>
      <c r="C160">
        <f t="shared" si="4"/>
        <v>8.7603305785124093</v>
      </c>
      <c r="D160">
        <f t="shared" si="5"/>
        <v>5.8129438549018859</v>
      </c>
      <c r="E160">
        <v>80</v>
      </c>
      <c r="F160">
        <v>20</v>
      </c>
    </row>
    <row r="161" spans="1:6">
      <c r="A161" s="1">
        <v>45707</v>
      </c>
      <c r="B161">
        <v>54.98</v>
      </c>
      <c r="C161">
        <f t="shared" si="4"/>
        <v>17.851239669421449</v>
      </c>
      <c r="D161">
        <f t="shared" si="5"/>
        <v>8.8705234159779529</v>
      </c>
      <c r="E161">
        <v>80</v>
      </c>
      <c r="F161">
        <v>20</v>
      </c>
    </row>
    <row r="162" spans="1:6">
      <c r="A162" s="1">
        <v>45708</v>
      </c>
      <c r="B162">
        <v>55.79</v>
      </c>
      <c r="C162">
        <f t="shared" si="4"/>
        <v>31.239669421487591</v>
      </c>
      <c r="D162">
        <f t="shared" si="5"/>
        <v>19.283746556473815</v>
      </c>
      <c r="E162">
        <v>80</v>
      </c>
      <c r="F162">
        <v>20</v>
      </c>
    </row>
    <row r="163" spans="1:6">
      <c r="A163" s="1">
        <v>45709</v>
      </c>
      <c r="B163">
        <v>55.83</v>
      </c>
      <c r="C163">
        <f t="shared" si="4"/>
        <v>31.900826446280966</v>
      </c>
      <c r="D163">
        <f t="shared" si="5"/>
        <v>26.997245179063338</v>
      </c>
      <c r="E163">
        <v>80</v>
      </c>
      <c r="F163">
        <v>20</v>
      </c>
    </row>
    <row r="164" spans="1:6">
      <c r="A164" s="1">
        <v>45712</v>
      </c>
      <c r="B164">
        <v>57.88</v>
      </c>
      <c r="C164">
        <f t="shared" si="4"/>
        <v>68.502581755593852</v>
      </c>
      <c r="D164">
        <f t="shared" si="5"/>
        <v>43.881025874454139</v>
      </c>
      <c r="E164">
        <v>80</v>
      </c>
      <c r="F164">
        <v>20</v>
      </c>
    </row>
    <row r="165" spans="1:6">
      <c r="A165" s="1">
        <v>45713</v>
      </c>
      <c r="B165">
        <v>58.21</v>
      </c>
      <c r="C165">
        <f t="shared" si="4"/>
        <v>74.182444061962144</v>
      </c>
      <c r="D165">
        <f t="shared" si="5"/>
        <v>58.195284087945652</v>
      </c>
      <c r="E165">
        <v>80</v>
      </c>
      <c r="F165">
        <v>20</v>
      </c>
    </row>
    <row r="166" spans="1:6">
      <c r="A166" s="1">
        <v>45714</v>
      </c>
      <c r="B166">
        <v>57.38</v>
      </c>
      <c r="C166">
        <f t="shared" si="4"/>
        <v>80.742459396751784</v>
      </c>
      <c r="D166">
        <f t="shared" si="5"/>
        <v>74.475828404769246</v>
      </c>
      <c r="E166">
        <v>80</v>
      </c>
      <c r="F166">
        <v>20</v>
      </c>
    </row>
    <row r="167" spans="1:6">
      <c r="A167" s="1">
        <v>45715</v>
      </c>
      <c r="B167">
        <v>58.8</v>
      </c>
      <c r="C167">
        <f t="shared" si="4"/>
        <v>100</v>
      </c>
      <c r="D167">
        <f t="shared" si="5"/>
        <v>84.974967819571305</v>
      </c>
      <c r="E167">
        <v>80</v>
      </c>
      <c r="F167">
        <v>20</v>
      </c>
    </row>
    <row r="168" spans="1:6">
      <c r="A168" s="1">
        <v>45716</v>
      </c>
      <c r="B168">
        <v>59.62</v>
      </c>
      <c r="C168">
        <f t="shared" si="4"/>
        <v>100</v>
      </c>
      <c r="D168">
        <f t="shared" si="5"/>
        <v>93.580819798917261</v>
      </c>
      <c r="E168">
        <v>80</v>
      </c>
      <c r="F168">
        <v>20</v>
      </c>
    </row>
    <row r="169" spans="1:6">
      <c r="A169" s="1">
        <v>45719</v>
      </c>
      <c r="B169">
        <v>59.87</v>
      </c>
      <c r="C169">
        <f t="shared" si="4"/>
        <v>100</v>
      </c>
      <c r="D169">
        <f t="shared" si="5"/>
        <v>100</v>
      </c>
      <c r="E169">
        <v>80</v>
      </c>
      <c r="F169">
        <v>20</v>
      </c>
    </row>
    <row r="170" spans="1:6">
      <c r="A170" s="1">
        <v>45720</v>
      </c>
      <c r="B170">
        <v>59.44</v>
      </c>
      <c r="C170">
        <f t="shared" si="4"/>
        <v>92.79731993299832</v>
      </c>
      <c r="D170">
        <f t="shared" si="5"/>
        <v>97.599106644332778</v>
      </c>
      <c r="E170">
        <v>80</v>
      </c>
      <c r="F170">
        <v>20</v>
      </c>
    </row>
    <row r="171" spans="1:6">
      <c r="A171" s="1">
        <v>45721</v>
      </c>
      <c r="B171">
        <v>59.82</v>
      </c>
      <c r="C171">
        <f t="shared" si="4"/>
        <v>99.162479061976597</v>
      </c>
      <c r="D171">
        <f t="shared" si="5"/>
        <v>97.319932998324973</v>
      </c>
      <c r="E171">
        <v>80</v>
      </c>
      <c r="F171">
        <v>20</v>
      </c>
    </row>
    <row r="172" spans="1:6">
      <c r="A172" s="1">
        <v>45722</v>
      </c>
      <c r="B172">
        <v>60.18</v>
      </c>
      <c r="C172">
        <f t="shared" si="4"/>
        <v>100</v>
      </c>
      <c r="D172">
        <f t="shared" si="5"/>
        <v>97.319932998324973</v>
      </c>
      <c r="E172">
        <v>80</v>
      </c>
      <c r="F172">
        <v>20</v>
      </c>
    </row>
    <row r="173" spans="1:6">
      <c r="A173" s="1">
        <v>45723</v>
      </c>
      <c r="B173">
        <v>61.09</v>
      </c>
      <c r="C173">
        <f t="shared" si="4"/>
        <v>100</v>
      </c>
      <c r="D173">
        <f t="shared" si="5"/>
        <v>99.720826353992194</v>
      </c>
      <c r="E173">
        <v>80</v>
      </c>
      <c r="F173">
        <v>20</v>
      </c>
    </row>
    <row r="174" spans="1:6">
      <c r="A174" s="1">
        <v>45726</v>
      </c>
      <c r="B174">
        <v>63.11</v>
      </c>
      <c r="C174">
        <f t="shared" si="4"/>
        <v>100</v>
      </c>
      <c r="D174">
        <f t="shared" si="5"/>
        <v>100</v>
      </c>
      <c r="E174">
        <v>80</v>
      </c>
      <c r="F174">
        <v>20</v>
      </c>
    </row>
    <row r="175" spans="1:6">
      <c r="A175" s="1">
        <v>45727</v>
      </c>
      <c r="B175">
        <v>61.51</v>
      </c>
      <c r="C175">
        <f t="shared" si="4"/>
        <v>78.142076502732223</v>
      </c>
      <c r="D175">
        <f t="shared" si="5"/>
        <v>92.714025500910736</v>
      </c>
      <c r="E175">
        <v>80</v>
      </c>
      <c r="F175">
        <v>20</v>
      </c>
    </row>
    <row r="176" spans="1:6">
      <c r="A176" s="1">
        <v>45728</v>
      </c>
      <c r="B176">
        <v>59.81</v>
      </c>
      <c r="C176">
        <f t="shared" si="4"/>
        <v>54.670329670329721</v>
      </c>
      <c r="D176">
        <f t="shared" si="5"/>
        <v>77.604135391020648</v>
      </c>
      <c r="E176">
        <v>80</v>
      </c>
      <c r="F176">
        <v>20</v>
      </c>
    </row>
    <row r="177" spans="1:6">
      <c r="A177" s="1">
        <v>45729</v>
      </c>
      <c r="B177">
        <v>60.28</v>
      </c>
      <c r="C177">
        <f t="shared" si="4"/>
        <v>50.610820244328103</v>
      </c>
      <c r="D177">
        <f t="shared" si="5"/>
        <v>61.141075472463349</v>
      </c>
      <c r="E177">
        <v>80</v>
      </c>
      <c r="F177">
        <v>20</v>
      </c>
    </row>
    <row r="178" spans="1:6">
      <c r="A178" s="1">
        <v>45730</v>
      </c>
      <c r="B178">
        <v>59.01</v>
      </c>
      <c r="C178">
        <f t="shared" si="4"/>
        <v>28.446771378708487</v>
      </c>
      <c r="D178">
        <f t="shared" si="5"/>
        <v>44.575973764455433</v>
      </c>
      <c r="E178">
        <v>80</v>
      </c>
      <c r="F178">
        <v>20</v>
      </c>
    </row>
    <row r="179" spans="1:6">
      <c r="A179" s="1">
        <v>45733</v>
      </c>
      <c r="B179">
        <v>59.99</v>
      </c>
      <c r="C179">
        <f t="shared" si="4"/>
        <v>45.549738219895303</v>
      </c>
      <c r="D179">
        <f t="shared" si="5"/>
        <v>41.535776614310628</v>
      </c>
      <c r="E179">
        <v>80</v>
      </c>
      <c r="F179">
        <v>20</v>
      </c>
    </row>
    <row r="180" spans="1:6">
      <c r="A180" s="1">
        <v>45734</v>
      </c>
      <c r="B180">
        <v>59.9</v>
      </c>
      <c r="C180">
        <f t="shared" si="4"/>
        <v>25.522041763341086</v>
      </c>
      <c r="D180">
        <f t="shared" si="5"/>
        <v>33.172850453981624</v>
      </c>
      <c r="E180">
        <v>80</v>
      </c>
      <c r="F180">
        <v>20</v>
      </c>
    </row>
    <row r="181" spans="1:6">
      <c r="A181" s="1">
        <v>45735</v>
      </c>
      <c r="B181">
        <v>60.08</v>
      </c>
      <c r="C181">
        <f t="shared" si="4"/>
        <v>26.097560975609753</v>
      </c>
      <c r="D181">
        <f t="shared" si="5"/>
        <v>32.389780319615376</v>
      </c>
      <c r="E181">
        <v>80</v>
      </c>
      <c r="F181">
        <v>20</v>
      </c>
    </row>
    <row r="182" spans="1:6">
      <c r="A182" s="1">
        <v>45736</v>
      </c>
      <c r="B182">
        <v>60.42</v>
      </c>
      <c r="C182">
        <f t="shared" si="4"/>
        <v>34.390243902439103</v>
      </c>
      <c r="D182">
        <f t="shared" si="5"/>
        <v>28.669948880463313</v>
      </c>
      <c r="E182">
        <v>80</v>
      </c>
      <c r="F182">
        <v>20</v>
      </c>
    </row>
    <row r="183" spans="1:6">
      <c r="A183" s="1">
        <v>45737</v>
      </c>
      <c r="B183">
        <v>60.99</v>
      </c>
      <c r="C183">
        <f t="shared" si="4"/>
        <v>48.29268292682935</v>
      </c>
      <c r="D183">
        <f t="shared" si="5"/>
        <v>36.260162601626071</v>
      </c>
      <c r="E183">
        <v>80</v>
      </c>
      <c r="F183">
        <v>20</v>
      </c>
    </row>
    <row r="184" spans="1:6">
      <c r="A184" s="1">
        <v>45740</v>
      </c>
      <c r="B184">
        <v>61.05</v>
      </c>
      <c r="C184">
        <f t="shared" si="4"/>
        <v>49.756097560975569</v>
      </c>
      <c r="D184">
        <f t="shared" si="5"/>
        <v>44.146341463414672</v>
      </c>
      <c r="E184">
        <v>80</v>
      </c>
      <c r="F184">
        <v>20</v>
      </c>
    </row>
    <row r="185" spans="1:6">
      <c r="A185" s="1">
        <v>45741</v>
      </c>
      <c r="B185">
        <v>59.19</v>
      </c>
      <c r="C185">
        <f t="shared" si="4"/>
        <v>4.3902439024390159</v>
      </c>
      <c r="D185">
        <f t="shared" si="5"/>
        <v>34.146341463414643</v>
      </c>
      <c r="E185">
        <v>80</v>
      </c>
      <c r="F185">
        <v>20</v>
      </c>
    </row>
    <row r="186" spans="1:6">
      <c r="A186" s="1">
        <v>45742</v>
      </c>
      <c r="B186">
        <v>59.21</v>
      </c>
      <c r="C186">
        <f t="shared" si="4"/>
        <v>4.8780487804878723</v>
      </c>
      <c r="D186">
        <f t="shared" si="5"/>
        <v>19.674796747967488</v>
      </c>
      <c r="E186">
        <v>80</v>
      </c>
      <c r="F186">
        <v>20</v>
      </c>
    </row>
    <row r="187" spans="1:6">
      <c r="A187" s="1">
        <v>45743</v>
      </c>
      <c r="B187">
        <v>58.9</v>
      </c>
      <c r="C187">
        <f t="shared" si="4"/>
        <v>0</v>
      </c>
      <c r="D187">
        <f t="shared" si="5"/>
        <v>3.0894308943089626</v>
      </c>
      <c r="E187">
        <v>80</v>
      </c>
      <c r="F187">
        <v>20</v>
      </c>
    </row>
    <row r="188" spans="1:6">
      <c r="A188" s="1">
        <v>45744</v>
      </c>
      <c r="B188">
        <v>60.02</v>
      </c>
      <c r="C188">
        <f t="shared" si="4"/>
        <v>42.9118773946362</v>
      </c>
      <c r="D188">
        <f t="shared" si="5"/>
        <v>15.929975391708025</v>
      </c>
      <c r="E188">
        <v>80</v>
      </c>
      <c r="F188">
        <v>20</v>
      </c>
    </row>
    <row r="189" spans="1:6">
      <c r="A189" s="1">
        <v>45747</v>
      </c>
      <c r="B189">
        <v>60.99</v>
      </c>
      <c r="C189">
        <f t="shared" si="4"/>
        <v>97.209302325581618</v>
      </c>
      <c r="D189">
        <f t="shared" si="5"/>
        <v>46.707059906739268</v>
      </c>
      <c r="E189">
        <v>80</v>
      </c>
      <c r="F189">
        <v>20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7FB3-7E7A-4819-8709-1E461F4064A4}">
  <dimension ref="A1:E15"/>
  <sheetViews>
    <sheetView zoomScale="210" zoomScaleNormal="210" workbookViewId="0">
      <selection activeCell="E7" sqref="E7"/>
    </sheetView>
  </sheetViews>
  <sheetFormatPr defaultRowHeight="14.25"/>
  <cols>
    <col min="1" max="1" width="13.42578125" bestFit="1" customWidth="1"/>
  </cols>
  <sheetData>
    <row r="1" spans="1:5">
      <c r="A1" t="s">
        <v>54</v>
      </c>
    </row>
    <row r="4" spans="1:5">
      <c r="A4" t="s">
        <v>55</v>
      </c>
      <c r="B4">
        <v>60.99</v>
      </c>
      <c r="D4" t="s">
        <v>56</v>
      </c>
      <c r="E4">
        <f>(LN(B4/B5)+(B6+0.5*B7^2)*B8)/(B7*SQRT(B8))</f>
        <v>0.4861622100162456</v>
      </c>
    </row>
    <row r="5" spans="1:5">
      <c r="A5" t="s">
        <v>57</v>
      </c>
      <c r="B5">
        <v>58</v>
      </c>
      <c r="D5" t="s">
        <v>58</v>
      </c>
      <c r="E5">
        <f>(LN(B4/B5)+(B6-0.5*B7^2)*B8)/(B7*SQRT(B8))</f>
        <v>0.34028822107175444</v>
      </c>
    </row>
    <row r="6" spans="1:5">
      <c r="A6" t="s">
        <v>59</v>
      </c>
      <c r="B6">
        <f>'Q 1&amp;2'!F192</f>
        <v>4.2049999999999997E-2</v>
      </c>
    </row>
    <row r="7" spans="1:5">
      <c r="A7" t="s">
        <v>60</v>
      </c>
      <c r="B7" s="4">
        <f>'Q 1&amp;2'!K195</f>
        <v>0.2989527165496671</v>
      </c>
    </row>
    <row r="8" spans="1:5">
      <c r="A8" t="s">
        <v>61</v>
      </c>
      <c r="B8">
        <f>60/252</f>
        <v>0.23809523809523808</v>
      </c>
    </row>
    <row r="10" spans="1:5">
      <c r="A10" t="s">
        <v>62</v>
      </c>
      <c r="B10">
        <v>1</v>
      </c>
    </row>
    <row r="12" spans="1:5">
      <c r="A12" t="s">
        <v>63</v>
      </c>
      <c r="B12">
        <f>B4*_xlfn.NORM.S.DIST(E4,TRUE)-B5*EXP(-B6*B8)*_xlfn.NORM.S.DIST(E5,TRUE)</f>
        <v>5.5155356966505309</v>
      </c>
    </row>
    <row r="15" spans="1:5">
      <c r="B15">
        <v>60.99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ADB3-2F7F-4EB7-BA8B-F68ACE47198F}">
  <dimension ref="A1:BO104"/>
  <sheetViews>
    <sheetView zoomScale="53" zoomScaleNormal="53" workbookViewId="0">
      <selection activeCell="BI108" sqref="BI108"/>
    </sheetView>
  </sheetViews>
  <sheetFormatPr defaultRowHeight="14.25"/>
  <cols>
    <col min="1" max="1" width="10.7109375" bestFit="1" customWidth="1"/>
    <col min="68" max="68" width="16.42578125" bestFit="1" customWidth="1"/>
  </cols>
  <sheetData>
    <row r="1" spans="1:67">
      <c r="A1" t="s">
        <v>64</v>
      </c>
      <c r="B1">
        <f>'Q 1&amp;2'!C190</f>
        <v>60.99</v>
      </c>
      <c r="E1" t="s">
        <v>65</v>
      </c>
      <c r="F1">
        <v>0</v>
      </c>
      <c r="G1">
        <f>F1+$B$4</f>
        <v>3.968253968253968E-3</v>
      </c>
      <c r="H1">
        <f t="shared" ref="H1:BN1" si="0">G1+$B$4</f>
        <v>7.9365079365079361E-3</v>
      </c>
      <c r="I1">
        <f t="shared" si="0"/>
        <v>1.1904761904761904E-2</v>
      </c>
      <c r="J1">
        <f t="shared" si="0"/>
        <v>1.5873015873015872E-2</v>
      </c>
      <c r="K1">
        <f t="shared" si="0"/>
        <v>1.984126984126984E-2</v>
      </c>
      <c r="L1">
        <f t="shared" si="0"/>
        <v>2.3809523809523808E-2</v>
      </c>
      <c r="M1">
        <f t="shared" si="0"/>
        <v>2.7777777777777776E-2</v>
      </c>
      <c r="N1">
        <f t="shared" si="0"/>
        <v>3.1746031746031744E-2</v>
      </c>
      <c r="O1">
        <f t="shared" si="0"/>
        <v>3.5714285714285712E-2</v>
      </c>
      <c r="P1">
        <f t="shared" si="0"/>
        <v>3.968253968253968E-2</v>
      </c>
      <c r="Q1">
        <f t="shared" si="0"/>
        <v>4.3650793650793648E-2</v>
      </c>
      <c r="R1">
        <f t="shared" si="0"/>
        <v>4.7619047619047616E-2</v>
      </c>
      <c r="S1">
        <f t="shared" si="0"/>
        <v>5.1587301587301584E-2</v>
      </c>
      <c r="T1">
        <f t="shared" si="0"/>
        <v>5.5555555555555552E-2</v>
      </c>
      <c r="U1">
        <f t="shared" si="0"/>
        <v>5.9523809523809521E-2</v>
      </c>
      <c r="V1">
        <f t="shared" si="0"/>
        <v>6.3492063492063489E-2</v>
      </c>
      <c r="W1">
        <f t="shared" si="0"/>
        <v>6.7460317460317457E-2</v>
      </c>
      <c r="X1">
        <f t="shared" si="0"/>
        <v>7.1428571428571425E-2</v>
      </c>
      <c r="Y1">
        <f t="shared" si="0"/>
        <v>7.5396825396825393E-2</v>
      </c>
      <c r="Z1">
        <f t="shared" si="0"/>
        <v>7.9365079365079361E-2</v>
      </c>
      <c r="AA1">
        <f t="shared" si="0"/>
        <v>8.3333333333333329E-2</v>
      </c>
      <c r="AB1">
        <f t="shared" si="0"/>
        <v>8.7301587301587297E-2</v>
      </c>
      <c r="AC1">
        <f t="shared" si="0"/>
        <v>9.1269841269841265E-2</v>
      </c>
      <c r="AD1">
        <f t="shared" si="0"/>
        <v>9.5238095238095233E-2</v>
      </c>
      <c r="AE1">
        <f t="shared" si="0"/>
        <v>9.9206349206349201E-2</v>
      </c>
      <c r="AF1">
        <f t="shared" si="0"/>
        <v>0.10317460317460317</v>
      </c>
      <c r="AG1">
        <f t="shared" si="0"/>
        <v>0.10714285714285714</v>
      </c>
      <c r="AH1">
        <f t="shared" si="0"/>
        <v>0.1111111111111111</v>
      </c>
      <c r="AI1">
        <f t="shared" si="0"/>
        <v>0.11507936507936507</v>
      </c>
      <c r="AJ1">
        <f t="shared" si="0"/>
        <v>0.11904761904761904</v>
      </c>
      <c r="AK1">
        <f t="shared" si="0"/>
        <v>0.12301587301587301</v>
      </c>
      <c r="AL1">
        <f t="shared" si="0"/>
        <v>0.12698412698412698</v>
      </c>
      <c r="AM1">
        <f t="shared" si="0"/>
        <v>0.13095238095238093</v>
      </c>
      <c r="AN1">
        <f t="shared" si="0"/>
        <v>0.13492063492063489</v>
      </c>
      <c r="AO1">
        <f t="shared" si="0"/>
        <v>0.13888888888888884</v>
      </c>
      <c r="AP1">
        <f t="shared" si="0"/>
        <v>0.14285714285714279</v>
      </c>
      <c r="AQ1">
        <f t="shared" si="0"/>
        <v>0.14682539682539675</v>
      </c>
      <c r="AR1">
        <f t="shared" si="0"/>
        <v>0.1507936507936507</v>
      </c>
      <c r="AS1">
        <f t="shared" si="0"/>
        <v>0.15476190476190466</v>
      </c>
      <c r="AT1">
        <f t="shared" si="0"/>
        <v>0.15873015873015861</v>
      </c>
      <c r="AU1">
        <f t="shared" si="0"/>
        <v>0.16269841269841256</v>
      </c>
      <c r="AV1">
        <f t="shared" si="0"/>
        <v>0.16666666666666652</v>
      </c>
      <c r="AW1">
        <f t="shared" si="0"/>
        <v>0.17063492063492047</v>
      </c>
      <c r="AX1">
        <f t="shared" si="0"/>
        <v>0.17460317460317443</v>
      </c>
      <c r="AY1">
        <f t="shared" si="0"/>
        <v>0.17857142857142838</v>
      </c>
      <c r="AZ1">
        <f t="shared" si="0"/>
        <v>0.18253968253968234</v>
      </c>
      <c r="BA1">
        <f t="shared" si="0"/>
        <v>0.18650793650793629</v>
      </c>
      <c r="BB1">
        <f t="shared" si="0"/>
        <v>0.19047619047619024</v>
      </c>
      <c r="BC1">
        <f t="shared" si="0"/>
        <v>0.1944444444444442</v>
      </c>
      <c r="BD1">
        <f t="shared" si="0"/>
        <v>0.19841269841269815</v>
      </c>
      <c r="BE1">
        <f t="shared" si="0"/>
        <v>0.20238095238095211</v>
      </c>
      <c r="BF1">
        <f t="shared" si="0"/>
        <v>0.20634920634920606</v>
      </c>
      <c r="BG1">
        <f t="shared" si="0"/>
        <v>0.21031746031746001</v>
      </c>
      <c r="BH1">
        <f t="shared" si="0"/>
        <v>0.21428571428571397</v>
      </c>
      <c r="BI1">
        <f t="shared" si="0"/>
        <v>0.21825396825396792</v>
      </c>
      <c r="BJ1">
        <f t="shared" si="0"/>
        <v>0.22222222222222188</v>
      </c>
      <c r="BK1">
        <f t="shared" si="0"/>
        <v>0.22619047619047583</v>
      </c>
      <c r="BL1">
        <f t="shared" si="0"/>
        <v>0.23015873015872979</v>
      </c>
      <c r="BM1">
        <f>BL1+$B$4</f>
        <v>0.23412698412698374</v>
      </c>
      <c r="BN1">
        <f t="shared" si="0"/>
        <v>0.23809523809523769</v>
      </c>
      <c r="BO1" t="s">
        <v>66</v>
      </c>
    </row>
    <row r="2" spans="1:67">
      <c r="A2" t="s">
        <v>67</v>
      </c>
      <c r="B2" s="10">
        <f>'Q 1&amp;2'!F195</f>
        <v>0.52535587656698879</v>
      </c>
      <c r="E2" t="s">
        <v>3</v>
      </c>
      <c r="F2">
        <f>$B$1</f>
        <v>60.99</v>
      </c>
      <c r="G2">
        <f ca="1">F2*EXP(($B$2-0.5*$B$3^2)*$B$4+$B$3*_xlfn.NORM.INV(RAND(),0,SQRT($B$4)))</f>
        <v>60.075981557691186</v>
      </c>
      <c r="H2">
        <f t="shared" ref="H2:BN2" ca="1" si="1">G2*EXP(($B$2-0.5*$B$3^2)*$B$4+$B$3*_xlfn.NORM.INV(RAND(),0,SQRT($B$4)))</f>
        <v>58.47517793681547</v>
      </c>
      <c r="I2">
        <f t="shared" ca="1" si="1"/>
        <v>59.235366260603875</v>
      </c>
      <c r="J2">
        <f t="shared" ca="1" si="1"/>
        <v>58.474787780752067</v>
      </c>
      <c r="K2">
        <f t="shared" ca="1" si="1"/>
        <v>60.291062266323458</v>
      </c>
      <c r="L2">
        <f t="shared" ca="1" si="1"/>
        <v>59.905694149597714</v>
      </c>
      <c r="M2">
        <f t="shared" ca="1" si="1"/>
        <v>61.579735643492079</v>
      </c>
      <c r="N2">
        <f t="shared" ca="1" si="1"/>
        <v>61.271833698950928</v>
      </c>
      <c r="O2">
        <f t="shared" ca="1" si="1"/>
        <v>61.526175804636047</v>
      </c>
      <c r="P2">
        <f t="shared" ca="1" si="1"/>
        <v>61.58604614304712</v>
      </c>
      <c r="Q2">
        <f t="shared" ca="1" si="1"/>
        <v>62.273764315886119</v>
      </c>
      <c r="R2">
        <f t="shared" ca="1" si="1"/>
        <v>63.544695435202563</v>
      </c>
      <c r="S2">
        <f t="shared" ca="1" si="1"/>
        <v>63.874454219381263</v>
      </c>
      <c r="T2">
        <f t="shared" ca="1" si="1"/>
        <v>64.776400224551097</v>
      </c>
      <c r="U2">
        <f t="shared" ca="1" si="1"/>
        <v>65.391441885237029</v>
      </c>
      <c r="V2">
        <f t="shared" ca="1" si="1"/>
        <v>65.864442395727394</v>
      </c>
      <c r="W2">
        <f t="shared" ca="1" si="1"/>
        <v>66.441448116675957</v>
      </c>
      <c r="X2">
        <f t="shared" ca="1" si="1"/>
        <v>66.389422803441377</v>
      </c>
      <c r="Y2">
        <f t="shared" ca="1" si="1"/>
        <v>65.317631649860047</v>
      </c>
      <c r="Z2">
        <f t="shared" ca="1" si="1"/>
        <v>65.705062312859823</v>
      </c>
      <c r="AA2">
        <f t="shared" ca="1" si="1"/>
        <v>65.039337159988364</v>
      </c>
      <c r="AB2">
        <f t="shared" ca="1" si="1"/>
        <v>66.048522771251186</v>
      </c>
      <c r="AC2">
        <f t="shared" ca="1" si="1"/>
        <v>64.182268617603768</v>
      </c>
      <c r="AD2">
        <f t="shared" ca="1" si="1"/>
        <v>62.143768676239191</v>
      </c>
      <c r="AE2">
        <f t="shared" ca="1" si="1"/>
        <v>62.543805303020008</v>
      </c>
      <c r="AF2">
        <f t="shared" ca="1" si="1"/>
        <v>63.029340414447958</v>
      </c>
      <c r="AG2">
        <f t="shared" ca="1" si="1"/>
        <v>63.167645095486719</v>
      </c>
      <c r="AH2">
        <f t="shared" ca="1" si="1"/>
        <v>62.45832652280135</v>
      </c>
      <c r="AI2">
        <f t="shared" ca="1" si="1"/>
        <v>62.583276885863548</v>
      </c>
      <c r="AJ2">
        <f t="shared" ca="1" si="1"/>
        <v>63.755638119712593</v>
      </c>
      <c r="AK2">
        <f t="shared" ca="1" si="1"/>
        <v>63.228647542862909</v>
      </c>
      <c r="AL2">
        <f t="shared" ca="1" si="1"/>
        <v>63.022587789919811</v>
      </c>
      <c r="AM2">
        <f t="shared" ca="1" si="1"/>
        <v>63.937520689293436</v>
      </c>
      <c r="AN2">
        <f t="shared" ca="1" si="1"/>
        <v>64.920116358479532</v>
      </c>
      <c r="AO2">
        <f t="shared" ca="1" si="1"/>
        <v>64.968950109008802</v>
      </c>
      <c r="AP2">
        <f t="shared" ca="1" si="1"/>
        <v>64.881616671584496</v>
      </c>
      <c r="AQ2">
        <f t="shared" ca="1" si="1"/>
        <v>66.527217215339817</v>
      </c>
      <c r="AR2">
        <f t="shared" ca="1" si="1"/>
        <v>67.918304642971606</v>
      </c>
      <c r="AS2">
        <f t="shared" ca="1" si="1"/>
        <v>67.582182778532882</v>
      </c>
      <c r="AT2">
        <f t="shared" ca="1" si="1"/>
        <v>70.130795698017579</v>
      </c>
      <c r="AU2">
        <f t="shared" ca="1" si="1"/>
        <v>69.543694830264386</v>
      </c>
      <c r="AV2">
        <f t="shared" ca="1" si="1"/>
        <v>70.390205110465388</v>
      </c>
      <c r="AW2">
        <f t="shared" ca="1" si="1"/>
        <v>69.914370889982308</v>
      </c>
      <c r="AX2">
        <f t="shared" ca="1" si="1"/>
        <v>70.335109665093668</v>
      </c>
      <c r="AY2">
        <f t="shared" ca="1" si="1"/>
        <v>71.107293333971057</v>
      </c>
      <c r="AZ2">
        <f t="shared" ca="1" si="1"/>
        <v>70.711896455865656</v>
      </c>
      <c r="BA2">
        <f t="shared" ca="1" si="1"/>
        <v>70.901580285339293</v>
      </c>
      <c r="BB2">
        <f t="shared" ca="1" si="1"/>
        <v>70.977597446086193</v>
      </c>
      <c r="BC2">
        <f t="shared" ca="1" si="1"/>
        <v>71.978036098392451</v>
      </c>
      <c r="BD2">
        <f t="shared" ca="1" si="1"/>
        <v>72.605969002887363</v>
      </c>
      <c r="BE2">
        <f t="shared" ca="1" si="1"/>
        <v>71.792295389723449</v>
      </c>
      <c r="BF2">
        <f t="shared" ca="1" si="1"/>
        <v>72.991691525171106</v>
      </c>
      <c r="BG2">
        <f t="shared" ca="1" si="1"/>
        <v>71.500402701245562</v>
      </c>
      <c r="BH2">
        <f t="shared" ca="1" si="1"/>
        <v>68.888368982567087</v>
      </c>
      <c r="BI2">
        <f t="shared" ca="1" si="1"/>
        <v>67.231359258882165</v>
      </c>
      <c r="BJ2">
        <f t="shared" ca="1" si="1"/>
        <v>68.452286949400005</v>
      </c>
      <c r="BK2">
        <f t="shared" ca="1" si="1"/>
        <v>68.061872059902342</v>
      </c>
      <c r="BL2">
        <f t="shared" ca="1" si="1"/>
        <v>71.509821487272816</v>
      </c>
      <c r="BM2">
        <f t="shared" ca="1" si="1"/>
        <v>72.091034438159809</v>
      </c>
      <c r="BN2">
        <f t="shared" ca="1" si="1"/>
        <v>71.330851515151522</v>
      </c>
      <c r="BO2">
        <f ca="1">MAX(BN2-$BN$104,0)</f>
        <v>13.330851515151522</v>
      </c>
    </row>
    <row r="3" spans="1:67">
      <c r="A3" t="s">
        <v>68</v>
      </c>
      <c r="B3" s="10">
        <f>'Q 1&amp;2'!K195</f>
        <v>0.2989527165496671</v>
      </c>
      <c r="F3">
        <f t="shared" ref="F3:F66" si="2">$B$1</f>
        <v>60.99</v>
      </c>
      <c r="G3">
        <f ca="1">F3*EXP(($B$2-0.5*$B$3^2)*$B$4+$B$3*_xlfn.NORM.INV(RAND(),0,SQRT($B$4)))</f>
        <v>61.87426580247552</v>
      </c>
      <c r="H3">
        <f t="shared" ref="G3:BN3" ca="1" si="3">G3*EXP(($B$2-0.5*$B$3^2)*$B$4+$B$3*_xlfn.NORM.INV(RAND(),0,SQRT($B$4)))</f>
        <v>62.943900873318881</v>
      </c>
      <c r="I3">
        <f t="shared" ca="1" si="3"/>
        <v>64.214774433922884</v>
      </c>
      <c r="J3">
        <f t="shared" ca="1" si="3"/>
        <v>63.129485500727483</v>
      </c>
      <c r="K3">
        <f t="shared" ca="1" si="3"/>
        <v>63.214505546690809</v>
      </c>
      <c r="L3">
        <f t="shared" ca="1" si="3"/>
        <v>64.779548810595472</v>
      </c>
      <c r="M3">
        <f t="shared" ca="1" si="3"/>
        <v>65.40718310731279</v>
      </c>
      <c r="N3">
        <f t="shared" ca="1" si="3"/>
        <v>64.657074917536747</v>
      </c>
      <c r="O3">
        <f t="shared" ca="1" si="3"/>
        <v>63.743891262584569</v>
      </c>
      <c r="P3">
        <f t="shared" ca="1" si="3"/>
        <v>63.238270272308284</v>
      </c>
      <c r="Q3">
        <f t="shared" ca="1" si="3"/>
        <v>65.783293733480789</v>
      </c>
      <c r="R3">
        <f t="shared" ca="1" si="3"/>
        <v>65.500591299336932</v>
      </c>
      <c r="S3">
        <f t="shared" ca="1" si="3"/>
        <v>64.733482128410216</v>
      </c>
      <c r="T3">
        <f t="shared" ca="1" si="3"/>
        <v>64.306645580897595</v>
      </c>
      <c r="U3">
        <f t="shared" ca="1" si="3"/>
        <v>63.686204206601296</v>
      </c>
      <c r="V3">
        <f t="shared" ca="1" si="3"/>
        <v>63.751608136632548</v>
      </c>
      <c r="W3">
        <f t="shared" ca="1" si="3"/>
        <v>62.823024885455098</v>
      </c>
      <c r="X3">
        <f t="shared" ca="1" si="3"/>
        <v>64.618574924514107</v>
      </c>
      <c r="Y3">
        <f t="shared" ca="1" si="3"/>
        <v>63.387566130013816</v>
      </c>
      <c r="Z3">
        <f t="shared" ca="1" si="3"/>
        <v>63.192658625386358</v>
      </c>
      <c r="AA3">
        <f t="shared" ca="1" si="3"/>
        <v>64.132714380638632</v>
      </c>
      <c r="AB3">
        <f t="shared" ca="1" si="3"/>
        <v>64.959806453361452</v>
      </c>
      <c r="AC3">
        <f t="shared" ca="1" si="3"/>
        <v>64.919167479971236</v>
      </c>
      <c r="AD3">
        <f t="shared" ca="1" si="3"/>
        <v>65.759303784743494</v>
      </c>
      <c r="AE3">
        <f t="shared" ca="1" si="3"/>
        <v>66.567132597918317</v>
      </c>
      <c r="AF3">
        <f t="shared" ca="1" si="3"/>
        <v>67.862172915259308</v>
      </c>
      <c r="AG3">
        <f t="shared" ca="1" si="3"/>
        <v>66.362819258221023</v>
      </c>
      <c r="AH3">
        <f t="shared" ca="1" si="3"/>
        <v>64.677008173880765</v>
      </c>
      <c r="AI3">
        <f t="shared" ca="1" si="3"/>
        <v>63.485666584173323</v>
      </c>
      <c r="AJ3">
        <f t="shared" ca="1" si="3"/>
        <v>63.874330235367424</v>
      </c>
      <c r="AK3">
        <f t="shared" ca="1" si="3"/>
        <v>65.187944135193547</v>
      </c>
      <c r="AL3">
        <f t="shared" ca="1" si="3"/>
        <v>65.520995340941852</v>
      </c>
      <c r="AM3">
        <f t="shared" ca="1" si="3"/>
        <v>64.597413304767642</v>
      </c>
      <c r="AN3">
        <f t="shared" ca="1" si="3"/>
        <v>65.034407248684502</v>
      </c>
      <c r="AO3">
        <f t="shared" ca="1" si="3"/>
        <v>65.989984180354028</v>
      </c>
      <c r="AP3">
        <f t="shared" ca="1" si="3"/>
        <v>68.653204872486086</v>
      </c>
      <c r="AQ3">
        <f t="shared" ca="1" si="3"/>
        <v>69.609853758565819</v>
      </c>
      <c r="AR3">
        <f t="shared" ca="1" si="3"/>
        <v>68.955891440691531</v>
      </c>
      <c r="AS3">
        <f t="shared" ca="1" si="3"/>
        <v>70.352558463779616</v>
      </c>
      <c r="AT3">
        <f t="shared" ca="1" si="3"/>
        <v>73.069480111152203</v>
      </c>
      <c r="AU3">
        <f t="shared" ca="1" si="3"/>
        <v>72.2249562517991</v>
      </c>
      <c r="AV3">
        <f t="shared" ca="1" si="3"/>
        <v>72.751995297381683</v>
      </c>
      <c r="AW3">
        <f t="shared" ca="1" si="3"/>
        <v>73.369956414634657</v>
      </c>
      <c r="AX3">
        <f t="shared" ca="1" si="3"/>
        <v>73.422608837749863</v>
      </c>
      <c r="AY3">
        <f t="shared" ca="1" si="3"/>
        <v>73.85625500767992</v>
      </c>
      <c r="AZ3">
        <f t="shared" ca="1" si="3"/>
        <v>73.794438411505553</v>
      </c>
      <c r="BA3">
        <f t="shared" ca="1" si="3"/>
        <v>74.772088559550497</v>
      </c>
      <c r="BB3">
        <f t="shared" ca="1" si="3"/>
        <v>72.815423652342432</v>
      </c>
      <c r="BC3">
        <f t="shared" ca="1" si="3"/>
        <v>72.635296314966553</v>
      </c>
      <c r="BD3">
        <f t="shared" ca="1" si="3"/>
        <v>75.167567069119627</v>
      </c>
      <c r="BE3">
        <f t="shared" ca="1" si="3"/>
        <v>74.994659210060462</v>
      </c>
      <c r="BF3">
        <f t="shared" ca="1" si="3"/>
        <v>74.024593372099218</v>
      </c>
      <c r="BG3">
        <f t="shared" ca="1" si="3"/>
        <v>76.270342688685162</v>
      </c>
      <c r="BH3">
        <f t="shared" ca="1" si="3"/>
        <v>76.248131137531956</v>
      </c>
      <c r="BI3">
        <f t="shared" ca="1" si="3"/>
        <v>76.272172537673413</v>
      </c>
      <c r="BJ3">
        <f t="shared" ca="1" si="3"/>
        <v>74.476095067132121</v>
      </c>
      <c r="BK3">
        <f t="shared" ca="1" si="3"/>
        <v>76.404003668771892</v>
      </c>
      <c r="BL3">
        <f t="shared" ca="1" si="3"/>
        <v>77.293348317465757</v>
      </c>
      <c r="BM3">
        <f t="shared" ca="1" si="3"/>
        <v>77.810091341572829</v>
      </c>
      <c r="BN3">
        <f t="shared" ca="1" si="3"/>
        <v>79.134556974019731</v>
      </c>
      <c r="BO3">
        <f t="shared" ref="BO3:BO66" ca="1" si="4">MAX(BN3-$BN$104,0)</f>
        <v>21.134556974019731</v>
      </c>
    </row>
    <row r="4" spans="1:67">
      <c r="A4" t="s">
        <v>69</v>
      </c>
      <c r="B4">
        <f>1/252</f>
        <v>3.968253968253968E-3</v>
      </c>
      <c r="F4">
        <f t="shared" si="2"/>
        <v>60.99</v>
      </c>
      <c r="G4">
        <f t="shared" ref="G4:BN4" ca="1" si="5">F4*EXP(($B$2-0.5*$B$3^2)*$B$4+$B$3*_xlfn.NORM.INV(RAND(),0,SQRT($B$4)))</f>
        <v>62.311629568902774</v>
      </c>
      <c r="H4">
        <f t="shared" ca="1" si="5"/>
        <v>62.762838283178155</v>
      </c>
      <c r="I4">
        <f t="shared" ca="1" si="5"/>
        <v>62.197496026627157</v>
      </c>
      <c r="J4">
        <f t="shared" ca="1" si="5"/>
        <v>62.693641997500265</v>
      </c>
      <c r="K4">
        <f t="shared" ca="1" si="5"/>
        <v>61.749782663999888</v>
      </c>
      <c r="L4">
        <f t="shared" ca="1" si="5"/>
        <v>60.553310523128353</v>
      </c>
      <c r="M4">
        <f t="shared" ca="1" si="5"/>
        <v>61.079714689809336</v>
      </c>
      <c r="N4">
        <f t="shared" ca="1" si="5"/>
        <v>62.11208024565731</v>
      </c>
      <c r="O4">
        <f t="shared" ca="1" si="5"/>
        <v>61.468001746285204</v>
      </c>
      <c r="P4">
        <f t="shared" ca="1" si="5"/>
        <v>61.85222348040724</v>
      </c>
      <c r="Q4">
        <f t="shared" ca="1" si="5"/>
        <v>61.749165530120671</v>
      </c>
      <c r="R4">
        <f t="shared" ca="1" si="5"/>
        <v>61.817894240736784</v>
      </c>
      <c r="S4">
        <f t="shared" ca="1" si="5"/>
        <v>62.460263194594496</v>
      </c>
      <c r="T4">
        <f t="shared" ca="1" si="5"/>
        <v>62.443518451043005</v>
      </c>
      <c r="U4">
        <f t="shared" ca="1" si="5"/>
        <v>61.778856698648816</v>
      </c>
      <c r="V4">
        <f t="shared" ca="1" si="5"/>
        <v>60.616046046088158</v>
      </c>
      <c r="W4">
        <f t="shared" ca="1" si="5"/>
        <v>59.828207083631582</v>
      </c>
      <c r="X4">
        <f t="shared" ca="1" si="5"/>
        <v>60.829412874313334</v>
      </c>
      <c r="Y4">
        <f t="shared" ca="1" si="5"/>
        <v>61.345660154267691</v>
      </c>
      <c r="Z4">
        <f t="shared" ca="1" si="5"/>
        <v>59.976336887326831</v>
      </c>
      <c r="AA4">
        <f t="shared" ca="1" si="5"/>
        <v>62.278717560210971</v>
      </c>
      <c r="AB4">
        <f t="shared" ca="1" si="5"/>
        <v>63.001587844947927</v>
      </c>
      <c r="AC4">
        <f t="shared" ca="1" si="5"/>
        <v>63.147676358403096</v>
      </c>
      <c r="AD4">
        <f t="shared" ca="1" si="5"/>
        <v>64.300035704590513</v>
      </c>
      <c r="AE4">
        <f t="shared" ca="1" si="5"/>
        <v>64.066595596366909</v>
      </c>
      <c r="AF4">
        <f t="shared" ca="1" si="5"/>
        <v>66.571447067609469</v>
      </c>
      <c r="AG4">
        <f t="shared" ca="1" si="5"/>
        <v>67.94055094556802</v>
      </c>
      <c r="AH4">
        <f t="shared" ca="1" si="5"/>
        <v>66.137703066297107</v>
      </c>
      <c r="AI4">
        <f t="shared" ca="1" si="5"/>
        <v>64.00918393966289</v>
      </c>
      <c r="AJ4">
        <f t="shared" ca="1" si="5"/>
        <v>63.39142155314498</v>
      </c>
      <c r="AK4">
        <f t="shared" ca="1" si="5"/>
        <v>63.82563765359869</v>
      </c>
      <c r="AL4">
        <f t="shared" ca="1" si="5"/>
        <v>64.80273973257826</v>
      </c>
      <c r="AM4">
        <f t="shared" ca="1" si="5"/>
        <v>65.198438128116123</v>
      </c>
      <c r="AN4">
        <f t="shared" ca="1" si="5"/>
        <v>63.711265644583243</v>
      </c>
      <c r="AO4">
        <f t="shared" ca="1" si="5"/>
        <v>63.109380724113819</v>
      </c>
      <c r="AP4">
        <f t="shared" ca="1" si="5"/>
        <v>64.454847104854466</v>
      </c>
      <c r="AQ4">
        <f t="shared" ca="1" si="5"/>
        <v>60.861961599135313</v>
      </c>
      <c r="AR4">
        <f t="shared" ca="1" si="5"/>
        <v>59.797388682843263</v>
      </c>
      <c r="AS4">
        <f t="shared" ca="1" si="5"/>
        <v>60.525892832265598</v>
      </c>
      <c r="AT4">
        <f t="shared" ca="1" si="5"/>
        <v>60.2576604089315</v>
      </c>
      <c r="AU4">
        <f t="shared" ca="1" si="5"/>
        <v>59.779903543030208</v>
      </c>
      <c r="AV4">
        <f t="shared" ca="1" si="5"/>
        <v>58.364866320001887</v>
      </c>
      <c r="AW4">
        <f t="shared" ca="1" si="5"/>
        <v>57.154102976729575</v>
      </c>
      <c r="AX4">
        <f t="shared" ca="1" si="5"/>
        <v>57.793045713040073</v>
      </c>
      <c r="AY4">
        <f t="shared" ca="1" si="5"/>
        <v>59.262414172026077</v>
      </c>
      <c r="AZ4">
        <f t="shared" ca="1" si="5"/>
        <v>59.42611870900074</v>
      </c>
      <c r="BA4">
        <f t="shared" ca="1" si="5"/>
        <v>60.306290114398173</v>
      </c>
      <c r="BB4">
        <f t="shared" ca="1" si="5"/>
        <v>62.600536581153499</v>
      </c>
      <c r="BC4">
        <f t="shared" ca="1" si="5"/>
        <v>61.117647167471169</v>
      </c>
      <c r="BD4">
        <f t="shared" ca="1" si="5"/>
        <v>60.635219654477211</v>
      </c>
      <c r="BE4">
        <f t="shared" ca="1" si="5"/>
        <v>62.211936974309324</v>
      </c>
      <c r="BF4">
        <f t="shared" ca="1" si="5"/>
        <v>61.703506665103205</v>
      </c>
      <c r="BG4">
        <f t="shared" ca="1" si="5"/>
        <v>60.274057868160554</v>
      </c>
      <c r="BH4">
        <f t="shared" ca="1" si="5"/>
        <v>60.698194312171687</v>
      </c>
      <c r="BI4">
        <f t="shared" ca="1" si="5"/>
        <v>58.186644528440105</v>
      </c>
      <c r="BJ4">
        <f t="shared" ca="1" si="5"/>
        <v>56.819837516339142</v>
      </c>
      <c r="BK4">
        <f t="shared" ca="1" si="5"/>
        <v>57.191093564733691</v>
      </c>
      <c r="BL4">
        <f t="shared" ca="1" si="5"/>
        <v>57.735631337767742</v>
      </c>
      <c r="BM4">
        <f t="shared" ca="1" si="5"/>
        <v>57.926131989410116</v>
      </c>
      <c r="BN4">
        <f t="shared" ca="1" si="5"/>
        <v>58.098778734746453</v>
      </c>
      <c r="BO4">
        <f t="shared" ca="1" si="4"/>
        <v>9.8778734746453267E-2</v>
      </c>
    </row>
    <row r="5" spans="1:67">
      <c r="A5" t="s">
        <v>70</v>
      </c>
      <c r="B5">
        <f>'Q 1&amp;2'!F192</f>
        <v>4.2049999999999997E-2</v>
      </c>
      <c r="F5">
        <f t="shared" si="2"/>
        <v>60.99</v>
      </c>
      <c r="G5">
        <f t="shared" ref="G5:BN5" ca="1" si="6">F5*EXP(($B$2-0.5*$B$3^2)*$B$4+$B$3*_xlfn.NORM.INV(RAND(),0,SQRT($B$4)))</f>
        <v>61.197821126268565</v>
      </c>
      <c r="H5">
        <f t="shared" ca="1" si="6"/>
        <v>63.242002007904368</v>
      </c>
      <c r="I5">
        <f t="shared" ca="1" si="6"/>
        <v>62.672965331588031</v>
      </c>
      <c r="J5">
        <f t="shared" ca="1" si="6"/>
        <v>62.257874271589706</v>
      </c>
      <c r="K5">
        <f t="shared" ca="1" si="6"/>
        <v>62.075638444111142</v>
      </c>
      <c r="L5">
        <f t="shared" ca="1" si="6"/>
        <v>58.613432636117594</v>
      </c>
      <c r="M5">
        <f t="shared" ca="1" si="6"/>
        <v>57.54647455292325</v>
      </c>
      <c r="N5">
        <f t="shared" ca="1" si="6"/>
        <v>57.436551873075317</v>
      </c>
      <c r="O5">
        <f t="shared" ca="1" si="6"/>
        <v>57.170451623267084</v>
      </c>
      <c r="P5">
        <f t="shared" ca="1" si="6"/>
        <v>56.179813723368518</v>
      </c>
      <c r="Q5">
        <f t="shared" ca="1" si="6"/>
        <v>56.669449198707611</v>
      </c>
      <c r="R5">
        <f t="shared" ca="1" si="6"/>
        <v>56.487390945164002</v>
      </c>
      <c r="S5">
        <f t="shared" ca="1" si="6"/>
        <v>55.239222299930567</v>
      </c>
      <c r="T5">
        <f t="shared" ca="1" si="6"/>
        <v>56.001933204329262</v>
      </c>
      <c r="U5">
        <f t="shared" ca="1" si="6"/>
        <v>58.451445757397131</v>
      </c>
      <c r="V5">
        <f t="shared" ca="1" si="6"/>
        <v>61.381849267371436</v>
      </c>
      <c r="W5">
        <f t="shared" ca="1" si="6"/>
        <v>61.747439668360073</v>
      </c>
      <c r="X5">
        <f t="shared" ca="1" si="6"/>
        <v>61.609858607545895</v>
      </c>
      <c r="Y5">
        <f t="shared" ca="1" si="6"/>
        <v>59.485807346333935</v>
      </c>
      <c r="Z5">
        <f t="shared" ca="1" si="6"/>
        <v>59.520213957189974</v>
      </c>
      <c r="AA5">
        <f t="shared" ca="1" si="6"/>
        <v>59.824268422570064</v>
      </c>
      <c r="AB5">
        <f t="shared" ca="1" si="6"/>
        <v>60.155316124290749</v>
      </c>
      <c r="AC5">
        <f t="shared" ca="1" si="6"/>
        <v>60.063569923198877</v>
      </c>
      <c r="AD5">
        <f t="shared" ca="1" si="6"/>
        <v>60.820913359594122</v>
      </c>
      <c r="AE5">
        <f t="shared" ca="1" si="6"/>
        <v>60.271845877416474</v>
      </c>
      <c r="AF5">
        <f t="shared" ca="1" si="6"/>
        <v>59.540991796151211</v>
      </c>
      <c r="AG5">
        <f t="shared" ca="1" si="6"/>
        <v>59.940930155598004</v>
      </c>
      <c r="AH5">
        <f t="shared" ca="1" si="6"/>
        <v>60.691828486612913</v>
      </c>
      <c r="AI5">
        <f t="shared" ca="1" si="6"/>
        <v>60.932890087551733</v>
      </c>
      <c r="AJ5">
        <f t="shared" ca="1" si="6"/>
        <v>62.370902109759655</v>
      </c>
      <c r="AK5">
        <f t="shared" ca="1" si="6"/>
        <v>63.810759709759814</v>
      </c>
      <c r="AL5">
        <f t="shared" ca="1" si="6"/>
        <v>64.239640578782314</v>
      </c>
      <c r="AM5">
        <f t="shared" ca="1" si="6"/>
        <v>63.650564532000921</v>
      </c>
      <c r="AN5">
        <f t="shared" ca="1" si="6"/>
        <v>62.537147774659417</v>
      </c>
      <c r="AO5">
        <f t="shared" ca="1" si="6"/>
        <v>62.102975647125469</v>
      </c>
      <c r="AP5">
        <f t="shared" ca="1" si="6"/>
        <v>63.24832273067662</v>
      </c>
      <c r="AQ5">
        <f t="shared" ca="1" si="6"/>
        <v>65.742390467451401</v>
      </c>
      <c r="AR5">
        <f t="shared" ca="1" si="6"/>
        <v>65.881651024334232</v>
      </c>
      <c r="AS5">
        <f t="shared" ca="1" si="6"/>
        <v>66.405234667392676</v>
      </c>
      <c r="AT5">
        <f t="shared" ca="1" si="6"/>
        <v>67.093058617481702</v>
      </c>
      <c r="AU5">
        <f t="shared" ca="1" si="6"/>
        <v>66.207077644898817</v>
      </c>
      <c r="AV5">
        <f t="shared" ca="1" si="6"/>
        <v>63.67937854440413</v>
      </c>
      <c r="AW5">
        <f t="shared" ca="1" si="6"/>
        <v>66.695246273559334</v>
      </c>
      <c r="AX5">
        <f t="shared" ca="1" si="6"/>
        <v>66.125504698247724</v>
      </c>
      <c r="AY5">
        <f t="shared" ca="1" si="6"/>
        <v>65.041550517311038</v>
      </c>
      <c r="AZ5">
        <f t="shared" ca="1" si="6"/>
        <v>62.514556757186668</v>
      </c>
      <c r="BA5">
        <f t="shared" ca="1" si="6"/>
        <v>60.7874454998136</v>
      </c>
      <c r="BB5">
        <f t="shared" ca="1" si="6"/>
        <v>63.05321039913413</v>
      </c>
      <c r="BC5">
        <f t="shared" ca="1" si="6"/>
        <v>64.58161340872698</v>
      </c>
      <c r="BD5">
        <f t="shared" ca="1" si="6"/>
        <v>64.112706062532595</v>
      </c>
      <c r="BE5">
        <f t="shared" ca="1" si="6"/>
        <v>64.507949557447461</v>
      </c>
      <c r="BF5">
        <f t="shared" ca="1" si="6"/>
        <v>63.423744779903657</v>
      </c>
      <c r="BG5">
        <f t="shared" ca="1" si="6"/>
        <v>63.925284144714141</v>
      </c>
      <c r="BH5">
        <f t="shared" ca="1" si="6"/>
        <v>66.479623479749122</v>
      </c>
      <c r="BI5">
        <f t="shared" ca="1" si="6"/>
        <v>67.138272209209802</v>
      </c>
      <c r="BJ5">
        <f t="shared" ca="1" si="6"/>
        <v>66.545072728079987</v>
      </c>
      <c r="BK5">
        <f t="shared" ca="1" si="6"/>
        <v>65.33671938027382</v>
      </c>
      <c r="BL5">
        <f t="shared" ca="1" si="6"/>
        <v>65.961442561379883</v>
      </c>
      <c r="BM5">
        <f t="shared" ca="1" si="6"/>
        <v>64.573291458119527</v>
      </c>
      <c r="BN5">
        <f t="shared" ca="1" si="6"/>
        <v>64.774673719266147</v>
      </c>
      <c r="BO5">
        <f t="shared" ca="1" si="4"/>
        <v>6.774673719266147</v>
      </c>
    </row>
    <row r="6" spans="1:67">
      <c r="A6" t="s">
        <v>71</v>
      </c>
      <c r="B6">
        <f>60/252</f>
        <v>0.23809523809523808</v>
      </c>
      <c r="F6">
        <f t="shared" si="2"/>
        <v>60.99</v>
      </c>
      <c r="G6">
        <f t="shared" ref="G6:BN6" ca="1" si="7">F6*EXP(($B$2-0.5*$B$3^2)*$B$4+$B$3*_xlfn.NORM.INV(RAND(),0,SQRT($B$4)))</f>
        <v>61.105522835899329</v>
      </c>
      <c r="H6">
        <f t="shared" ca="1" si="7"/>
        <v>60.709408921034651</v>
      </c>
      <c r="I6">
        <f t="shared" ca="1" si="7"/>
        <v>60.920322935225151</v>
      </c>
      <c r="J6">
        <f t="shared" ca="1" si="7"/>
        <v>61.148131198766912</v>
      </c>
      <c r="K6">
        <f t="shared" ca="1" si="7"/>
        <v>61.40279133561792</v>
      </c>
      <c r="L6">
        <f t="shared" ca="1" si="7"/>
        <v>61.491754846462861</v>
      </c>
      <c r="M6">
        <f t="shared" ca="1" si="7"/>
        <v>60.242333667361336</v>
      </c>
      <c r="N6">
        <f t="shared" ca="1" si="7"/>
        <v>61.910551350309035</v>
      </c>
      <c r="O6">
        <f t="shared" ca="1" si="7"/>
        <v>63.033186088363081</v>
      </c>
      <c r="P6">
        <f t="shared" ca="1" si="7"/>
        <v>63.460481710257064</v>
      </c>
      <c r="Q6">
        <f t="shared" ca="1" si="7"/>
        <v>62.626204312765687</v>
      </c>
      <c r="R6">
        <f t="shared" ca="1" si="7"/>
        <v>64.649790621649942</v>
      </c>
      <c r="S6">
        <f t="shared" ca="1" si="7"/>
        <v>62.26530542586007</v>
      </c>
      <c r="T6">
        <f t="shared" ca="1" si="7"/>
        <v>62.152644880364001</v>
      </c>
      <c r="U6">
        <f t="shared" ca="1" si="7"/>
        <v>63.587411902387409</v>
      </c>
      <c r="V6">
        <f t="shared" ca="1" si="7"/>
        <v>64.917859370632897</v>
      </c>
      <c r="W6">
        <f t="shared" ca="1" si="7"/>
        <v>65.112041493602504</v>
      </c>
      <c r="X6">
        <f t="shared" ca="1" si="7"/>
        <v>64.390266506296157</v>
      </c>
      <c r="Y6">
        <f t="shared" ca="1" si="7"/>
        <v>64.043113843197446</v>
      </c>
      <c r="Z6">
        <f t="shared" ca="1" si="7"/>
        <v>64.795103459585789</v>
      </c>
      <c r="AA6">
        <f t="shared" ca="1" si="7"/>
        <v>65.954492634485234</v>
      </c>
      <c r="AB6">
        <f t="shared" ca="1" si="7"/>
        <v>67.083983824868497</v>
      </c>
      <c r="AC6">
        <f t="shared" ca="1" si="7"/>
        <v>66.79423835285769</v>
      </c>
      <c r="AD6">
        <f t="shared" ca="1" si="7"/>
        <v>67.569794045128305</v>
      </c>
      <c r="AE6">
        <f t="shared" ca="1" si="7"/>
        <v>68.184165400052166</v>
      </c>
      <c r="AF6">
        <f t="shared" ca="1" si="7"/>
        <v>67.930587281987954</v>
      </c>
      <c r="AG6">
        <f t="shared" ca="1" si="7"/>
        <v>68.07539700870619</v>
      </c>
      <c r="AH6">
        <f t="shared" ca="1" si="7"/>
        <v>68.651846253755039</v>
      </c>
      <c r="AI6">
        <f t="shared" ca="1" si="7"/>
        <v>69.297656770437953</v>
      </c>
      <c r="AJ6">
        <f t="shared" ca="1" si="7"/>
        <v>70.197939279882917</v>
      </c>
      <c r="AK6">
        <f t="shared" ca="1" si="7"/>
        <v>69.204421067792254</v>
      </c>
      <c r="AL6">
        <f t="shared" ca="1" si="7"/>
        <v>69.835652078581148</v>
      </c>
      <c r="AM6">
        <f t="shared" ca="1" si="7"/>
        <v>72.312558230420905</v>
      </c>
      <c r="AN6">
        <f t="shared" ca="1" si="7"/>
        <v>70.466032652207971</v>
      </c>
      <c r="AO6">
        <f t="shared" ca="1" si="7"/>
        <v>72.280272069213765</v>
      </c>
      <c r="AP6">
        <f t="shared" ca="1" si="7"/>
        <v>71.905913621364988</v>
      </c>
      <c r="AQ6">
        <f t="shared" ca="1" si="7"/>
        <v>70.446440008424148</v>
      </c>
      <c r="AR6">
        <f t="shared" ca="1" si="7"/>
        <v>71.75035436282252</v>
      </c>
      <c r="AS6">
        <f t="shared" ca="1" si="7"/>
        <v>73.037590822934419</v>
      </c>
      <c r="AT6">
        <f t="shared" ca="1" si="7"/>
        <v>70.913468410543203</v>
      </c>
      <c r="AU6">
        <f t="shared" ca="1" si="7"/>
        <v>71.033303823748952</v>
      </c>
      <c r="AV6">
        <f t="shared" ca="1" si="7"/>
        <v>69.670316666052614</v>
      </c>
      <c r="AW6">
        <f t="shared" ca="1" si="7"/>
        <v>70.613857585248013</v>
      </c>
      <c r="AX6">
        <f t="shared" ca="1" si="7"/>
        <v>70.028544001104734</v>
      </c>
      <c r="AY6">
        <f t="shared" ca="1" si="7"/>
        <v>70.312806561077323</v>
      </c>
      <c r="AZ6">
        <f t="shared" ca="1" si="7"/>
        <v>72.288124745938774</v>
      </c>
      <c r="BA6">
        <f t="shared" ca="1" si="7"/>
        <v>71.4957048139687</v>
      </c>
      <c r="BB6">
        <f t="shared" ca="1" si="7"/>
        <v>71.818239606458661</v>
      </c>
      <c r="BC6">
        <f t="shared" ca="1" si="7"/>
        <v>74.70329326149681</v>
      </c>
      <c r="BD6">
        <f t="shared" ca="1" si="7"/>
        <v>75.916808957677873</v>
      </c>
      <c r="BE6">
        <f t="shared" ca="1" si="7"/>
        <v>73.578141221064627</v>
      </c>
      <c r="BF6">
        <f t="shared" ca="1" si="7"/>
        <v>71.553277137779034</v>
      </c>
      <c r="BG6">
        <f t="shared" ca="1" si="7"/>
        <v>69.033634570221153</v>
      </c>
      <c r="BH6">
        <f t="shared" ca="1" si="7"/>
        <v>70.34153228738522</v>
      </c>
      <c r="BI6">
        <f t="shared" ca="1" si="7"/>
        <v>69.175957256360675</v>
      </c>
      <c r="BJ6">
        <f t="shared" ca="1" si="7"/>
        <v>68.603061941364743</v>
      </c>
      <c r="BK6">
        <f t="shared" ca="1" si="7"/>
        <v>68.195578439196311</v>
      </c>
      <c r="BL6">
        <f t="shared" ca="1" si="7"/>
        <v>68.54772319214743</v>
      </c>
      <c r="BM6">
        <f t="shared" ca="1" si="7"/>
        <v>68.374371132219437</v>
      </c>
      <c r="BN6">
        <f t="shared" ca="1" si="7"/>
        <v>68.443738418858459</v>
      </c>
      <c r="BO6">
        <f t="shared" ca="1" si="4"/>
        <v>10.443738418858459</v>
      </c>
    </row>
    <row r="7" spans="1:67">
      <c r="F7">
        <f t="shared" si="2"/>
        <v>60.99</v>
      </c>
      <c r="G7">
        <f t="shared" ref="G7:BN7" ca="1" si="8">F7*EXP(($B$2-0.5*$B$3^2)*$B$4+$B$3*_xlfn.NORM.INV(RAND(),0,SQRT($B$4)))</f>
        <v>60.949589194310924</v>
      </c>
      <c r="H7">
        <f t="shared" ca="1" si="8"/>
        <v>58.134669214498921</v>
      </c>
      <c r="I7">
        <f t="shared" ca="1" si="8"/>
        <v>57.612933177678102</v>
      </c>
      <c r="J7">
        <f t="shared" ca="1" si="8"/>
        <v>57.839916578190753</v>
      </c>
      <c r="K7">
        <f t="shared" ca="1" si="8"/>
        <v>57.074758114541581</v>
      </c>
      <c r="L7">
        <f t="shared" ca="1" si="8"/>
        <v>56.802230001790925</v>
      </c>
      <c r="M7">
        <f t="shared" ca="1" si="8"/>
        <v>58.441867955983369</v>
      </c>
      <c r="N7">
        <f t="shared" ca="1" si="8"/>
        <v>58.222285428040728</v>
      </c>
      <c r="O7">
        <f t="shared" ca="1" si="8"/>
        <v>59.544885110702985</v>
      </c>
      <c r="P7">
        <f t="shared" ca="1" si="8"/>
        <v>57.592078274093026</v>
      </c>
      <c r="Q7">
        <f t="shared" ca="1" si="8"/>
        <v>57.467780523885096</v>
      </c>
      <c r="R7">
        <f t="shared" ca="1" si="8"/>
        <v>57.075317799633389</v>
      </c>
      <c r="S7">
        <f t="shared" ca="1" si="8"/>
        <v>56.493684736387472</v>
      </c>
      <c r="T7">
        <f t="shared" ca="1" si="8"/>
        <v>56.664306993590088</v>
      </c>
      <c r="U7">
        <f t="shared" ca="1" si="8"/>
        <v>54.622139386346184</v>
      </c>
      <c r="V7">
        <f t="shared" ca="1" si="8"/>
        <v>54.838330858649215</v>
      </c>
      <c r="W7">
        <f t="shared" ca="1" si="8"/>
        <v>53.239557853302671</v>
      </c>
      <c r="X7">
        <f t="shared" ca="1" si="8"/>
        <v>53.423374154463325</v>
      </c>
      <c r="Y7">
        <f t="shared" ca="1" si="8"/>
        <v>53.169325336409123</v>
      </c>
      <c r="Z7">
        <f t="shared" ca="1" si="8"/>
        <v>53.506593177743476</v>
      </c>
      <c r="AA7">
        <f t="shared" ca="1" si="8"/>
        <v>52.947276912666347</v>
      </c>
      <c r="AB7">
        <f t="shared" ca="1" si="8"/>
        <v>52.907486652151896</v>
      </c>
      <c r="AC7">
        <f t="shared" ca="1" si="8"/>
        <v>52.629861124265666</v>
      </c>
      <c r="AD7">
        <f t="shared" ca="1" si="8"/>
        <v>52.501709841465839</v>
      </c>
      <c r="AE7">
        <f t="shared" ca="1" si="8"/>
        <v>52.800169250529962</v>
      </c>
      <c r="AF7">
        <f t="shared" ca="1" si="8"/>
        <v>53.168642365698354</v>
      </c>
      <c r="AG7">
        <f t="shared" ca="1" si="8"/>
        <v>52.544745861795462</v>
      </c>
      <c r="AH7">
        <f t="shared" ca="1" si="8"/>
        <v>53.008354255304589</v>
      </c>
      <c r="AI7">
        <f t="shared" ca="1" si="8"/>
        <v>53.379117074695728</v>
      </c>
      <c r="AJ7">
        <f t="shared" ca="1" si="8"/>
        <v>54.375853960334616</v>
      </c>
      <c r="AK7">
        <f t="shared" ca="1" si="8"/>
        <v>53.057263422446589</v>
      </c>
      <c r="AL7">
        <f t="shared" ca="1" si="8"/>
        <v>53.132434123253198</v>
      </c>
      <c r="AM7">
        <f t="shared" ca="1" si="8"/>
        <v>54.363828882139664</v>
      </c>
      <c r="AN7">
        <f t="shared" ca="1" si="8"/>
        <v>54.527006659868576</v>
      </c>
      <c r="AO7">
        <f t="shared" ca="1" si="8"/>
        <v>55.500123797771721</v>
      </c>
      <c r="AP7">
        <f t="shared" ca="1" si="8"/>
        <v>55.843702202746314</v>
      </c>
      <c r="AQ7">
        <f t="shared" ca="1" si="8"/>
        <v>54.924444398949831</v>
      </c>
      <c r="AR7">
        <f t="shared" ca="1" si="8"/>
        <v>54.606579394643987</v>
      </c>
      <c r="AS7">
        <f t="shared" ca="1" si="8"/>
        <v>53.221019444225533</v>
      </c>
      <c r="AT7">
        <f t="shared" ca="1" si="8"/>
        <v>53.767155127628712</v>
      </c>
      <c r="AU7">
        <f t="shared" ca="1" si="8"/>
        <v>52.886569591848072</v>
      </c>
      <c r="AV7">
        <f t="shared" ca="1" si="8"/>
        <v>53.220529550513994</v>
      </c>
      <c r="AW7">
        <f t="shared" ca="1" si="8"/>
        <v>53.51231059514059</v>
      </c>
      <c r="AX7">
        <f t="shared" ca="1" si="8"/>
        <v>53.826945676153578</v>
      </c>
      <c r="AY7">
        <f t="shared" ca="1" si="8"/>
        <v>53.826632294678426</v>
      </c>
      <c r="AZ7">
        <f t="shared" ca="1" si="8"/>
        <v>52.224111011219314</v>
      </c>
      <c r="BA7">
        <f t="shared" ca="1" si="8"/>
        <v>51.064780183778872</v>
      </c>
      <c r="BB7">
        <f t="shared" ca="1" si="8"/>
        <v>50.188738483069834</v>
      </c>
      <c r="BC7">
        <f t="shared" ca="1" si="8"/>
        <v>50.638519000987721</v>
      </c>
      <c r="BD7">
        <f t="shared" ca="1" si="8"/>
        <v>48.610728115589694</v>
      </c>
      <c r="BE7">
        <f t="shared" ca="1" si="8"/>
        <v>47.899567793251798</v>
      </c>
      <c r="BF7">
        <f t="shared" ca="1" si="8"/>
        <v>48.891427175118018</v>
      </c>
      <c r="BG7">
        <f t="shared" ca="1" si="8"/>
        <v>48.790112842864595</v>
      </c>
      <c r="BH7">
        <f t="shared" ca="1" si="8"/>
        <v>50.397335704728484</v>
      </c>
      <c r="BI7">
        <f t="shared" ca="1" si="8"/>
        <v>51.512994279229702</v>
      </c>
      <c r="BJ7">
        <f t="shared" ca="1" si="8"/>
        <v>51.75486940990529</v>
      </c>
      <c r="BK7">
        <f t="shared" ca="1" si="8"/>
        <v>52.906792382384943</v>
      </c>
      <c r="BL7">
        <f t="shared" ca="1" si="8"/>
        <v>52.233494974309146</v>
      </c>
      <c r="BM7">
        <f t="shared" ca="1" si="8"/>
        <v>52.668215078621962</v>
      </c>
      <c r="BN7">
        <f t="shared" ca="1" si="8"/>
        <v>53.019089260339662</v>
      </c>
      <c r="BO7">
        <f t="shared" ca="1" si="4"/>
        <v>0</v>
      </c>
    </row>
    <row r="8" spans="1:67">
      <c r="F8">
        <f t="shared" si="2"/>
        <v>60.99</v>
      </c>
      <c r="G8">
        <f t="shared" ref="G8:BN8" ca="1" si="9">F8*EXP(($B$2-0.5*$B$3^2)*$B$4+$B$3*_xlfn.NORM.INV(RAND(),0,SQRT($B$4)))</f>
        <v>63.039002198972959</v>
      </c>
      <c r="H8">
        <f t="shared" ca="1" si="9"/>
        <v>63.770438808984132</v>
      </c>
      <c r="I8">
        <f t="shared" ca="1" si="9"/>
        <v>63.173057494577392</v>
      </c>
      <c r="J8">
        <f t="shared" ca="1" si="9"/>
        <v>64.4289959490538</v>
      </c>
      <c r="K8">
        <f t="shared" ca="1" si="9"/>
        <v>62.515743173770943</v>
      </c>
      <c r="L8">
        <f t="shared" ca="1" si="9"/>
        <v>61.939909815067097</v>
      </c>
      <c r="M8">
        <f t="shared" ca="1" si="9"/>
        <v>60.950835052489779</v>
      </c>
      <c r="N8">
        <f t="shared" ca="1" si="9"/>
        <v>61.99465097058247</v>
      </c>
      <c r="O8">
        <f t="shared" ca="1" si="9"/>
        <v>61.759522130834846</v>
      </c>
      <c r="P8">
        <f t="shared" ca="1" si="9"/>
        <v>60.741757038514535</v>
      </c>
      <c r="Q8">
        <f t="shared" ca="1" si="9"/>
        <v>60.320960074572611</v>
      </c>
      <c r="R8">
        <f t="shared" ca="1" si="9"/>
        <v>59.112950209823687</v>
      </c>
      <c r="S8">
        <f t="shared" ca="1" si="9"/>
        <v>57.613133762393602</v>
      </c>
      <c r="T8">
        <f t="shared" ca="1" si="9"/>
        <v>58.175113876486421</v>
      </c>
      <c r="U8">
        <f t="shared" ca="1" si="9"/>
        <v>59.441171406531417</v>
      </c>
      <c r="V8">
        <f t="shared" ca="1" si="9"/>
        <v>61.421821849900617</v>
      </c>
      <c r="W8">
        <f t="shared" ca="1" si="9"/>
        <v>63.827120346691068</v>
      </c>
      <c r="X8">
        <f t="shared" ca="1" si="9"/>
        <v>65.20029082245172</v>
      </c>
      <c r="Y8">
        <f t="shared" ca="1" si="9"/>
        <v>66.165975579778234</v>
      </c>
      <c r="Z8">
        <f t="shared" ca="1" si="9"/>
        <v>66.130318885215274</v>
      </c>
      <c r="AA8">
        <f t="shared" ca="1" si="9"/>
        <v>66.502156770126376</v>
      </c>
      <c r="AB8">
        <f t="shared" ca="1" si="9"/>
        <v>66.816191857583959</v>
      </c>
      <c r="AC8">
        <f t="shared" ca="1" si="9"/>
        <v>65.609083883613948</v>
      </c>
      <c r="AD8">
        <f t="shared" ca="1" si="9"/>
        <v>65.872257776516207</v>
      </c>
      <c r="AE8">
        <f t="shared" ca="1" si="9"/>
        <v>64.835757315127495</v>
      </c>
      <c r="AF8">
        <f t="shared" ca="1" si="9"/>
        <v>66.43238764146362</v>
      </c>
      <c r="AG8">
        <f t="shared" ca="1" si="9"/>
        <v>67.190115024709655</v>
      </c>
      <c r="AH8">
        <f t="shared" ca="1" si="9"/>
        <v>69.197512413602837</v>
      </c>
      <c r="AI8">
        <f t="shared" ca="1" si="9"/>
        <v>69.507147442635286</v>
      </c>
      <c r="AJ8">
        <f t="shared" ca="1" si="9"/>
        <v>68.161112043630638</v>
      </c>
      <c r="AK8">
        <f t="shared" ca="1" si="9"/>
        <v>68.277415108390443</v>
      </c>
      <c r="AL8">
        <f t="shared" ca="1" si="9"/>
        <v>67.659373892185926</v>
      </c>
      <c r="AM8">
        <f t="shared" ca="1" si="9"/>
        <v>67.669431564974104</v>
      </c>
      <c r="AN8">
        <f t="shared" ca="1" si="9"/>
        <v>68.285037137133017</v>
      </c>
      <c r="AO8">
        <f t="shared" ca="1" si="9"/>
        <v>68.982903973031554</v>
      </c>
      <c r="AP8">
        <f t="shared" ca="1" si="9"/>
        <v>66.471349922044013</v>
      </c>
      <c r="AQ8">
        <f t="shared" ca="1" si="9"/>
        <v>67.419548702336144</v>
      </c>
      <c r="AR8">
        <f t="shared" ca="1" si="9"/>
        <v>68.089637667859165</v>
      </c>
      <c r="AS8">
        <f t="shared" ca="1" si="9"/>
        <v>68.073750308621541</v>
      </c>
      <c r="AT8">
        <f t="shared" ca="1" si="9"/>
        <v>68.831071975993439</v>
      </c>
      <c r="AU8">
        <f t="shared" ca="1" si="9"/>
        <v>70.897220712663824</v>
      </c>
      <c r="AV8">
        <f t="shared" ca="1" si="9"/>
        <v>71.72536221535708</v>
      </c>
      <c r="AW8">
        <f t="shared" ca="1" si="9"/>
        <v>71.347900152918172</v>
      </c>
      <c r="AX8">
        <f t="shared" ca="1" si="9"/>
        <v>68.490480613188623</v>
      </c>
      <c r="AY8">
        <f t="shared" ca="1" si="9"/>
        <v>67.645377891764952</v>
      </c>
      <c r="AZ8">
        <f t="shared" ca="1" si="9"/>
        <v>67.880346883915607</v>
      </c>
      <c r="BA8">
        <f t="shared" ca="1" si="9"/>
        <v>66.297423697286575</v>
      </c>
      <c r="BB8">
        <f t="shared" ca="1" si="9"/>
        <v>66.402160843180766</v>
      </c>
      <c r="BC8">
        <f t="shared" ca="1" si="9"/>
        <v>65.411200720148059</v>
      </c>
      <c r="BD8">
        <f t="shared" ca="1" si="9"/>
        <v>64.902623440863607</v>
      </c>
      <c r="BE8">
        <f t="shared" ca="1" si="9"/>
        <v>64.198109122316438</v>
      </c>
      <c r="BF8">
        <f t="shared" ca="1" si="9"/>
        <v>63.436378505356437</v>
      </c>
      <c r="BG8">
        <f t="shared" ca="1" si="9"/>
        <v>65.497243214463509</v>
      </c>
      <c r="BH8">
        <f t="shared" ca="1" si="9"/>
        <v>64.760315990610621</v>
      </c>
      <c r="BI8">
        <f t="shared" ca="1" si="9"/>
        <v>65.9310724548927</v>
      </c>
      <c r="BJ8">
        <f t="shared" ca="1" si="9"/>
        <v>65.867432256348465</v>
      </c>
      <c r="BK8">
        <f t="shared" ca="1" si="9"/>
        <v>67.293239267740006</v>
      </c>
      <c r="BL8">
        <f t="shared" ca="1" si="9"/>
        <v>69.067035440275532</v>
      </c>
      <c r="BM8">
        <f t="shared" ca="1" si="9"/>
        <v>70.161921647164164</v>
      </c>
      <c r="BN8">
        <f t="shared" ca="1" si="9"/>
        <v>70.074430617790838</v>
      </c>
      <c r="BO8">
        <f t="shared" ca="1" si="4"/>
        <v>12.074430617790838</v>
      </c>
    </row>
    <row r="9" spans="1:67">
      <c r="F9">
        <f t="shared" si="2"/>
        <v>60.99</v>
      </c>
      <c r="G9">
        <f t="shared" ref="G9:BN9" ca="1" si="10">F9*EXP(($B$2-0.5*$B$3^2)*$B$4+$B$3*_xlfn.NORM.INV(RAND(),0,SQRT($B$4)))</f>
        <v>60.045447998957719</v>
      </c>
      <c r="H9">
        <f t="shared" ca="1" si="10"/>
        <v>59.271336466290897</v>
      </c>
      <c r="I9">
        <f t="shared" ca="1" si="10"/>
        <v>59.292402514783106</v>
      </c>
      <c r="J9">
        <f t="shared" ca="1" si="10"/>
        <v>60.989687964101662</v>
      </c>
      <c r="K9">
        <f t="shared" ca="1" si="10"/>
        <v>60.341718635128423</v>
      </c>
      <c r="L9">
        <f t="shared" ca="1" si="10"/>
        <v>60.172254324925696</v>
      </c>
      <c r="M9">
        <f t="shared" ca="1" si="10"/>
        <v>60.267495042319773</v>
      </c>
      <c r="N9">
        <f t="shared" ca="1" si="10"/>
        <v>60.435466030440658</v>
      </c>
      <c r="O9">
        <f t="shared" ca="1" si="10"/>
        <v>60.364705338421075</v>
      </c>
      <c r="P9">
        <f t="shared" ca="1" si="10"/>
        <v>60.316198494327331</v>
      </c>
      <c r="Q9">
        <f t="shared" ca="1" si="10"/>
        <v>62.257382566706269</v>
      </c>
      <c r="R9">
        <f t="shared" ca="1" si="10"/>
        <v>61.123624407854308</v>
      </c>
      <c r="S9">
        <f t="shared" ca="1" si="10"/>
        <v>61.593254820061389</v>
      </c>
      <c r="T9">
        <f t="shared" ca="1" si="10"/>
        <v>60.722399278964488</v>
      </c>
      <c r="U9">
        <f t="shared" ca="1" si="10"/>
        <v>61.035580441968023</v>
      </c>
      <c r="V9">
        <f t="shared" ca="1" si="10"/>
        <v>62.189531338329786</v>
      </c>
      <c r="W9">
        <f t="shared" ca="1" si="10"/>
        <v>61.640613363214548</v>
      </c>
      <c r="X9">
        <f t="shared" ca="1" si="10"/>
        <v>61.634825352988521</v>
      </c>
      <c r="Y9">
        <f t="shared" ca="1" si="10"/>
        <v>62.632865897456412</v>
      </c>
      <c r="Z9">
        <f t="shared" ca="1" si="10"/>
        <v>63.302345626497818</v>
      </c>
      <c r="AA9">
        <f t="shared" ca="1" si="10"/>
        <v>64.199395100860656</v>
      </c>
      <c r="AB9">
        <f t="shared" ca="1" si="10"/>
        <v>65.145282751911537</v>
      </c>
      <c r="AC9">
        <f t="shared" ca="1" si="10"/>
        <v>63.678307838418363</v>
      </c>
      <c r="AD9">
        <f t="shared" ca="1" si="10"/>
        <v>63.904233198680032</v>
      </c>
      <c r="AE9">
        <f t="shared" ca="1" si="10"/>
        <v>64.809579009762572</v>
      </c>
      <c r="AF9">
        <f t="shared" ca="1" si="10"/>
        <v>64.814215898555375</v>
      </c>
      <c r="AG9">
        <f t="shared" ca="1" si="10"/>
        <v>64.59396873310898</v>
      </c>
      <c r="AH9">
        <f t="shared" ca="1" si="10"/>
        <v>64.514638666186954</v>
      </c>
      <c r="AI9">
        <f t="shared" ca="1" si="10"/>
        <v>63.852234981855219</v>
      </c>
      <c r="AJ9">
        <f t="shared" ca="1" si="10"/>
        <v>63.530961574459354</v>
      </c>
      <c r="AK9">
        <f t="shared" ca="1" si="10"/>
        <v>62.42782937088954</v>
      </c>
      <c r="AL9">
        <f t="shared" ca="1" si="10"/>
        <v>63.563641550568207</v>
      </c>
      <c r="AM9">
        <f t="shared" ca="1" si="10"/>
        <v>63.673512892633148</v>
      </c>
      <c r="AN9">
        <f t="shared" ca="1" si="10"/>
        <v>63.609259659253503</v>
      </c>
      <c r="AO9">
        <f t="shared" ca="1" si="10"/>
        <v>63.727322613379123</v>
      </c>
      <c r="AP9">
        <f t="shared" ca="1" si="10"/>
        <v>65.156997314137541</v>
      </c>
      <c r="AQ9">
        <f t="shared" ca="1" si="10"/>
        <v>63.967542185592549</v>
      </c>
      <c r="AR9">
        <f t="shared" ca="1" si="10"/>
        <v>65.517372104108716</v>
      </c>
      <c r="AS9">
        <f t="shared" ca="1" si="10"/>
        <v>67.44561052392153</v>
      </c>
      <c r="AT9">
        <f t="shared" ca="1" si="10"/>
        <v>68.511688817955346</v>
      </c>
      <c r="AU9">
        <f t="shared" ca="1" si="10"/>
        <v>66.533446891069161</v>
      </c>
      <c r="AV9">
        <f t="shared" ca="1" si="10"/>
        <v>65.015273119580755</v>
      </c>
      <c r="AW9">
        <f t="shared" ca="1" si="10"/>
        <v>66.773944258672472</v>
      </c>
      <c r="AX9">
        <f t="shared" ca="1" si="10"/>
        <v>68.125478213581147</v>
      </c>
      <c r="AY9">
        <f t="shared" ca="1" si="10"/>
        <v>69.200921424788461</v>
      </c>
      <c r="AZ9">
        <f t="shared" ca="1" si="10"/>
        <v>70.830199782446186</v>
      </c>
      <c r="BA9">
        <f t="shared" ca="1" si="10"/>
        <v>70.402200456482035</v>
      </c>
      <c r="BB9">
        <f t="shared" ca="1" si="10"/>
        <v>69.208421755967933</v>
      </c>
      <c r="BC9">
        <f t="shared" ca="1" si="10"/>
        <v>67.686665706029558</v>
      </c>
      <c r="BD9">
        <f t="shared" ca="1" si="10"/>
        <v>66.820861366846941</v>
      </c>
      <c r="BE9">
        <f t="shared" ca="1" si="10"/>
        <v>65.993592409329921</v>
      </c>
      <c r="BF9">
        <f t="shared" ca="1" si="10"/>
        <v>63.792195484260453</v>
      </c>
      <c r="BG9">
        <f t="shared" ca="1" si="10"/>
        <v>64.411035104678234</v>
      </c>
      <c r="BH9">
        <f t="shared" ca="1" si="10"/>
        <v>62.376455334969222</v>
      </c>
      <c r="BI9">
        <f t="shared" ca="1" si="10"/>
        <v>63.327794201098577</v>
      </c>
      <c r="BJ9">
        <f t="shared" ca="1" si="10"/>
        <v>64.549962553214172</v>
      </c>
      <c r="BK9">
        <f t="shared" ca="1" si="10"/>
        <v>65.190355951275478</v>
      </c>
      <c r="BL9">
        <f t="shared" ca="1" si="10"/>
        <v>65.268242741832651</v>
      </c>
      <c r="BM9">
        <f t="shared" ca="1" si="10"/>
        <v>65.148589652712047</v>
      </c>
      <c r="BN9">
        <f t="shared" ca="1" si="10"/>
        <v>66.132180367506507</v>
      </c>
      <c r="BO9">
        <f t="shared" ca="1" si="4"/>
        <v>8.132180367506507</v>
      </c>
    </row>
    <row r="10" spans="1:67">
      <c r="F10">
        <f t="shared" si="2"/>
        <v>60.99</v>
      </c>
      <c r="G10">
        <f t="shared" ref="G10:BN10" ca="1" si="11">F10*EXP(($B$2-0.5*$B$3^2)*$B$4+$B$3*_xlfn.NORM.INV(RAND(),0,SQRT($B$4)))</f>
        <v>62.173425254505858</v>
      </c>
      <c r="H10">
        <f t="shared" ca="1" si="11"/>
        <v>59.852706844899629</v>
      </c>
      <c r="I10">
        <f t="shared" ca="1" si="11"/>
        <v>56.718947455971069</v>
      </c>
      <c r="J10">
        <f t="shared" ca="1" si="11"/>
        <v>58.462993393430338</v>
      </c>
      <c r="K10">
        <f t="shared" ca="1" si="11"/>
        <v>59.353423672858547</v>
      </c>
      <c r="L10">
        <f t="shared" ca="1" si="11"/>
        <v>61.199473965036098</v>
      </c>
      <c r="M10">
        <f t="shared" ca="1" si="11"/>
        <v>60.627952331757498</v>
      </c>
      <c r="N10">
        <f t="shared" ca="1" si="11"/>
        <v>62.314681320020739</v>
      </c>
      <c r="O10">
        <f t="shared" ca="1" si="11"/>
        <v>63.2239186363797</v>
      </c>
      <c r="P10">
        <f t="shared" ca="1" si="11"/>
        <v>63.393139202044303</v>
      </c>
      <c r="Q10">
        <f t="shared" ca="1" si="11"/>
        <v>63.483878717598039</v>
      </c>
      <c r="R10">
        <f t="shared" ca="1" si="11"/>
        <v>63.013504563767547</v>
      </c>
      <c r="S10">
        <f t="shared" ca="1" si="11"/>
        <v>63.683626906005564</v>
      </c>
      <c r="T10">
        <f t="shared" ca="1" si="11"/>
        <v>62.677119089882417</v>
      </c>
      <c r="U10">
        <f t="shared" ca="1" si="11"/>
        <v>64.840836569289138</v>
      </c>
      <c r="V10">
        <f t="shared" ca="1" si="11"/>
        <v>64.851418548078101</v>
      </c>
      <c r="W10">
        <f t="shared" ca="1" si="11"/>
        <v>67.482878898910158</v>
      </c>
      <c r="X10">
        <f t="shared" ca="1" si="11"/>
        <v>67.9975615813903</v>
      </c>
      <c r="Y10">
        <f t="shared" ca="1" si="11"/>
        <v>68.16871636328284</v>
      </c>
      <c r="Z10">
        <f t="shared" ca="1" si="11"/>
        <v>68.647307003027805</v>
      </c>
      <c r="AA10">
        <f t="shared" ca="1" si="11"/>
        <v>67.643785276486327</v>
      </c>
      <c r="AB10">
        <f t="shared" ca="1" si="11"/>
        <v>68.146652402025438</v>
      </c>
      <c r="AC10">
        <f t="shared" ca="1" si="11"/>
        <v>70.846677010777711</v>
      </c>
      <c r="AD10">
        <f t="shared" ca="1" si="11"/>
        <v>71.414257386361555</v>
      </c>
      <c r="AE10">
        <f t="shared" ca="1" si="11"/>
        <v>71.453281402400265</v>
      </c>
      <c r="AF10">
        <f t="shared" ca="1" si="11"/>
        <v>70.350154413856657</v>
      </c>
      <c r="AG10">
        <f t="shared" ca="1" si="11"/>
        <v>69.388196176232938</v>
      </c>
      <c r="AH10">
        <f t="shared" ca="1" si="11"/>
        <v>70.13517098459107</v>
      </c>
      <c r="AI10">
        <f t="shared" ca="1" si="11"/>
        <v>70.601405998784841</v>
      </c>
      <c r="AJ10">
        <f t="shared" ca="1" si="11"/>
        <v>70.610671853637442</v>
      </c>
      <c r="AK10">
        <f t="shared" ca="1" si="11"/>
        <v>71.980696530171628</v>
      </c>
      <c r="AL10">
        <f t="shared" ca="1" si="11"/>
        <v>72.78331402241983</v>
      </c>
      <c r="AM10">
        <f t="shared" ca="1" si="11"/>
        <v>71.588798272866413</v>
      </c>
      <c r="AN10">
        <f t="shared" ca="1" si="11"/>
        <v>73.450684744069633</v>
      </c>
      <c r="AO10">
        <f t="shared" ca="1" si="11"/>
        <v>72.210635169832713</v>
      </c>
      <c r="AP10">
        <f t="shared" ca="1" si="11"/>
        <v>74.581576584640359</v>
      </c>
      <c r="AQ10">
        <f t="shared" ca="1" si="11"/>
        <v>76.660083792296291</v>
      </c>
      <c r="AR10">
        <f t="shared" ca="1" si="11"/>
        <v>76.44932431300407</v>
      </c>
      <c r="AS10">
        <f t="shared" ca="1" si="11"/>
        <v>77.011443434729088</v>
      </c>
      <c r="AT10">
        <f t="shared" ca="1" si="11"/>
        <v>78.42791697565346</v>
      </c>
      <c r="AU10">
        <f t="shared" ca="1" si="11"/>
        <v>78.873742213410409</v>
      </c>
      <c r="AV10">
        <f t="shared" ca="1" si="11"/>
        <v>78.585786565222506</v>
      </c>
      <c r="AW10">
        <f t="shared" ca="1" si="11"/>
        <v>80.561549803211278</v>
      </c>
      <c r="AX10">
        <f t="shared" ca="1" si="11"/>
        <v>81.355694619860259</v>
      </c>
      <c r="AY10">
        <f t="shared" ca="1" si="11"/>
        <v>81.319400618233473</v>
      </c>
      <c r="AZ10">
        <f t="shared" ca="1" si="11"/>
        <v>81.281468670997185</v>
      </c>
      <c r="BA10">
        <f t="shared" ca="1" si="11"/>
        <v>80.695224438603475</v>
      </c>
      <c r="BB10">
        <f t="shared" ca="1" si="11"/>
        <v>81.578766765432732</v>
      </c>
      <c r="BC10">
        <f t="shared" ca="1" si="11"/>
        <v>83.302854337219145</v>
      </c>
      <c r="BD10">
        <f t="shared" ca="1" si="11"/>
        <v>84.151573003798646</v>
      </c>
      <c r="BE10">
        <f t="shared" ca="1" si="11"/>
        <v>81.521643451712563</v>
      </c>
      <c r="BF10">
        <f t="shared" ca="1" si="11"/>
        <v>80.477089284828921</v>
      </c>
      <c r="BG10">
        <f t="shared" ca="1" si="11"/>
        <v>82.452036548920205</v>
      </c>
      <c r="BH10">
        <f t="shared" ca="1" si="11"/>
        <v>80.846988144000264</v>
      </c>
      <c r="BI10">
        <f t="shared" ca="1" si="11"/>
        <v>78.294020462698725</v>
      </c>
      <c r="BJ10">
        <f t="shared" ca="1" si="11"/>
        <v>76.149029812903152</v>
      </c>
      <c r="BK10">
        <f t="shared" ca="1" si="11"/>
        <v>77.44312296268572</v>
      </c>
      <c r="BL10">
        <f t="shared" ca="1" si="11"/>
        <v>76.628434153509033</v>
      </c>
      <c r="BM10">
        <f t="shared" ca="1" si="11"/>
        <v>78.488766002109969</v>
      </c>
      <c r="BN10">
        <f t="shared" ca="1" si="11"/>
        <v>81.322813410470062</v>
      </c>
      <c r="BO10">
        <f t="shared" ca="1" si="4"/>
        <v>23.322813410470062</v>
      </c>
    </row>
    <row r="11" spans="1:67">
      <c r="F11">
        <f t="shared" si="2"/>
        <v>60.99</v>
      </c>
      <c r="G11">
        <f t="shared" ref="G11:BN11" ca="1" si="12">F11*EXP(($B$2-0.5*$B$3^2)*$B$4+$B$3*_xlfn.NORM.INV(RAND(),0,SQRT($B$4)))</f>
        <v>61.211705985027407</v>
      </c>
      <c r="H11">
        <f t="shared" ca="1" si="12"/>
        <v>60.121263308057436</v>
      </c>
      <c r="I11">
        <f t="shared" ca="1" si="12"/>
        <v>59.349731099738555</v>
      </c>
      <c r="J11">
        <f t="shared" ca="1" si="12"/>
        <v>59.996869838726589</v>
      </c>
      <c r="K11">
        <f t="shared" ca="1" si="12"/>
        <v>60.081004749017325</v>
      </c>
      <c r="L11">
        <f t="shared" ca="1" si="12"/>
        <v>60.488696290918917</v>
      </c>
      <c r="M11">
        <f t="shared" ca="1" si="12"/>
        <v>60.795734285337169</v>
      </c>
      <c r="N11">
        <f t="shared" ca="1" si="12"/>
        <v>62.494168270612839</v>
      </c>
      <c r="O11">
        <f t="shared" ca="1" si="12"/>
        <v>63.817129197064254</v>
      </c>
      <c r="P11">
        <f t="shared" ca="1" si="12"/>
        <v>63.75713541618105</v>
      </c>
      <c r="Q11">
        <f t="shared" ca="1" si="12"/>
        <v>62.488112387279642</v>
      </c>
      <c r="R11">
        <f t="shared" ca="1" si="12"/>
        <v>63.225757902233326</v>
      </c>
      <c r="S11">
        <f t="shared" ca="1" si="12"/>
        <v>61.501292840899971</v>
      </c>
      <c r="T11">
        <f t="shared" ca="1" si="12"/>
        <v>59.741912415919657</v>
      </c>
      <c r="U11">
        <f t="shared" ca="1" si="12"/>
        <v>58.418469843710881</v>
      </c>
      <c r="V11">
        <f t="shared" ca="1" si="12"/>
        <v>59.508391711140767</v>
      </c>
      <c r="W11">
        <f t="shared" ca="1" si="12"/>
        <v>60.124258294977572</v>
      </c>
      <c r="X11">
        <f t="shared" ca="1" si="12"/>
        <v>59.762858673219611</v>
      </c>
      <c r="Y11">
        <f t="shared" ca="1" si="12"/>
        <v>61.183335893206021</v>
      </c>
      <c r="Z11">
        <f t="shared" ca="1" si="12"/>
        <v>61.599198462127283</v>
      </c>
      <c r="AA11">
        <f t="shared" ca="1" si="12"/>
        <v>62.651413475207285</v>
      </c>
      <c r="AB11">
        <f t="shared" ca="1" si="12"/>
        <v>63.380748830380789</v>
      </c>
      <c r="AC11">
        <f t="shared" ca="1" si="12"/>
        <v>63.461631627888451</v>
      </c>
      <c r="AD11">
        <f t="shared" ca="1" si="12"/>
        <v>64.45023738001909</v>
      </c>
      <c r="AE11">
        <f t="shared" ca="1" si="12"/>
        <v>65.444963214355127</v>
      </c>
      <c r="AF11">
        <f t="shared" ca="1" si="12"/>
        <v>63.383154562714275</v>
      </c>
      <c r="AG11">
        <f t="shared" ca="1" si="12"/>
        <v>62.502775240673067</v>
      </c>
      <c r="AH11">
        <f t="shared" ca="1" si="12"/>
        <v>64.038435922367299</v>
      </c>
      <c r="AI11">
        <f t="shared" ca="1" si="12"/>
        <v>63.69746911377203</v>
      </c>
      <c r="AJ11">
        <f t="shared" ca="1" si="12"/>
        <v>65.794828205141059</v>
      </c>
      <c r="AK11">
        <f t="shared" ca="1" si="12"/>
        <v>65.53847762782604</v>
      </c>
      <c r="AL11">
        <f t="shared" ca="1" si="12"/>
        <v>65.292998377078561</v>
      </c>
      <c r="AM11">
        <f t="shared" ca="1" si="12"/>
        <v>66.553967683298893</v>
      </c>
      <c r="AN11">
        <f t="shared" ca="1" si="12"/>
        <v>66.548944304438294</v>
      </c>
      <c r="AO11">
        <f t="shared" ca="1" si="12"/>
        <v>68.266614150342932</v>
      </c>
      <c r="AP11">
        <f t="shared" ca="1" si="12"/>
        <v>66.869108272706882</v>
      </c>
      <c r="AQ11">
        <f t="shared" ca="1" si="12"/>
        <v>66.324237154940107</v>
      </c>
      <c r="AR11">
        <f t="shared" ca="1" si="12"/>
        <v>63.990802510733303</v>
      </c>
      <c r="AS11">
        <f t="shared" ca="1" si="12"/>
        <v>61.677804299773847</v>
      </c>
      <c r="AT11">
        <f t="shared" ca="1" si="12"/>
        <v>63.522984600714047</v>
      </c>
      <c r="AU11">
        <f t="shared" ca="1" si="12"/>
        <v>62.427119120439599</v>
      </c>
      <c r="AV11">
        <f t="shared" ca="1" si="12"/>
        <v>61.797474678729358</v>
      </c>
      <c r="AW11">
        <f t="shared" ca="1" si="12"/>
        <v>61.23713628156419</v>
      </c>
      <c r="AX11">
        <f t="shared" ca="1" si="12"/>
        <v>62.039334554734424</v>
      </c>
      <c r="AY11">
        <f t="shared" ca="1" si="12"/>
        <v>63.277612756561588</v>
      </c>
      <c r="AZ11">
        <f t="shared" ca="1" si="12"/>
        <v>64.531133813713609</v>
      </c>
      <c r="BA11">
        <f t="shared" ca="1" si="12"/>
        <v>66.903915154018861</v>
      </c>
      <c r="BB11">
        <f t="shared" ca="1" si="12"/>
        <v>68.574143236292187</v>
      </c>
      <c r="BC11">
        <f t="shared" ca="1" si="12"/>
        <v>70.096558988402535</v>
      </c>
      <c r="BD11">
        <f t="shared" ca="1" si="12"/>
        <v>70.936719794884056</v>
      </c>
      <c r="BE11">
        <f t="shared" ca="1" si="12"/>
        <v>71.180027034687981</v>
      </c>
      <c r="BF11">
        <f t="shared" ca="1" si="12"/>
        <v>71.945406815349514</v>
      </c>
      <c r="BG11">
        <f t="shared" ca="1" si="12"/>
        <v>72.042089542688487</v>
      </c>
      <c r="BH11">
        <f t="shared" ca="1" si="12"/>
        <v>71.812282561672319</v>
      </c>
      <c r="BI11">
        <f t="shared" ca="1" si="12"/>
        <v>72.570893389014117</v>
      </c>
      <c r="BJ11">
        <f t="shared" ca="1" si="12"/>
        <v>72.557327054193081</v>
      </c>
      <c r="BK11">
        <f t="shared" ca="1" si="12"/>
        <v>74.638123522837063</v>
      </c>
      <c r="BL11">
        <f t="shared" ca="1" si="12"/>
        <v>73.419521410137676</v>
      </c>
      <c r="BM11">
        <f t="shared" ca="1" si="12"/>
        <v>73.936307066401994</v>
      </c>
      <c r="BN11">
        <f t="shared" ca="1" si="12"/>
        <v>74.762871271510818</v>
      </c>
      <c r="BO11">
        <f t="shared" ca="1" si="4"/>
        <v>16.762871271510818</v>
      </c>
    </row>
    <row r="12" spans="1:67">
      <c r="F12">
        <f t="shared" si="2"/>
        <v>60.99</v>
      </c>
      <c r="G12">
        <f t="shared" ref="G12:BN12" ca="1" si="13">F12*EXP(($B$2-0.5*$B$3^2)*$B$4+$B$3*_xlfn.NORM.INV(RAND(),0,SQRT($B$4)))</f>
        <v>59.604040551887962</v>
      </c>
      <c r="H12">
        <f t="shared" ca="1" si="13"/>
        <v>59.426933430266175</v>
      </c>
      <c r="I12">
        <f t="shared" ca="1" si="13"/>
        <v>60.144164815813731</v>
      </c>
      <c r="J12">
        <f t="shared" ca="1" si="13"/>
        <v>60.94615563082008</v>
      </c>
      <c r="K12">
        <f t="shared" ca="1" si="13"/>
        <v>61.633805356905043</v>
      </c>
      <c r="L12">
        <f t="shared" ca="1" si="13"/>
        <v>61.614136772962034</v>
      </c>
      <c r="M12">
        <f t="shared" ca="1" si="13"/>
        <v>62.814467390582031</v>
      </c>
      <c r="N12">
        <f t="shared" ca="1" si="13"/>
        <v>63.076736256086654</v>
      </c>
      <c r="O12">
        <f t="shared" ca="1" si="13"/>
        <v>61.277662730471157</v>
      </c>
      <c r="P12">
        <f t="shared" ca="1" si="13"/>
        <v>61.857610528398595</v>
      </c>
      <c r="Q12">
        <f t="shared" ca="1" si="13"/>
        <v>62.737503001085393</v>
      </c>
      <c r="R12">
        <f t="shared" ca="1" si="13"/>
        <v>62.843996366446731</v>
      </c>
      <c r="S12">
        <f t="shared" ca="1" si="13"/>
        <v>64.447899453590779</v>
      </c>
      <c r="T12">
        <f t="shared" ca="1" si="13"/>
        <v>62.916834796101789</v>
      </c>
      <c r="U12">
        <f t="shared" ca="1" si="13"/>
        <v>62.817021836304235</v>
      </c>
      <c r="V12">
        <f t="shared" ca="1" si="13"/>
        <v>63.333941193397145</v>
      </c>
      <c r="W12">
        <f t="shared" ca="1" si="13"/>
        <v>64.963882461232004</v>
      </c>
      <c r="X12">
        <f t="shared" ca="1" si="13"/>
        <v>64.422888047085777</v>
      </c>
      <c r="Y12">
        <f t="shared" ca="1" si="13"/>
        <v>64.48490397299355</v>
      </c>
      <c r="Z12">
        <f t="shared" ca="1" si="13"/>
        <v>65.689328559024759</v>
      </c>
      <c r="AA12">
        <f t="shared" ca="1" si="13"/>
        <v>66.055266524723038</v>
      </c>
      <c r="AB12">
        <f t="shared" ca="1" si="13"/>
        <v>66.585449624935578</v>
      </c>
      <c r="AC12">
        <f t="shared" ca="1" si="13"/>
        <v>68.185772585926287</v>
      </c>
      <c r="AD12">
        <f t="shared" ca="1" si="13"/>
        <v>67.724108654297083</v>
      </c>
      <c r="AE12">
        <f t="shared" ca="1" si="13"/>
        <v>67.338780711616636</v>
      </c>
      <c r="AF12">
        <f t="shared" ca="1" si="13"/>
        <v>66.211281739363272</v>
      </c>
      <c r="AG12">
        <f t="shared" ca="1" si="13"/>
        <v>67.547572651595615</v>
      </c>
      <c r="AH12">
        <f t="shared" ca="1" si="13"/>
        <v>66.553340081250454</v>
      </c>
      <c r="AI12">
        <f t="shared" ca="1" si="13"/>
        <v>67.980963433643581</v>
      </c>
      <c r="AJ12">
        <f t="shared" ca="1" si="13"/>
        <v>68.674733155200897</v>
      </c>
      <c r="AK12">
        <f t="shared" ca="1" si="13"/>
        <v>69.087041136570676</v>
      </c>
      <c r="AL12">
        <f t="shared" ca="1" si="13"/>
        <v>71.491506448603459</v>
      </c>
      <c r="AM12">
        <f t="shared" ca="1" si="13"/>
        <v>71.119668161133731</v>
      </c>
      <c r="AN12">
        <f t="shared" ca="1" si="13"/>
        <v>72.46224853796798</v>
      </c>
      <c r="AO12">
        <f t="shared" ca="1" si="13"/>
        <v>72.826596595567707</v>
      </c>
      <c r="AP12">
        <f t="shared" ca="1" si="13"/>
        <v>74.503208125884953</v>
      </c>
      <c r="AQ12">
        <f t="shared" ca="1" si="13"/>
        <v>73.825061654650469</v>
      </c>
      <c r="AR12">
        <f t="shared" ca="1" si="13"/>
        <v>77.126393981807624</v>
      </c>
      <c r="AS12">
        <f t="shared" ca="1" si="13"/>
        <v>78.306837932950231</v>
      </c>
      <c r="AT12">
        <f t="shared" ca="1" si="13"/>
        <v>76.29307617294468</v>
      </c>
      <c r="AU12">
        <f t="shared" ca="1" si="13"/>
        <v>75.267864312148276</v>
      </c>
      <c r="AV12">
        <f t="shared" ca="1" si="13"/>
        <v>75.799785400072025</v>
      </c>
      <c r="AW12">
        <f t="shared" ca="1" si="13"/>
        <v>76.204012618597105</v>
      </c>
      <c r="AX12">
        <f t="shared" ca="1" si="13"/>
        <v>74.76298224412001</v>
      </c>
      <c r="AY12">
        <f t="shared" ca="1" si="13"/>
        <v>78.439596508385122</v>
      </c>
      <c r="AZ12">
        <f t="shared" ca="1" si="13"/>
        <v>79.038525494047491</v>
      </c>
      <c r="BA12">
        <f t="shared" ca="1" si="13"/>
        <v>80.563226705379421</v>
      </c>
      <c r="BB12">
        <f t="shared" ca="1" si="13"/>
        <v>80.28768967459483</v>
      </c>
      <c r="BC12">
        <f t="shared" ca="1" si="13"/>
        <v>80.8940073814843</v>
      </c>
      <c r="BD12">
        <f t="shared" ca="1" si="13"/>
        <v>81.386827989203439</v>
      </c>
      <c r="BE12">
        <f t="shared" ca="1" si="13"/>
        <v>81.839674797403774</v>
      </c>
      <c r="BF12">
        <f t="shared" ca="1" si="13"/>
        <v>83.805933164355665</v>
      </c>
      <c r="BG12">
        <f t="shared" ca="1" si="13"/>
        <v>84.750931091786711</v>
      </c>
      <c r="BH12">
        <f t="shared" ca="1" si="13"/>
        <v>84.63336882226784</v>
      </c>
      <c r="BI12">
        <f t="shared" ca="1" si="13"/>
        <v>84.753201465608896</v>
      </c>
      <c r="BJ12">
        <f t="shared" ca="1" si="13"/>
        <v>83.220065651311941</v>
      </c>
      <c r="BK12">
        <f t="shared" ca="1" si="13"/>
        <v>83.806997370089377</v>
      </c>
      <c r="BL12">
        <f t="shared" ca="1" si="13"/>
        <v>84.444539244975303</v>
      </c>
      <c r="BM12">
        <f t="shared" ca="1" si="13"/>
        <v>84.642943264260907</v>
      </c>
      <c r="BN12">
        <f t="shared" ca="1" si="13"/>
        <v>87.371786983063402</v>
      </c>
      <c r="BO12">
        <f t="shared" ca="1" si="4"/>
        <v>29.371786983063402</v>
      </c>
    </row>
    <row r="13" spans="1:67">
      <c r="F13">
        <f t="shared" si="2"/>
        <v>60.99</v>
      </c>
      <c r="G13">
        <f t="shared" ref="G13:BN13" ca="1" si="14">F13*EXP(($B$2-0.5*$B$3^2)*$B$4+$B$3*_xlfn.NORM.INV(RAND(),0,SQRT($B$4)))</f>
        <v>63.971752364609571</v>
      </c>
      <c r="H13">
        <f t="shared" ca="1" si="14"/>
        <v>63.665314784724089</v>
      </c>
      <c r="I13">
        <f t="shared" ca="1" si="14"/>
        <v>65.561554796469409</v>
      </c>
      <c r="J13">
        <f t="shared" ca="1" si="14"/>
        <v>63.846160078878064</v>
      </c>
      <c r="K13">
        <f t="shared" ca="1" si="14"/>
        <v>66.224581422480028</v>
      </c>
      <c r="L13">
        <f t="shared" ca="1" si="14"/>
        <v>64.97089948800037</v>
      </c>
      <c r="M13">
        <f t="shared" ca="1" si="14"/>
        <v>66.041362665391546</v>
      </c>
      <c r="N13">
        <f t="shared" ca="1" si="14"/>
        <v>63.634844664003715</v>
      </c>
      <c r="O13">
        <f t="shared" ca="1" si="14"/>
        <v>64.8861261101124</v>
      </c>
      <c r="P13">
        <f t="shared" ca="1" si="14"/>
        <v>64.099989725343789</v>
      </c>
      <c r="Q13">
        <f t="shared" ca="1" si="14"/>
        <v>64.319159335680212</v>
      </c>
      <c r="R13">
        <f t="shared" ca="1" si="14"/>
        <v>62.58006644036913</v>
      </c>
      <c r="S13">
        <f t="shared" ca="1" si="14"/>
        <v>63.393589990093218</v>
      </c>
      <c r="T13">
        <f t="shared" ca="1" si="14"/>
        <v>62.194474148000374</v>
      </c>
      <c r="U13">
        <f t="shared" ca="1" si="14"/>
        <v>60.914505026277745</v>
      </c>
      <c r="V13">
        <f t="shared" ca="1" si="14"/>
        <v>60.391907535098106</v>
      </c>
      <c r="W13">
        <f t="shared" ca="1" si="14"/>
        <v>62.215567499908715</v>
      </c>
      <c r="X13">
        <f t="shared" ca="1" si="14"/>
        <v>62.736061062624593</v>
      </c>
      <c r="Y13">
        <f t="shared" ca="1" si="14"/>
        <v>63.84568458861046</v>
      </c>
      <c r="Z13">
        <f t="shared" ca="1" si="14"/>
        <v>63.925401275895631</v>
      </c>
      <c r="AA13">
        <f t="shared" ca="1" si="14"/>
        <v>65.184780826520921</v>
      </c>
      <c r="AB13">
        <f t="shared" ca="1" si="14"/>
        <v>64.52213534155625</v>
      </c>
      <c r="AC13">
        <f t="shared" ca="1" si="14"/>
        <v>65.798133092494112</v>
      </c>
      <c r="AD13">
        <f t="shared" ca="1" si="14"/>
        <v>66.660939582638932</v>
      </c>
      <c r="AE13">
        <f t="shared" ca="1" si="14"/>
        <v>67.004254556456615</v>
      </c>
      <c r="AF13">
        <f t="shared" ca="1" si="14"/>
        <v>69.514073711825134</v>
      </c>
      <c r="AG13">
        <f t="shared" ca="1" si="14"/>
        <v>69.447207370880747</v>
      </c>
      <c r="AH13">
        <f t="shared" ca="1" si="14"/>
        <v>69.140829795461926</v>
      </c>
      <c r="AI13">
        <f t="shared" ca="1" si="14"/>
        <v>67.414739393001994</v>
      </c>
      <c r="AJ13">
        <f t="shared" ca="1" si="14"/>
        <v>68.444079050851826</v>
      </c>
      <c r="AK13">
        <f t="shared" ca="1" si="14"/>
        <v>68.908711545201541</v>
      </c>
      <c r="AL13">
        <f t="shared" ca="1" si="14"/>
        <v>67.341062043935921</v>
      </c>
      <c r="AM13">
        <f t="shared" ca="1" si="14"/>
        <v>66.383950136960451</v>
      </c>
      <c r="AN13">
        <f t="shared" ca="1" si="14"/>
        <v>66.376271086035587</v>
      </c>
      <c r="AO13">
        <f t="shared" ca="1" si="14"/>
        <v>63.652264252702167</v>
      </c>
      <c r="AP13">
        <f t="shared" ca="1" si="14"/>
        <v>63.494900951432349</v>
      </c>
      <c r="AQ13">
        <f t="shared" ca="1" si="14"/>
        <v>63.863415913444364</v>
      </c>
      <c r="AR13">
        <f t="shared" ca="1" si="14"/>
        <v>64.397966947452161</v>
      </c>
      <c r="AS13">
        <f t="shared" ca="1" si="14"/>
        <v>64.261443314630498</v>
      </c>
      <c r="AT13">
        <f t="shared" ca="1" si="14"/>
        <v>65.928181971153009</v>
      </c>
      <c r="AU13">
        <f t="shared" ca="1" si="14"/>
        <v>65.220741455249282</v>
      </c>
      <c r="AV13">
        <f t="shared" ca="1" si="14"/>
        <v>63.736728236717632</v>
      </c>
      <c r="AW13">
        <f t="shared" ca="1" si="14"/>
        <v>63.362016846098143</v>
      </c>
      <c r="AX13">
        <f t="shared" ca="1" si="14"/>
        <v>63.782385557654315</v>
      </c>
      <c r="AY13">
        <f t="shared" ca="1" si="14"/>
        <v>63.308149238737123</v>
      </c>
      <c r="AZ13">
        <f t="shared" ca="1" si="14"/>
        <v>63.878583029164631</v>
      </c>
      <c r="BA13">
        <f t="shared" ca="1" si="14"/>
        <v>67.698474803766842</v>
      </c>
      <c r="BB13">
        <f t="shared" ca="1" si="14"/>
        <v>69.089866544112652</v>
      </c>
      <c r="BC13">
        <f t="shared" ca="1" si="14"/>
        <v>71.540418191432877</v>
      </c>
      <c r="BD13">
        <f t="shared" ca="1" si="14"/>
        <v>72.113597987454924</v>
      </c>
      <c r="BE13">
        <f t="shared" ca="1" si="14"/>
        <v>71.875820216176649</v>
      </c>
      <c r="BF13">
        <f t="shared" ca="1" si="14"/>
        <v>71.628821511613793</v>
      </c>
      <c r="BG13">
        <f t="shared" ca="1" si="14"/>
        <v>71.73425775754059</v>
      </c>
      <c r="BH13">
        <f t="shared" ca="1" si="14"/>
        <v>72.198442216956323</v>
      </c>
      <c r="BI13">
        <f t="shared" ca="1" si="14"/>
        <v>72.710539170361614</v>
      </c>
      <c r="BJ13">
        <f t="shared" ca="1" si="14"/>
        <v>75.315947420566772</v>
      </c>
      <c r="BK13">
        <f t="shared" ca="1" si="14"/>
        <v>76.217790643162076</v>
      </c>
      <c r="BL13">
        <f t="shared" ca="1" si="14"/>
        <v>76.852450909361693</v>
      </c>
      <c r="BM13">
        <f t="shared" ca="1" si="14"/>
        <v>74.331018312097214</v>
      </c>
      <c r="BN13">
        <f t="shared" ca="1" si="14"/>
        <v>73.652711982390727</v>
      </c>
      <c r="BO13">
        <f t="shared" ca="1" si="4"/>
        <v>15.652711982390727</v>
      </c>
    </row>
    <row r="14" spans="1:67">
      <c r="F14">
        <f t="shared" si="2"/>
        <v>60.99</v>
      </c>
      <c r="G14">
        <f t="shared" ref="G14:BN14" ca="1" si="15">F14*EXP(($B$2-0.5*$B$3^2)*$B$4+$B$3*_xlfn.NORM.INV(RAND(),0,SQRT($B$4)))</f>
        <v>61.994204393534694</v>
      </c>
      <c r="H14">
        <f t="shared" ca="1" si="15"/>
        <v>61.425523928064678</v>
      </c>
      <c r="I14">
        <f t="shared" ca="1" si="15"/>
        <v>60.848574302473551</v>
      </c>
      <c r="J14">
        <f t="shared" ca="1" si="15"/>
        <v>60.525155452403169</v>
      </c>
      <c r="K14">
        <f t="shared" ca="1" si="15"/>
        <v>59.108818850804717</v>
      </c>
      <c r="L14">
        <f t="shared" ca="1" si="15"/>
        <v>58.173578293467841</v>
      </c>
      <c r="M14">
        <f t="shared" ca="1" si="15"/>
        <v>56.377055425263009</v>
      </c>
      <c r="N14">
        <f t="shared" ca="1" si="15"/>
        <v>54.704736542894224</v>
      </c>
      <c r="O14">
        <f t="shared" ca="1" si="15"/>
        <v>54.778171503468634</v>
      </c>
      <c r="P14">
        <f t="shared" ca="1" si="15"/>
        <v>54.735187545764823</v>
      </c>
      <c r="Q14">
        <f t="shared" ca="1" si="15"/>
        <v>54.215358094924092</v>
      </c>
      <c r="R14">
        <f t="shared" ca="1" si="15"/>
        <v>54.687654155756057</v>
      </c>
      <c r="S14">
        <f t="shared" ca="1" si="15"/>
        <v>53.799258312548773</v>
      </c>
      <c r="T14">
        <f t="shared" ca="1" si="15"/>
        <v>53.322586901965558</v>
      </c>
      <c r="U14">
        <f t="shared" ca="1" si="15"/>
        <v>52.290197980550978</v>
      </c>
      <c r="V14">
        <f t="shared" ca="1" si="15"/>
        <v>54.386953237340229</v>
      </c>
      <c r="W14">
        <f t="shared" ca="1" si="15"/>
        <v>53.782898896999377</v>
      </c>
      <c r="X14">
        <f t="shared" ca="1" si="15"/>
        <v>53.353062995684461</v>
      </c>
      <c r="Y14">
        <f t="shared" ca="1" si="15"/>
        <v>54.41604848230191</v>
      </c>
      <c r="Z14">
        <f t="shared" ca="1" si="15"/>
        <v>54.777280965573212</v>
      </c>
      <c r="AA14">
        <f t="shared" ca="1" si="15"/>
        <v>54.931974964017797</v>
      </c>
      <c r="AB14">
        <f t="shared" ca="1" si="15"/>
        <v>54.751665767828243</v>
      </c>
      <c r="AC14">
        <f t="shared" ca="1" si="15"/>
        <v>54.226308181614186</v>
      </c>
      <c r="AD14">
        <f t="shared" ca="1" si="15"/>
        <v>53.671719582884577</v>
      </c>
      <c r="AE14">
        <f t="shared" ca="1" si="15"/>
        <v>53.100512939456742</v>
      </c>
      <c r="AF14">
        <f t="shared" ca="1" si="15"/>
        <v>54.554416590630886</v>
      </c>
      <c r="AG14">
        <f t="shared" ca="1" si="15"/>
        <v>55.16377399064929</v>
      </c>
      <c r="AH14">
        <f t="shared" ca="1" si="15"/>
        <v>55.097241325413549</v>
      </c>
      <c r="AI14">
        <f t="shared" ca="1" si="15"/>
        <v>54.417990762244159</v>
      </c>
      <c r="AJ14">
        <f t="shared" ca="1" si="15"/>
        <v>53.890383022464363</v>
      </c>
      <c r="AK14">
        <f t="shared" ca="1" si="15"/>
        <v>51.759704901110418</v>
      </c>
      <c r="AL14">
        <f t="shared" ca="1" si="15"/>
        <v>52.70964110472093</v>
      </c>
      <c r="AM14">
        <f t="shared" ca="1" si="15"/>
        <v>54.393986203491174</v>
      </c>
      <c r="AN14">
        <f t="shared" ca="1" si="15"/>
        <v>52.594593229455128</v>
      </c>
      <c r="AO14">
        <f t="shared" ca="1" si="15"/>
        <v>53.511021558332672</v>
      </c>
      <c r="AP14">
        <f t="shared" ca="1" si="15"/>
        <v>54.241433892727798</v>
      </c>
      <c r="AQ14">
        <f t="shared" ca="1" si="15"/>
        <v>55.6062939585699</v>
      </c>
      <c r="AR14">
        <f t="shared" ca="1" si="15"/>
        <v>55.81310422893069</v>
      </c>
      <c r="AS14">
        <f t="shared" ca="1" si="15"/>
        <v>59.034597626064546</v>
      </c>
      <c r="AT14">
        <f t="shared" ca="1" si="15"/>
        <v>59.766115444440793</v>
      </c>
      <c r="AU14">
        <f t="shared" ca="1" si="15"/>
        <v>57.797488885025942</v>
      </c>
      <c r="AV14">
        <f t="shared" ca="1" si="15"/>
        <v>57.811780722055815</v>
      </c>
      <c r="AW14">
        <f t="shared" ca="1" si="15"/>
        <v>58.290346442124125</v>
      </c>
      <c r="AX14">
        <f t="shared" ca="1" si="15"/>
        <v>58.007370117555425</v>
      </c>
      <c r="AY14">
        <f t="shared" ca="1" si="15"/>
        <v>58.603696779908262</v>
      </c>
      <c r="AZ14">
        <f t="shared" ca="1" si="15"/>
        <v>57.620455619982287</v>
      </c>
      <c r="BA14">
        <f t="shared" ca="1" si="15"/>
        <v>58.438219848139831</v>
      </c>
      <c r="BB14">
        <f t="shared" ca="1" si="15"/>
        <v>58.520433134100983</v>
      </c>
      <c r="BC14">
        <f t="shared" ca="1" si="15"/>
        <v>57.663223358803428</v>
      </c>
      <c r="BD14">
        <f t="shared" ca="1" si="15"/>
        <v>58.519075353175872</v>
      </c>
      <c r="BE14">
        <f t="shared" ca="1" si="15"/>
        <v>60.394721590486782</v>
      </c>
      <c r="BF14">
        <f t="shared" ca="1" si="15"/>
        <v>61.09166244835621</v>
      </c>
      <c r="BG14">
        <f t="shared" ca="1" si="15"/>
        <v>60.37617265145559</v>
      </c>
      <c r="BH14">
        <f t="shared" ca="1" si="15"/>
        <v>60.387995629179606</v>
      </c>
      <c r="BI14">
        <f t="shared" ca="1" si="15"/>
        <v>61.174391144017953</v>
      </c>
      <c r="BJ14">
        <f t="shared" ca="1" si="15"/>
        <v>59.401870690637232</v>
      </c>
      <c r="BK14">
        <f t="shared" ca="1" si="15"/>
        <v>59.428461183107615</v>
      </c>
      <c r="BL14">
        <f t="shared" ca="1" si="15"/>
        <v>59.714788270515946</v>
      </c>
      <c r="BM14">
        <f t="shared" ca="1" si="15"/>
        <v>60.629914288898668</v>
      </c>
      <c r="BN14">
        <f t="shared" ca="1" si="15"/>
        <v>60.387157017026468</v>
      </c>
      <c r="BO14">
        <f t="shared" ca="1" si="4"/>
        <v>2.3871570170264675</v>
      </c>
    </row>
    <row r="15" spans="1:67">
      <c r="F15">
        <f t="shared" si="2"/>
        <v>60.99</v>
      </c>
      <c r="G15">
        <f t="shared" ref="G15:BN15" ca="1" si="16">F15*EXP(($B$2-0.5*$B$3^2)*$B$4+$B$3*_xlfn.NORM.INV(RAND(),0,SQRT($B$4)))</f>
        <v>60.787563585437169</v>
      </c>
      <c r="H15">
        <f t="shared" ca="1" si="16"/>
        <v>62.740053138374556</v>
      </c>
      <c r="I15">
        <f t="shared" ca="1" si="16"/>
        <v>60.370451316669943</v>
      </c>
      <c r="J15">
        <f t="shared" ca="1" si="16"/>
        <v>60.499432289214539</v>
      </c>
      <c r="K15">
        <f t="shared" ca="1" si="16"/>
        <v>62.045030916775303</v>
      </c>
      <c r="L15">
        <f t="shared" ca="1" si="16"/>
        <v>62.381122700483935</v>
      </c>
      <c r="M15">
        <f t="shared" ca="1" si="16"/>
        <v>62.181061172979973</v>
      </c>
      <c r="N15">
        <f t="shared" ca="1" si="16"/>
        <v>62.740817998125678</v>
      </c>
      <c r="O15">
        <f t="shared" ca="1" si="16"/>
        <v>62.457117018720403</v>
      </c>
      <c r="P15">
        <f t="shared" ca="1" si="16"/>
        <v>61.908042416296141</v>
      </c>
      <c r="Q15">
        <f t="shared" ca="1" si="16"/>
        <v>61.695097215635172</v>
      </c>
      <c r="R15">
        <f t="shared" ca="1" si="16"/>
        <v>61.564595927456786</v>
      </c>
      <c r="S15">
        <f t="shared" ca="1" si="16"/>
        <v>60.604799717675931</v>
      </c>
      <c r="T15">
        <f t="shared" ca="1" si="16"/>
        <v>58.56407883768442</v>
      </c>
      <c r="U15">
        <f t="shared" ca="1" si="16"/>
        <v>58.111667496480408</v>
      </c>
      <c r="V15">
        <f t="shared" ca="1" si="16"/>
        <v>58.722811063007107</v>
      </c>
      <c r="W15">
        <f t="shared" ca="1" si="16"/>
        <v>58.412593564560169</v>
      </c>
      <c r="X15">
        <f t="shared" ca="1" si="16"/>
        <v>56.439253827575584</v>
      </c>
      <c r="Y15">
        <f t="shared" ca="1" si="16"/>
        <v>57.399464329621196</v>
      </c>
      <c r="Z15">
        <f t="shared" ca="1" si="16"/>
        <v>58.376648764857975</v>
      </c>
      <c r="AA15">
        <f t="shared" ca="1" si="16"/>
        <v>59.162538529347223</v>
      </c>
      <c r="AB15">
        <f t="shared" ca="1" si="16"/>
        <v>57.713168348791925</v>
      </c>
      <c r="AC15">
        <f t="shared" ca="1" si="16"/>
        <v>59.390391158743959</v>
      </c>
      <c r="AD15">
        <f t="shared" ca="1" si="16"/>
        <v>60.962725923147595</v>
      </c>
      <c r="AE15">
        <f t="shared" ca="1" si="16"/>
        <v>60.901674933735912</v>
      </c>
      <c r="AF15">
        <f t="shared" ca="1" si="16"/>
        <v>59.000575995966713</v>
      </c>
      <c r="AG15">
        <f t="shared" ca="1" si="16"/>
        <v>57.768029085709081</v>
      </c>
      <c r="AH15">
        <f t="shared" ca="1" si="16"/>
        <v>59.188609344386435</v>
      </c>
      <c r="AI15">
        <f t="shared" ca="1" si="16"/>
        <v>59.743633706237866</v>
      </c>
      <c r="AJ15">
        <f t="shared" ca="1" si="16"/>
        <v>60.841927787338221</v>
      </c>
      <c r="AK15">
        <f t="shared" ca="1" si="16"/>
        <v>61.015418537004997</v>
      </c>
      <c r="AL15">
        <f t="shared" ca="1" si="16"/>
        <v>60.943779132899834</v>
      </c>
      <c r="AM15">
        <f t="shared" ca="1" si="16"/>
        <v>61.619868693701157</v>
      </c>
      <c r="AN15">
        <f t="shared" ca="1" si="16"/>
        <v>60.823894740884725</v>
      </c>
      <c r="AO15">
        <f t="shared" ca="1" si="16"/>
        <v>62.409004662424984</v>
      </c>
      <c r="AP15">
        <f t="shared" ca="1" si="16"/>
        <v>62.42593451278718</v>
      </c>
      <c r="AQ15">
        <f t="shared" ca="1" si="16"/>
        <v>61.551569372222239</v>
      </c>
      <c r="AR15">
        <f t="shared" ca="1" si="16"/>
        <v>63.310731335125773</v>
      </c>
      <c r="AS15">
        <f t="shared" ca="1" si="16"/>
        <v>63.327828553942638</v>
      </c>
      <c r="AT15">
        <f t="shared" ca="1" si="16"/>
        <v>63.148911698377191</v>
      </c>
      <c r="AU15">
        <f t="shared" ca="1" si="16"/>
        <v>65.538017610311655</v>
      </c>
      <c r="AV15">
        <f t="shared" ca="1" si="16"/>
        <v>64.690846184014731</v>
      </c>
      <c r="AW15">
        <f t="shared" ca="1" si="16"/>
        <v>66.686760491060568</v>
      </c>
      <c r="AX15">
        <f t="shared" ca="1" si="16"/>
        <v>66.70490423396059</v>
      </c>
      <c r="AY15">
        <f t="shared" ca="1" si="16"/>
        <v>65.771637255707148</v>
      </c>
      <c r="AZ15">
        <f t="shared" ca="1" si="16"/>
        <v>64.457561144113782</v>
      </c>
      <c r="BA15">
        <f t="shared" ca="1" si="16"/>
        <v>64.762801466021315</v>
      </c>
      <c r="BB15">
        <f t="shared" ca="1" si="16"/>
        <v>64.263364118219926</v>
      </c>
      <c r="BC15">
        <f t="shared" ca="1" si="16"/>
        <v>65.383718527632809</v>
      </c>
      <c r="BD15">
        <f t="shared" ca="1" si="16"/>
        <v>67.444194063752576</v>
      </c>
      <c r="BE15">
        <f t="shared" ca="1" si="16"/>
        <v>66.24543796901385</v>
      </c>
      <c r="BF15">
        <f t="shared" ca="1" si="16"/>
        <v>66.177702773375756</v>
      </c>
      <c r="BG15">
        <f t="shared" ca="1" si="16"/>
        <v>65.47438261057485</v>
      </c>
      <c r="BH15">
        <f t="shared" ca="1" si="16"/>
        <v>67.207849429729634</v>
      </c>
      <c r="BI15">
        <f t="shared" ca="1" si="16"/>
        <v>66.412020222350279</v>
      </c>
      <c r="BJ15">
        <f t="shared" ca="1" si="16"/>
        <v>63.944131987971033</v>
      </c>
      <c r="BK15">
        <f t="shared" ca="1" si="16"/>
        <v>65.053791283626367</v>
      </c>
      <c r="BL15">
        <f t="shared" ca="1" si="16"/>
        <v>65.691803290991544</v>
      </c>
      <c r="BM15">
        <f t="shared" ca="1" si="16"/>
        <v>65.899012861242056</v>
      </c>
      <c r="BN15">
        <f t="shared" ca="1" si="16"/>
        <v>65.61711002172386</v>
      </c>
      <c r="BO15">
        <f t="shared" ca="1" si="4"/>
        <v>7.6171100217238603</v>
      </c>
    </row>
    <row r="16" spans="1:67">
      <c r="F16">
        <f t="shared" si="2"/>
        <v>60.99</v>
      </c>
      <c r="G16">
        <f t="shared" ref="G16:BN16" ca="1" si="17">F16*EXP(($B$2-0.5*$B$3^2)*$B$4+$B$3*_xlfn.NORM.INV(RAND(),0,SQRT($B$4)))</f>
        <v>61.405120979608256</v>
      </c>
      <c r="H16">
        <f t="shared" ca="1" si="17"/>
        <v>62.89035910499183</v>
      </c>
      <c r="I16">
        <f t="shared" ca="1" si="17"/>
        <v>61.876185326101115</v>
      </c>
      <c r="J16">
        <f t="shared" ca="1" si="17"/>
        <v>63.324197408917421</v>
      </c>
      <c r="K16">
        <f t="shared" ca="1" si="17"/>
        <v>64.240839152402344</v>
      </c>
      <c r="L16">
        <f t="shared" ca="1" si="17"/>
        <v>64.216773362318307</v>
      </c>
      <c r="M16">
        <f t="shared" ca="1" si="17"/>
        <v>64.258377278784252</v>
      </c>
      <c r="N16">
        <f t="shared" ca="1" si="17"/>
        <v>66.775688909715115</v>
      </c>
      <c r="O16">
        <f t="shared" ca="1" si="17"/>
        <v>66.014197115804507</v>
      </c>
      <c r="P16">
        <f t="shared" ca="1" si="17"/>
        <v>66.368073360318419</v>
      </c>
      <c r="Q16">
        <f t="shared" ca="1" si="17"/>
        <v>67.479385320897023</v>
      </c>
      <c r="R16">
        <f t="shared" ca="1" si="17"/>
        <v>70.05757195066586</v>
      </c>
      <c r="S16">
        <f t="shared" ca="1" si="17"/>
        <v>70.449979712069393</v>
      </c>
      <c r="T16">
        <f t="shared" ca="1" si="17"/>
        <v>70.032400220628887</v>
      </c>
      <c r="U16">
        <f t="shared" ca="1" si="17"/>
        <v>68.17857368227213</v>
      </c>
      <c r="V16">
        <f t="shared" ca="1" si="17"/>
        <v>67.487885505290791</v>
      </c>
      <c r="W16">
        <f t="shared" ca="1" si="17"/>
        <v>68.000077559762218</v>
      </c>
      <c r="X16">
        <f t="shared" ca="1" si="17"/>
        <v>68.053084071347982</v>
      </c>
      <c r="Y16">
        <f t="shared" ca="1" si="17"/>
        <v>69.455050345751602</v>
      </c>
      <c r="Z16">
        <f t="shared" ca="1" si="17"/>
        <v>70.335863963970951</v>
      </c>
      <c r="AA16">
        <f t="shared" ca="1" si="17"/>
        <v>70.224706813355454</v>
      </c>
      <c r="AB16">
        <f t="shared" ca="1" si="17"/>
        <v>71.199384522124717</v>
      </c>
      <c r="AC16">
        <f t="shared" ca="1" si="17"/>
        <v>71.730656719533812</v>
      </c>
      <c r="AD16">
        <f t="shared" ca="1" si="17"/>
        <v>71.608224058036413</v>
      </c>
      <c r="AE16">
        <f t="shared" ca="1" si="17"/>
        <v>72.98486820140414</v>
      </c>
      <c r="AF16">
        <f t="shared" ca="1" si="17"/>
        <v>75.092713443788639</v>
      </c>
      <c r="AG16">
        <f t="shared" ca="1" si="17"/>
        <v>75.301266977250066</v>
      </c>
      <c r="AH16">
        <f t="shared" ca="1" si="17"/>
        <v>76.291865149110635</v>
      </c>
      <c r="AI16">
        <f t="shared" ca="1" si="17"/>
        <v>79.117519957351831</v>
      </c>
      <c r="AJ16">
        <f t="shared" ca="1" si="17"/>
        <v>79.959377368812738</v>
      </c>
      <c r="AK16">
        <f t="shared" ca="1" si="17"/>
        <v>81.057945182734031</v>
      </c>
      <c r="AL16">
        <f t="shared" ca="1" si="17"/>
        <v>81.310987985403727</v>
      </c>
      <c r="AM16">
        <f t="shared" ca="1" si="17"/>
        <v>82.137310484953957</v>
      </c>
      <c r="AN16">
        <f t="shared" ca="1" si="17"/>
        <v>80.896965796251294</v>
      </c>
      <c r="AO16">
        <f t="shared" ca="1" si="17"/>
        <v>82.785862774941535</v>
      </c>
      <c r="AP16">
        <f t="shared" ca="1" si="17"/>
        <v>81.411660283822116</v>
      </c>
      <c r="AQ16">
        <f t="shared" ca="1" si="17"/>
        <v>81.326728439506368</v>
      </c>
      <c r="AR16">
        <f t="shared" ca="1" si="17"/>
        <v>83.982937062160246</v>
      </c>
      <c r="AS16">
        <f t="shared" ca="1" si="17"/>
        <v>82.828304066021445</v>
      </c>
      <c r="AT16">
        <f t="shared" ca="1" si="17"/>
        <v>81.194351733261911</v>
      </c>
      <c r="AU16">
        <f t="shared" ca="1" si="17"/>
        <v>80.030318909648955</v>
      </c>
      <c r="AV16">
        <f t="shared" ca="1" si="17"/>
        <v>82.805073201030424</v>
      </c>
      <c r="AW16">
        <f t="shared" ca="1" si="17"/>
        <v>81.678678116898141</v>
      </c>
      <c r="AX16">
        <f t="shared" ca="1" si="17"/>
        <v>82.194935129423527</v>
      </c>
      <c r="AY16">
        <f t="shared" ca="1" si="17"/>
        <v>82.243891482381585</v>
      </c>
      <c r="AZ16">
        <f t="shared" ca="1" si="17"/>
        <v>81.880219773367116</v>
      </c>
      <c r="BA16">
        <f t="shared" ca="1" si="17"/>
        <v>79.910621978988758</v>
      </c>
      <c r="BB16">
        <f t="shared" ca="1" si="17"/>
        <v>79.580316325935698</v>
      </c>
      <c r="BC16">
        <f t="shared" ca="1" si="17"/>
        <v>79.475440678302789</v>
      </c>
      <c r="BD16">
        <f t="shared" ca="1" si="17"/>
        <v>79.114128141807868</v>
      </c>
      <c r="BE16">
        <f t="shared" ca="1" si="17"/>
        <v>81.047684631324813</v>
      </c>
      <c r="BF16">
        <f t="shared" ca="1" si="17"/>
        <v>83.702535476690173</v>
      </c>
      <c r="BG16">
        <f t="shared" ca="1" si="17"/>
        <v>82.413268612409453</v>
      </c>
      <c r="BH16">
        <f t="shared" ca="1" si="17"/>
        <v>83.493014427545731</v>
      </c>
      <c r="BI16">
        <f t="shared" ca="1" si="17"/>
        <v>81.758808218884155</v>
      </c>
      <c r="BJ16">
        <f t="shared" ca="1" si="17"/>
        <v>82.318060622361116</v>
      </c>
      <c r="BK16">
        <f t="shared" ca="1" si="17"/>
        <v>84.046592067877526</v>
      </c>
      <c r="BL16">
        <f t="shared" ca="1" si="17"/>
        <v>84.824126078268122</v>
      </c>
      <c r="BM16">
        <f t="shared" ca="1" si="17"/>
        <v>83.489915747041479</v>
      </c>
      <c r="BN16">
        <f t="shared" ca="1" si="17"/>
        <v>83.180677222015476</v>
      </c>
      <c r="BO16">
        <f t="shared" ca="1" si="4"/>
        <v>25.180677222015476</v>
      </c>
    </row>
    <row r="17" spans="6:67">
      <c r="F17">
        <f t="shared" si="2"/>
        <v>60.99</v>
      </c>
      <c r="G17">
        <f t="shared" ref="G17:BN17" ca="1" si="18">F17*EXP(($B$2-0.5*$B$3^2)*$B$4+$B$3*_xlfn.NORM.INV(RAND(),0,SQRT($B$4)))</f>
        <v>61.479738083943609</v>
      </c>
      <c r="H17">
        <f t="shared" ca="1" si="18"/>
        <v>61.640317160683061</v>
      </c>
      <c r="I17">
        <f t="shared" ca="1" si="18"/>
        <v>60.836232676924297</v>
      </c>
      <c r="J17">
        <f t="shared" ca="1" si="18"/>
        <v>61.39072914547917</v>
      </c>
      <c r="K17">
        <f t="shared" ca="1" si="18"/>
        <v>60.364314654798164</v>
      </c>
      <c r="L17">
        <f t="shared" ca="1" si="18"/>
        <v>58.868098482574986</v>
      </c>
      <c r="M17">
        <f t="shared" ca="1" si="18"/>
        <v>58.3766501162482</v>
      </c>
      <c r="N17">
        <f t="shared" ca="1" si="18"/>
        <v>56.746543694552081</v>
      </c>
      <c r="O17">
        <f t="shared" ca="1" si="18"/>
        <v>56.588127006369064</v>
      </c>
      <c r="P17">
        <f t="shared" ca="1" si="18"/>
        <v>56.591016291133741</v>
      </c>
      <c r="Q17">
        <f t="shared" ca="1" si="18"/>
        <v>56.891711733898184</v>
      </c>
      <c r="R17">
        <f t="shared" ca="1" si="18"/>
        <v>57.205432687446852</v>
      </c>
      <c r="S17">
        <f t="shared" ca="1" si="18"/>
        <v>57.602319590411916</v>
      </c>
      <c r="T17">
        <f t="shared" ca="1" si="18"/>
        <v>56.912234782516258</v>
      </c>
      <c r="U17">
        <f t="shared" ca="1" si="18"/>
        <v>59.042603989969457</v>
      </c>
      <c r="V17">
        <f t="shared" ca="1" si="18"/>
        <v>59.182322927065094</v>
      </c>
      <c r="W17">
        <f t="shared" ca="1" si="18"/>
        <v>60.291328458516944</v>
      </c>
      <c r="X17">
        <f t="shared" ca="1" si="18"/>
        <v>60.445609093326617</v>
      </c>
      <c r="Y17">
        <f t="shared" ca="1" si="18"/>
        <v>58.863825173073501</v>
      </c>
      <c r="Z17">
        <f t="shared" ca="1" si="18"/>
        <v>60.898401723172398</v>
      </c>
      <c r="AA17">
        <f t="shared" ca="1" si="18"/>
        <v>58.701083512317226</v>
      </c>
      <c r="AB17">
        <f t="shared" ca="1" si="18"/>
        <v>57.772358458527499</v>
      </c>
      <c r="AC17">
        <f t="shared" ca="1" si="18"/>
        <v>59.247016066478174</v>
      </c>
      <c r="AD17">
        <f t="shared" ca="1" si="18"/>
        <v>60.401543375715377</v>
      </c>
      <c r="AE17">
        <f t="shared" ca="1" si="18"/>
        <v>59.20414564323486</v>
      </c>
      <c r="AF17">
        <f t="shared" ca="1" si="18"/>
        <v>59.539720332241032</v>
      </c>
      <c r="AG17">
        <f t="shared" ca="1" si="18"/>
        <v>59.218725524470877</v>
      </c>
      <c r="AH17">
        <f t="shared" ca="1" si="18"/>
        <v>56.877685547202972</v>
      </c>
      <c r="AI17">
        <f t="shared" ca="1" si="18"/>
        <v>56.450720017567626</v>
      </c>
      <c r="AJ17">
        <f t="shared" ca="1" si="18"/>
        <v>55.403989846702757</v>
      </c>
      <c r="AK17">
        <f t="shared" ca="1" si="18"/>
        <v>54.771714740432692</v>
      </c>
      <c r="AL17">
        <f t="shared" ca="1" si="18"/>
        <v>52.160101232291517</v>
      </c>
      <c r="AM17">
        <f t="shared" ca="1" si="18"/>
        <v>52.232794030746746</v>
      </c>
      <c r="AN17">
        <f t="shared" ca="1" si="18"/>
        <v>51.433874072788278</v>
      </c>
      <c r="AO17">
        <f t="shared" ca="1" si="18"/>
        <v>50.483837570503852</v>
      </c>
      <c r="AP17">
        <f t="shared" ca="1" si="18"/>
        <v>52.298357388101117</v>
      </c>
      <c r="AQ17">
        <f t="shared" ca="1" si="18"/>
        <v>52.884864728032596</v>
      </c>
      <c r="AR17">
        <f t="shared" ca="1" si="18"/>
        <v>52.858722788077984</v>
      </c>
      <c r="AS17">
        <f t="shared" ca="1" si="18"/>
        <v>51.958711021809307</v>
      </c>
      <c r="AT17">
        <f t="shared" ca="1" si="18"/>
        <v>51.874065641168471</v>
      </c>
      <c r="AU17">
        <f t="shared" ca="1" si="18"/>
        <v>53.049999564523247</v>
      </c>
      <c r="AV17">
        <f t="shared" ca="1" si="18"/>
        <v>53.141625859203891</v>
      </c>
      <c r="AW17">
        <f t="shared" ca="1" si="18"/>
        <v>51.957313074263318</v>
      </c>
      <c r="AX17">
        <f t="shared" ca="1" si="18"/>
        <v>52.506235684885453</v>
      </c>
      <c r="AY17">
        <f t="shared" ca="1" si="18"/>
        <v>53.231169961421152</v>
      </c>
      <c r="AZ17">
        <f t="shared" ca="1" si="18"/>
        <v>51.880698587657648</v>
      </c>
      <c r="BA17">
        <f t="shared" ca="1" si="18"/>
        <v>52.169959767015925</v>
      </c>
      <c r="BB17">
        <f t="shared" ca="1" si="18"/>
        <v>52.270023063234198</v>
      </c>
      <c r="BC17">
        <f t="shared" ca="1" si="18"/>
        <v>53.828634544830635</v>
      </c>
      <c r="BD17">
        <f t="shared" ca="1" si="18"/>
        <v>52.513519564761296</v>
      </c>
      <c r="BE17">
        <f t="shared" ca="1" si="18"/>
        <v>52.712217536840264</v>
      </c>
      <c r="BF17">
        <f t="shared" ca="1" si="18"/>
        <v>52.168238943889435</v>
      </c>
      <c r="BG17">
        <f t="shared" ca="1" si="18"/>
        <v>53.28015531078843</v>
      </c>
      <c r="BH17">
        <f t="shared" ca="1" si="18"/>
        <v>54.778956500671953</v>
      </c>
      <c r="BI17">
        <f t="shared" ca="1" si="18"/>
        <v>55.283657475514218</v>
      </c>
      <c r="BJ17">
        <f t="shared" ca="1" si="18"/>
        <v>56.047425122146507</v>
      </c>
      <c r="BK17">
        <f t="shared" ca="1" si="18"/>
        <v>57.550194380009422</v>
      </c>
      <c r="BL17">
        <f t="shared" ca="1" si="18"/>
        <v>55.078156675934444</v>
      </c>
      <c r="BM17">
        <f t="shared" ca="1" si="18"/>
        <v>54.565139341061823</v>
      </c>
      <c r="BN17">
        <f t="shared" ca="1" si="18"/>
        <v>53.498058125890203</v>
      </c>
      <c r="BO17">
        <f t="shared" ca="1" si="4"/>
        <v>0</v>
      </c>
    </row>
    <row r="18" spans="6:67">
      <c r="F18">
        <f t="shared" si="2"/>
        <v>60.99</v>
      </c>
      <c r="G18">
        <f t="shared" ref="G18:BN18" ca="1" si="19">F18*EXP(($B$2-0.5*$B$3^2)*$B$4+$B$3*_xlfn.NORM.INV(RAND(),0,SQRT($B$4)))</f>
        <v>61.289304212609466</v>
      </c>
      <c r="H18">
        <f t="shared" ca="1" si="19"/>
        <v>62.652611456793046</v>
      </c>
      <c r="I18">
        <f t="shared" ca="1" si="19"/>
        <v>65.129427056202516</v>
      </c>
      <c r="J18">
        <f t="shared" ca="1" si="19"/>
        <v>64.769187441187199</v>
      </c>
      <c r="K18">
        <f t="shared" ca="1" si="19"/>
        <v>64.682605468352861</v>
      </c>
      <c r="L18">
        <f t="shared" ca="1" si="19"/>
        <v>63.773754163478472</v>
      </c>
      <c r="M18">
        <f t="shared" ca="1" si="19"/>
        <v>62.663100994902528</v>
      </c>
      <c r="N18">
        <f t="shared" ca="1" si="19"/>
        <v>61.059724945566892</v>
      </c>
      <c r="O18">
        <f t="shared" ca="1" si="19"/>
        <v>59.62904213952384</v>
      </c>
      <c r="P18">
        <f t="shared" ca="1" si="19"/>
        <v>60.007983717269042</v>
      </c>
      <c r="Q18">
        <f t="shared" ca="1" si="19"/>
        <v>61.090595480932535</v>
      </c>
      <c r="R18">
        <f t="shared" ca="1" si="19"/>
        <v>59.751682416319838</v>
      </c>
      <c r="S18">
        <f t="shared" ca="1" si="19"/>
        <v>57.168477872037741</v>
      </c>
      <c r="T18">
        <f t="shared" ca="1" si="19"/>
        <v>56.661856443991553</v>
      </c>
      <c r="U18">
        <f t="shared" ca="1" si="19"/>
        <v>59.812363856278331</v>
      </c>
      <c r="V18">
        <f t="shared" ca="1" si="19"/>
        <v>59.118378556063284</v>
      </c>
      <c r="W18">
        <f t="shared" ca="1" si="19"/>
        <v>60.441097653282029</v>
      </c>
      <c r="X18">
        <f t="shared" ca="1" si="19"/>
        <v>61.841562290315274</v>
      </c>
      <c r="Y18">
        <f t="shared" ca="1" si="19"/>
        <v>63.082497312801813</v>
      </c>
      <c r="Z18">
        <f t="shared" ca="1" si="19"/>
        <v>62.482235153213388</v>
      </c>
      <c r="AA18">
        <f t="shared" ca="1" si="19"/>
        <v>62.848560917666425</v>
      </c>
      <c r="AB18">
        <f t="shared" ca="1" si="19"/>
        <v>62.352920894567156</v>
      </c>
      <c r="AC18">
        <f t="shared" ca="1" si="19"/>
        <v>61.850718013868921</v>
      </c>
      <c r="AD18">
        <f t="shared" ca="1" si="19"/>
        <v>60.585291228573901</v>
      </c>
      <c r="AE18">
        <f t="shared" ca="1" si="19"/>
        <v>60.0596975129641</v>
      </c>
      <c r="AF18">
        <f t="shared" ca="1" si="19"/>
        <v>61.611337821259177</v>
      </c>
      <c r="AG18">
        <f t="shared" ca="1" si="19"/>
        <v>63.713102597300846</v>
      </c>
      <c r="AH18">
        <f t="shared" ca="1" si="19"/>
        <v>64.240215464545003</v>
      </c>
      <c r="AI18">
        <f t="shared" ca="1" si="19"/>
        <v>65.749782689376914</v>
      </c>
      <c r="AJ18">
        <f t="shared" ca="1" si="19"/>
        <v>65.399744959987913</v>
      </c>
      <c r="AK18">
        <f t="shared" ca="1" si="19"/>
        <v>65.679173399146677</v>
      </c>
      <c r="AL18">
        <f t="shared" ca="1" si="19"/>
        <v>67.161055110144829</v>
      </c>
      <c r="AM18">
        <f t="shared" ca="1" si="19"/>
        <v>66.131521929827031</v>
      </c>
      <c r="AN18">
        <f t="shared" ca="1" si="19"/>
        <v>66.497185948067553</v>
      </c>
      <c r="AO18">
        <f t="shared" ca="1" si="19"/>
        <v>67.598013353222797</v>
      </c>
      <c r="AP18">
        <f t="shared" ca="1" si="19"/>
        <v>67.402662268226024</v>
      </c>
      <c r="AQ18">
        <f t="shared" ca="1" si="19"/>
        <v>66.495885727817637</v>
      </c>
      <c r="AR18">
        <f t="shared" ca="1" si="19"/>
        <v>67.04687975023127</v>
      </c>
      <c r="AS18">
        <f t="shared" ca="1" si="19"/>
        <v>68.819850724211264</v>
      </c>
      <c r="AT18">
        <f t="shared" ca="1" si="19"/>
        <v>69.331062462663667</v>
      </c>
      <c r="AU18">
        <f t="shared" ca="1" si="19"/>
        <v>69.091342518635315</v>
      </c>
      <c r="AV18">
        <f t="shared" ca="1" si="19"/>
        <v>71.375780875011472</v>
      </c>
      <c r="AW18">
        <f t="shared" ca="1" si="19"/>
        <v>69.418555149941156</v>
      </c>
      <c r="AX18">
        <f t="shared" ca="1" si="19"/>
        <v>69.513266310211606</v>
      </c>
      <c r="AY18">
        <f t="shared" ca="1" si="19"/>
        <v>68.92688937255619</v>
      </c>
      <c r="AZ18">
        <f t="shared" ca="1" si="19"/>
        <v>70.973412920444673</v>
      </c>
      <c r="BA18">
        <f t="shared" ca="1" si="19"/>
        <v>71.305796600042498</v>
      </c>
      <c r="BB18">
        <f t="shared" ca="1" si="19"/>
        <v>71.991859608440748</v>
      </c>
      <c r="BC18">
        <f t="shared" ca="1" si="19"/>
        <v>71.302559504798339</v>
      </c>
      <c r="BD18">
        <f t="shared" ca="1" si="19"/>
        <v>71.626990453427965</v>
      </c>
      <c r="BE18">
        <f t="shared" ca="1" si="19"/>
        <v>69.85368087934296</v>
      </c>
      <c r="BF18">
        <f t="shared" ca="1" si="19"/>
        <v>69.706351110694499</v>
      </c>
      <c r="BG18">
        <f t="shared" ca="1" si="19"/>
        <v>68.957191593031297</v>
      </c>
      <c r="BH18">
        <f t="shared" ca="1" si="19"/>
        <v>69.666382488137643</v>
      </c>
      <c r="BI18">
        <f t="shared" ca="1" si="19"/>
        <v>68.03232805540955</v>
      </c>
      <c r="BJ18">
        <f t="shared" ca="1" si="19"/>
        <v>69.276235470649425</v>
      </c>
      <c r="BK18">
        <f t="shared" ca="1" si="19"/>
        <v>70.344631898576495</v>
      </c>
      <c r="BL18">
        <f t="shared" ca="1" si="19"/>
        <v>71.069861116337066</v>
      </c>
      <c r="BM18">
        <f t="shared" ca="1" si="19"/>
        <v>70.675800162038996</v>
      </c>
      <c r="BN18">
        <f t="shared" ca="1" si="19"/>
        <v>70.015049124465293</v>
      </c>
      <c r="BO18">
        <f t="shared" ca="1" si="4"/>
        <v>12.015049124465293</v>
      </c>
    </row>
    <row r="19" spans="6:67">
      <c r="F19">
        <f t="shared" si="2"/>
        <v>60.99</v>
      </c>
      <c r="G19">
        <f t="shared" ref="G19:BN19" ca="1" si="20">F19*EXP(($B$2-0.5*$B$3^2)*$B$4+$B$3*_xlfn.NORM.INV(RAND(),0,SQRT($B$4)))</f>
        <v>61.255800153261589</v>
      </c>
      <c r="H19">
        <f t="shared" ca="1" si="20"/>
        <v>63.798442643616944</v>
      </c>
      <c r="I19">
        <f t="shared" ca="1" si="20"/>
        <v>63.13987682565358</v>
      </c>
      <c r="J19">
        <f t="shared" ca="1" si="20"/>
        <v>62.110245382937542</v>
      </c>
      <c r="K19">
        <f t="shared" ca="1" si="20"/>
        <v>62.707957195002002</v>
      </c>
      <c r="L19">
        <f t="shared" ca="1" si="20"/>
        <v>61.370682160508252</v>
      </c>
      <c r="M19">
        <f t="shared" ca="1" si="20"/>
        <v>61.943679162481317</v>
      </c>
      <c r="N19">
        <f t="shared" ca="1" si="20"/>
        <v>61.835126393198706</v>
      </c>
      <c r="O19">
        <f t="shared" ca="1" si="20"/>
        <v>63.037576004582554</v>
      </c>
      <c r="P19">
        <f t="shared" ca="1" si="20"/>
        <v>62.624489132756544</v>
      </c>
      <c r="Q19">
        <f t="shared" ca="1" si="20"/>
        <v>62.023105783160112</v>
      </c>
      <c r="R19">
        <f t="shared" ca="1" si="20"/>
        <v>61.599041128249901</v>
      </c>
      <c r="S19">
        <f t="shared" ca="1" si="20"/>
        <v>58.728200760639623</v>
      </c>
      <c r="T19">
        <f t="shared" ca="1" si="20"/>
        <v>58.134466178503068</v>
      </c>
      <c r="U19">
        <f t="shared" ca="1" si="20"/>
        <v>57.877080619216507</v>
      </c>
      <c r="V19">
        <f t="shared" ca="1" si="20"/>
        <v>56.404051912396866</v>
      </c>
      <c r="W19">
        <f t="shared" ca="1" si="20"/>
        <v>56.215022279552123</v>
      </c>
      <c r="X19">
        <f t="shared" ca="1" si="20"/>
        <v>55.945761100774291</v>
      </c>
      <c r="Y19">
        <f t="shared" ca="1" si="20"/>
        <v>55.286874629846011</v>
      </c>
      <c r="Z19">
        <f t="shared" ca="1" si="20"/>
        <v>55.561501616501189</v>
      </c>
      <c r="AA19">
        <f t="shared" ca="1" si="20"/>
        <v>55.484074661379708</v>
      </c>
      <c r="AB19">
        <f t="shared" ca="1" si="20"/>
        <v>55.073489205757461</v>
      </c>
      <c r="AC19">
        <f t="shared" ca="1" si="20"/>
        <v>57.068417298844423</v>
      </c>
      <c r="AD19">
        <f t="shared" ca="1" si="20"/>
        <v>56.923022731306133</v>
      </c>
      <c r="AE19">
        <f t="shared" ca="1" si="20"/>
        <v>55.967970322023348</v>
      </c>
      <c r="AF19">
        <f t="shared" ca="1" si="20"/>
        <v>56.86774192649974</v>
      </c>
      <c r="AG19">
        <f t="shared" ca="1" si="20"/>
        <v>58.86750859860679</v>
      </c>
      <c r="AH19">
        <f t="shared" ca="1" si="20"/>
        <v>57.733228330193853</v>
      </c>
      <c r="AI19">
        <f t="shared" ca="1" si="20"/>
        <v>58.09431655685831</v>
      </c>
      <c r="AJ19">
        <f t="shared" ca="1" si="20"/>
        <v>57.287233410735148</v>
      </c>
      <c r="AK19">
        <f t="shared" ca="1" si="20"/>
        <v>56.833698248836072</v>
      </c>
      <c r="AL19">
        <f t="shared" ca="1" si="20"/>
        <v>56.553883710366144</v>
      </c>
      <c r="AM19">
        <f t="shared" ca="1" si="20"/>
        <v>56.426776085897735</v>
      </c>
      <c r="AN19">
        <f t="shared" ca="1" si="20"/>
        <v>57.888722046293381</v>
      </c>
      <c r="AO19">
        <f t="shared" ca="1" si="20"/>
        <v>57.871278585943315</v>
      </c>
      <c r="AP19">
        <f t="shared" ca="1" si="20"/>
        <v>57.522854876676668</v>
      </c>
      <c r="AQ19">
        <f t="shared" ca="1" si="20"/>
        <v>57.722673319066473</v>
      </c>
      <c r="AR19">
        <f t="shared" ca="1" si="20"/>
        <v>55.654571431300546</v>
      </c>
      <c r="AS19">
        <f t="shared" ca="1" si="20"/>
        <v>55.101693841528252</v>
      </c>
      <c r="AT19">
        <f t="shared" ca="1" si="20"/>
        <v>55.879051819254634</v>
      </c>
      <c r="AU19">
        <f t="shared" ca="1" si="20"/>
        <v>56.007464633274985</v>
      </c>
      <c r="AV19">
        <f t="shared" ca="1" si="20"/>
        <v>57.185351542084078</v>
      </c>
      <c r="AW19">
        <f t="shared" ca="1" si="20"/>
        <v>58.35517809078771</v>
      </c>
      <c r="AX19">
        <f t="shared" ca="1" si="20"/>
        <v>57.878405413284113</v>
      </c>
      <c r="AY19">
        <f t="shared" ca="1" si="20"/>
        <v>57.475114935140297</v>
      </c>
      <c r="AZ19">
        <f t="shared" ca="1" si="20"/>
        <v>56.328762533433633</v>
      </c>
      <c r="BA19">
        <f t="shared" ca="1" si="20"/>
        <v>56.943375511738104</v>
      </c>
      <c r="BB19">
        <f t="shared" ca="1" si="20"/>
        <v>56.061856178802529</v>
      </c>
      <c r="BC19">
        <f t="shared" ca="1" si="20"/>
        <v>56.634978051584113</v>
      </c>
      <c r="BD19">
        <f t="shared" ca="1" si="20"/>
        <v>54.567588804033107</v>
      </c>
      <c r="BE19">
        <f t="shared" ca="1" si="20"/>
        <v>55.265889212310555</v>
      </c>
      <c r="BF19">
        <f t="shared" ca="1" si="20"/>
        <v>55.893794390271822</v>
      </c>
      <c r="BG19">
        <f t="shared" ca="1" si="20"/>
        <v>56.994799383370719</v>
      </c>
      <c r="BH19">
        <f t="shared" ca="1" si="20"/>
        <v>55.630999758657104</v>
      </c>
      <c r="BI19">
        <f t="shared" ca="1" si="20"/>
        <v>58.395867251415467</v>
      </c>
      <c r="BJ19">
        <f t="shared" ca="1" si="20"/>
        <v>59.990812106038454</v>
      </c>
      <c r="BK19">
        <f t="shared" ca="1" si="20"/>
        <v>59.560056577877127</v>
      </c>
      <c r="BL19">
        <f t="shared" ca="1" si="20"/>
        <v>59.364224190840346</v>
      </c>
      <c r="BM19">
        <f t="shared" ca="1" si="20"/>
        <v>60.642183963939935</v>
      </c>
      <c r="BN19">
        <f t="shared" ca="1" si="20"/>
        <v>62.638465430212115</v>
      </c>
      <c r="BO19">
        <f t="shared" ca="1" si="4"/>
        <v>4.6384654302121149</v>
      </c>
    </row>
    <row r="20" spans="6:67">
      <c r="F20">
        <f t="shared" si="2"/>
        <v>60.99</v>
      </c>
      <c r="G20">
        <f t="shared" ref="G20:BN20" ca="1" si="21">F20*EXP(($B$2-0.5*$B$3^2)*$B$4+$B$3*_xlfn.NORM.INV(RAND(),0,SQRT($B$4)))</f>
        <v>61.484098738777945</v>
      </c>
      <c r="H20">
        <f t="shared" ca="1" si="21"/>
        <v>60.604856254721859</v>
      </c>
      <c r="I20">
        <f t="shared" ca="1" si="21"/>
        <v>60.779561419759851</v>
      </c>
      <c r="J20">
        <f t="shared" ca="1" si="21"/>
        <v>61.306552108733165</v>
      </c>
      <c r="K20">
        <f t="shared" ca="1" si="21"/>
        <v>62.187532600822557</v>
      </c>
      <c r="L20">
        <f t="shared" ca="1" si="21"/>
        <v>64.208634572087789</v>
      </c>
      <c r="M20">
        <f t="shared" ca="1" si="21"/>
        <v>65.376099712379713</v>
      </c>
      <c r="N20">
        <f t="shared" ca="1" si="21"/>
        <v>65.152643700776665</v>
      </c>
      <c r="O20">
        <f t="shared" ca="1" si="21"/>
        <v>65.603891064005992</v>
      </c>
      <c r="P20">
        <f t="shared" ca="1" si="21"/>
        <v>65.010287808378749</v>
      </c>
      <c r="Q20">
        <f t="shared" ca="1" si="21"/>
        <v>65.887113011379881</v>
      </c>
      <c r="R20">
        <f t="shared" ca="1" si="21"/>
        <v>68.458591110475737</v>
      </c>
      <c r="S20">
        <f t="shared" ca="1" si="21"/>
        <v>69.736129818490383</v>
      </c>
      <c r="T20">
        <f t="shared" ca="1" si="21"/>
        <v>70.822321807079618</v>
      </c>
      <c r="U20">
        <f t="shared" ca="1" si="21"/>
        <v>70.489505175350914</v>
      </c>
      <c r="V20">
        <f t="shared" ca="1" si="21"/>
        <v>72.622340923617287</v>
      </c>
      <c r="W20">
        <f t="shared" ca="1" si="21"/>
        <v>74.622085348386349</v>
      </c>
      <c r="X20">
        <f t="shared" ca="1" si="21"/>
        <v>74.578666589862806</v>
      </c>
      <c r="Y20">
        <f t="shared" ca="1" si="21"/>
        <v>76.068418365458669</v>
      </c>
      <c r="Z20">
        <f t="shared" ca="1" si="21"/>
        <v>77.676785057513754</v>
      </c>
      <c r="AA20">
        <f t="shared" ca="1" si="21"/>
        <v>76.427379837797517</v>
      </c>
      <c r="AB20">
        <f t="shared" ca="1" si="21"/>
        <v>77.972923645890219</v>
      </c>
      <c r="AC20">
        <f t="shared" ca="1" si="21"/>
        <v>78.387285236278316</v>
      </c>
      <c r="AD20">
        <f t="shared" ca="1" si="21"/>
        <v>77.504524901419103</v>
      </c>
      <c r="AE20">
        <f t="shared" ca="1" si="21"/>
        <v>76.125414377031774</v>
      </c>
      <c r="AF20">
        <f t="shared" ca="1" si="21"/>
        <v>75.253244420491598</v>
      </c>
      <c r="AG20">
        <f t="shared" ca="1" si="21"/>
        <v>77.509995703526243</v>
      </c>
      <c r="AH20">
        <f t="shared" ca="1" si="21"/>
        <v>76.842658097062582</v>
      </c>
      <c r="AI20">
        <f t="shared" ca="1" si="21"/>
        <v>75.243341757055006</v>
      </c>
      <c r="AJ20">
        <f t="shared" ca="1" si="21"/>
        <v>76.835961941236832</v>
      </c>
      <c r="AK20">
        <f t="shared" ca="1" si="21"/>
        <v>78.846053038835976</v>
      </c>
      <c r="AL20">
        <f t="shared" ca="1" si="21"/>
        <v>77.533448086888498</v>
      </c>
      <c r="AM20">
        <f t="shared" ca="1" si="21"/>
        <v>73.956772902172375</v>
      </c>
      <c r="AN20">
        <f t="shared" ca="1" si="21"/>
        <v>73.646889701627046</v>
      </c>
      <c r="AO20">
        <f t="shared" ca="1" si="21"/>
        <v>74.578967888352281</v>
      </c>
      <c r="AP20">
        <f t="shared" ca="1" si="21"/>
        <v>73.802336862638953</v>
      </c>
      <c r="AQ20">
        <f t="shared" ca="1" si="21"/>
        <v>75.253935967836213</v>
      </c>
      <c r="AR20">
        <f t="shared" ca="1" si="21"/>
        <v>74.216537111901488</v>
      </c>
      <c r="AS20">
        <f t="shared" ca="1" si="21"/>
        <v>72.869503202493988</v>
      </c>
      <c r="AT20">
        <f t="shared" ca="1" si="21"/>
        <v>75.832283929764529</v>
      </c>
      <c r="AU20">
        <f t="shared" ca="1" si="21"/>
        <v>76.319471012786678</v>
      </c>
      <c r="AV20">
        <f t="shared" ca="1" si="21"/>
        <v>78.741593883453817</v>
      </c>
      <c r="AW20">
        <f t="shared" ca="1" si="21"/>
        <v>80.516038848316015</v>
      </c>
      <c r="AX20">
        <f t="shared" ca="1" si="21"/>
        <v>81.406831410446316</v>
      </c>
      <c r="AY20">
        <f t="shared" ca="1" si="21"/>
        <v>83.142676311833256</v>
      </c>
      <c r="AZ20">
        <f t="shared" ca="1" si="21"/>
        <v>83.321520033452856</v>
      </c>
      <c r="BA20">
        <f t="shared" ca="1" si="21"/>
        <v>82.413841933132687</v>
      </c>
      <c r="BB20">
        <f t="shared" ca="1" si="21"/>
        <v>82.018350229292722</v>
      </c>
      <c r="BC20">
        <f t="shared" ca="1" si="21"/>
        <v>82.215870272060457</v>
      </c>
      <c r="BD20">
        <f t="shared" ca="1" si="21"/>
        <v>82.607366578553481</v>
      </c>
      <c r="BE20">
        <f t="shared" ca="1" si="21"/>
        <v>82.694722971416681</v>
      </c>
      <c r="BF20">
        <f t="shared" ca="1" si="21"/>
        <v>79.825729379249552</v>
      </c>
      <c r="BG20">
        <f t="shared" ca="1" si="21"/>
        <v>81.310953413848637</v>
      </c>
      <c r="BH20">
        <f t="shared" ca="1" si="21"/>
        <v>82.863761873541648</v>
      </c>
      <c r="BI20">
        <f t="shared" ca="1" si="21"/>
        <v>85.004090574621117</v>
      </c>
      <c r="BJ20">
        <f t="shared" ca="1" si="21"/>
        <v>86.089674303381699</v>
      </c>
      <c r="BK20">
        <f t="shared" ca="1" si="21"/>
        <v>86.195507346577131</v>
      </c>
      <c r="BL20">
        <f t="shared" ca="1" si="21"/>
        <v>88.438563401557118</v>
      </c>
      <c r="BM20">
        <f t="shared" ca="1" si="21"/>
        <v>89.888590012525356</v>
      </c>
      <c r="BN20">
        <f t="shared" ca="1" si="21"/>
        <v>88.423886358529586</v>
      </c>
      <c r="BO20">
        <f t="shared" ca="1" si="4"/>
        <v>30.423886358529586</v>
      </c>
    </row>
    <row r="21" spans="6:67">
      <c r="F21">
        <f t="shared" si="2"/>
        <v>60.99</v>
      </c>
      <c r="G21">
        <f t="shared" ref="G21:BN21" ca="1" si="22">F21*EXP(($B$2-0.5*$B$3^2)*$B$4+$B$3*_xlfn.NORM.INV(RAND(),0,SQRT($B$4)))</f>
        <v>62.957024277841839</v>
      </c>
      <c r="H21">
        <f t="shared" ca="1" si="22"/>
        <v>62.516102747796722</v>
      </c>
      <c r="I21">
        <f t="shared" ca="1" si="22"/>
        <v>63.472897460960382</v>
      </c>
      <c r="J21">
        <f t="shared" ca="1" si="22"/>
        <v>64.037911916070186</v>
      </c>
      <c r="K21">
        <f t="shared" ca="1" si="22"/>
        <v>63.174055584548299</v>
      </c>
      <c r="L21">
        <f t="shared" ca="1" si="22"/>
        <v>62.905166574139315</v>
      </c>
      <c r="M21">
        <f t="shared" ca="1" si="22"/>
        <v>62.810580487942111</v>
      </c>
      <c r="N21">
        <f t="shared" ca="1" si="22"/>
        <v>62.896350067161301</v>
      </c>
      <c r="O21">
        <f t="shared" ca="1" si="22"/>
        <v>64.768150983820576</v>
      </c>
      <c r="P21">
        <f t="shared" ca="1" si="22"/>
        <v>65.685148481652817</v>
      </c>
      <c r="Q21">
        <f t="shared" ca="1" si="22"/>
        <v>65.91227450491435</v>
      </c>
      <c r="R21">
        <f t="shared" ca="1" si="22"/>
        <v>68.04051767140723</v>
      </c>
      <c r="S21">
        <f t="shared" ca="1" si="22"/>
        <v>66.425107424884118</v>
      </c>
      <c r="T21">
        <f t="shared" ca="1" si="22"/>
        <v>66.24214955188809</v>
      </c>
      <c r="U21">
        <f t="shared" ca="1" si="22"/>
        <v>67.342567430957345</v>
      </c>
      <c r="V21">
        <f t="shared" ca="1" si="22"/>
        <v>68.006674150845711</v>
      </c>
      <c r="W21">
        <f t="shared" ca="1" si="22"/>
        <v>67.878440592784344</v>
      </c>
      <c r="X21">
        <f t="shared" ca="1" si="22"/>
        <v>69.324906247530848</v>
      </c>
      <c r="Y21">
        <f t="shared" ca="1" si="22"/>
        <v>69.738018555412367</v>
      </c>
      <c r="Z21">
        <f t="shared" ca="1" si="22"/>
        <v>71.42036206841226</v>
      </c>
      <c r="AA21">
        <f t="shared" ca="1" si="22"/>
        <v>70.952274302362966</v>
      </c>
      <c r="AB21">
        <f t="shared" ca="1" si="22"/>
        <v>70.863816511650867</v>
      </c>
      <c r="AC21">
        <f t="shared" ca="1" si="22"/>
        <v>71.7661036617029</v>
      </c>
      <c r="AD21">
        <f t="shared" ca="1" si="22"/>
        <v>72.952639760535888</v>
      </c>
      <c r="AE21">
        <f t="shared" ca="1" si="22"/>
        <v>73.81760964410401</v>
      </c>
      <c r="AF21">
        <f t="shared" ca="1" si="22"/>
        <v>75.662155069234203</v>
      </c>
      <c r="AG21">
        <f t="shared" ca="1" si="22"/>
        <v>75.490585346857983</v>
      </c>
      <c r="AH21">
        <f t="shared" ca="1" si="22"/>
        <v>75.355821803085036</v>
      </c>
      <c r="AI21">
        <f t="shared" ca="1" si="22"/>
        <v>76.10554487241464</v>
      </c>
      <c r="AJ21">
        <f t="shared" ca="1" si="22"/>
        <v>75.501593364310608</v>
      </c>
      <c r="AK21">
        <f t="shared" ca="1" si="22"/>
        <v>75.653178525568336</v>
      </c>
      <c r="AL21">
        <f t="shared" ca="1" si="22"/>
        <v>75.178663015784409</v>
      </c>
      <c r="AM21">
        <f t="shared" ca="1" si="22"/>
        <v>75.695908741998807</v>
      </c>
      <c r="AN21">
        <f t="shared" ca="1" si="22"/>
        <v>75.637988459500818</v>
      </c>
      <c r="AO21">
        <f t="shared" ca="1" si="22"/>
        <v>76.240946089286453</v>
      </c>
      <c r="AP21">
        <f t="shared" ca="1" si="22"/>
        <v>77.138197887852698</v>
      </c>
      <c r="AQ21">
        <f t="shared" ca="1" si="22"/>
        <v>75.865639938966368</v>
      </c>
      <c r="AR21">
        <f t="shared" ca="1" si="22"/>
        <v>75.207738393387203</v>
      </c>
      <c r="AS21">
        <f t="shared" ca="1" si="22"/>
        <v>77.506571321365399</v>
      </c>
      <c r="AT21">
        <f t="shared" ca="1" si="22"/>
        <v>78.794492995341898</v>
      </c>
      <c r="AU21">
        <f t="shared" ca="1" si="22"/>
        <v>80.841548533909105</v>
      </c>
      <c r="AV21">
        <f t="shared" ca="1" si="22"/>
        <v>82.795692829768299</v>
      </c>
      <c r="AW21">
        <f t="shared" ca="1" si="22"/>
        <v>83.366919994392433</v>
      </c>
      <c r="AX21">
        <f t="shared" ca="1" si="22"/>
        <v>86.311308776031723</v>
      </c>
      <c r="AY21">
        <f t="shared" ca="1" si="22"/>
        <v>87.437126774242643</v>
      </c>
      <c r="AZ21">
        <f t="shared" ca="1" si="22"/>
        <v>88.734621530483835</v>
      </c>
      <c r="BA21">
        <f t="shared" ca="1" si="22"/>
        <v>88.702101392418925</v>
      </c>
      <c r="BB21">
        <f t="shared" ca="1" si="22"/>
        <v>91.92031692264456</v>
      </c>
      <c r="BC21">
        <f t="shared" ca="1" si="22"/>
        <v>90.7256125573536</v>
      </c>
      <c r="BD21">
        <f t="shared" ca="1" si="22"/>
        <v>93.230480756222931</v>
      </c>
      <c r="BE21">
        <f t="shared" ca="1" si="22"/>
        <v>93.5690671284502</v>
      </c>
      <c r="BF21">
        <f t="shared" ca="1" si="22"/>
        <v>93.604818617672933</v>
      </c>
      <c r="BG21">
        <f t="shared" ca="1" si="22"/>
        <v>93.316584920315805</v>
      </c>
      <c r="BH21">
        <f t="shared" ca="1" si="22"/>
        <v>97.154159044833747</v>
      </c>
      <c r="BI21">
        <f t="shared" ca="1" si="22"/>
        <v>97.251505019947714</v>
      </c>
      <c r="BJ21">
        <f t="shared" ca="1" si="22"/>
        <v>97.652482644035445</v>
      </c>
      <c r="BK21">
        <f t="shared" ca="1" si="22"/>
        <v>101.38226645046318</v>
      </c>
      <c r="BL21">
        <f t="shared" ca="1" si="22"/>
        <v>103.3911494506527</v>
      </c>
      <c r="BM21">
        <f t="shared" ca="1" si="22"/>
        <v>104.73754548524977</v>
      </c>
      <c r="BN21">
        <f t="shared" ca="1" si="22"/>
        <v>104.20290713777409</v>
      </c>
      <c r="BO21">
        <f t="shared" ca="1" si="4"/>
        <v>46.202907137774091</v>
      </c>
    </row>
    <row r="22" spans="6:67">
      <c r="F22">
        <f t="shared" si="2"/>
        <v>60.99</v>
      </c>
      <c r="G22">
        <f t="shared" ref="G22:BN22" ca="1" si="23">F22*EXP(($B$2-0.5*$B$3^2)*$B$4+$B$3*_xlfn.NORM.INV(RAND(),0,SQRT($B$4)))</f>
        <v>62.709625327103986</v>
      </c>
      <c r="H22">
        <f t="shared" ca="1" si="23"/>
        <v>62.0847918379391</v>
      </c>
      <c r="I22">
        <f t="shared" ca="1" si="23"/>
        <v>65.285085254505574</v>
      </c>
      <c r="J22">
        <f t="shared" ca="1" si="23"/>
        <v>65.077439222589376</v>
      </c>
      <c r="K22">
        <f t="shared" ca="1" si="23"/>
        <v>63.688945823546391</v>
      </c>
      <c r="L22">
        <f t="shared" ca="1" si="23"/>
        <v>64.558453645495646</v>
      </c>
      <c r="M22">
        <f t="shared" ca="1" si="23"/>
        <v>63.407028577711323</v>
      </c>
      <c r="N22">
        <f t="shared" ca="1" si="23"/>
        <v>62.832848998858815</v>
      </c>
      <c r="O22">
        <f t="shared" ca="1" si="23"/>
        <v>60.506656779860165</v>
      </c>
      <c r="P22">
        <f t="shared" ca="1" si="23"/>
        <v>61.409965677909739</v>
      </c>
      <c r="Q22">
        <f t="shared" ca="1" si="23"/>
        <v>60.979486882767084</v>
      </c>
      <c r="R22">
        <f t="shared" ca="1" si="23"/>
        <v>62.100671003380818</v>
      </c>
      <c r="S22">
        <f t="shared" ca="1" si="23"/>
        <v>59.779961881741094</v>
      </c>
      <c r="T22">
        <f t="shared" ca="1" si="23"/>
        <v>61.206884112461978</v>
      </c>
      <c r="U22">
        <f t="shared" ca="1" si="23"/>
        <v>62.794507018217843</v>
      </c>
      <c r="V22">
        <f t="shared" ca="1" si="23"/>
        <v>64.186237920419373</v>
      </c>
      <c r="W22">
        <f t="shared" ca="1" si="23"/>
        <v>65.399253280784492</v>
      </c>
      <c r="X22">
        <f t="shared" ca="1" si="23"/>
        <v>66.513938202235494</v>
      </c>
      <c r="Y22">
        <f t="shared" ca="1" si="23"/>
        <v>69.018570845380552</v>
      </c>
      <c r="Z22">
        <f t="shared" ca="1" si="23"/>
        <v>69.050538140508309</v>
      </c>
      <c r="AA22">
        <f t="shared" ca="1" si="23"/>
        <v>69.021931178718191</v>
      </c>
      <c r="AB22">
        <f t="shared" ca="1" si="23"/>
        <v>68.262176903428298</v>
      </c>
      <c r="AC22">
        <f t="shared" ca="1" si="23"/>
        <v>66.780956696762843</v>
      </c>
      <c r="AD22">
        <f t="shared" ca="1" si="23"/>
        <v>68.025986232984877</v>
      </c>
      <c r="AE22">
        <f t="shared" ca="1" si="23"/>
        <v>67.95042764528273</v>
      </c>
      <c r="AF22">
        <f t="shared" ca="1" si="23"/>
        <v>64.589146329787837</v>
      </c>
      <c r="AG22">
        <f t="shared" ca="1" si="23"/>
        <v>64.912340915082069</v>
      </c>
      <c r="AH22">
        <f t="shared" ca="1" si="23"/>
        <v>63.376264269660851</v>
      </c>
      <c r="AI22">
        <f t="shared" ca="1" si="23"/>
        <v>61.060142085809105</v>
      </c>
      <c r="AJ22">
        <f t="shared" ca="1" si="23"/>
        <v>60.783639424980926</v>
      </c>
      <c r="AK22">
        <f t="shared" ca="1" si="23"/>
        <v>57.095387091756734</v>
      </c>
      <c r="AL22">
        <f t="shared" ca="1" si="23"/>
        <v>56.719090031978169</v>
      </c>
      <c r="AM22">
        <f t="shared" ca="1" si="23"/>
        <v>56.032829360553954</v>
      </c>
      <c r="AN22">
        <f t="shared" ca="1" si="23"/>
        <v>56.640260100010735</v>
      </c>
      <c r="AO22">
        <f t="shared" ca="1" si="23"/>
        <v>55.533189810985782</v>
      </c>
      <c r="AP22">
        <f t="shared" ca="1" si="23"/>
        <v>57.379605756849593</v>
      </c>
      <c r="AQ22">
        <f t="shared" ca="1" si="23"/>
        <v>59.158052896669375</v>
      </c>
      <c r="AR22">
        <f t="shared" ca="1" si="23"/>
        <v>61.569426563362278</v>
      </c>
      <c r="AS22">
        <f t="shared" ca="1" si="23"/>
        <v>62.364693235335345</v>
      </c>
      <c r="AT22">
        <f t="shared" ca="1" si="23"/>
        <v>62.968732281613846</v>
      </c>
      <c r="AU22">
        <f t="shared" ca="1" si="23"/>
        <v>61.723334076187058</v>
      </c>
      <c r="AV22">
        <f t="shared" ca="1" si="23"/>
        <v>59.807355570611783</v>
      </c>
      <c r="AW22">
        <f t="shared" ca="1" si="23"/>
        <v>60.77611062325429</v>
      </c>
      <c r="AX22">
        <f t="shared" ca="1" si="23"/>
        <v>60.977259260462134</v>
      </c>
      <c r="AY22">
        <f t="shared" ca="1" si="23"/>
        <v>61.102311377657941</v>
      </c>
      <c r="AZ22">
        <f t="shared" ca="1" si="23"/>
        <v>61.764025757460089</v>
      </c>
      <c r="BA22">
        <f t="shared" ca="1" si="23"/>
        <v>62.125108721659046</v>
      </c>
      <c r="BB22">
        <f t="shared" ca="1" si="23"/>
        <v>59.828401830331295</v>
      </c>
      <c r="BC22">
        <f t="shared" ca="1" si="23"/>
        <v>59.494171158467175</v>
      </c>
      <c r="BD22">
        <f t="shared" ca="1" si="23"/>
        <v>59.986944714531703</v>
      </c>
      <c r="BE22">
        <f t="shared" ca="1" si="23"/>
        <v>62.151646196559966</v>
      </c>
      <c r="BF22">
        <f t="shared" ca="1" si="23"/>
        <v>62.797553591397474</v>
      </c>
      <c r="BG22">
        <f t="shared" ca="1" si="23"/>
        <v>62.385017178802904</v>
      </c>
      <c r="BH22">
        <f t="shared" ca="1" si="23"/>
        <v>61.602487708217915</v>
      </c>
      <c r="BI22">
        <f t="shared" ca="1" si="23"/>
        <v>62.405936192494245</v>
      </c>
      <c r="BJ22">
        <f t="shared" ca="1" si="23"/>
        <v>63.498693132551004</v>
      </c>
      <c r="BK22">
        <f t="shared" ca="1" si="23"/>
        <v>62.25966994679672</v>
      </c>
      <c r="BL22">
        <f t="shared" ca="1" si="23"/>
        <v>62.927506586030582</v>
      </c>
      <c r="BM22">
        <f t="shared" ca="1" si="23"/>
        <v>63.487341343904426</v>
      </c>
      <c r="BN22">
        <f t="shared" ca="1" si="23"/>
        <v>64.543001901443262</v>
      </c>
      <c r="BO22">
        <f t="shared" ca="1" si="4"/>
        <v>6.5430019014432617</v>
      </c>
    </row>
    <row r="23" spans="6:67">
      <c r="F23">
        <f t="shared" si="2"/>
        <v>60.99</v>
      </c>
      <c r="G23">
        <f t="shared" ref="G23:BN23" ca="1" si="24">F23*EXP(($B$2-0.5*$B$3^2)*$B$4+$B$3*_xlfn.NORM.INV(RAND(),0,SQRT($B$4)))</f>
        <v>60.347739069995725</v>
      </c>
      <c r="H23">
        <f t="shared" ca="1" si="24"/>
        <v>60.005809848213893</v>
      </c>
      <c r="I23">
        <f t="shared" ca="1" si="24"/>
        <v>60.390692456281826</v>
      </c>
      <c r="J23">
        <f t="shared" ca="1" si="24"/>
        <v>61.457641247826899</v>
      </c>
      <c r="K23">
        <f t="shared" ca="1" si="24"/>
        <v>61.492909548345473</v>
      </c>
      <c r="L23">
        <f t="shared" ca="1" si="24"/>
        <v>62.837993542184101</v>
      </c>
      <c r="M23">
        <f t="shared" ca="1" si="24"/>
        <v>62.88168078117581</v>
      </c>
      <c r="N23">
        <f t="shared" ca="1" si="24"/>
        <v>61.656611726175697</v>
      </c>
      <c r="O23">
        <f t="shared" ca="1" si="24"/>
        <v>63.493119797208017</v>
      </c>
      <c r="P23">
        <f t="shared" ca="1" si="24"/>
        <v>64.188041976560001</v>
      </c>
      <c r="Q23">
        <f t="shared" ca="1" si="24"/>
        <v>65.684181237455974</v>
      </c>
      <c r="R23">
        <f t="shared" ca="1" si="24"/>
        <v>67.592682052892258</v>
      </c>
      <c r="S23">
        <f t="shared" ca="1" si="24"/>
        <v>67.264832769754932</v>
      </c>
      <c r="T23">
        <f t="shared" ca="1" si="24"/>
        <v>66.184304282701788</v>
      </c>
      <c r="U23">
        <f t="shared" ca="1" si="24"/>
        <v>65.652165329959644</v>
      </c>
      <c r="V23">
        <f t="shared" ca="1" si="24"/>
        <v>66.076301835130494</v>
      </c>
      <c r="W23">
        <f t="shared" ca="1" si="24"/>
        <v>65.295204123617509</v>
      </c>
      <c r="X23">
        <f t="shared" ca="1" si="24"/>
        <v>66.139032368659855</v>
      </c>
      <c r="Y23">
        <f t="shared" ca="1" si="24"/>
        <v>65.354924974245463</v>
      </c>
      <c r="Z23">
        <f t="shared" ca="1" si="24"/>
        <v>64.188145648624911</v>
      </c>
      <c r="AA23">
        <f t="shared" ca="1" si="24"/>
        <v>63.181464967934886</v>
      </c>
      <c r="AB23">
        <f t="shared" ca="1" si="24"/>
        <v>62.166461111924043</v>
      </c>
      <c r="AC23">
        <f t="shared" ca="1" si="24"/>
        <v>61.822860378635177</v>
      </c>
      <c r="AD23">
        <f t="shared" ca="1" si="24"/>
        <v>61.399190888011788</v>
      </c>
      <c r="AE23">
        <f t="shared" ca="1" si="24"/>
        <v>60.50843910012015</v>
      </c>
      <c r="AF23">
        <f t="shared" ca="1" si="24"/>
        <v>60.352658983378291</v>
      </c>
      <c r="AG23">
        <f t="shared" ca="1" si="24"/>
        <v>61.242576711285643</v>
      </c>
      <c r="AH23">
        <f t="shared" ca="1" si="24"/>
        <v>62.6479384311845</v>
      </c>
      <c r="AI23">
        <f t="shared" ca="1" si="24"/>
        <v>62.364418842163758</v>
      </c>
      <c r="AJ23">
        <f t="shared" ca="1" si="24"/>
        <v>62.458199788715213</v>
      </c>
      <c r="AK23">
        <f t="shared" ca="1" si="24"/>
        <v>61.826525933078976</v>
      </c>
      <c r="AL23">
        <f t="shared" ca="1" si="24"/>
        <v>64.762706392216316</v>
      </c>
      <c r="AM23">
        <f t="shared" ca="1" si="24"/>
        <v>65.726390992122489</v>
      </c>
      <c r="AN23">
        <f t="shared" ca="1" si="24"/>
        <v>67.92790179490207</v>
      </c>
      <c r="AO23">
        <f t="shared" ca="1" si="24"/>
        <v>66.888073344717782</v>
      </c>
      <c r="AP23">
        <f t="shared" ca="1" si="24"/>
        <v>67.09261625487585</v>
      </c>
      <c r="AQ23">
        <f t="shared" ca="1" si="24"/>
        <v>66.739493843240467</v>
      </c>
      <c r="AR23">
        <f t="shared" ca="1" si="24"/>
        <v>66.752060601435673</v>
      </c>
      <c r="AS23">
        <f t="shared" ca="1" si="24"/>
        <v>67.659472090199571</v>
      </c>
      <c r="AT23">
        <f t="shared" ca="1" si="24"/>
        <v>67.053079589168661</v>
      </c>
      <c r="AU23">
        <f t="shared" ca="1" si="24"/>
        <v>67.262172290415208</v>
      </c>
      <c r="AV23">
        <f t="shared" ca="1" si="24"/>
        <v>68.957033046815468</v>
      </c>
      <c r="AW23">
        <f t="shared" ca="1" si="24"/>
        <v>71.017208296993289</v>
      </c>
      <c r="AX23">
        <f t="shared" ca="1" si="24"/>
        <v>69.276214376099404</v>
      </c>
      <c r="AY23">
        <f t="shared" ca="1" si="24"/>
        <v>68.993521014660786</v>
      </c>
      <c r="AZ23">
        <f t="shared" ca="1" si="24"/>
        <v>69.617028276661358</v>
      </c>
      <c r="BA23">
        <f t="shared" ca="1" si="24"/>
        <v>70.408403760674105</v>
      </c>
      <c r="BB23">
        <f t="shared" ca="1" si="24"/>
        <v>68.831590637634136</v>
      </c>
      <c r="BC23">
        <f t="shared" ca="1" si="24"/>
        <v>70.181893691925623</v>
      </c>
      <c r="BD23">
        <f t="shared" ca="1" si="24"/>
        <v>70.366628273353669</v>
      </c>
      <c r="BE23">
        <f t="shared" ca="1" si="24"/>
        <v>70.450400132259091</v>
      </c>
      <c r="BF23">
        <f t="shared" ca="1" si="24"/>
        <v>70.245171125175133</v>
      </c>
      <c r="BG23">
        <f t="shared" ca="1" si="24"/>
        <v>69.066781567235608</v>
      </c>
      <c r="BH23">
        <f t="shared" ca="1" si="24"/>
        <v>67.566751261423747</v>
      </c>
      <c r="BI23">
        <f t="shared" ca="1" si="24"/>
        <v>68.445720903661737</v>
      </c>
      <c r="BJ23">
        <f t="shared" ca="1" si="24"/>
        <v>68.422537515850507</v>
      </c>
      <c r="BK23">
        <f t="shared" ca="1" si="24"/>
        <v>67.685714362945674</v>
      </c>
      <c r="BL23">
        <f t="shared" ca="1" si="24"/>
        <v>67.326107426399801</v>
      </c>
      <c r="BM23">
        <f t="shared" ca="1" si="24"/>
        <v>66.648096477061088</v>
      </c>
      <c r="BN23">
        <f t="shared" ca="1" si="24"/>
        <v>70.033950955963817</v>
      </c>
      <c r="BO23">
        <f t="shared" ca="1" si="4"/>
        <v>12.033950955963817</v>
      </c>
    </row>
    <row r="24" spans="6:67">
      <c r="F24">
        <f t="shared" si="2"/>
        <v>60.99</v>
      </c>
      <c r="G24">
        <f t="shared" ref="G24:BN24" ca="1" si="25">F24*EXP(($B$2-0.5*$B$3^2)*$B$4+$B$3*_xlfn.NORM.INV(RAND(),0,SQRT($B$4)))</f>
        <v>59.942059753749753</v>
      </c>
      <c r="H24">
        <f t="shared" ca="1" si="25"/>
        <v>60.099895142602442</v>
      </c>
      <c r="I24">
        <f t="shared" ca="1" si="25"/>
        <v>59.71185535026833</v>
      </c>
      <c r="J24">
        <f t="shared" ca="1" si="25"/>
        <v>60.659737521733412</v>
      </c>
      <c r="K24">
        <f t="shared" ca="1" si="25"/>
        <v>62.702337978252828</v>
      </c>
      <c r="L24">
        <f t="shared" ca="1" si="25"/>
        <v>63.259406442174928</v>
      </c>
      <c r="M24">
        <f t="shared" ca="1" si="25"/>
        <v>62.438255103690103</v>
      </c>
      <c r="N24">
        <f t="shared" ca="1" si="25"/>
        <v>62.996177642284827</v>
      </c>
      <c r="O24">
        <f t="shared" ca="1" si="25"/>
        <v>63.545634915594086</v>
      </c>
      <c r="P24">
        <f t="shared" ca="1" si="25"/>
        <v>62.759746536432559</v>
      </c>
      <c r="Q24">
        <f t="shared" ca="1" si="25"/>
        <v>63.14009346499229</v>
      </c>
      <c r="R24">
        <f t="shared" ca="1" si="25"/>
        <v>61.583762657147425</v>
      </c>
      <c r="S24">
        <f t="shared" ca="1" si="25"/>
        <v>63.49583501623534</v>
      </c>
      <c r="T24">
        <f t="shared" ca="1" si="25"/>
        <v>62.514218496154875</v>
      </c>
      <c r="U24">
        <f t="shared" ca="1" si="25"/>
        <v>61.927504109235798</v>
      </c>
      <c r="V24">
        <f t="shared" ca="1" si="25"/>
        <v>61.89836018312797</v>
      </c>
      <c r="W24">
        <f t="shared" ca="1" si="25"/>
        <v>63.820884970014198</v>
      </c>
      <c r="X24">
        <f t="shared" ca="1" si="25"/>
        <v>62.274521614057342</v>
      </c>
      <c r="Y24">
        <f t="shared" ca="1" si="25"/>
        <v>62.527798399628459</v>
      </c>
      <c r="Z24">
        <f t="shared" ca="1" si="25"/>
        <v>65.611933010180039</v>
      </c>
      <c r="AA24">
        <f t="shared" ca="1" si="25"/>
        <v>65.501560688044179</v>
      </c>
      <c r="AB24">
        <f t="shared" ca="1" si="25"/>
        <v>66.11796278451996</v>
      </c>
      <c r="AC24">
        <f t="shared" ca="1" si="25"/>
        <v>67.216687857244139</v>
      </c>
      <c r="AD24">
        <f t="shared" ca="1" si="25"/>
        <v>66.699768346719395</v>
      </c>
      <c r="AE24">
        <f t="shared" ca="1" si="25"/>
        <v>68.043065114463161</v>
      </c>
      <c r="AF24">
        <f t="shared" ca="1" si="25"/>
        <v>69.826634520700566</v>
      </c>
      <c r="AG24">
        <f t="shared" ca="1" si="25"/>
        <v>70.392491724412068</v>
      </c>
      <c r="AH24">
        <f t="shared" ca="1" si="25"/>
        <v>69.798860731947073</v>
      </c>
      <c r="AI24">
        <f t="shared" ca="1" si="25"/>
        <v>69.106328368226684</v>
      </c>
      <c r="AJ24">
        <f t="shared" ca="1" si="25"/>
        <v>71.20227568584518</v>
      </c>
      <c r="AK24">
        <f t="shared" ca="1" si="25"/>
        <v>69.445894043078184</v>
      </c>
      <c r="AL24">
        <f t="shared" ca="1" si="25"/>
        <v>68.594058239800404</v>
      </c>
      <c r="AM24">
        <f t="shared" ca="1" si="25"/>
        <v>69.370247868282391</v>
      </c>
      <c r="AN24">
        <f t="shared" ca="1" si="25"/>
        <v>70.145532820607713</v>
      </c>
      <c r="AO24">
        <f t="shared" ca="1" si="25"/>
        <v>70.936963842301168</v>
      </c>
      <c r="AP24">
        <f t="shared" ca="1" si="25"/>
        <v>69.184864314589817</v>
      </c>
      <c r="AQ24">
        <f t="shared" ca="1" si="25"/>
        <v>70.529703177744537</v>
      </c>
      <c r="AR24">
        <f t="shared" ca="1" si="25"/>
        <v>69.419150422619452</v>
      </c>
      <c r="AS24">
        <f t="shared" ca="1" si="25"/>
        <v>69.921645892087383</v>
      </c>
      <c r="AT24">
        <f t="shared" ca="1" si="25"/>
        <v>70.080059880002167</v>
      </c>
      <c r="AU24">
        <f t="shared" ca="1" si="25"/>
        <v>70.76071515857646</v>
      </c>
      <c r="AV24">
        <f t="shared" ca="1" si="25"/>
        <v>71.700077214450829</v>
      </c>
      <c r="AW24">
        <f t="shared" ca="1" si="25"/>
        <v>70.60280211506236</v>
      </c>
      <c r="AX24">
        <f t="shared" ca="1" si="25"/>
        <v>70.359781999200152</v>
      </c>
      <c r="AY24">
        <f t="shared" ca="1" si="25"/>
        <v>70.966107300741655</v>
      </c>
      <c r="AZ24">
        <f t="shared" ca="1" si="25"/>
        <v>72.036136885770532</v>
      </c>
      <c r="BA24">
        <f t="shared" ca="1" si="25"/>
        <v>72.298573504737732</v>
      </c>
      <c r="BB24">
        <f t="shared" ca="1" si="25"/>
        <v>76.399056091811985</v>
      </c>
      <c r="BC24">
        <f t="shared" ca="1" si="25"/>
        <v>76.81283288902867</v>
      </c>
      <c r="BD24">
        <f t="shared" ca="1" si="25"/>
        <v>75.457492644422175</v>
      </c>
      <c r="BE24">
        <f t="shared" ca="1" si="25"/>
        <v>74.637034468336054</v>
      </c>
      <c r="BF24">
        <f t="shared" ca="1" si="25"/>
        <v>77.517261432711194</v>
      </c>
      <c r="BG24">
        <f t="shared" ca="1" si="25"/>
        <v>77.920825368857479</v>
      </c>
      <c r="BH24">
        <f t="shared" ca="1" si="25"/>
        <v>77.157621506370063</v>
      </c>
      <c r="BI24">
        <f t="shared" ca="1" si="25"/>
        <v>76.561728975039898</v>
      </c>
      <c r="BJ24">
        <f t="shared" ca="1" si="25"/>
        <v>75.737843401978182</v>
      </c>
      <c r="BK24">
        <f t="shared" ca="1" si="25"/>
        <v>76.005746932254056</v>
      </c>
      <c r="BL24">
        <f t="shared" ca="1" si="25"/>
        <v>75.76043345402762</v>
      </c>
      <c r="BM24">
        <f t="shared" ca="1" si="25"/>
        <v>75.549891650212572</v>
      </c>
      <c r="BN24">
        <f t="shared" ca="1" si="25"/>
        <v>76.228055386473002</v>
      </c>
      <c r="BO24">
        <f t="shared" ca="1" si="4"/>
        <v>18.228055386473002</v>
      </c>
    </row>
    <row r="25" spans="6:67">
      <c r="F25">
        <f t="shared" si="2"/>
        <v>60.99</v>
      </c>
      <c r="G25">
        <f t="shared" ref="G25:BN25" ca="1" si="26">F25*EXP(($B$2-0.5*$B$3^2)*$B$4+$B$3*_xlfn.NORM.INV(RAND(),0,SQRT($B$4)))</f>
        <v>61.766295034151597</v>
      </c>
      <c r="H25">
        <f t="shared" ca="1" si="26"/>
        <v>63.264612166381795</v>
      </c>
      <c r="I25">
        <f t="shared" ca="1" si="26"/>
        <v>64.087455279096773</v>
      </c>
      <c r="J25">
        <f t="shared" ca="1" si="26"/>
        <v>63.426737737375838</v>
      </c>
      <c r="K25">
        <f t="shared" ca="1" si="26"/>
        <v>61.062961371834767</v>
      </c>
      <c r="L25">
        <f t="shared" ca="1" si="26"/>
        <v>63.896025099531087</v>
      </c>
      <c r="M25">
        <f t="shared" ca="1" si="26"/>
        <v>65.959538199173693</v>
      </c>
      <c r="N25">
        <f t="shared" ca="1" si="26"/>
        <v>66.560997113058932</v>
      </c>
      <c r="O25">
        <f t="shared" ca="1" si="26"/>
        <v>66.435206145837341</v>
      </c>
      <c r="P25">
        <f t="shared" ca="1" si="26"/>
        <v>66.309497672288302</v>
      </c>
      <c r="Q25">
        <f t="shared" ca="1" si="26"/>
        <v>66.311584342154561</v>
      </c>
      <c r="R25">
        <f t="shared" ca="1" si="26"/>
        <v>65.582638936112062</v>
      </c>
      <c r="S25">
        <f t="shared" ca="1" si="26"/>
        <v>64.919306098002892</v>
      </c>
      <c r="T25">
        <f t="shared" ca="1" si="26"/>
        <v>64.828873951980739</v>
      </c>
      <c r="U25">
        <f t="shared" ca="1" si="26"/>
        <v>67.373478441243449</v>
      </c>
      <c r="V25">
        <f t="shared" ca="1" si="26"/>
        <v>67.994548243144081</v>
      </c>
      <c r="W25">
        <f t="shared" ca="1" si="26"/>
        <v>69.977569127583621</v>
      </c>
      <c r="X25">
        <f t="shared" ca="1" si="26"/>
        <v>70.84785440945349</v>
      </c>
      <c r="Y25">
        <f t="shared" ca="1" si="26"/>
        <v>68.06393202834613</v>
      </c>
      <c r="Z25">
        <f t="shared" ca="1" si="26"/>
        <v>67.161871984137605</v>
      </c>
      <c r="AA25">
        <f t="shared" ca="1" si="26"/>
        <v>67.479904186095467</v>
      </c>
      <c r="AB25">
        <f t="shared" ca="1" si="26"/>
        <v>69.513079203964935</v>
      </c>
      <c r="AC25">
        <f t="shared" ca="1" si="26"/>
        <v>68.199003388229741</v>
      </c>
      <c r="AD25">
        <f t="shared" ca="1" si="26"/>
        <v>67.62630042671924</v>
      </c>
      <c r="AE25">
        <f t="shared" ca="1" si="26"/>
        <v>68.687357131608451</v>
      </c>
      <c r="AF25">
        <f t="shared" ca="1" si="26"/>
        <v>69.549665463809191</v>
      </c>
      <c r="AG25">
        <f t="shared" ca="1" si="26"/>
        <v>70.386475395621446</v>
      </c>
      <c r="AH25">
        <f t="shared" ca="1" si="26"/>
        <v>68.223355664387185</v>
      </c>
      <c r="AI25">
        <f t="shared" ca="1" si="26"/>
        <v>68.766858154770446</v>
      </c>
      <c r="AJ25">
        <f t="shared" ca="1" si="26"/>
        <v>68.040080527079652</v>
      </c>
      <c r="AK25">
        <f t="shared" ca="1" si="26"/>
        <v>66.861097054815545</v>
      </c>
      <c r="AL25">
        <f t="shared" ca="1" si="26"/>
        <v>65.996507636101839</v>
      </c>
      <c r="AM25">
        <f t="shared" ca="1" si="26"/>
        <v>67.646750982500023</v>
      </c>
      <c r="AN25">
        <f t="shared" ca="1" si="26"/>
        <v>67.164270390862868</v>
      </c>
      <c r="AO25">
        <f t="shared" ca="1" si="26"/>
        <v>70.977807600028441</v>
      </c>
      <c r="AP25">
        <f t="shared" ca="1" si="26"/>
        <v>70.187429335462596</v>
      </c>
      <c r="AQ25">
        <f t="shared" ca="1" si="26"/>
        <v>69.959602471948202</v>
      </c>
      <c r="AR25">
        <f t="shared" ca="1" si="26"/>
        <v>71.149998975071583</v>
      </c>
      <c r="AS25">
        <f t="shared" ca="1" si="26"/>
        <v>71.526740272388309</v>
      </c>
      <c r="AT25">
        <f t="shared" ca="1" si="26"/>
        <v>69.763214504360761</v>
      </c>
      <c r="AU25">
        <f t="shared" ca="1" si="26"/>
        <v>70.515319314741305</v>
      </c>
      <c r="AV25">
        <f t="shared" ca="1" si="26"/>
        <v>68.900649611719828</v>
      </c>
      <c r="AW25">
        <f t="shared" ca="1" si="26"/>
        <v>68.228911437853711</v>
      </c>
      <c r="AX25">
        <f t="shared" ca="1" si="26"/>
        <v>66.568341129634348</v>
      </c>
      <c r="AY25">
        <f t="shared" ca="1" si="26"/>
        <v>65.957933138812507</v>
      </c>
      <c r="AZ25">
        <f t="shared" ca="1" si="26"/>
        <v>66.046885859430873</v>
      </c>
      <c r="BA25">
        <f t="shared" ca="1" si="26"/>
        <v>63.573003763621386</v>
      </c>
      <c r="BB25">
        <f t="shared" ca="1" si="26"/>
        <v>62.756153275025206</v>
      </c>
      <c r="BC25">
        <f t="shared" ca="1" si="26"/>
        <v>63.115496806482774</v>
      </c>
      <c r="BD25">
        <f t="shared" ca="1" si="26"/>
        <v>64.307384027059115</v>
      </c>
      <c r="BE25">
        <f t="shared" ca="1" si="26"/>
        <v>64.085368305507131</v>
      </c>
      <c r="BF25">
        <f t="shared" ca="1" si="26"/>
        <v>63.657597932501019</v>
      </c>
      <c r="BG25">
        <f t="shared" ca="1" si="26"/>
        <v>65.689199089228239</v>
      </c>
      <c r="BH25">
        <f t="shared" ca="1" si="26"/>
        <v>65.068519015085556</v>
      </c>
      <c r="BI25">
        <f t="shared" ca="1" si="26"/>
        <v>65.145496205334638</v>
      </c>
      <c r="BJ25">
        <f t="shared" ca="1" si="26"/>
        <v>64.91089119596424</v>
      </c>
      <c r="BK25">
        <f t="shared" ca="1" si="26"/>
        <v>66.146170840635961</v>
      </c>
      <c r="BL25">
        <f t="shared" ca="1" si="26"/>
        <v>66.075116549576435</v>
      </c>
      <c r="BM25">
        <f t="shared" ca="1" si="26"/>
        <v>65.641340014980344</v>
      </c>
      <c r="BN25">
        <f t="shared" ca="1" si="26"/>
        <v>64.151231867903903</v>
      </c>
      <c r="BO25">
        <f t="shared" ca="1" si="4"/>
        <v>6.1512318679039026</v>
      </c>
    </row>
    <row r="26" spans="6:67">
      <c r="F26">
        <f t="shared" si="2"/>
        <v>60.99</v>
      </c>
      <c r="G26">
        <f t="shared" ref="G26:BN26" ca="1" si="27">F26*EXP(($B$2-0.5*$B$3^2)*$B$4+$B$3*_xlfn.NORM.INV(RAND(),0,SQRT($B$4)))</f>
        <v>61.658213118693801</v>
      </c>
      <c r="H26">
        <f t="shared" ca="1" si="27"/>
        <v>61.740697869529313</v>
      </c>
      <c r="I26">
        <f t="shared" ca="1" si="27"/>
        <v>62.024243571086792</v>
      </c>
      <c r="J26">
        <f t="shared" ca="1" si="27"/>
        <v>62.189495326270752</v>
      </c>
      <c r="K26">
        <f t="shared" ca="1" si="27"/>
        <v>64.017344953811033</v>
      </c>
      <c r="L26">
        <f t="shared" ca="1" si="27"/>
        <v>64.480400182065083</v>
      </c>
      <c r="M26">
        <f t="shared" ca="1" si="27"/>
        <v>64.459596885906805</v>
      </c>
      <c r="N26">
        <f t="shared" ca="1" si="27"/>
        <v>63.09048796770341</v>
      </c>
      <c r="O26">
        <f t="shared" ca="1" si="27"/>
        <v>63.174439371229234</v>
      </c>
      <c r="P26">
        <f t="shared" ca="1" si="27"/>
        <v>62.125161064409831</v>
      </c>
      <c r="Q26">
        <f t="shared" ca="1" si="27"/>
        <v>62.468516213671556</v>
      </c>
      <c r="R26">
        <f t="shared" ca="1" si="27"/>
        <v>62.213731457424146</v>
      </c>
      <c r="S26">
        <f t="shared" ca="1" si="27"/>
        <v>61.379975832134441</v>
      </c>
      <c r="T26">
        <f t="shared" ca="1" si="27"/>
        <v>61.699194085993597</v>
      </c>
      <c r="U26">
        <f t="shared" ca="1" si="27"/>
        <v>61.5436111452603</v>
      </c>
      <c r="V26">
        <f t="shared" ca="1" si="27"/>
        <v>63.61906297530669</v>
      </c>
      <c r="W26">
        <f t="shared" ca="1" si="27"/>
        <v>62.938920179755783</v>
      </c>
      <c r="X26">
        <f t="shared" ca="1" si="27"/>
        <v>61.134154707888342</v>
      </c>
      <c r="Y26">
        <f t="shared" ca="1" si="27"/>
        <v>61.82523313057068</v>
      </c>
      <c r="Z26">
        <f t="shared" ca="1" si="27"/>
        <v>62.287102907630654</v>
      </c>
      <c r="AA26">
        <f t="shared" ca="1" si="27"/>
        <v>62.039584606947564</v>
      </c>
      <c r="AB26">
        <f t="shared" ca="1" si="27"/>
        <v>60.870292540145712</v>
      </c>
      <c r="AC26">
        <f t="shared" ca="1" si="27"/>
        <v>62.168322554288068</v>
      </c>
      <c r="AD26">
        <f t="shared" ca="1" si="27"/>
        <v>62.263618533400091</v>
      </c>
      <c r="AE26">
        <f t="shared" ca="1" si="27"/>
        <v>60.922525376857159</v>
      </c>
      <c r="AF26">
        <f t="shared" ca="1" si="27"/>
        <v>60.074407565345645</v>
      </c>
      <c r="AG26">
        <f t="shared" ca="1" si="27"/>
        <v>61.584232419149842</v>
      </c>
      <c r="AH26">
        <f t="shared" ca="1" si="27"/>
        <v>64.361256441471753</v>
      </c>
      <c r="AI26">
        <f t="shared" ca="1" si="27"/>
        <v>63.832531977578405</v>
      </c>
      <c r="AJ26">
        <f t="shared" ca="1" si="27"/>
        <v>61.245630084836037</v>
      </c>
      <c r="AK26">
        <f t="shared" ca="1" si="27"/>
        <v>61.19003643107331</v>
      </c>
      <c r="AL26">
        <f t="shared" ca="1" si="27"/>
        <v>59.400277471712215</v>
      </c>
      <c r="AM26">
        <f t="shared" ca="1" si="27"/>
        <v>59.492451771917544</v>
      </c>
      <c r="AN26">
        <f t="shared" ca="1" si="27"/>
        <v>60.105819147089377</v>
      </c>
      <c r="AO26">
        <f t="shared" ca="1" si="27"/>
        <v>61.312903549545531</v>
      </c>
      <c r="AP26">
        <f t="shared" ca="1" si="27"/>
        <v>61.926562376979689</v>
      </c>
      <c r="AQ26">
        <f t="shared" ca="1" si="27"/>
        <v>62.328958289183355</v>
      </c>
      <c r="AR26">
        <f t="shared" ca="1" si="27"/>
        <v>63.803804401339619</v>
      </c>
      <c r="AS26">
        <f t="shared" ca="1" si="27"/>
        <v>61.976593957737812</v>
      </c>
      <c r="AT26">
        <f t="shared" ca="1" si="27"/>
        <v>61.578422149358609</v>
      </c>
      <c r="AU26">
        <f t="shared" ca="1" si="27"/>
        <v>63.367949806459777</v>
      </c>
      <c r="AV26">
        <f t="shared" ca="1" si="27"/>
        <v>62.12892735966733</v>
      </c>
      <c r="AW26">
        <f t="shared" ca="1" si="27"/>
        <v>62.321491603154975</v>
      </c>
      <c r="AX26">
        <f t="shared" ca="1" si="27"/>
        <v>62.361424825702613</v>
      </c>
      <c r="AY26">
        <f t="shared" ca="1" si="27"/>
        <v>62.925347814905258</v>
      </c>
      <c r="AZ26">
        <f t="shared" ca="1" si="27"/>
        <v>60.546689605690212</v>
      </c>
      <c r="BA26">
        <f t="shared" ca="1" si="27"/>
        <v>61.745252411702857</v>
      </c>
      <c r="BB26">
        <f t="shared" ca="1" si="27"/>
        <v>62.750344551570777</v>
      </c>
      <c r="BC26">
        <f t="shared" ca="1" si="27"/>
        <v>63.592996771420076</v>
      </c>
      <c r="BD26">
        <f t="shared" ca="1" si="27"/>
        <v>64.004525401848014</v>
      </c>
      <c r="BE26">
        <f t="shared" ca="1" si="27"/>
        <v>66.283304715745075</v>
      </c>
      <c r="BF26">
        <f t="shared" ca="1" si="27"/>
        <v>67.42095544031578</v>
      </c>
      <c r="BG26">
        <f t="shared" ca="1" si="27"/>
        <v>67.020896993604183</v>
      </c>
      <c r="BH26">
        <f t="shared" ca="1" si="27"/>
        <v>68.13145769828138</v>
      </c>
      <c r="BI26">
        <f t="shared" ca="1" si="27"/>
        <v>69.015780648454665</v>
      </c>
      <c r="BJ26">
        <f t="shared" ca="1" si="27"/>
        <v>69.811136901024881</v>
      </c>
      <c r="BK26">
        <f t="shared" ca="1" si="27"/>
        <v>70.940322463995187</v>
      </c>
      <c r="BL26">
        <f t="shared" ca="1" si="27"/>
        <v>71.775399083302673</v>
      </c>
      <c r="BM26">
        <f t="shared" ca="1" si="27"/>
        <v>72.784877448631818</v>
      </c>
      <c r="BN26">
        <f t="shared" ca="1" si="27"/>
        <v>71.509226377542007</v>
      </c>
      <c r="BO26">
        <f t="shared" ca="1" si="4"/>
        <v>13.509226377542007</v>
      </c>
    </row>
    <row r="27" spans="6:67">
      <c r="F27">
        <f t="shared" si="2"/>
        <v>60.99</v>
      </c>
      <c r="G27">
        <f t="shared" ref="G27:BN27" ca="1" si="28">F27*EXP(($B$2-0.5*$B$3^2)*$B$4+$B$3*_xlfn.NORM.INV(RAND(),0,SQRT($B$4)))</f>
        <v>60.741605589329879</v>
      </c>
      <c r="H27">
        <f t="shared" ca="1" si="28"/>
        <v>60.92168868837814</v>
      </c>
      <c r="I27">
        <f t="shared" ca="1" si="28"/>
        <v>60.494002697398287</v>
      </c>
      <c r="J27">
        <f t="shared" ca="1" si="28"/>
        <v>61.570508700950285</v>
      </c>
      <c r="K27">
        <f t="shared" ca="1" si="28"/>
        <v>61.80040089040282</v>
      </c>
      <c r="L27">
        <f t="shared" ca="1" si="28"/>
        <v>63.51333884283865</v>
      </c>
      <c r="M27">
        <f t="shared" ca="1" si="28"/>
        <v>60.9920991277938</v>
      </c>
      <c r="N27">
        <f t="shared" ca="1" si="28"/>
        <v>61.566624479557206</v>
      </c>
      <c r="O27">
        <f t="shared" ca="1" si="28"/>
        <v>62.26287692952652</v>
      </c>
      <c r="P27">
        <f t="shared" ca="1" si="28"/>
        <v>61.735127329812521</v>
      </c>
      <c r="Q27">
        <f t="shared" ca="1" si="28"/>
        <v>62.047876574079403</v>
      </c>
      <c r="R27">
        <f t="shared" ca="1" si="28"/>
        <v>60.443866934689339</v>
      </c>
      <c r="S27">
        <f t="shared" ca="1" si="28"/>
        <v>61.811117376889932</v>
      </c>
      <c r="T27">
        <f t="shared" ca="1" si="28"/>
        <v>61.055899493000965</v>
      </c>
      <c r="U27">
        <f t="shared" ca="1" si="28"/>
        <v>60.423887055112402</v>
      </c>
      <c r="V27">
        <f t="shared" ca="1" si="28"/>
        <v>58.421339465876372</v>
      </c>
      <c r="W27">
        <f t="shared" ca="1" si="28"/>
        <v>59.465678466447535</v>
      </c>
      <c r="X27">
        <f t="shared" ca="1" si="28"/>
        <v>59.869190533347037</v>
      </c>
      <c r="Y27">
        <f t="shared" ca="1" si="28"/>
        <v>61.159774467757074</v>
      </c>
      <c r="Z27">
        <f t="shared" ca="1" si="28"/>
        <v>61.472667686207352</v>
      </c>
      <c r="AA27">
        <f t="shared" ca="1" si="28"/>
        <v>63.113417391063209</v>
      </c>
      <c r="AB27">
        <f t="shared" ca="1" si="28"/>
        <v>63.117187751782893</v>
      </c>
      <c r="AC27">
        <f t="shared" ca="1" si="28"/>
        <v>65.171568331806114</v>
      </c>
      <c r="AD27">
        <f t="shared" ca="1" si="28"/>
        <v>63.609035281248623</v>
      </c>
      <c r="AE27">
        <f t="shared" ca="1" si="28"/>
        <v>63.954159430074533</v>
      </c>
      <c r="AF27">
        <f t="shared" ca="1" si="28"/>
        <v>63.417560366390887</v>
      </c>
      <c r="AG27">
        <f t="shared" ca="1" si="28"/>
        <v>64.0357558014327</v>
      </c>
      <c r="AH27">
        <f t="shared" ca="1" si="28"/>
        <v>64.322143167304603</v>
      </c>
      <c r="AI27">
        <f t="shared" ca="1" si="28"/>
        <v>64.967766044508707</v>
      </c>
      <c r="AJ27">
        <f t="shared" ca="1" si="28"/>
        <v>64.260529844026948</v>
      </c>
      <c r="AK27">
        <f t="shared" ca="1" si="28"/>
        <v>62.026545132307604</v>
      </c>
      <c r="AL27">
        <f t="shared" ca="1" si="28"/>
        <v>62.907099272013895</v>
      </c>
      <c r="AM27">
        <f t="shared" ca="1" si="28"/>
        <v>63.803343137510211</v>
      </c>
      <c r="AN27">
        <f t="shared" ca="1" si="28"/>
        <v>64.359610207482959</v>
      </c>
      <c r="AO27">
        <f t="shared" ca="1" si="28"/>
        <v>63.905220069735712</v>
      </c>
      <c r="AP27">
        <f t="shared" ca="1" si="28"/>
        <v>64.464178440043796</v>
      </c>
      <c r="AQ27">
        <f t="shared" ca="1" si="28"/>
        <v>62.922919632556059</v>
      </c>
      <c r="AR27">
        <f t="shared" ca="1" si="28"/>
        <v>62.463529124971124</v>
      </c>
      <c r="AS27">
        <f t="shared" ca="1" si="28"/>
        <v>63.338349802560423</v>
      </c>
      <c r="AT27">
        <f t="shared" ca="1" si="28"/>
        <v>61.715469899119064</v>
      </c>
      <c r="AU27">
        <f t="shared" ca="1" si="28"/>
        <v>63.488732496490648</v>
      </c>
      <c r="AV27">
        <f t="shared" ca="1" si="28"/>
        <v>65.28786683035564</v>
      </c>
      <c r="AW27">
        <f t="shared" ca="1" si="28"/>
        <v>65.980298422465225</v>
      </c>
      <c r="AX27">
        <f t="shared" ca="1" si="28"/>
        <v>66.331930516752109</v>
      </c>
      <c r="AY27">
        <f t="shared" ca="1" si="28"/>
        <v>68.275353942242035</v>
      </c>
      <c r="AZ27">
        <f t="shared" ca="1" si="28"/>
        <v>67.311411454373115</v>
      </c>
      <c r="BA27">
        <f t="shared" ca="1" si="28"/>
        <v>67.055037550403426</v>
      </c>
      <c r="BB27">
        <f t="shared" ca="1" si="28"/>
        <v>65.342308940361434</v>
      </c>
      <c r="BC27">
        <f t="shared" ca="1" si="28"/>
        <v>65.186727325727944</v>
      </c>
      <c r="BD27">
        <f t="shared" ca="1" si="28"/>
        <v>65.244952202356885</v>
      </c>
      <c r="BE27">
        <f t="shared" ca="1" si="28"/>
        <v>65.031837054717585</v>
      </c>
      <c r="BF27">
        <f t="shared" ca="1" si="28"/>
        <v>66.650615469531502</v>
      </c>
      <c r="BG27">
        <f t="shared" ca="1" si="28"/>
        <v>65.076104775151066</v>
      </c>
      <c r="BH27">
        <f t="shared" ca="1" si="28"/>
        <v>65.393840624020683</v>
      </c>
      <c r="BI27">
        <f t="shared" ca="1" si="28"/>
        <v>65.586075341906039</v>
      </c>
      <c r="BJ27">
        <f t="shared" ca="1" si="28"/>
        <v>66.592782580304515</v>
      </c>
      <c r="BK27">
        <f t="shared" ca="1" si="28"/>
        <v>65.584352606472564</v>
      </c>
      <c r="BL27">
        <f t="shared" ca="1" si="28"/>
        <v>64.750222742526518</v>
      </c>
      <c r="BM27">
        <f t="shared" ca="1" si="28"/>
        <v>65.015740344119564</v>
      </c>
      <c r="BN27">
        <f t="shared" ca="1" si="28"/>
        <v>64.381838936235468</v>
      </c>
      <c r="BO27">
        <f t="shared" ca="1" si="4"/>
        <v>6.3818389362354679</v>
      </c>
    </row>
    <row r="28" spans="6:67">
      <c r="F28">
        <f t="shared" si="2"/>
        <v>60.99</v>
      </c>
      <c r="G28">
        <f t="shared" ref="G28:BN28" ca="1" si="29">F28*EXP(($B$2-0.5*$B$3^2)*$B$4+$B$3*_xlfn.NORM.INV(RAND(),0,SQRT($B$4)))</f>
        <v>62.420353197537949</v>
      </c>
      <c r="H28">
        <f t="shared" ca="1" si="29"/>
        <v>63.839321362432692</v>
      </c>
      <c r="I28">
        <f t="shared" ca="1" si="29"/>
        <v>63.800629750514567</v>
      </c>
      <c r="J28">
        <f t="shared" ca="1" si="29"/>
        <v>66.544206861590027</v>
      </c>
      <c r="K28">
        <f t="shared" ca="1" si="29"/>
        <v>66.430926290600937</v>
      </c>
      <c r="L28">
        <f t="shared" ca="1" si="29"/>
        <v>65.079431937197725</v>
      </c>
      <c r="M28">
        <f t="shared" ca="1" si="29"/>
        <v>63.900672393189168</v>
      </c>
      <c r="N28">
        <f t="shared" ca="1" si="29"/>
        <v>61.597084830981849</v>
      </c>
      <c r="O28">
        <f t="shared" ca="1" si="29"/>
        <v>63.435451693294866</v>
      </c>
      <c r="P28">
        <f t="shared" ca="1" si="29"/>
        <v>64.135039332609807</v>
      </c>
      <c r="Q28">
        <f t="shared" ca="1" si="29"/>
        <v>64.251225533162739</v>
      </c>
      <c r="R28">
        <f t="shared" ca="1" si="29"/>
        <v>64.041279280021016</v>
      </c>
      <c r="S28">
        <f t="shared" ca="1" si="29"/>
        <v>63.512367087146252</v>
      </c>
      <c r="T28">
        <f t="shared" ca="1" si="29"/>
        <v>64.558562907526394</v>
      </c>
      <c r="U28">
        <f t="shared" ca="1" si="29"/>
        <v>66.147998546550639</v>
      </c>
      <c r="V28">
        <f t="shared" ca="1" si="29"/>
        <v>66.523287361568293</v>
      </c>
      <c r="W28">
        <f t="shared" ca="1" si="29"/>
        <v>65.197449928961916</v>
      </c>
      <c r="X28">
        <f t="shared" ca="1" si="29"/>
        <v>66.157233372748294</v>
      </c>
      <c r="Y28">
        <f t="shared" ca="1" si="29"/>
        <v>67.899456504511335</v>
      </c>
      <c r="Z28">
        <f t="shared" ca="1" si="29"/>
        <v>67.028996901656868</v>
      </c>
      <c r="AA28">
        <f t="shared" ca="1" si="29"/>
        <v>67.857073682281253</v>
      </c>
      <c r="AB28">
        <f t="shared" ca="1" si="29"/>
        <v>66.392852771915727</v>
      </c>
      <c r="AC28">
        <f t="shared" ca="1" si="29"/>
        <v>68.652822069688568</v>
      </c>
      <c r="AD28">
        <f t="shared" ca="1" si="29"/>
        <v>69.648363538648738</v>
      </c>
      <c r="AE28">
        <f t="shared" ca="1" si="29"/>
        <v>68.692097066821631</v>
      </c>
      <c r="AF28">
        <f t="shared" ca="1" si="29"/>
        <v>71.310777041794694</v>
      </c>
      <c r="AG28">
        <f t="shared" ca="1" si="29"/>
        <v>72.074006654976273</v>
      </c>
      <c r="AH28">
        <f t="shared" ca="1" si="29"/>
        <v>73.244284662840684</v>
      </c>
      <c r="AI28">
        <f t="shared" ca="1" si="29"/>
        <v>74.598348769728901</v>
      </c>
      <c r="AJ28">
        <f t="shared" ca="1" si="29"/>
        <v>75.635137399451722</v>
      </c>
      <c r="AK28">
        <f t="shared" ca="1" si="29"/>
        <v>78.758183850803391</v>
      </c>
      <c r="AL28">
        <f t="shared" ca="1" si="29"/>
        <v>79.621861800418472</v>
      </c>
      <c r="AM28">
        <f t="shared" ca="1" si="29"/>
        <v>79.604378587072731</v>
      </c>
      <c r="AN28">
        <f t="shared" ca="1" si="29"/>
        <v>79.972331236231724</v>
      </c>
      <c r="AO28">
        <f t="shared" ca="1" si="29"/>
        <v>78.251186575830999</v>
      </c>
      <c r="AP28">
        <f t="shared" ca="1" si="29"/>
        <v>77.962270508353001</v>
      </c>
      <c r="AQ28">
        <f t="shared" ca="1" si="29"/>
        <v>80.585062562152672</v>
      </c>
      <c r="AR28">
        <f t="shared" ca="1" si="29"/>
        <v>79.209673443966111</v>
      </c>
      <c r="AS28">
        <f t="shared" ca="1" si="29"/>
        <v>78.209925581429317</v>
      </c>
      <c r="AT28">
        <f t="shared" ca="1" si="29"/>
        <v>79.006126519377773</v>
      </c>
      <c r="AU28">
        <f t="shared" ca="1" si="29"/>
        <v>79.796878498070413</v>
      </c>
      <c r="AV28">
        <f t="shared" ca="1" si="29"/>
        <v>81.603074910369429</v>
      </c>
      <c r="AW28">
        <f t="shared" ca="1" si="29"/>
        <v>81.374992170936395</v>
      </c>
      <c r="AX28">
        <f t="shared" ca="1" si="29"/>
        <v>79.719927688845559</v>
      </c>
      <c r="AY28">
        <f t="shared" ca="1" si="29"/>
        <v>78.929513505582989</v>
      </c>
      <c r="AZ28">
        <f t="shared" ca="1" si="29"/>
        <v>79.147006434670089</v>
      </c>
      <c r="BA28">
        <f t="shared" ca="1" si="29"/>
        <v>80.272524711828765</v>
      </c>
      <c r="BB28">
        <f t="shared" ca="1" si="29"/>
        <v>79.573668097274464</v>
      </c>
      <c r="BC28">
        <f t="shared" ca="1" si="29"/>
        <v>79.202213679432603</v>
      </c>
      <c r="BD28">
        <f t="shared" ca="1" si="29"/>
        <v>78.403890149832748</v>
      </c>
      <c r="BE28">
        <f t="shared" ca="1" si="29"/>
        <v>80.581342596402422</v>
      </c>
      <c r="BF28">
        <f t="shared" ca="1" si="29"/>
        <v>81.533365522073709</v>
      </c>
      <c r="BG28">
        <f t="shared" ca="1" si="29"/>
        <v>80.760004763567295</v>
      </c>
      <c r="BH28">
        <f t="shared" ca="1" si="29"/>
        <v>81.296695064549382</v>
      </c>
      <c r="BI28">
        <f t="shared" ca="1" si="29"/>
        <v>81.001599013615262</v>
      </c>
      <c r="BJ28">
        <f t="shared" ca="1" si="29"/>
        <v>82.888290034956128</v>
      </c>
      <c r="BK28">
        <f t="shared" ca="1" si="29"/>
        <v>82.874418169539553</v>
      </c>
      <c r="BL28">
        <f t="shared" ca="1" si="29"/>
        <v>82.208266541866422</v>
      </c>
      <c r="BM28">
        <f t="shared" ca="1" si="29"/>
        <v>81.406981687915035</v>
      </c>
      <c r="BN28">
        <f t="shared" ca="1" si="29"/>
        <v>80.659748508165563</v>
      </c>
      <c r="BO28">
        <f t="shared" ca="1" si="4"/>
        <v>22.659748508165563</v>
      </c>
    </row>
    <row r="29" spans="6:67">
      <c r="F29">
        <f t="shared" si="2"/>
        <v>60.99</v>
      </c>
      <c r="G29">
        <f t="shared" ref="G29:BN29" ca="1" si="30">F29*EXP(($B$2-0.5*$B$3^2)*$B$4+$B$3*_xlfn.NORM.INV(RAND(),0,SQRT($B$4)))</f>
        <v>62.799259743585324</v>
      </c>
      <c r="H29">
        <f t="shared" ca="1" si="30"/>
        <v>62.278466686505034</v>
      </c>
      <c r="I29">
        <f t="shared" ca="1" si="30"/>
        <v>61.333463700584616</v>
      </c>
      <c r="J29">
        <f t="shared" ca="1" si="30"/>
        <v>61.890731418353376</v>
      </c>
      <c r="K29">
        <f t="shared" ca="1" si="30"/>
        <v>62.746238778566543</v>
      </c>
      <c r="L29">
        <f t="shared" ca="1" si="30"/>
        <v>60.635459883375589</v>
      </c>
      <c r="M29">
        <f t="shared" ca="1" si="30"/>
        <v>60.503856542039003</v>
      </c>
      <c r="N29">
        <f t="shared" ca="1" si="30"/>
        <v>60.060522575795041</v>
      </c>
      <c r="O29">
        <f t="shared" ca="1" si="30"/>
        <v>61.690806856372461</v>
      </c>
      <c r="P29">
        <f t="shared" ca="1" si="30"/>
        <v>63.056165821454449</v>
      </c>
      <c r="Q29">
        <f t="shared" ca="1" si="30"/>
        <v>63.617666693623896</v>
      </c>
      <c r="R29">
        <f t="shared" ca="1" si="30"/>
        <v>62.464986395021292</v>
      </c>
      <c r="S29">
        <f t="shared" ca="1" si="30"/>
        <v>62.517238455744142</v>
      </c>
      <c r="T29">
        <f t="shared" ca="1" si="30"/>
        <v>60.457428222858802</v>
      </c>
      <c r="U29">
        <f t="shared" ca="1" si="30"/>
        <v>60.878016811316414</v>
      </c>
      <c r="V29">
        <f t="shared" ca="1" si="30"/>
        <v>61.358455009391754</v>
      </c>
      <c r="W29">
        <f t="shared" ca="1" si="30"/>
        <v>60.998093924360901</v>
      </c>
      <c r="X29">
        <f t="shared" ca="1" si="30"/>
        <v>61.581326054157024</v>
      </c>
      <c r="Y29">
        <f t="shared" ca="1" si="30"/>
        <v>60.874228846289896</v>
      </c>
      <c r="Z29">
        <f t="shared" ca="1" si="30"/>
        <v>60.483733837040717</v>
      </c>
      <c r="AA29">
        <f t="shared" ca="1" si="30"/>
        <v>60.31080029978876</v>
      </c>
      <c r="AB29">
        <f t="shared" ca="1" si="30"/>
        <v>61.236999292141348</v>
      </c>
      <c r="AC29">
        <f t="shared" ca="1" si="30"/>
        <v>58.369010431820648</v>
      </c>
      <c r="AD29">
        <f t="shared" ca="1" si="30"/>
        <v>57.652800688203207</v>
      </c>
      <c r="AE29">
        <f t="shared" ca="1" si="30"/>
        <v>56.022247838232857</v>
      </c>
      <c r="AF29">
        <f t="shared" ca="1" si="30"/>
        <v>55.585431937854679</v>
      </c>
      <c r="AG29">
        <f t="shared" ca="1" si="30"/>
        <v>54.33570863609831</v>
      </c>
      <c r="AH29">
        <f t="shared" ca="1" si="30"/>
        <v>52.789530986551839</v>
      </c>
      <c r="AI29">
        <f t="shared" ca="1" si="30"/>
        <v>54.135328351288315</v>
      </c>
      <c r="AJ29">
        <f t="shared" ca="1" si="30"/>
        <v>55.414261437463296</v>
      </c>
      <c r="AK29">
        <f t="shared" ca="1" si="30"/>
        <v>55.512682345214508</v>
      </c>
      <c r="AL29">
        <f t="shared" ca="1" si="30"/>
        <v>55.387119931855814</v>
      </c>
      <c r="AM29">
        <f t="shared" ca="1" si="30"/>
        <v>54.499127674335945</v>
      </c>
      <c r="AN29">
        <f t="shared" ca="1" si="30"/>
        <v>54.876596226958554</v>
      </c>
      <c r="AO29">
        <f t="shared" ca="1" si="30"/>
        <v>53.522418075409753</v>
      </c>
      <c r="AP29">
        <f t="shared" ca="1" si="30"/>
        <v>54.062521024114986</v>
      </c>
      <c r="AQ29">
        <f t="shared" ca="1" si="30"/>
        <v>54.525677417353293</v>
      </c>
      <c r="AR29">
        <f t="shared" ca="1" si="30"/>
        <v>53.710238098310207</v>
      </c>
      <c r="AS29">
        <f t="shared" ca="1" si="30"/>
        <v>53.856599650702222</v>
      </c>
      <c r="AT29">
        <f t="shared" ca="1" si="30"/>
        <v>54.855505753973759</v>
      </c>
      <c r="AU29">
        <f t="shared" ca="1" si="30"/>
        <v>55.513292686157634</v>
      </c>
      <c r="AV29">
        <f t="shared" ca="1" si="30"/>
        <v>55.58943245060977</v>
      </c>
      <c r="AW29">
        <f t="shared" ca="1" si="30"/>
        <v>56.763404937186301</v>
      </c>
      <c r="AX29">
        <f t="shared" ca="1" si="30"/>
        <v>57.523772700950303</v>
      </c>
      <c r="AY29">
        <f t="shared" ca="1" si="30"/>
        <v>56.859041548927145</v>
      </c>
      <c r="AZ29">
        <f t="shared" ca="1" si="30"/>
        <v>56.081305195498054</v>
      </c>
      <c r="BA29">
        <f t="shared" ca="1" si="30"/>
        <v>56.055377752695307</v>
      </c>
      <c r="BB29">
        <f t="shared" ca="1" si="30"/>
        <v>55.545284782023536</v>
      </c>
      <c r="BC29">
        <f t="shared" ca="1" si="30"/>
        <v>53.680568975816989</v>
      </c>
      <c r="BD29">
        <f t="shared" ca="1" si="30"/>
        <v>54.66032530913747</v>
      </c>
      <c r="BE29">
        <f t="shared" ca="1" si="30"/>
        <v>55.0370544064751</v>
      </c>
      <c r="BF29">
        <f t="shared" ca="1" si="30"/>
        <v>54.490603282549316</v>
      </c>
      <c r="BG29">
        <f t="shared" ca="1" si="30"/>
        <v>53.987127271275249</v>
      </c>
      <c r="BH29">
        <f t="shared" ca="1" si="30"/>
        <v>52.764971565779064</v>
      </c>
      <c r="BI29">
        <f t="shared" ca="1" si="30"/>
        <v>51.971642337738992</v>
      </c>
      <c r="BJ29">
        <f t="shared" ca="1" si="30"/>
        <v>51.971314011529508</v>
      </c>
      <c r="BK29">
        <f t="shared" ca="1" si="30"/>
        <v>52.345862995614134</v>
      </c>
      <c r="BL29">
        <f t="shared" ca="1" si="30"/>
        <v>51.127922963561943</v>
      </c>
      <c r="BM29">
        <f t="shared" ca="1" si="30"/>
        <v>51.676167155313891</v>
      </c>
      <c r="BN29">
        <f t="shared" ca="1" si="30"/>
        <v>49.859556154186592</v>
      </c>
      <c r="BO29">
        <f t="shared" ca="1" si="4"/>
        <v>0</v>
      </c>
    </row>
    <row r="30" spans="6:67">
      <c r="F30">
        <f t="shared" si="2"/>
        <v>60.99</v>
      </c>
      <c r="G30">
        <f t="shared" ref="G30:BN30" ca="1" si="31">F30*EXP(($B$2-0.5*$B$3^2)*$B$4+$B$3*_xlfn.NORM.INV(RAND(),0,SQRT($B$4)))</f>
        <v>59.699986192298141</v>
      </c>
      <c r="H30">
        <f t="shared" ca="1" si="31"/>
        <v>60.638006965108424</v>
      </c>
      <c r="I30">
        <f t="shared" ca="1" si="31"/>
        <v>61.871366870950325</v>
      </c>
      <c r="J30">
        <f t="shared" ca="1" si="31"/>
        <v>64.099989280206941</v>
      </c>
      <c r="K30">
        <f t="shared" ca="1" si="31"/>
        <v>62.024552387766128</v>
      </c>
      <c r="L30">
        <f t="shared" ca="1" si="31"/>
        <v>62.282281881226588</v>
      </c>
      <c r="M30">
        <f t="shared" ca="1" si="31"/>
        <v>62.430032100044457</v>
      </c>
      <c r="N30">
        <f t="shared" ca="1" si="31"/>
        <v>62.921098063024623</v>
      </c>
      <c r="O30">
        <f t="shared" ca="1" si="31"/>
        <v>64.352335006014542</v>
      </c>
      <c r="P30">
        <f t="shared" ca="1" si="31"/>
        <v>63.906955905202636</v>
      </c>
      <c r="Q30">
        <f t="shared" ca="1" si="31"/>
        <v>63.538708205039612</v>
      </c>
      <c r="R30">
        <f t="shared" ca="1" si="31"/>
        <v>65.1967091495669</v>
      </c>
      <c r="S30">
        <f t="shared" ca="1" si="31"/>
        <v>65.159666038497008</v>
      </c>
      <c r="T30">
        <f t="shared" ca="1" si="31"/>
        <v>65.115589349864848</v>
      </c>
      <c r="U30">
        <f t="shared" ca="1" si="31"/>
        <v>64.944341558218454</v>
      </c>
      <c r="V30">
        <f t="shared" ca="1" si="31"/>
        <v>63.609364884596083</v>
      </c>
      <c r="W30">
        <f t="shared" ca="1" si="31"/>
        <v>63.680349714813538</v>
      </c>
      <c r="X30">
        <f t="shared" ca="1" si="31"/>
        <v>64.072994997566624</v>
      </c>
      <c r="Y30">
        <f t="shared" ca="1" si="31"/>
        <v>64.771791903979008</v>
      </c>
      <c r="Z30">
        <f t="shared" ca="1" si="31"/>
        <v>64.644121846315045</v>
      </c>
      <c r="AA30">
        <f t="shared" ca="1" si="31"/>
        <v>66.64837738160908</v>
      </c>
      <c r="AB30">
        <f t="shared" ca="1" si="31"/>
        <v>68.415984044902103</v>
      </c>
      <c r="AC30">
        <f t="shared" ca="1" si="31"/>
        <v>67.772561622399621</v>
      </c>
      <c r="AD30">
        <f t="shared" ca="1" si="31"/>
        <v>66.792784175845242</v>
      </c>
      <c r="AE30">
        <f t="shared" ca="1" si="31"/>
        <v>69.813964814214785</v>
      </c>
      <c r="AF30">
        <f t="shared" ca="1" si="31"/>
        <v>68.748879491861103</v>
      </c>
      <c r="AG30">
        <f t="shared" ca="1" si="31"/>
        <v>70.500950279046918</v>
      </c>
      <c r="AH30">
        <f t="shared" ca="1" si="31"/>
        <v>69.368378065472967</v>
      </c>
      <c r="AI30">
        <f t="shared" ca="1" si="31"/>
        <v>70.572448382925188</v>
      </c>
      <c r="AJ30">
        <f t="shared" ca="1" si="31"/>
        <v>70.681160435907401</v>
      </c>
      <c r="AK30">
        <f t="shared" ca="1" si="31"/>
        <v>70.662241472002776</v>
      </c>
      <c r="AL30">
        <f t="shared" ca="1" si="31"/>
        <v>71.923135423575857</v>
      </c>
      <c r="AM30">
        <f t="shared" ca="1" si="31"/>
        <v>72.371337879656778</v>
      </c>
      <c r="AN30">
        <f t="shared" ca="1" si="31"/>
        <v>72.091789916219</v>
      </c>
      <c r="AO30">
        <f t="shared" ca="1" si="31"/>
        <v>69.273249258546045</v>
      </c>
      <c r="AP30">
        <f t="shared" ca="1" si="31"/>
        <v>69.476446026306206</v>
      </c>
      <c r="AQ30">
        <f t="shared" ca="1" si="31"/>
        <v>69.104393392735147</v>
      </c>
      <c r="AR30">
        <f t="shared" ca="1" si="31"/>
        <v>68.239078285446581</v>
      </c>
      <c r="AS30">
        <f t="shared" ca="1" si="31"/>
        <v>68.318363356617482</v>
      </c>
      <c r="AT30">
        <f t="shared" ca="1" si="31"/>
        <v>69.529367481859865</v>
      </c>
      <c r="AU30">
        <f t="shared" ca="1" si="31"/>
        <v>69.597472564913033</v>
      </c>
      <c r="AV30">
        <f t="shared" ca="1" si="31"/>
        <v>67.387611628849271</v>
      </c>
      <c r="AW30">
        <f t="shared" ca="1" si="31"/>
        <v>66.274362524877418</v>
      </c>
      <c r="AX30">
        <f t="shared" ca="1" si="31"/>
        <v>67.622794161060241</v>
      </c>
      <c r="AY30">
        <f t="shared" ca="1" si="31"/>
        <v>67.887030228272536</v>
      </c>
      <c r="AZ30">
        <f t="shared" ca="1" si="31"/>
        <v>69.579593362195013</v>
      </c>
      <c r="BA30">
        <f t="shared" ca="1" si="31"/>
        <v>70.362026425860591</v>
      </c>
      <c r="BB30">
        <f t="shared" ca="1" si="31"/>
        <v>71.055750640090466</v>
      </c>
      <c r="BC30">
        <f t="shared" ca="1" si="31"/>
        <v>71.680273910039148</v>
      </c>
      <c r="BD30">
        <f t="shared" ca="1" si="31"/>
        <v>72.693748715263908</v>
      </c>
      <c r="BE30">
        <f t="shared" ca="1" si="31"/>
        <v>74.2580044943697</v>
      </c>
      <c r="BF30">
        <f t="shared" ca="1" si="31"/>
        <v>75.28292969587153</v>
      </c>
      <c r="BG30">
        <f t="shared" ca="1" si="31"/>
        <v>75.372445191086499</v>
      </c>
      <c r="BH30">
        <f t="shared" ca="1" si="31"/>
        <v>76.003715646017895</v>
      </c>
      <c r="BI30">
        <f t="shared" ca="1" si="31"/>
        <v>77.257772979595373</v>
      </c>
      <c r="BJ30">
        <f t="shared" ca="1" si="31"/>
        <v>76.842267130075342</v>
      </c>
      <c r="BK30">
        <f t="shared" ca="1" si="31"/>
        <v>77.892071333231954</v>
      </c>
      <c r="BL30">
        <f t="shared" ca="1" si="31"/>
        <v>78.702543616830681</v>
      </c>
      <c r="BM30">
        <f t="shared" ca="1" si="31"/>
        <v>79.01663888580525</v>
      </c>
      <c r="BN30">
        <f t="shared" ca="1" si="31"/>
        <v>78.372208446416906</v>
      </c>
      <c r="BO30">
        <f t="shared" ca="1" si="4"/>
        <v>20.372208446416906</v>
      </c>
    </row>
    <row r="31" spans="6:67">
      <c r="F31">
        <f t="shared" si="2"/>
        <v>60.99</v>
      </c>
      <c r="G31">
        <f t="shared" ref="G31:BN31" ca="1" si="32">F31*EXP(($B$2-0.5*$B$3^2)*$B$4+$B$3*_xlfn.NORM.INV(RAND(),0,SQRT($B$4)))</f>
        <v>60.09445329426557</v>
      </c>
      <c r="H31">
        <f t="shared" ca="1" si="32"/>
        <v>61.43063900302446</v>
      </c>
      <c r="I31">
        <f t="shared" ca="1" si="32"/>
        <v>60.617991556361581</v>
      </c>
      <c r="J31">
        <f t="shared" ca="1" si="32"/>
        <v>61.06076337462828</v>
      </c>
      <c r="K31">
        <f t="shared" ca="1" si="32"/>
        <v>63.27256675002365</v>
      </c>
      <c r="L31">
        <f t="shared" ca="1" si="32"/>
        <v>64.076393350379519</v>
      </c>
      <c r="M31">
        <f t="shared" ca="1" si="32"/>
        <v>62.684468588214671</v>
      </c>
      <c r="N31">
        <f t="shared" ca="1" si="32"/>
        <v>62.699387626691646</v>
      </c>
      <c r="O31">
        <f t="shared" ca="1" si="32"/>
        <v>62.519971458901111</v>
      </c>
      <c r="P31">
        <f t="shared" ca="1" si="32"/>
        <v>63.963086157496534</v>
      </c>
      <c r="Q31">
        <f t="shared" ca="1" si="32"/>
        <v>65.175074001866236</v>
      </c>
      <c r="R31">
        <f t="shared" ca="1" si="32"/>
        <v>66.294568235077207</v>
      </c>
      <c r="S31">
        <f t="shared" ca="1" si="32"/>
        <v>63.586545321228641</v>
      </c>
      <c r="T31">
        <f t="shared" ca="1" si="32"/>
        <v>65.120471209276801</v>
      </c>
      <c r="U31">
        <f t="shared" ca="1" si="32"/>
        <v>65.838414106676098</v>
      </c>
      <c r="V31">
        <f t="shared" ca="1" si="32"/>
        <v>67.366575688077987</v>
      </c>
      <c r="W31">
        <f t="shared" ca="1" si="32"/>
        <v>66.513479993834792</v>
      </c>
      <c r="X31">
        <f t="shared" ca="1" si="32"/>
        <v>64.689725423084013</v>
      </c>
      <c r="Y31">
        <f t="shared" ca="1" si="32"/>
        <v>64.809809245372008</v>
      </c>
      <c r="Z31">
        <f t="shared" ca="1" si="32"/>
        <v>66.26291703423631</v>
      </c>
      <c r="AA31">
        <f t="shared" ca="1" si="32"/>
        <v>64.873496497904853</v>
      </c>
      <c r="AB31">
        <f t="shared" ca="1" si="32"/>
        <v>65.114210914173768</v>
      </c>
      <c r="AC31">
        <f t="shared" ca="1" si="32"/>
        <v>64.149559136584173</v>
      </c>
      <c r="AD31">
        <f t="shared" ca="1" si="32"/>
        <v>64.689847268263108</v>
      </c>
      <c r="AE31">
        <f t="shared" ca="1" si="32"/>
        <v>66.491150230016871</v>
      </c>
      <c r="AF31">
        <f t="shared" ca="1" si="32"/>
        <v>66.564121550029128</v>
      </c>
      <c r="AG31">
        <f t="shared" ca="1" si="32"/>
        <v>65.813614370316316</v>
      </c>
      <c r="AH31">
        <f t="shared" ca="1" si="32"/>
        <v>65.685887240778001</v>
      </c>
      <c r="AI31">
        <f t="shared" ca="1" si="32"/>
        <v>67.232654029403363</v>
      </c>
      <c r="AJ31">
        <f t="shared" ca="1" si="32"/>
        <v>68.143881760160085</v>
      </c>
      <c r="AK31">
        <f t="shared" ca="1" si="32"/>
        <v>67.775737619339964</v>
      </c>
      <c r="AL31">
        <f t="shared" ca="1" si="32"/>
        <v>69.223403191363161</v>
      </c>
      <c r="AM31">
        <f t="shared" ca="1" si="32"/>
        <v>69.574053200993902</v>
      </c>
      <c r="AN31">
        <f t="shared" ca="1" si="32"/>
        <v>68.807147015716779</v>
      </c>
      <c r="AO31">
        <f t="shared" ca="1" si="32"/>
        <v>69.588149678964513</v>
      </c>
      <c r="AP31">
        <f t="shared" ca="1" si="32"/>
        <v>66.835268627299584</v>
      </c>
      <c r="AQ31">
        <f t="shared" ca="1" si="32"/>
        <v>69.154583348284234</v>
      </c>
      <c r="AR31">
        <f t="shared" ca="1" si="32"/>
        <v>71.377447457204212</v>
      </c>
      <c r="AS31">
        <f t="shared" ca="1" si="32"/>
        <v>71.597153145465839</v>
      </c>
      <c r="AT31">
        <f t="shared" ca="1" si="32"/>
        <v>71.61853611371815</v>
      </c>
      <c r="AU31">
        <f t="shared" ca="1" si="32"/>
        <v>73.796089801169728</v>
      </c>
      <c r="AV31">
        <f t="shared" ca="1" si="32"/>
        <v>74.177804030835503</v>
      </c>
      <c r="AW31">
        <f t="shared" ca="1" si="32"/>
        <v>73.324037470660187</v>
      </c>
      <c r="AX31">
        <f t="shared" ca="1" si="32"/>
        <v>74.695375546842129</v>
      </c>
      <c r="AY31">
        <f t="shared" ca="1" si="32"/>
        <v>73.144203145306008</v>
      </c>
      <c r="AZ31">
        <f t="shared" ca="1" si="32"/>
        <v>71.640953281812159</v>
      </c>
      <c r="BA31">
        <f t="shared" ca="1" si="32"/>
        <v>71.466564011627099</v>
      </c>
      <c r="BB31">
        <f t="shared" ca="1" si="32"/>
        <v>72.011402204057106</v>
      </c>
      <c r="BC31">
        <f t="shared" ca="1" si="32"/>
        <v>72.482316702125303</v>
      </c>
      <c r="BD31">
        <f t="shared" ca="1" si="32"/>
        <v>75.508522957505505</v>
      </c>
      <c r="BE31">
        <f t="shared" ca="1" si="32"/>
        <v>72.689858218573136</v>
      </c>
      <c r="BF31">
        <f t="shared" ca="1" si="32"/>
        <v>71.586561460986644</v>
      </c>
      <c r="BG31">
        <f t="shared" ca="1" si="32"/>
        <v>69.21109405044939</v>
      </c>
      <c r="BH31">
        <f t="shared" ca="1" si="32"/>
        <v>70.795145492309103</v>
      </c>
      <c r="BI31">
        <f t="shared" ca="1" si="32"/>
        <v>71.612147552988219</v>
      </c>
      <c r="BJ31">
        <f t="shared" ca="1" si="32"/>
        <v>70.999699295172562</v>
      </c>
      <c r="BK31">
        <f t="shared" ca="1" si="32"/>
        <v>71.957825498331516</v>
      </c>
      <c r="BL31">
        <f t="shared" ca="1" si="32"/>
        <v>72.123878222584509</v>
      </c>
      <c r="BM31">
        <f t="shared" ca="1" si="32"/>
        <v>69.865302271953553</v>
      </c>
      <c r="BN31">
        <f t="shared" ca="1" si="32"/>
        <v>71.013797136166858</v>
      </c>
      <c r="BO31">
        <f t="shared" ca="1" si="4"/>
        <v>13.013797136166858</v>
      </c>
    </row>
    <row r="32" spans="6:67">
      <c r="F32">
        <f t="shared" si="2"/>
        <v>60.99</v>
      </c>
      <c r="G32">
        <f t="shared" ref="G32:BN32" ca="1" si="33">F32*EXP(($B$2-0.5*$B$3^2)*$B$4+$B$3*_xlfn.NORM.INV(RAND(),0,SQRT($B$4)))</f>
        <v>61.029094403912715</v>
      </c>
      <c r="H32">
        <f t="shared" ca="1" si="33"/>
        <v>61.222870601361116</v>
      </c>
      <c r="I32">
        <f t="shared" ca="1" si="33"/>
        <v>61.602079272882428</v>
      </c>
      <c r="J32">
        <f t="shared" ca="1" si="33"/>
        <v>61.351351824910651</v>
      </c>
      <c r="K32">
        <f t="shared" ca="1" si="33"/>
        <v>62.855775899929831</v>
      </c>
      <c r="L32">
        <f t="shared" ca="1" si="33"/>
        <v>63.817577636283701</v>
      </c>
      <c r="M32">
        <f t="shared" ca="1" si="33"/>
        <v>64.583961104694509</v>
      </c>
      <c r="N32">
        <f t="shared" ca="1" si="33"/>
        <v>64.913355121145869</v>
      </c>
      <c r="O32">
        <f t="shared" ca="1" si="33"/>
        <v>63.137865960702037</v>
      </c>
      <c r="P32">
        <f t="shared" ca="1" si="33"/>
        <v>62.736209170086113</v>
      </c>
      <c r="Q32">
        <f t="shared" ca="1" si="33"/>
        <v>63.850313280042506</v>
      </c>
      <c r="R32">
        <f t="shared" ca="1" si="33"/>
        <v>65.621817565517986</v>
      </c>
      <c r="S32">
        <f t="shared" ca="1" si="33"/>
        <v>64.88707419581668</v>
      </c>
      <c r="T32">
        <f t="shared" ca="1" si="33"/>
        <v>65.573314779868767</v>
      </c>
      <c r="U32">
        <f t="shared" ca="1" si="33"/>
        <v>64.674327443075356</v>
      </c>
      <c r="V32">
        <f t="shared" ca="1" si="33"/>
        <v>63.659596252958998</v>
      </c>
      <c r="W32">
        <f t="shared" ca="1" si="33"/>
        <v>63.267484129045435</v>
      </c>
      <c r="X32">
        <f t="shared" ca="1" si="33"/>
        <v>61.642508044144549</v>
      </c>
      <c r="Y32">
        <f t="shared" ca="1" si="33"/>
        <v>61.967959881991106</v>
      </c>
      <c r="Z32">
        <f t="shared" ca="1" si="33"/>
        <v>61.040831270081817</v>
      </c>
      <c r="AA32">
        <f t="shared" ca="1" si="33"/>
        <v>62.466135164547453</v>
      </c>
      <c r="AB32">
        <f t="shared" ca="1" si="33"/>
        <v>60.69179728375174</v>
      </c>
      <c r="AC32">
        <f t="shared" ca="1" si="33"/>
        <v>59.858005385070058</v>
      </c>
      <c r="AD32">
        <f t="shared" ca="1" si="33"/>
        <v>60.833738002037343</v>
      </c>
      <c r="AE32">
        <f t="shared" ca="1" si="33"/>
        <v>59.850779107585012</v>
      </c>
      <c r="AF32">
        <f t="shared" ca="1" si="33"/>
        <v>61.575098158162696</v>
      </c>
      <c r="AG32">
        <f t="shared" ca="1" si="33"/>
        <v>62.105861628363996</v>
      </c>
      <c r="AH32">
        <f t="shared" ca="1" si="33"/>
        <v>62.469404442261826</v>
      </c>
      <c r="AI32">
        <f t="shared" ca="1" si="33"/>
        <v>59.014874235584806</v>
      </c>
      <c r="AJ32">
        <f t="shared" ca="1" si="33"/>
        <v>61.890890733135677</v>
      </c>
      <c r="AK32">
        <f t="shared" ca="1" si="33"/>
        <v>63.012571112828795</v>
      </c>
      <c r="AL32">
        <f t="shared" ca="1" si="33"/>
        <v>63.877838592794475</v>
      </c>
      <c r="AM32">
        <f t="shared" ca="1" si="33"/>
        <v>63.161155265262941</v>
      </c>
      <c r="AN32">
        <f t="shared" ca="1" si="33"/>
        <v>62.355465412230203</v>
      </c>
      <c r="AO32">
        <f t="shared" ca="1" si="33"/>
        <v>65.632235170367125</v>
      </c>
      <c r="AP32">
        <f t="shared" ca="1" si="33"/>
        <v>67.014296429212976</v>
      </c>
      <c r="AQ32">
        <f t="shared" ca="1" si="33"/>
        <v>67.46460687514967</v>
      </c>
      <c r="AR32">
        <f t="shared" ca="1" si="33"/>
        <v>66.52778147326417</v>
      </c>
      <c r="AS32">
        <f t="shared" ca="1" si="33"/>
        <v>65.531529453680818</v>
      </c>
      <c r="AT32">
        <f t="shared" ca="1" si="33"/>
        <v>63.584172417818117</v>
      </c>
      <c r="AU32">
        <f t="shared" ca="1" si="33"/>
        <v>62.676260055583754</v>
      </c>
      <c r="AV32">
        <f t="shared" ca="1" si="33"/>
        <v>63.808222278179429</v>
      </c>
      <c r="AW32">
        <f t="shared" ca="1" si="33"/>
        <v>66.505364938668023</v>
      </c>
      <c r="AX32">
        <f t="shared" ca="1" si="33"/>
        <v>66.307054410304346</v>
      </c>
      <c r="AY32">
        <f t="shared" ca="1" si="33"/>
        <v>66.403162256366969</v>
      </c>
      <c r="AZ32">
        <f t="shared" ca="1" si="33"/>
        <v>66.789246119561852</v>
      </c>
      <c r="BA32">
        <f t="shared" ca="1" si="33"/>
        <v>66.935871495317571</v>
      </c>
      <c r="BB32">
        <f t="shared" ca="1" si="33"/>
        <v>67.616080367935282</v>
      </c>
      <c r="BC32">
        <f t="shared" ca="1" si="33"/>
        <v>68.652648232992689</v>
      </c>
      <c r="BD32">
        <f t="shared" ca="1" si="33"/>
        <v>69.263688489641282</v>
      </c>
      <c r="BE32">
        <f t="shared" ca="1" si="33"/>
        <v>68.565075840601438</v>
      </c>
      <c r="BF32">
        <f t="shared" ca="1" si="33"/>
        <v>69.301870212505278</v>
      </c>
      <c r="BG32">
        <f t="shared" ca="1" si="33"/>
        <v>68.82103677346727</v>
      </c>
      <c r="BH32">
        <f t="shared" ca="1" si="33"/>
        <v>67.620706450987754</v>
      </c>
      <c r="BI32">
        <f t="shared" ca="1" si="33"/>
        <v>69.390934331854837</v>
      </c>
      <c r="BJ32">
        <f t="shared" ca="1" si="33"/>
        <v>69.698353379889724</v>
      </c>
      <c r="BK32">
        <f t="shared" ca="1" si="33"/>
        <v>70.261544895984457</v>
      </c>
      <c r="BL32">
        <f t="shared" ca="1" si="33"/>
        <v>70.058176167285851</v>
      </c>
      <c r="BM32">
        <f t="shared" ca="1" si="33"/>
        <v>68.484264242497304</v>
      </c>
      <c r="BN32">
        <f t="shared" ca="1" si="33"/>
        <v>68.784646687727246</v>
      </c>
      <c r="BO32">
        <f t="shared" ca="1" si="4"/>
        <v>10.784646687727246</v>
      </c>
    </row>
    <row r="33" spans="6:67">
      <c r="F33">
        <f t="shared" si="2"/>
        <v>60.99</v>
      </c>
      <c r="G33">
        <f t="shared" ref="G33:BN33" ca="1" si="34">F33*EXP(($B$2-0.5*$B$3^2)*$B$4+$B$3*_xlfn.NORM.INV(RAND(),0,SQRT($B$4)))</f>
        <v>61.788827118179022</v>
      </c>
      <c r="H33">
        <f t="shared" ca="1" si="34"/>
        <v>60.607483976334343</v>
      </c>
      <c r="I33">
        <f t="shared" ca="1" si="34"/>
        <v>60.418840665967103</v>
      </c>
      <c r="J33">
        <f t="shared" ca="1" si="34"/>
        <v>61.782535483042068</v>
      </c>
      <c r="K33">
        <f t="shared" ca="1" si="34"/>
        <v>63.316390423256905</v>
      </c>
      <c r="L33">
        <f t="shared" ca="1" si="34"/>
        <v>63.561438970980021</v>
      </c>
      <c r="M33">
        <f t="shared" ca="1" si="34"/>
        <v>63.273443943903096</v>
      </c>
      <c r="N33">
        <f t="shared" ca="1" si="34"/>
        <v>64.566563539258524</v>
      </c>
      <c r="O33">
        <f t="shared" ca="1" si="34"/>
        <v>64.584957170692761</v>
      </c>
      <c r="P33">
        <f t="shared" ca="1" si="34"/>
        <v>63.732214162493008</v>
      </c>
      <c r="Q33">
        <f t="shared" ca="1" si="34"/>
        <v>61.386079799092016</v>
      </c>
      <c r="R33">
        <f t="shared" ca="1" si="34"/>
        <v>61.619456637149767</v>
      </c>
      <c r="S33">
        <f t="shared" ca="1" si="34"/>
        <v>61.44723608561177</v>
      </c>
      <c r="T33">
        <f t="shared" ca="1" si="34"/>
        <v>62.414812018909664</v>
      </c>
      <c r="U33">
        <f t="shared" ca="1" si="34"/>
        <v>62.990646759699494</v>
      </c>
      <c r="V33">
        <f t="shared" ca="1" si="34"/>
        <v>62.20392350017746</v>
      </c>
      <c r="W33">
        <f t="shared" ca="1" si="34"/>
        <v>61.695038212097614</v>
      </c>
      <c r="X33">
        <f t="shared" ca="1" si="34"/>
        <v>60.20797765960954</v>
      </c>
      <c r="Y33">
        <f t="shared" ca="1" si="34"/>
        <v>59.41639186564759</v>
      </c>
      <c r="Z33">
        <f t="shared" ca="1" si="34"/>
        <v>58.328354428053601</v>
      </c>
      <c r="AA33">
        <f t="shared" ca="1" si="34"/>
        <v>57.209832165608766</v>
      </c>
      <c r="AB33">
        <f t="shared" ca="1" si="34"/>
        <v>55.677373914208175</v>
      </c>
      <c r="AC33">
        <f t="shared" ca="1" si="34"/>
        <v>54.920022280511745</v>
      </c>
      <c r="AD33">
        <f t="shared" ca="1" si="34"/>
        <v>53.737348647621388</v>
      </c>
      <c r="AE33">
        <f t="shared" ca="1" si="34"/>
        <v>54.577107449738904</v>
      </c>
      <c r="AF33">
        <f t="shared" ca="1" si="34"/>
        <v>55.181440173992463</v>
      </c>
      <c r="AG33">
        <f t="shared" ca="1" si="34"/>
        <v>56.152114291150582</v>
      </c>
      <c r="AH33">
        <f t="shared" ca="1" si="34"/>
        <v>57.493449706818105</v>
      </c>
      <c r="AI33">
        <f t="shared" ca="1" si="34"/>
        <v>58.178795153606337</v>
      </c>
      <c r="AJ33">
        <f t="shared" ca="1" si="34"/>
        <v>58.229243380570267</v>
      </c>
      <c r="AK33">
        <f t="shared" ca="1" si="34"/>
        <v>59.934353666158053</v>
      </c>
      <c r="AL33">
        <f t="shared" ca="1" si="34"/>
        <v>60.250788798828602</v>
      </c>
      <c r="AM33">
        <f t="shared" ca="1" si="34"/>
        <v>61.254225890238175</v>
      </c>
      <c r="AN33">
        <f t="shared" ca="1" si="34"/>
        <v>63.250274057181322</v>
      </c>
      <c r="AO33">
        <f t="shared" ca="1" si="34"/>
        <v>62.553414733049664</v>
      </c>
      <c r="AP33">
        <f t="shared" ca="1" si="34"/>
        <v>61.116969116215856</v>
      </c>
      <c r="AQ33">
        <f t="shared" ca="1" si="34"/>
        <v>62.718167637800079</v>
      </c>
      <c r="AR33">
        <f t="shared" ca="1" si="34"/>
        <v>63.381079726195424</v>
      </c>
      <c r="AS33">
        <f t="shared" ca="1" si="34"/>
        <v>63.677448946680904</v>
      </c>
      <c r="AT33">
        <f t="shared" ca="1" si="34"/>
        <v>64.620618395274136</v>
      </c>
      <c r="AU33">
        <f t="shared" ca="1" si="34"/>
        <v>64.792266469785119</v>
      </c>
      <c r="AV33">
        <f t="shared" ca="1" si="34"/>
        <v>65.682611683254621</v>
      </c>
      <c r="AW33">
        <f t="shared" ca="1" si="34"/>
        <v>65.247916982142016</v>
      </c>
      <c r="AX33">
        <f t="shared" ca="1" si="34"/>
        <v>63.971093116271909</v>
      </c>
      <c r="AY33">
        <f t="shared" ca="1" si="34"/>
        <v>63.230377627769649</v>
      </c>
      <c r="AZ33">
        <f t="shared" ca="1" si="34"/>
        <v>62.092843739520085</v>
      </c>
      <c r="BA33">
        <f t="shared" ca="1" si="34"/>
        <v>63.888200863836055</v>
      </c>
      <c r="BB33">
        <f t="shared" ca="1" si="34"/>
        <v>63.538340677402658</v>
      </c>
      <c r="BC33">
        <f t="shared" ca="1" si="34"/>
        <v>63.758085740273117</v>
      </c>
      <c r="BD33">
        <f t="shared" ca="1" si="34"/>
        <v>65.035739199825329</v>
      </c>
      <c r="BE33">
        <f t="shared" ca="1" si="34"/>
        <v>65.115472875669084</v>
      </c>
      <c r="BF33">
        <f t="shared" ca="1" si="34"/>
        <v>62.168200794650495</v>
      </c>
      <c r="BG33">
        <f t="shared" ca="1" si="34"/>
        <v>61.657142351011217</v>
      </c>
      <c r="BH33">
        <f t="shared" ca="1" si="34"/>
        <v>60.352790887145076</v>
      </c>
      <c r="BI33">
        <f t="shared" ca="1" si="34"/>
        <v>60.495862033781577</v>
      </c>
      <c r="BJ33">
        <f t="shared" ca="1" si="34"/>
        <v>60.73674157804809</v>
      </c>
      <c r="BK33">
        <f t="shared" ca="1" si="34"/>
        <v>60.513288205656664</v>
      </c>
      <c r="BL33">
        <f t="shared" ca="1" si="34"/>
        <v>61.55023470004349</v>
      </c>
      <c r="BM33">
        <f t="shared" ca="1" si="34"/>
        <v>60.934200385299754</v>
      </c>
      <c r="BN33">
        <f t="shared" ca="1" si="34"/>
        <v>63.030261570517332</v>
      </c>
      <c r="BO33">
        <f t="shared" ca="1" si="4"/>
        <v>5.0302615705173324</v>
      </c>
    </row>
    <row r="34" spans="6:67">
      <c r="F34">
        <f t="shared" si="2"/>
        <v>60.99</v>
      </c>
      <c r="G34">
        <f t="shared" ref="G34:BN34" ca="1" si="35">F34*EXP(($B$2-0.5*$B$3^2)*$B$4+$B$3*_xlfn.NORM.INV(RAND(),0,SQRT($B$4)))</f>
        <v>61.19072634173483</v>
      </c>
      <c r="H34">
        <f t="shared" ca="1" si="35"/>
        <v>64.884694245634975</v>
      </c>
      <c r="I34">
        <f t="shared" ca="1" si="35"/>
        <v>66.182365679047876</v>
      </c>
      <c r="J34">
        <f t="shared" ca="1" si="35"/>
        <v>64.553727485342804</v>
      </c>
      <c r="K34">
        <f t="shared" ca="1" si="35"/>
        <v>65.180489704251684</v>
      </c>
      <c r="L34">
        <f t="shared" ca="1" si="35"/>
        <v>64.895299951101066</v>
      </c>
      <c r="M34">
        <f t="shared" ca="1" si="35"/>
        <v>66.99698196934564</v>
      </c>
      <c r="N34">
        <f t="shared" ca="1" si="35"/>
        <v>67.518504920258977</v>
      </c>
      <c r="O34">
        <f t="shared" ca="1" si="35"/>
        <v>65.872274112555502</v>
      </c>
      <c r="P34">
        <f t="shared" ca="1" si="35"/>
        <v>65.145855410062353</v>
      </c>
      <c r="Q34">
        <f t="shared" ca="1" si="35"/>
        <v>65.996008024478144</v>
      </c>
      <c r="R34">
        <f t="shared" ca="1" si="35"/>
        <v>66.561590232912224</v>
      </c>
      <c r="S34">
        <f t="shared" ca="1" si="35"/>
        <v>67.598824242356869</v>
      </c>
      <c r="T34">
        <f t="shared" ca="1" si="35"/>
        <v>66.676768440619355</v>
      </c>
      <c r="U34">
        <f t="shared" ca="1" si="35"/>
        <v>67.099453514617423</v>
      </c>
      <c r="V34">
        <f t="shared" ca="1" si="35"/>
        <v>67.5070081231069</v>
      </c>
      <c r="W34">
        <f t="shared" ca="1" si="35"/>
        <v>65.736855136628719</v>
      </c>
      <c r="X34">
        <f t="shared" ca="1" si="35"/>
        <v>61.745957523234168</v>
      </c>
      <c r="Y34">
        <f t="shared" ca="1" si="35"/>
        <v>63.715804602191056</v>
      </c>
      <c r="Z34">
        <f t="shared" ca="1" si="35"/>
        <v>64.824460839019665</v>
      </c>
      <c r="AA34">
        <f t="shared" ca="1" si="35"/>
        <v>65.157742901047925</v>
      </c>
      <c r="AB34">
        <f t="shared" ca="1" si="35"/>
        <v>65.306756279059357</v>
      </c>
      <c r="AC34">
        <f t="shared" ca="1" si="35"/>
        <v>63.577349686671482</v>
      </c>
      <c r="AD34">
        <f t="shared" ca="1" si="35"/>
        <v>63.486354705796408</v>
      </c>
      <c r="AE34">
        <f t="shared" ca="1" si="35"/>
        <v>63.869325182893007</v>
      </c>
      <c r="AF34">
        <f t="shared" ca="1" si="35"/>
        <v>62.70220376332712</v>
      </c>
      <c r="AG34">
        <f t="shared" ca="1" si="35"/>
        <v>64.562124367678919</v>
      </c>
      <c r="AH34">
        <f t="shared" ca="1" si="35"/>
        <v>63.973841607760811</v>
      </c>
      <c r="AI34">
        <f t="shared" ca="1" si="35"/>
        <v>64.040883880685485</v>
      </c>
      <c r="AJ34">
        <f t="shared" ca="1" si="35"/>
        <v>64.112251677628578</v>
      </c>
      <c r="AK34">
        <f t="shared" ca="1" si="35"/>
        <v>63.212203166212724</v>
      </c>
      <c r="AL34">
        <f t="shared" ca="1" si="35"/>
        <v>61.023358715243013</v>
      </c>
      <c r="AM34">
        <f t="shared" ca="1" si="35"/>
        <v>63.108537941095811</v>
      </c>
      <c r="AN34">
        <f t="shared" ca="1" si="35"/>
        <v>62.383947758896902</v>
      </c>
      <c r="AO34">
        <f t="shared" ca="1" si="35"/>
        <v>60.822212040342862</v>
      </c>
      <c r="AP34">
        <f t="shared" ca="1" si="35"/>
        <v>61.708884078520484</v>
      </c>
      <c r="AQ34">
        <f t="shared" ca="1" si="35"/>
        <v>60.773040361022417</v>
      </c>
      <c r="AR34">
        <f t="shared" ca="1" si="35"/>
        <v>61.040823430647556</v>
      </c>
      <c r="AS34">
        <f t="shared" ca="1" si="35"/>
        <v>63.014812595398226</v>
      </c>
      <c r="AT34">
        <f t="shared" ca="1" si="35"/>
        <v>64.40532012056876</v>
      </c>
      <c r="AU34">
        <f t="shared" ca="1" si="35"/>
        <v>63.763461478963606</v>
      </c>
      <c r="AV34">
        <f t="shared" ca="1" si="35"/>
        <v>63.446675960956831</v>
      </c>
      <c r="AW34">
        <f t="shared" ca="1" si="35"/>
        <v>64.719613744887525</v>
      </c>
      <c r="AX34">
        <f t="shared" ca="1" si="35"/>
        <v>64.725782794518807</v>
      </c>
      <c r="AY34">
        <f t="shared" ca="1" si="35"/>
        <v>64.726560391371166</v>
      </c>
      <c r="AZ34">
        <f t="shared" ca="1" si="35"/>
        <v>63.1097454342815</v>
      </c>
      <c r="BA34">
        <f t="shared" ca="1" si="35"/>
        <v>62.523812280947915</v>
      </c>
      <c r="BB34">
        <f t="shared" ca="1" si="35"/>
        <v>63.486636449234815</v>
      </c>
      <c r="BC34">
        <f t="shared" ca="1" si="35"/>
        <v>64.128461921539895</v>
      </c>
      <c r="BD34">
        <f t="shared" ca="1" si="35"/>
        <v>64.339736663182947</v>
      </c>
      <c r="BE34">
        <f t="shared" ca="1" si="35"/>
        <v>63.236601497868165</v>
      </c>
      <c r="BF34">
        <f t="shared" ca="1" si="35"/>
        <v>63.276670910082935</v>
      </c>
      <c r="BG34">
        <f t="shared" ca="1" si="35"/>
        <v>62.111456141284251</v>
      </c>
      <c r="BH34">
        <f t="shared" ca="1" si="35"/>
        <v>61.081197566612509</v>
      </c>
      <c r="BI34">
        <f t="shared" ca="1" si="35"/>
        <v>60.144425649624495</v>
      </c>
      <c r="BJ34">
        <f t="shared" ca="1" si="35"/>
        <v>58.894812097695031</v>
      </c>
      <c r="BK34">
        <f t="shared" ca="1" si="35"/>
        <v>59.630450209496694</v>
      </c>
      <c r="BL34">
        <f t="shared" ca="1" si="35"/>
        <v>59.453117860956738</v>
      </c>
      <c r="BM34">
        <f t="shared" ca="1" si="35"/>
        <v>59.356541152217865</v>
      </c>
      <c r="BN34">
        <f t="shared" ca="1" si="35"/>
        <v>59.547576120095663</v>
      </c>
      <c r="BO34">
        <f t="shared" ca="1" si="4"/>
        <v>1.5475761200956626</v>
      </c>
    </row>
    <row r="35" spans="6:67">
      <c r="F35">
        <f t="shared" si="2"/>
        <v>60.99</v>
      </c>
      <c r="G35">
        <f t="shared" ref="G35:BN35" ca="1" si="36">F35*EXP(($B$2-0.5*$B$3^2)*$B$4+$B$3*_xlfn.NORM.INV(RAND(),0,SQRT($B$4)))</f>
        <v>62.073977684882244</v>
      </c>
      <c r="H35">
        <f t="shared" ca="1" si="36"/>
        <v>63.9815517068863</v>
      </c>
      <c r="I35">
        <f t="shared" ca="1" si="36"/>
        <v>62.70639174999954</v>
      </c>
      <c r="J35">
        <f t="shared" ca="1" si="36"/>
        <v>62.323608676165421</v>
      </c>
      <c r="K35">
        <f t="shared" ca="1" si="36"/>
        <v>61.883659313948428</v>
      </c>
      <c r="L35">
        <f t="shared" ca="1" si="36"/>
        <v>62.321645000161745</v>
      </c>
      <c r="M35">
        <f t="shared" ca="1" si="36"/>
        <v>63.613423830408983</v>
      </c>
      <c r="N35">
        <f t="shared" ca="1" si="36"/>
        <v>63.040641503946254</v>
      </c>
      <c r="O35">
        <f t="shared" ca="1" si="36"/>
        <v>63.73832714869323</v>
      </c>
      <c r="P35">
        <f t="shared" ca="1" si="36"/>
        <v>64.805785020094845</v>
      </c>
      <c r="Q35">
        <f t="shared" ca="1" si="36"/>
        <v>63.76758265284095</v>
      </c>
      <c r="R35">
        <f t="shared" ca="1" si="36"/>
        <v>64.22168755950959</v>
      </c>
      <c r="S35">
        <f t="shared" ca="1" si="36"/>
        <v>63.029741190164536</v>
      </c>
      <c r="T35">
        <f t="shared" ca="1" si="36"/>
        <v>63.381207171874031</v>
      </c>
      <c r="U35">
        <f t="shared" ca="1" si="36"/>
        <v>65.453505865545409</v>
      </c>
      <c r="V35">
        <f t="shared" ca="1" si="36"/>
        <v>64.029280881362311</v>
      </c>
      <c r="W35">
        <f t="shared" ca="1" si="36"/>
        <v>61.782732746384085</v>
      </c>
      <c r="X35">
        <f t="shared" ca="1" si="36"/>
        <v>62.93814447614092</v>
      </c>
      <c r="Y35">
        <f t="shared" ca="1" si="36"/>
        <v>63.899957531705937</v>
      </c>
      <c r="Z35">
        <f t="shared" ca="1" si="36"/>
        <v>62.104466658536559</v>
      </c>
      <c r="AA35">
        <f t="shared" ca="1" si="36"/>
        <v>59.495464925930179</v>
      </c>
      <c r="AB35">
        <f t="shared" ca="1" si="36"/>
        <v>60.766313439212446</v>
      </c>
      <c r="AC35">
        <f t="shared" ca="1" si="36"/>
        <v>59.624357188141744</v>
      </c>
      <c r="AD35">
        <f t="shared" ca="1" si="36"/>
        <v>59.615874211265378</v>
      </c>
      <c r="AE35">
        <f t="shared" ca="1" si="36"/>
        <v>59.12682764373038</v>
      </c>
      <c r="AF35">
        <f t="shared" ca="1" si="36"/>
        <v>60.130944826499089</v>
      </c>
      <c r="AG35">
        <f t="shared" ca="1" si="36"/>
        <v>60.261469875179543</v>
      </c>
      <c r="AH35">
        <f t="shared" ca="1" si="36"/>
        <v>60.269679557627867</v>
      </c>
      <c r="AI35">
        <f t="shared" ca="1" si="36"/>
        <v>58.689169171592503</v>
      </c>
      <c r="AJ35">
        <f t="shared" ca="1" si="36"/>
        <v>57.7169816276894</v>
      </c>
      <c r="AK35">
        <f t="shared" ca="1" si="36"/>
        <v>55.254506854816164</v>
      </c>
      <c r="AL35">
        <f t="shared" ca="1" si="36"/>
        <v>57.049751286171166</v>
      </c>
      <c r="AM35">
        <f t="shared" ca="1" si="36"/>
        <v>57.996247719145074</v>
      </c>
      <c r="AN35">
        <f t="shared" ca="1" si="36"/>
        <v>58.277078865371621</v>
      </c>
      <c r="AO35">
        <f t="shared" ca="1" si="36"/>
        <v>56.798219438495146</v>
      </c>
      <c r="AP35">
        <f t="shared" ca="1" si="36"/>
        <v>56.45283531266427</v>
      </c>
      <c r="AQ35">
        <f t="shared" ca="1" si="36"/>
        <v>57.647461509205087</v>
      </c>
      <c r="AR35">
        <f t="shared" ca="1" si="36"/>
        <v>58.344670151188872</v>
      </c>
      <c r="AS35">
        <f t="shared" ca="1" si="36"/>
        <v>57.658970106792957</v>
      </c>
      <c r="AT35">
        <f t="shared" ca="1" si="36"/>
        <v>59.631141766837594</v>
      </c>
      <c r="AU35">
        <f t="shared" ca="1" si="36"/>
        <v>60.419124123157069</v>
      </c>
      <c r="AV35">
        <f t="shared" ca="1" si="36"/>
        <v>62.817401340573348</v>
      </c>
      <c r="AW35">
        <f t="shared" ca="1" si="36"/>
        <v>62.895318180249369</v>
      </c>
      <c r="AX35">
        <f t="shared" ca="1" si="36"/>
        <v>63.692964651330399</v>
      </c>
      <c r="AY35">
        <f t="shared" ca="1" si="36"/>
        <v>66.241585215080448</v>
      </c>
      <c r="AZ35">
        <f t="shared" ca="1" si="36"/>
        <v>64.540448673988763</v>
      </c>
      <c r="BA35">
        <f t="shared" ca="1" si="36"/>
        <v>67.7742477386833</v>
      </c>
      <c r="BB35">
        <f t="shared" ca="1" si="36"/>
        <v>68.424623419396099</v>
      </c>
      <c r="BC35">
        <f t="shared" ca="1" si="36"/>
        <v>68.673447244835245</v>
      </c>
      <c r="BD35">
        <f t="shared" ca="1" si="36"/>
        <v>69.517856954652899</v>
      </c>
      <c r="BE35">
        <f t="shared" ca="1" si="36"/>
        <v>71.974538548180377</v>
      </c>
      <c r="BF35">
        <f t="shared" ca="1" si="36"/>
        <v>72.045876830672526</v>
      </c>
      <c r="BG35">
        <f t="shared" ca="1" si="36"/>
        <v>72.726607779793028</v>
      </c>
      <c r="BH35">
        <f t="shared" ca="1" si="36"/>
        <v>72.890450041139999</v>
      </c>
      <c r="BI35">
        <f t="shared" ca="1" si="36"/>
        <v>72.2809148805555</v>
      </c>
      <c r="BJ35">
        <f t="shared" ca="1" si="36"/>
        <v>73.175159253216009</v>
      </c>
      <c r="BK35">
        <f t="shared" ca="1" si="36"/>
        <v>75.608869299559885</v>
      </c>
      <c r="BL35">
        <f t="shared" ca="1" si="36"/>
        <v>79.091428735991585</v>
      </c>
      <c r="BM35">
        <f t="shared" ca="1" si="36"/>
        <v>80.821906733251737</v>
      </c>
      <c r="BN35">
        <f t="shared" ca="1" si="36"/>
        <v>78.961549346634172</v>
      </c>
      <c r="BO35">
        <f t="shared" ca="1" si="4"/>
        <v>20.961549346634172</v>
      </c>
    </row>
    <row r="36" spans="6:67">
      <c r="F36">
        <f t="shared" si="2"/>
        <v>60.99</v>
      </c>
      <c r="G36">
        <f t="shared" ref="G36:BN36" ca="1" si="37">F36*EXP(($B$2-0.5*$B$3^2)*$B$4+$B$3*_xlfn.NORM.INV(RAND(),0,SQRT($B$4)))</f>
        <v>58.979327685722822</v>
      </c>
      <c r="H36">
        <f t="shared" ca="1" si="37"/>
        <v>60.351541950017662</v>
      </c>
      <c r="I36">
        <f t="shared" ca="1" si="37"/>
        <v>59.663074300261023</v>
      </c>
      <c r="J36">
        <f t="shared" ca="1" si="37"/>
        <v>58.596237440731421</v>
      </c>
      <c r="K36">
        <f t="shared" ca="1" si="37"/>
        <v>58.864154405255292</v>
      </c>
      <c r="L36">
        <f t="shared" ca="1" si="37"/>
        <v>59.289513289951692</v>
      </c>
      <c r="M36">
        <f t="shared" ca="1" si="37"/>
        <v>58.719740151576147</v>
      </c>
      <c r="N36">
        <f t="shared" ca="1" si="37"/>
        <v>61.582985431228146</v>
      </c>
      <c r="O36">
        <f t="shared" ca="1" si="37"/>
        <v>59.958530410229685</v>
      </c>
      <c r="P36">
        <f t="shared" ca="1" si="37"/>
        <v>60.477307129740581</v>
      </c>
      <c r="Q36">
        <f t="shared" ca="1" si="37"/>
        <v>62.17281954173572</v>
      </c>
      <c r="R36">
        <f t="shared" ca="1" si="37"/>
        <v>62.460870903087773</v>
      </c>
      <c r="S36">
        <f t="shared" ca="1" si="37"/>
        <v>63.568132775148598</v>
      </c>
      <c r="T36">
        <f t="shared" ca="1" si="37"/>
        <v>62.607886010780895</v>
      </c>
      <c r="U36">
        <f t="shared" ca="1" si="37"/>
        <v>61.07234282007893</v>
      </c>
      <c r="V36">
        <f t="shared" ca="1" si="37"/>
        <v>61.206397225680178</v>
      </c>
      <c r="W36">
        <f t="shared" ca="1" si="37"/>
        <v>61.556305538898684</v>
      </c>
      <c r="X36">
        <f t="shared" ca="1" si="37"/>
        <v>62.446600561779604</v>
      </c>
      <c r="Y36">
        <f t="shared" ca="1" si="37"/>
        <v>62.801631464500758</v>
      </c>
      <c r="Z36">
        <f t="shared" ca="1" si="37"/>
        <v>64.162285160204434</v>
      </c>
      <c r="AA36">
        <f t="shared" ca="1" si="37"/>
        <v>63.501242776540998</v>
      </c>
      <c r="AB36">
        <f t="shared" ca="1" si="37"/>
        <v>63.25501783593198</v>
      </c>
      <c r="AC36">
        <f t="shared" ca="1" si="37"/>
        <v>63.574125194057359</v>
      </c>
      <c r="AD36">
        <f t="shared" ca="1" si="37"/>
        <v>63.722946877950527</v>
      </c>
      <c r="AE36">
        <f t="shared" ca="1" si="37"/>
        <v>65.245218110079222</v>
      </c>
      <c r="AF36">
        <f t="shared" ca="1" si="37"/>
        <v>66.67276231817398</v>
      </c>
      <c r="AG36">
        <f t="shared" ca="1" si="37"/>
        <v>64.969792917150812</v>
      </c>
      <c r="AH36">
        <f t="shared" ca="1" si="37"/>
        <v>65.195340034172986</v>
      </c>
      <c r="AI36">
        <f t="shared" ca="1" si="37"/>
        <v>66.651368629444534</v>
      </c>
      <c r="AJ36">
        <f t="shared" ca="1" si="37"/>
        <v>67.723202137474161</v>
      </c>
      <c r="AK36">
        <f t="shared" ca="1" si="37"/>
        <v>66.758310189181188</v>
      </c>
      <c r="AL36">
        <f t="shared" ca="1" si="37"/>
        <v>66.123497630604064</v>
      </c>
      <c r="AM36">
        <f t="shared" ca="1" si="37"/>
        <v>65.787301691131688</v>
      </c>
      <c r="AN36">
        <f t="shared" ca="1" si="37"/>
        <v>65.42595609478289</v>
      </c>
      <c r="AO36">
        <f t="shared" ca="1" si="37"/>
        <v>66.990557767515455</v>
      </c>
      <c r="AP36">
        <f t="shared" ca="1" si="37"/>
        <v>68.159316520586501</v>
      </c>
      <c r="AQ36">
        <f t="shared" ca="1" si="37"/>
        <v>66.875461736190374</v>
      </c>
      <c r="AR36">
        <f t="shared" ca="1" si="37"/>
        <v>65.711056352250836</v>
      </c>
      <c r="AS36">
        <f t="shared" ca="1" si="37"/>
        <v>64.442449707565018</v>
      </c>
      <c r="AT36">
        <f t="shared" ca="1" si="37"/>
        <v>63.859477806636178</v>
      </c>
      <c r="AU36">
        <f t="shared" ca="1" si="37"/>
        <v>65.314136352554073</v>
      </c>
      <c r="AV36">
        <f t="shared" ca="1" si="37"/>
        <v>65.454308136684503</v>
      </c>
      <c r="AW36">
        <f t="shared" ca="1" si="37"/>
        <v>64.814163306672512</v>
      </c>
      <c r="AX36">
        <f t="shared" ca="1" si="37"/>
        <v>64.585520983583407</v>
      </c>
      <c r="AY36">
        <f t="shared" ca="1" si="37"/>
        <v>64.700315137802832</v>
      </c>
      <c r="AZ36">
        <f t="shared" ca="1" si="37"/>
        <v>64.870685933845721</v>
      </c>
      <c r="BA36">
        <f t="shared" ca="1" si="37"/>
        <v>65.751946179464994</v>
      </c>
      <c r="BB36">
        <f t="shared" ca="1" si="37"/>
        <v>63.60998871167876</v>
      </c>
      <c r="BC36">
        <f t="shared" ca="1" si="37"/>
        <v>64.996716559614512</v>
      </c>
      <c r="BD36">
        <f t="shared" ca="1" si="37"/>
        <v>64.609740295539282</v>
      </c>
      <c r="BE36">
        <f t="shared" ca="1" si="37"/>
        <v>65.283531994279258</v>
      </c>
      <c r="BF36">
        <f t="shared" ca="1" si="37"/>
        <v>64.220803568108494</v>
      </c>
      <c r="BG36">
        <f t="shared" ca="1" si="37"/>
        <v>64.318019074571012</v>
      </c>
      <c r="BH36">
        <f t="shared" ca="1" si="37"/>
        <v>66.444027437958297</v>
      </c>
      <c r="BI36">
        <f t="shared" ca="1" si="37"/>
        <v>67.111484640760324</v>
      </c>
      <c r="BJ36">
        <f t="shared" ca="1" si="37"/>
        <v>68.340986521825855</v>
      </c>
      <c r="BK36">
        <f t="shared" ca="1" si="37"/>
        <v>68.362475138006019</v>
      </c>
      <c r="BL36">
        <f t="shared" ca="1" si="37"/>
        <v>69.553779882592025</v>
      </c>
      <c r="BM36">
        <f t="shared" ca="1" si="37"/>
        <v>70.902229224716081</v>
      </c>
      <c r="BN36">
        <f t="shared" ca="1" si="37"/>
        <v>70.489498409777639</v>
      </c>
      <c r="BO36">
        <f t="shared" ca="1" si="4"/>
        <v>12.489498409777639</v>
      </c>
    </row>
    <row r="37" spans="6:67">
      <c r="F37">
        <f t="shared" si="2"/>
        <v>60.99</v>
      </c>
      <c r="G37">
        <f t="shared" ref="G37:BN37" ca="1" si="38">F37*EXP(($B$2-0.5*$B$3^2)*$B$4+$B$3*_xlfn.NORM.INV(RAND(),0,SQRT($B$4)))</f>
        <v>60.998532045588391</v>
      </c>
      <c r="H37">
        <f t="shared" ca="1" si="38"/>
        <v>59.067424951792596</v>
      </c>
      <c r="I37">
        <f t="shared" ca="1" si="38"/>
        <v>60.380989470863383</v>
      </c>
      <c r="J37">
        <f t="shared" ca="1" si="38"/>
        <v>59.572171880009392</v>
      </c>
      <c r="K37">
        <f t="shared" ca="1" si="38"/>
        <v>59.798878928635148</v>
      </c>
      <c r="L37">
        <f t="shared" ca="1" si="38"/>
        <v>57.539900919277819</v>
      </c>
      <c r="M37">
        <f t="shared" ca="1" si="38"/>
        <v>57.161605000942757</v>
      </c>
      <c r="N37">
        <f t="shared" ca="1" si="38"/>
        <v>57.054378288235483</v>
      </c>
      <c r="O37">
        <f t="shared" ca="1" si="38"/>
        <v>56.398297399911925</v>
      </c>
      <c r="P37">
        <f t="shared" ca="1" si="38"/>
        <v>57.701256348888052</v>
      </c>
      <c r="Q37">
        <f t="shared" ca="1" si="38"/>
        <v>56.815314471751712</v>
      </c>
      <c r="R37">
        <f t="shared" ca="1" si="38"/>
        <v>58.589160276139523</v>
      </c>
      <c r="S37">
        <f t="shared" ca="1" si="38"/>
        <v>59.531296736945087</v>
      </c>
      <c r="T37">
        <f t="shared" ca="1" si="38"/>
        <v>61.282335498107763</v>
      </c>
      <c r="U37">
        <f t="shared" ca="1" si="38"/>
        <v>60.452906120041902</v>
      </c>
      <c r="V37">
        <f t="shared" ca="1" si="38"/>
        <v>60.65175151034277</v>
      </c>
      <c r="W37">
        <f t="shared" ca="1" si="38"/>
        <v>60.663776620384112</v>
      </c>
      <c r="X37">
        <f t="shared" ca="1" si="38"/>
        <v>60.277351699816428</v>
      </c>
      <c r="Y37">
        <f t="shared" ca="1" si="38"/>
        <v>58.170016336638518</v>
      </c>
      <c r="Z37">
        <f t="shared" ca="1" si="38"/>
        <v>56.970662980485145</v>
      </c>
      <c r="AA37">
        <f t="shared" ca="1" si="38"/>
        <v>58.356565484722246</v>
      </c>
      <c r="AB37">
        <f t="shared" ca="1" si="38"/>
        <v>59.492180785501546</v>
      </c>
      <c r="AC37">
        <f t="shared" ca="1" si="38"/>
        <v>58.629926159519741</v>
      </c>
      <c r="AD37">
        <f t="shared" ca="1" si="38"/>
        <v>58.457411873013257</v>
      </c>
      <c r="AE37">
        <f t="shared" ca="1" si="38"/>
        <v>58.556046200962363</v>
      </c>
      <c r="AF37">
        <f t="shared" ca="1" si="38"/>
        <v>56.182408669076928</v>
      </c>
      <c r="AG37">
        <f t="shared" ca="1" si="38"/>
        <v>56.290257544241825</v>
      </c>
      <c r="AH37">
        <f t="shared" ca="1" si="38"/>
        <v>56.22057810993433</v>
      </c>
      <c r="AI37">
        <f t="shared" ca="1" si="38"/>
        <v>56.735681070695293</v>
      </c>
      <c r="AJ37">
        <f t="shared" ca="1" si="38"/>
        <v>57.427133440213659</v>
      </c>
      <c r="AK37">
        <f t="shared" ca="1" si="38"/>
        <v>58.310328185083705</v>
      </c>
      <c r="AL37">
        <f t="shared" ca="1" si="38"/>
        <v>58.584126141754311</v>
      </c>
      <c r="AM37">
        <f t="shared" ca="1" si="38"/>
        <v>58.898747564834579</v>
      </c>
      <c r="AN37">
        <f t="shared" ca="1" si="38"/>
        <v>57.105605903298226</v>
      </c>
      <c r="AO37">
        <f t="shared" ca="1" si="38"/>
        <v>57.101791334752399</v>
      </c>
      <c r="AP37">
        <f t="shared" ca="1" si="38"/>
        <v>55.321216359921699</v>
      </c>
      <c r="AQ37">
        <f t="shared" ca="1" si="38"/>
        <v>56.401632006269352</v>
      </c>
      <c r="AR37">
        <f t="shared" ca="1" si="38"/>
        <v>57.167787189657943</v>
      </c>
      <c r="AS37">
        <f t="shared" ca="1" si="38"/>
        <v>57.394596796433881</v>
      </c>
      <c r="AT37">
        <f t="shared" ca="1" si="38"/>
        <v>57.734775358306052</v>
      </c>
      <c r="AU37">
        <f t="shared" ca="1" si="38"/>
        <v>57.875404027938956</v>
      </c>
      <c r="AV37">
        <f t="shared" ca="1" si="38"/>
        <v>58.245759511582399</v>
      </c>
      <c r="AW37">
        <f t="shared" ca="1" si="38"/>
        <v>57.584554165038064</v>
      </c>
      <c r="AX37">
        <f t="shared" ca="1" si="38"/>
        <v>59.781244617633988</v>
      </c>
      <c r="AY37">
        <f t="shared" ca="1" si="38"/>
        <v>58.402813669836668</v>
      </c>
      <c r="AZ37">
        <f t="shared" ca="1" si="38"/>
        <v>59.042455060854856</v>
      </c>
      <c r="BA37">
        <f t="shared" ca="1" si="38"/>
        <v>59.339864851852965</v>
      </c>
      <c r="BB37">
        <f t="shared" ca="1" si="38"/>
        <v>59.311348129171975</v>
      </c>
      <c r="BC37">
        <f t="shared" ca="1" si="38"/>
        <v>58.771838953691905</v>
      </c>
      <c r="BD37">
        <f t="shared" ca="1" si="38"/>
        <v>59.762223789072095</v>
      </c>
      <c r="BE37">
        <f t="shared" ca="1" si="38"/>
        <v>58.822643366189432</v>
      </c>
      <c r="BF37">
        <f t="shared" ca="1" si="38"/>
        <v>58.606819154417671</v>
      </c>
      <c r="BG37">
        <f t="shared" ca="1" si="38"/>
        <v>58.525365998629184</v>
      </c>
      <c r="BH37">
        <f t="shared" ca="1" si="38"/>
        <v>60.316592961952288</v>
      </c>
      <c r="BI37">
        <f t="shared" ca="1" si="38"/>
        <v>62.72106490202907</v>
      </c>
      <c r="BJ37">
        <f t="shared" ca="1" si="38"/>
        <v>62.842675067741823</v>
      </c>
      <c r="BK37">
        <f t="shared" ca="1" si="38"/>
        <v>61.139177661072722</v>
      </c>
      <c r="BL37">
        <f t="shared" ca="1" si="38"/>
        <v>62.503585229248777</v>
      </c>
      <c r="BM37">
        <f t="shared" ca="1" si="38"/>
        <v>63.773373691138694</v>
      </c>
      <c r="BN37">
        <f t="shared" ca="1" si="38"/>
        <v>63.416689800587193</v>
      </c>
      <c r="BO37">
        <f t="shared" ca="1" si="4"/>
        <v>5.4166898005871928</v>
      </c>
    </row>
    <row r="38" spans="6:67">
      <c r="F38">
        <f t="shared" si="2"/>
        <v>60.99</v>
      </c>
      <c r="G38">
        <f t="shared" ref="G38:BN38" ca="1" si="39">F38*EXP(($B$2-0.5*$B$3^2)*$B$4+$B$3*_xlfn.NORM.INV(RAND(),0,SQRT($B$4)))</f>
        <v>60.385745598960973</v>
      </c>
      <c r="H38">
        <f t="shared" ca="1" si="39"/>
        <v>60.853389365646485</v>
      </c>
      <c r="I38">
        <f t="shared" ca="1" si="39"/>
        <v>62.59083782212538</v>
      </c>
      <c r="J38">
        <f t="shared" ca="1" si="39"/>
        <v>62.881991912929927</v>
      </c>
      <c r="K38">
        <f t="shared" ca="1" si="39"/>
        <v>62.005416078485865</v>
      </c>
      <c r="L38">
        <f t="shared" ca="1" si="39"/>
        <v>62.379362790405438</v>
      </c>
      <c r="M38">
        <f t="shared" ca="1" si="39"/>
        <v>61.305679715265725</v>
      </c>
      <c r="N38">
        <f t="shared" ca="1" si="39"/>
        <v>60.228268754020576</v>
      </c>
      <c r="O38">
        <f t="shared" ca="1" si="39"/>
        <v>61.191723382584478</v>
      </c>
      <c r="P38">
        <f t="shared" ca="1" si="39"/>
        <v>62.28356301907084</v>
      </c>
      <c r="Q38">
        <f t="shared" ca="1" si="39"/>
        <v>62.184223974140288</v>
      </c>
      <c r="R38">
        <f t="shared" ca="1" si="39"/>
        <v>62.576343473259371</v>
      </c>
      <c r="S38">
        <f t="shared" ca="1" si="39"/>
        <v>62.206100901227586</v>
      </c>
      <c r="T38">
        <f t="shared" ca="1" si="39"/>
        <v>61.118120134301755</v>
      </c>
      <c r="U38">
        <f t="shared" ca="1" si="39"/>
        <v>61.789013948878072</v>
      </c>
      <c r="V38">
        <f t="shared" ca="1" si="39"/>
        <v>60.450252163665539</v>
      </c>
      <c r="W38">
        <f t="shared" ca="1" si="39"/>
        <v>60.543136944108468</v>
      </c>
      <c r="X38">
        <f t="shared" ca="1" si="39"/>
        <v>62.426740432069643</v>
      </c>
      <c r="Y38">
        <f t="shared" ca="1" si="39"/>
        <v>60.78979230013347</v>
      </c>
      <c r="Z38">
        <f t="shared" ca="1" si="39"/>
        <v>61.073690317551005</v>
      </c>
      <c r="AA38">
        <f t="shared" ca="1" si="39"/>
        <v>61.240798843659704</v>
      </c>
      <c r="AB38">
        <f t="shared" ca="1" si="39"/>
        <v>61.198116242378553</v>
      </c>
      <c r="AC38">
        <f t="shared" ca="1" si="39"/>
        <v>61.477491715729236</v>
      </c>
      <c r="AD38">
        <f t="shared" ca="1" si="39"/>
        <v>60.46484028631388</v>
      </c>
      <c r="AE38">
        <f t="shared" ca="1" si="39"/>
        <v>60.479399387396612</v>
      </c>
      <c r="AF38">
        <f t="shared" ca="1" si="39"/>
        <v>62.799925396414324</v>
      </c>
      <c r="AG38">
        <f t="shared" ca="1" si="39"/>
        <v>63.492982972304716</v>
      </c>
      <c r="AH38">
        <f t="shared" ca="1" si="39"/>
        <v>62.879413000349281</v>
      </c>
      <c r="AI38">
        <f t="shared" ca="1" si="39"/>
        <v>63.856825181441167</v>
      </c>
      <c r="AJ38">
        <f t="shared" ca="1" si="39"/>
        <v>64.472532590393882</v>
      </c>
      <c r="AK38">
        <f t="shared" ca="1" si="39"/>
        <v>64.703406871784367</v>
      </c>
      <c r="AL38">
        <f t="shared" ca="1" si="39"/>
        <v>65.713729840557079</v>
      </c>
      <c r="AM38">
        <f t="shared" ca="1" si="39"/>
        <v>66.437986954044476</v>
      </c>
      <c r="AN38">
        <f t="shared" ca="1" si="39"/>
        <v>67.64291031971797</v>
      </c>
      <c r="AO38">
        <f t="shared" ca="1" si="39"/>
        <v>67.401715594770721</v>
      </c>
      <c r="AP38">
        <f t="shared" ca="1" si="39"/>
        <v>66.269318805658131</v>
      </c>
      <c r="AQ38">
        <f t="shared" ca="1" si="39"/>
        <v>68.084863377014699</v>
      </c>
      <c r="AR38">
        <f t="shared" ca="1" si="39"/>
        <v>68.02987837684519</v>
      </c>
      <c r="AS38">
        <f t="shared" ca="1" si="39"/>
        <v>67.551646457193883</v>
      </c>
      <c r="AT38">
        <f t="shared" ca="1" si="39"/>
        <v>66.704347777922294</v>
      </c>
      <c r="AU38">
        <f t="shared" ca="1" si="39"/>
        <v>66.671115510945953</v>
      </c>
      <c r="AV38">
        <f t="shared" ca="1" si="39"/>
        <v>65.468623833321004</v>
      </c>
      <c r="AW38">
        <f t="shared" ca="1" si="39"/>
        <v>64.033808119641662</v>
      </c>
      <c r="AX38">
        <f t="shared" ca="1" si="39"/>
        <v>64.057841275534031</v>
      </c>
      <c r="AY38">
        <f t="shared" ca="1" si="39"/>
        <v>63.095613116909668</v>
      </c>
      <c r="AZ38">
        <f t="shared" ca="1" si="39"/>
        <v>63.861751869134665</v>
      </c>
      <c r="BA38">
        <f t="shared" ca="1" si="39"/>
        <v>64.125774755379055</v>
      </c>
      <c r="BB38">
        <f t="shared" ca="1" si="39"/>
        <v>64.43269257718157</v>
      </c>
      <c r="BC38">
        <f t="shared" ca="1" si="39"/>
        <v>64.070645089618068</v>
      </c>
      <c r="BD38">
        <f t="shared" ca="1" si="39"/>
        <v>64.557960139294437</v>
      </c>
      <c r="BE38">
        <f t="shared" ca="1" si="39"/>
        <v>66.41348021916474</v>
      </c>
      <c r="BF38">
        <f t="shared" ca="1" si="39"/>
        <v>65.324768808646226</v>
      </c>
      <c r="BG38">
        <f t="shared" ca="1" si="39"/>
        <v>66.150518477672875</v>
      </c>
      <c r="BH38">
        <f t="shared" ca="1" si="39"/>
        <v>64.16134167105966</v>
      </c>
      <c r="BI38">
        <f t="shared" ca="1" si="39"/>
        <v>62.7905983828974</v>
      </c>
      <c r="BJ38">
        <f t="shared" ca="1" si="39"/>
        <v>60.546345137595061</v>
      </c>
      <c r="BK38">
        <f t="shared" ca="1" si="39"/>
        <v>61.219729438488251</v>
      </c>
      <c r="BL38">
        <f t="shared" ca="1" si="39"/>
        <v>64.459042260538951</v>
      </c>
      <c r="BM38">
        <f t="shared" ca="1" si="39"/>
        <v>63.964271939651105</v>
      </c>
      <c r="BN38">
        <f t="shared" ca="1" si="39"/>
        <v>62.140109028867556</v>
      </c>
      <c r="BO38">
        <f t="shared" ca="1" si="4"/>
        <v>4.1401090288675562</v>
      </c>
    </row>
    <row r="39" spans="6:67">
      <c r="F39">
        <f t="shared" si="2"/>
        <v>60.99</v>
      </c>
      <c r="G39">
        <f t="shared" ref="G39:BN39" ca="1" si="40">F39*EXP(($B$2-0.5*$B$3^2)*$B$4+$B$3*_xlfn.NORM.INV(RAND(),0,SQRT($B$4)))</f>
        <v>61.170629951621805</v>
      </c>
      <c r="H39">
        <f t="shared" ca="1" si="40"/>
        <v>61.674488688323827</v>
      </c>
      <c r="I39">
        <f t="shared" ca="1" si="40"/>
        <v>61.663255035544971</v>
      </c>
      <c r="J39">
        <f t="shared" ca="1" si="40"/>
        <v>63.65851137062127</v>
      </c>
      <c r="K39">
        <f t="shared" ca="1" si="40"/>
        <v>62.738510347376597</v>
      </c>
      <c r="L39">
        <f t="shared" ca="1" si="40"/>
        <v>61.61097076801417</v>
      </c>
      <c r="M39">
        <f t="shared" ca="1" si="40"/>
        <v>62.284803809126167</v>
      </c>
      <c r="N39">
        <f t="shared" ca="1" si="40"/>
        <v>62.88161929721408</v>
      </c>
      <c r="O39">
        <f t="shared" ca="1" si="40"/>
        <v>63.407053769400108</v>
      </c>
      <c r="P39">
        <f t="shared" ca="1" si="40"/>
        <v>62.004764411865366</v>
      </c>
      <c r="Q39">
        <f t="shared" ca="1" si="40"/>
        <v>61.882088862839623</v>
      </c>
      <c r="R39">
        <f t="shared" ca="1" si="40"/>
        <v>61.594733285408751</v>
      </c>
      <c r="S39">
        <f t="shared" ca="1" si="40"/>
        <v>60.554960139307532</v>
      </c>
      <c r="T39">
        <f t="shared" ca="1" si="40"/>
        <v>58.698912351094116</v>
      </c>
      <c r="U39">
        <f t="shared" ca="1" si="40"/>
        <v>62.181350554480225</v>
      </c>
      <c r="V39">
        <f t="shared" ca="1" si="40"/>
        <v>64.184348441759482</v>
      </c>
      <c r="W39">
        <f t="shared" ca="1" si="40"/>
        <v>64.000610986075415</v>
      </c>
      <c r="X39">
        <f t="shared" ca="1" si="40"/>
        <v>65.132421186473593</v>
      </c>
      <c r="Y39">
        <f t="shared" ca="1" si="40"/>
        <v>64.728663933928004</v>
      </c>
      <c r="Z39">
        <f t="shared" ca="1" si="40"/>
        <v>65.461709791143051</v>
      </c>
      <c r="AA39">
        <f t="shared" ca="1" si="40"/>
        <v>67.981825990736652</v>
      </c>
      <c r="AB39">
        <f t="shared" ca="1" si="40"/>
        <v>68.116310271697984</v>
      </c>
      <c r="AC39">
        <f t="shared" ca="1" si="40"/>
        <v>69.372330826828303</v>
      </c>
      <c r="AD39">
        <f t="shared" ca="1" si="40"/>
        <v>67.484031917107984</v>
      </c>
      <c r="AE39">
        <f t="shared" ca="1" si="40"/>
        <v>68.064075495413192</v>
      </c>
      <c r="AF39">
        <f t="shared" ca="1" si="40"/>
        <v>68.636279249692123</v>
      </c>
      <c r="AG39">
        <f t="shared" ca="1" si="40"/>
        <v>68.332714020910629</v>
      </c>
      <c r="AH39">
        <f t="shared" ca="1" si="40"/>
        <v>69.976034758303243</v>
      </c>
      <c r="AI39">
        <f t="shared" ca="1" si="40"/>
        <v>70.647230589630254</v>
      </c>
      <c r="AJ39">
        <f t="shared" ca="1" si="40"/>
        <v>70.243451936287414</v>
      </c>
      <c r="AK39">
        <f t="shared" ca="1" si="40"/>
        <v>70.746828255338386</v>
      </c>
      <c r="AL39">
        <f t="shared" ca="1" si="40"/>
        <v>69.853774070512969</v>
      </c>
      <c r="AM39">
        <f t="shared" ca="1" si="40"/>
        <v>68.837231226840373</v>
      </c>
      <c r="AN39">
        <f t="shared" ca="1" si="40"/>
        <v>70.935673060289503</v>
      </c>
      <c r="AO39">
        <f t="shared" ca="1" si="40"/>
        <v>69.906197289517891</v>
      </c>
      <c r="AP39">
        <f t="shared" ca="1" si="40"/>
        <v>70.523297704598093</v>
      </c>
      <c r="AQ39">
        <f t="shared" ca="1" si="40"/>
        <v>70.742458749773533</v>
      </c>
      <c r="AR39">
        <f t="shared" ca="1" si="40"/>
        <v>73.137485070293963</v>
      </c>
      <c r="AS39">
        <f t="shared" ca="1" si="40"/>
        <v>73.720334444440013</v>
      </c>
      <c r="AT39">
        <f t="shared" ca="1" si="40"/>
        <v>74.018409960920934</v>
      </c>
      <c r="AU39">
        <f t="shared" ca="1" si="40"/>
        <v>74.111158091507832</v>
      </c>
      <c r="AV39">
        <f t="shared" ca="1" si="40"/>
        <v>75.349542053781065</v>
      </c>
      <c r="AW39">
        <f t="shared" ca="1" si="40"/>
        <v>76.93231417255619</v>
      </c>
      <c r="AX39">
        <f t="shared" ca="1" si="40"/>
        <v>77.411320920597632</v>
      </c>
      <c r="AY39">
        <f t="shared" ca="1" si="40"/>
        <v>78.03344285644107</v>
      </c>
      <c r="AZ39">
        <f t="shared" ca="1" si="40"/>
        <v>78.340397304525439</v>
      </c>
      <c r="BA39">
        <f t="shared" ca="1" si="40"/>
        <v>78.865355092936227</v>
      </c>
      <c r="BB39">
        <f t="shared" ca="1" si="40"/>
        <v>80.554623232496439</v>
      </c>
      <c r="BC39">
        <f t="shared" ca="1" si="40"/>
        <v>80.719857210672146</v>
      </c>
      <c r="BD39">
        <f t="shared" ca="1" si="40"/>
        <v>79.913297880395589</v>
      </c>
      <c r="BE39">
        <f t="shared" ca="1" si="40"/>
        <v>80.268615646219999</v>
      </c>
      <c r="BF39">
        <f t="shared" ca="1" si="40"/>
        <v>77.295940623799865</v>
      </c>
      <c r="BG39">
        <f t="shared" ca="1" si="40"/>
        <v>77.036129794231144</v>
      </c>
      <c r="BH39">
        <f t="shared" ca="1" si="40"/>
        <v>75.93891120879789</v>
      </c>
      <c r="BI39">
        <f t="shared" ca="1" si="40"/>
        <v>76.462654280505404</v>
      </c>
      <c r="BJ39">
        <f t="shared" ca="1" si="40"/>
        <v>75.096985368566322</v>
      </c>
      <c r="BK39">
        <f t="shared" ca="1" si="40"/>
        <v>75.554574415441166</v>
      </c>
      <c r="BL39">
        <f t="shared" ca="1" si="40"/>
        <v>74.082407343055095</v>
      </c>
      <c r="BM39">
        <f t="shared" ca="1" si="40"/>
        <v>75.508130091212891</v>
      </c>
      <c r="BN39">
        <f t="shared" ca="1" si="40"/>
        <v>73.584647296710799</v>
      </c>
      <c r="BO39">
        <f t="shared" ca="1" si="4"/>
        <v>15.584647296710799</v>
      </c>
    </row>
    <row r="40" spans="6:67">
      <c r="F40">
        <f t="shared" si="2"/>
        <v>60.99</v>
      </c>
      <c r="G40">
        <f t="shared" ref="G40:BN40" ca="1" si="41">F40*EXP(($B$2-0.5*$B$3^2)*$B$4+$B$3*_xlfn.NORM.INV(RAND(),0,SQRT($B$4)))</f>
        <v>59.796575167114455</v>
      </c>
      <c r="H40">
        <f t="shared" ca="1" si="41"/>
        <v>60.003531435948993</v>
      </c>
      <c r="I40">
        <f t="shared" ca="1" si="41"/>
        <v>59.351526608442654</v>
      </c>
      <c r="J40">
        <f t="shared" ca="1" si="41"/>
        <v>58.647835366302886</v>
      </c>
      <c r="K40">
        <f t="shared" ca="1" si="41"/>
        <v>57.616593247824099</v>
      </c>
      <c r="L40">
        <f t="shared" ca="1" si="41"/>
        <v>58.260018934943943</v>
      </c>
      <c r="M40">
        <f t="shared" ca="1" si="41"/>
        <v>57.877970896566893</v>
      </c>
      <c r="N40">
        <f t="shared" ca="1" si="41"/>
        <v>56.880717509281588</v>
      </c>
      <c r="O40">
        <f t="shared" ca="1" si="41"/>
        <v>56.306452506225774</v>
      </c>
      <c r="P40">
        <f t="shared" ca="1" si="41"/>
        <v>55.483018495204298</v>
      </c>
      <c r="Q40">
        <f t="shared" ca="1" si="41"/>
        <v>55.571613868711523</v>
      </c>
      <c r="R40">
        <f t="shared" ca="1" si="41"/>
        <v>57.108438956359173</v>
      </c>
      <c r="S40">
        <f t="shared" ca="1" si="41"/>
        <v>57.78167513604955</v>
      </c>
      <c r="T40">
        <f t="shared" ca="1" si="41"/>
        <v>57.717846292622291</v>
      </c>
      <c r="U40">
        <f t="shared" ca="1" si="41"/>
        <v>56.424985366280431</v>
      </c>
      <c r="V40">
        <f t="shared" ca="1" si="41"/>
        <v>56.986678101509561</v>
      </c>
      <c r="W40">
        <f t="shared" ca="1" si="41"/>
        <v>57.957890738764036</v>
      </c>
      <c r="X40">
        <f t="shared" ca="1" si="41"/>
        <v>60.040648767071303</v>
      </c>
      <c r="Y40">
        <f t="shared" ca="1" si="41"/>
        <v>59.733293747605209</v>
      </c>
      <c r="Z40">
        <f t="shared" ca="1" si="41"/>
        <v>58.941163892406031</v>
      </c>
      <c r="AA40">
        <f t="shared" ca="1" si="41"/>
        <v>59.076152803483993</v>
      </c>
      <c r="AB40">
        <f t="shared" ca="1" si="41"/>
        <v>58.153388266244541</v>
      </c>
      <c r="AC40">
        <f t="shared" ca="1" si="41"/>
        <v>60.092958423160525</v>
      </c>
      <c r="AD40">
        <f t="shared" ca="1" si="41"/>
        <v>61.105284977280988</v>
      </c>
      <c r="AE40">
        <f t="shared" ca="1" si="41"/>
        <v>60.755460593421546</v>
      </c>
      <c r="AF40">
        <f t="shared" ca="1" si="41"/>
        <v>59.279936419001636</v>
      </c>
      <c r="AG40">
        <f t="shared" ca="1" si="41"/>
        <v>58.812377260368052</v>
      </c>
      <c r="AH40">
        <f t="shared" ca="1" si="41"/>
        <v>57.344756058728649</v>
      </c>
      <c r="AI40">
        <f t="shared" ca="1" si="41"/>
        <v>57.786296329790957</v>
      </c>
      <c r="AJ40">
        <f t="shared" ca="1" si="41"/>
        <v>58.452458184663442</v>
      </c>
      <c r="AK40">
        <f t="shared" ca="1" si="41"/>
        <v>58.721377657800211</v>
      </c>
      <c r="AL40">
        <f t="shared" ca="1" si="41"/>
        <v>55.724833181209526</v>
      </c>
      <c r="AM40">
        <f t="shared" ca="1" si="41"/>
        <v>54.471094714418626</v>
      </c>
      <c r="AN40">
        <f t="shared" ca="1" si="41"/>
        <v>53.197277556197349</v>
      </c>
      <c r="AO40">
        <f t="shared" ca="1" si="41"/>
        <v>54.054546372779292</v>
      </c>
      <c r="AP40">
        <f t="shared" ca="1" si="41"/>
        <v>54.089471215098293</v>
      </c>
      <c r="AQ40">
        <f t="shared" ca="1" si="41"/>
        <v>53.440206781256109</v>
      </c>
      <c r="AR40">
        <f t="shared" ca="1" si="41"/>
        <v>53.74069118660379</v>
      </c>
      <c r="AS40">
        <f t="shared" ca="1" si="41"/>
        <v>53.490395446792341</v>
      </c>
      <c r="AT40">
        <f t="shared" ca="1" si="41"/>
        <v>53.79226707690249</v>
      </c>
      <c r="AU40">
        <f t="shared" ca="1" si="41"/>
        <v>53.634790582861967</v>
      </c>
      <c r="AV40">
        <f t="shared" ca="1" si="41"/>
        <v>53.679548283272219</v>
      </c>
      <c r="AW40">
        <f t="shared" ca="1" si="41"/>
        <v>52.978270689080297</v>
      </c>
      <c r="AX40">
        <f t="shared" ca="1" si="41"/>
        <v>53.858340717994949</v>
      </c>
      <c r="AY40">
        <f t="shared" ca="1" si="41"/>
        <v>56.201119222840653</v>
      </c>
      <c r="AZ40">
        <f t="shared" ca="1" si="41"/>
        <v>55.144115120762102</v>
      </c>
      <c r="BA40">
        <f t="shared" ca="1" si="41"/>
        <v>55.184901288059393</v>
      </c>
      <c r="BB40">
        <f t="shared" ca="1" si="41"/>
        <v>57.682463664921151</v>
      </c>
      <c r="BC40">
        <f t="shared" ca="1" si="41"/>
        <v>57.394373896763831</v>
      </c>
      <c r="BD40">
        <f t="shared" ca="1" si="41"/>
        <v>56.883762049579936</v>
      </c>
      <c r="BE40">
        <f t="shared" ca="1" si="41"/>
        <v>56.734743189068013</v>
      </c>
      <c r="BF40">
        <f t="shared" ca="1" si="41"/>
        <v>56.107801330967966</v>
      </c>
      <c r="BG40">
        <f t="shared" ca="1" si="41"/>
        <v>53.730315833398137</v>
      </c>
      <c r="BH40">
        <f t="shared" ca="1" si="41"/>
        <v>54.657838561809307</v>
      </c>
      <c r="BI40">
        <f t="shared" ca="1" si="41"/>
        <v>53.454953180475329</v>
      </c>
      <c r="BJ40">
        <f t="shared" ca="1" si="41"/>
        <v>54.48155883924624</v>
      </c>
      <c r="BK40">
        <f t="shared" ca="1" si="41"/>
        <v>55.848380032608851</v>
      </c>
      <c r="BL40">
        <f t="shared" ca="1" si="41"/>
        <v>54.712216136894391</v>
      </c>
      <c r="BM40">
        <f t="shared" ca="1" si="41"/>
        <v>55.966955483951836</v>
      </c>
      <c r="BN40">
        <f t="shared" ca="1" si="41"/>
        <v>55.817017615418386</v>
      </c>
      <c r="BO40">
        <f t="shared" ca="1" si="4"/>
        <v>0</v>
      </c>
    </row>
    <row r="41" spans="6:67">
      <c r="F41">
        <f t="shared" si="2"/>
        <v>60.99</v>
      </c>
      <c r="G41">
        <f t="shared" ref="G41:BN41" ca="1" si="42">F41*EXP(($B$2-0.5*$B$3^2)*$B$4+$B$3*_xlfn.NORM.INV(RAND(),0,SQRT($B$4)))</f>
        <v>61.536694091775047</v>
      </c>
      <c r="H41">
        <f t="shared" ca="1" si="42"/>
        <v>62.336244182155099</v>
      </c>
      <c r="I41">
        <f t="shared" ca="1" si="42"/>
        <v>65.253950005875026</v>
      </c>
      <c r="J41">
        <f t="shared" ca="1" si="42"/>
        <v>65.671575208888726</v>
      </c>
      <c r="K41">
        <f t="shared" ca="1" si="42"/>
        <v>64.765759546038922</v>
      </c>
      <c r="L41">
        <f t="shared" ca="1" si="42"/>
        <v>64.100025847187609</v>
      </c>
      <c r="M41">
        <f t="shared" ca="1" si="42"/>
        <v>64.126107527266853</v>
      </c>
      <c r="N41">
        <f t="shared" ca="1" si="42"/>
        <v>63.219416622970442</v>
      </c>
      <c r="O41">
        <f t="shared" ca="1" si="42"/>
        <v>65.161900944752546</v>
      </c>
      <c r="P41">
        <f t="shared" ca="1" si="42"/>
        <v>64.860751493878027</v>
      </c>
      <c r="Q41">
        <f t="shared" ca="1" si="42"/>
        <v>64.69309297890004</v>
      </c>
      <c r="R41">
        <f t="shared" ca="1" si="42"/>
        <v>64.964834542729193</v>
      </c>
      <c r="S41">
        <f t="shared" ca="1" si="42"/>
        <v>66.493623525790454</v>
      </c>
      <c r="T41">
        <f t="shared" ca="1" si="42"/>
        <v>68.516574734532725</v>
      </c>
      <c r="U41">
        <f t="shared" ca="1" si="42"/>
        <v>68.082698821603756</v>
      </c>
      <c r="V41">
        <f t="shared" ca="1" si="42"/>
        <v>68.608085763534007</v>
      </c>
      <c r="W41">
        <f t="shared" ca="1" si="42"/>
        <v>67.372788192504757</v>
      </c>
      <c r="X41">
        <f t="shared" ca="1" si="42"/>
        <v>68.483871091743239</v>
      </c>
      <c r="Y41">
        <f t="shared" ca="1" si="42"/>
        <v>69.908885006977599</v>
      </c>
      <c r="Z41">
        <f t="shared" ca="1" si="42"/>
        <v>69.874437237233295</v>
      </c>
      <c r="AA41">
        <f t="shared" ca="1" si="42"/>
        <v>70.474856574646651</v>
      </c>
      <c r="AB41">
        <f t="shared" ca="1" si="42"/>
        <v>71.105293535919202</v>
      </c>
      <c r="AC41">
        <f t="shared" ca="1" si="42"/>
        <v>71.167606280641934</v>
      </c>
      <c r="AD41">
        <f t="shared" ca="1" si="42"/>
        <v>71.352942616399403</v>
      </c>
      <c r="AE41">
        <f t="shared" ca="1" si="42"/>
        <v>72.793316153546556</v>
      </c>
      <c r="AF41">
        <f t="shared" ca="1" si="42"/>
        <v>73.337567512719559</v>
      </c>
      <c r="AG41">
        <f t="shared" ca="1" si="42"/>
        <v>71.750668159544091</v>
      </c>
      <c r="AH41">
        <f t="shared" ca="1" si="42"/>
        <v>69.98217728969334</v>
      </c>
      <c r="AI41">
        <f t="shared" ca="1" si="42"/>
        <v>70.333181262156131</v>
      </c>
      <c r="AJ41">
        <f t="shared" ca="1" si="42"/>
        <v>68.992762388748076</v>
      </c>
      <c r="AK41">
        <f t="shared" ca="1" si="42"/>
        <v>70.074950753830208</v>
      </c>
      <c r="AL41">
        <f t="shared" ca="1" si="42"/>
        <v>70.086991752178108</v>
      </c>
      <c r="AM41">
        <f t="shared" ca="1" si="42"/>
        <v>71.317348780863043</v>
      </c>
      <c r="AN41">
        <f t="shared" ca="1" si="42"/>
        <v>71.235964949597047</v>
      </c>
      <c r="AO41">
        <f t="shared" ca="1" si="42"/>
        <v>70.680575427766399</v>
      </c>
      <c r="AP41">
        <f t="shared" ca="1" si="42"/>
        <v>71.927396004292376</v>
      </c>
      <c r="AQ41">
        <f t="shared" ca="1" si="42"/>
        <v>70.636584277349215</v>
      </c>
      <c r="AR41">
        <f t="shared" ca="1" si="42"/>
        <v>71.753317133727151</v>
      </c>
      <c r="AS41">
        <f t="shared" ca="1" si="42"/>
        <v>71.646391458826344</v>
      </c>
      <c r="AT41">
        <f t="shared" ca="1" si="42"/>
        <v>70.974657079941508</v>
      </c>
      <c r="AU41">
        <f t="shared" ca="1" si="42"/>
        <v>71.73563274308259</v>
      </c>
      <c r="AV41">
        <f t="shared" ca="1" si="42"/>
        <v>70.94994763238644</v>
      </c>
      <c r="AW41">
        <f t="shared" ca="1" si="42"/>
        <v>74.627665318717575</v>
      </c>
      <c r="AX41">
        <f t="shared" ca="1" si="42"/>
        <v>76.829415749741514</v>
      </c>
      <c r="AY41">
        <f t="shared" ca="1" si="42"/>
        <v>75.493983806823692</v>
      </c>
      <c r="AZ41">
        <f t="shared" ca="1" si="42"/>
        <v>74.434656229739431</v>
      </c>
      <c r="BA41">
        <f t="shared" ca="1" si="42"/>
        <v>73.552840664166325</v>
      </c>
      <c r="BB41">
        <f t="shared" ca="1" si="42"/>
        <v>73.422314869958754</v>
      </c>
      <c r="BC41">
        <f t="shared" ca="1" si="42"/>
        <v>73.419248532224657</v>
      </c>
      <c r="BD41">
        <f t="shared" ca="1" si="42"/>
        <v>75.174892314977868</v>
      </c>
      <c r="BE41">
        <f t="shared" ca="1" si="42"/>
        <v>77.303657725242076</v>
      </c>
      <c r="BF41">
        <f t="shared" ca="1" si="42"/>
        <v>78.246856031473058</v>
      </c>
      <c r="BG41">
        <f t="shared" ca="1" si="42"/>
        <v>77.329812388156242</v>
      </c>
      <c r="BH41">
        <f t="shared" ca="1" si="42"/>
        <v>76.996544180225683</v>
      </c>
      <c r="BI41">
        <f t="shared" ca="1" si="42"/>
        <v>79.640220951006654</v>
      </c>
      <c r="BJ41">
        <f t="shared" ca="1" si="42"/>
        <v>78.065859743813405</v>
      </c>
      <c r="BK41">
        <f t="shared" ca="1" si="42"/>
        <v>79.742621571996139</v>
      </c>
      <c r="BL41">
        <f t="shared" ca="1" si="42"/>
        <v>78.020639000432212</v>
      </c>
      <c r="BM41">
        <f t="shared" ca="1" si="42"/>
        <v>78.722518275075615</v>
      </c>
      <c r="BN41">
        <f t="shared" ca="1" si="42"/>
        <v>76.609927887783712</v>
      </c>
      <c r="BO41">
        <f t="shared" ca="1" si="4"/>
        <v>18.609927887783712</v>
      </c>
    </row>
    <row r="42" spans="6:67">
      <c r="F42">
        <f t="shared" si="2"/>
        <v>60.99</v>
      </c>
      <c r="G42">
        <f t="shared" ref="G42:BN42" ca="1" si="43">F42*EXP(($B$2-0.5*$B$3^2)*$B$4+$B$3*_xlfn.NORM.INV(RAND(),0,SQRT($B$4)))</f>
        <v>59.987657325668152</v>
      </c>
      <c r="H42">
        <f t="shared" ca="1" si="43"/>
        <v>61.033658596782338</v>
      </c>
      <c r="I42">
        <f t="shared" ca="1" si="43"/>
        <v>63.346753004430326</v>
      </c>
      <c r="J42">
        <f t="shared" ca="1" si="43"/>
        <v>62.055729750376344</v>
      </c>
      <c r="K42">
        <f t="shared" ca="1" si="43"/>
        <v>62.657609984390689</v>
      </c>
      <c r="L42">
        <f t="shared" ca="1" si="43"/>
        <v>63.171750022015992</v>
      </c>
      <c r="M42">
        <f t="shared" ca="1" si="43"/>
        <v>63.256274769062699</v>
      </c>
      <c r="N42">
        <f t="shared" ca="1" si="43"/>
        <v>64.926159239061306</v>
      </c>
      <c r="O42">
        <f t="shared" ca="1" si="43"/>
        <v>65.364387901226678</v>
      </c>
      <c r="P42">
        <f t="shared" ca="1" si="43"/>
        <v>66.691978803439966</v>
      </c>
      <c r="Q42">
        <f t="shared" ca="1" si="43"/>
        <v>65.288659925628437</v>
      </c>
      <c r="R42">
        <f t="shared" ca="1" si="43"/>
        <v>65.138438057319192</v>
      </c>
      <c r="S42">
        <f t="shared" ca="1" si="43"/>
        <v>66.113442090680749</v>
      </c>
      <c r="T42">
        <f t="shared" ca="1" si="43"/>
        <v>67.935052934546377</v>
      </c>
      <c r="U42">
        <f t="shared" ca="1" si="43"/>
        <v>68.716668501668536</v>
      </c>
      <c r="V42">
        <f t="shared" ca="1" si="43"/>
        <v>71.103279325758166</v>
      </c>
      <c r="W42">
        <f t="shared" ca="1" si="43"/>
        <v>68.783322387384672</v>
      </c>
      <c r="X42">
        <f t="shared" ca="1" si="43"/>
        <v>68.436777400826998</v>
      </c>
      <c r="Y42">
        <f t="shared" ca="1" si="43"/>
        <v>67.68600419120358</v>
      </c>
      <c r="Z42">
        <f t="shared" ca="1" si="43"/>
        <v>68.888950217947325</v>
      </c>
      <c r="AA42">
        <f t="shared" ca="1" si="43"/>
        <v>72.4437102648522</v>
      </c>
      <c r="AB42">
        <f t="shared" ca="1" si="43"/>
        <v>73.937025409550984</v>
      </c>
      <c r="AC42">
        <f t="shared" ca="1" si="43"/>
        <v>72.607571925030612</v>
      </c>
      <c r="AD42">
        <f t="shared" ca="1" si="43"/>
        <v>75.430149514306279</v>
      </c>
      <c r="AE42">
        <f t="shared" ca="1" si="43"/>
        <v>75.568371040626246</v>
      </c>
      <c r="AF42">
        <f t="shared" ca="1" si="43"/>
        <v>73.51408197087602</v>
      </c>
      <c r="AG42">
        <f t="shared" ca="1" si="43"/>
        <v>72.601870063574026</v>
      </c>
      <c r="AH42">
        <f t="shared" ca="1" si="43"/>
        <v>71.308785793611634</v>
      </c>
      <c r="AI42">
        <f t="shared" ca="1" si="43"/>
        <v>71.293956378734961</v>
      </c>
      <c r="AJ42">
        <f t="shared" ca="1" si="43"/>
        <v>70.725855309442906</v>
      </c>
      <c r="AK42">
        <f t="shared" ca="1" si="43"/>
        <v>69.447821314347692</v>
      </c>
      <c r="AL42">
        <f t="shared" ca="1" si="43"/>
        <v>69.936939535904216</v>
      </c>
      <c r="AM42">
        <f t="shared" ca="1" si="43"/>
        <v>70.754917152226469</v>
      </c>
      <c r="AN42">
        <f t="shared" ca="1" si="43"/>
        <v>70.227056118270909</v>
      </c>
      <c r="AO42">
        <f t="shared" ca="1" si="43"/>
        <v>69.085425336254502</v>
      </c>
      <c r="AP42">
        <f t="shared" ca="1" si="43"/>
        <v>68.007895466939843</v>
      </c>
      <c r="AQ42">
        <f t="shared" ca="1" si="43"/>
        <v>67.799954974283239</v>
      </c>
      <c r="AR42">
        <f t="shared" ca="1" si="43"/>
        <v>68.168448122614464</v>
      </c>
      <c r="AS42">
        <f t="shared" ca="1" si="43"/>
        <v>66.993529685443093</v>
      </c>
      <c r="AT42">
        <f t="shared" ca="1" si="43"/>
        <v>66.957153439769684</v>
      </c>
      <c r="AU42">
        <f t="shared" ca="1" si="43"/>
        <v>67.767518696483435</v>
      </c>
      <c r="AV42">
        <f t="shared" ca="1" si="43"/>
        <v>65.798199540649634</v>
      </c>
      <c r="AW42">
        <f t="shared" ca="1" si="43"/>
        <v>65.457430880761819</v>
      </c>
      <c r="AX42">
        <f t="shared" ca="1" si="43"/>
        <v>65.613871594603779</v>
      </c>
      <c r="AY42">
        <f t="shared" ca="1" si="43"/>
        <v>67.011932903692923</v>
      </c>
      <c r="AZ42">
        <f t="shared" ca="1" si="43"/>
        <v>69.231566196461287</v>
      </c>
      <c r="BA42">
        <f t="shared" ca="1" si="43"/>
        <v>68.244175661201382</v>
      </c>
      <c r="BB42">
        <f t="shared" ca="1" si="43"/>
        <v>67.692113358214613</v>
      </c>
      <c r="BC42">
        <f t="shared" ca="1" si="43"/>
        <v>68.438438990320677</v>
      </c>
      <c r="BD42">
        <f t="shared" ca="1" si="43"/>
        <v>69.153809858623546</v>
      </c>
      <c r="BE42">
        <f t="shared" ca="1" si="43"/>
        <v>69.109628796574611</v>
      </c>
      <c r="BF42">
        <f t="shared" ca="1" si="43"/>
        <v>70.018766677332266</v>
      </c>
      <c r="BG42">
        <f t="shared" ca="1" si="43"/>
        <v>70.139642286889782</v>
      </c>
      <c r="BH42">
        <f t="shared" ca="1" si="43"/>
        <v>70.512569978856348</v>
      </c>
      <c r="BI42">
        <f t="shared" ca="1" si="43"/>
        <v>69.310067754712293</v>
      </c>
      <c r="BJ42">
        <f t="shared" ca="1" si="43"/>
        <v>70.56699440542836</v>
      </c>
      <c r="BK42">
        <f t="shared" ca="1" si="43"/>
        <v>71.859472641846423</v>
      </c>
      <c r="BL42">
        <f t="shared" ca="1" si="43"/>
        <v>70.467999028878737</v>
      </c>
      <c r="BM42">
        <f t="shared" ca="1" si="43"/>
        <v>70.435734113079889</v>
      </c>
      <c r="BN42">
        <f t="shared" ca="1" si="43"/>
        <v>69.543689787910594</v>
      </c>
      <c r="BO42">
        <f t="shared" ca="1" si="4"/>
        <v>11.543689787910594</v>
      </c>
    </row>
    <row r="43" spans="6:67">
      <c r="F43">
        <f t="shared" si="2"/>
        <v>60.99</v>
      </c>
      <c r="G43">
        <f t="shared" ref="G43:BN43" ca="1" si="44">F43*EXP(($B$2-0.5*$B$3^2)*$B$4+$B$3*_xlfn.NORM.INV(RAND(),0,SQRT($B$4)))</f>
        <v>60.462440601891615</v>
      </c>
      <c r="H43">
        <f t="shared" ca="1" si="44"/>
        <v>60.801630304447876</v>
      </c>
      <c r="I43">
        <f t="shared" ca="1" si="44"/>
        <v>61.896852393134587</v>
      </c>
      <c r="J43">
        <f t="shared" ca="1" si="44"/>
        <v>62.122616229482894</v>
      </c>
      <c r="K43">
        <f t="shared" ca="1" si="44"/>
        <v>61.763932844350499</v>
      </c>
      <c r="L43">
        <f t="shared" ca="1" si="44"/>
        <v>62.352410873622887</v>
      </c>
      <c r="M43">
        <f t="shared" ca="1" si="44"/>
        <v>63.839828323079907</v>
      </c>
      <c r="N43">
        <f t="shared" ca="1" si="44"/>
        <v>65.442889077245937</v>
      </c>
      <c r="O43">
        <f t="shared" ca="1" si="44"/>
        <v>63.336742259627044</v>
      </c>
      <c r="P43">
        <f t="shared" ca="1" si="44"/>
        <v>65.942803357779127</v>
      </c>
      <c r="Q43">
        <f t="shared" ca="1" si="44"/>
        <v>66.843744684676963</v>
      </c>
      <c r="R43">
        <f t="shared" ca="1" si="44"/>
        <v>65.911452807160643</v>
      </c>
      <c r="S43">
        <f t="shared" ca="1" si="44"/>
        <v>66.977453476161088</v>
      </c>
      <c r="T43">
        <f t="shared" ca="1" si="44"/>
        <v>66.654177917782164</v>
      </c>
      <c r="U43">
        <f t="shared" ca="1" si="44"/>
        <v>67.808090472237282</v>
      </c>
      <c r="V43">
        <f t="shared" ca="1" si="44"/>
        <v>70.892045860345263</v>
      </c>
      <c r="W43">
        <f t="shared" ca="1" si="44"/>
        <v>70.904697210743052</v>
      </c>
      <c r="X43">
        <f t="shared" ca="1" si="44"/>
        <v>71.113063956803572</v>
      </c>
      <c r="Y43">
        <f t="shared" ca="1" si="44"/>
        <v>71.4357020720701</v>
      </c>
      <c r="Z43">
        <f t="shared" ca="1" si="44"/>
        <v>71.505474823863082</v>
      </c>
      <c r="AA43">
        <f t="shared" ca="1" si="44"/>
        <v>72.528714546936513</v>
      </c>
      <c r="AB43">
        <f t="shared" ca="1" si="44"/>
        <v>72.889777595984853</v>
      </c>
      <c r="AC43">
        <f t="shared" ca="1" si="44"/>
        <v>73.104004703402467</v>
      </c>
      <c r="AD43">
        <f t="shared" ca="1" si="44"/>
        <v>76.263836205421242</v>
      </c>
      <c r="AE43">
        <f t="shared" ca="1" si="44"/>
        <v>76.189618508272659</v>
      </c>
      <c r="AF43">
        <f t="shared" ca="1" si="44"/>
        <v>77.583199110466751</v>
      </c>
      <c r="AG43">
        <f t="shared" ca="1" si="44"/>
        <v>75.117767092536127</v>
      </c>
      <c r="AH43">
        <f t="shared" ca="1" si="44"/>
        <v>75.37118686477217</v>
      </c>
      <c r="AI43">
        <f t="shared" ca="1" si="44"/>
        <v>76.775322036651929</v>
      </c>
      <c r="AJ43">
        <f t="shared" ca="1" si="44"/>
        <v>74.865941174107846</v>
      </c>
      <c r="AK43">
        <f t="shared" ca="1" si="44"/>
        <v>73.997864391897139</v>
      </c>
      <c r="AL43">
        <f t="shared" ca="1" si="44"/>
        <v>74.871071324905245</v>
      </c>
      <c r="AM43">
        <f t="shared" ca="1" si="44"/>
        <v>77.598507193969326</v>
      </c>
      <c r="AN43">
        <f t="shared" ca="1" si="44"/>
        <v>77.730116274378503</v>
      </c>
      <c r="AO43">
        <f t="shared" ca="1" si="44"/>
        <v>76.698158949972139</v>
      </c>
      <c r="AP43">
        <f t="shared" ca="1" si="44"/>
        <v>80.348973944701811</v>
      </c>
      <c r="AQ43">
        <f t="shared" ca="1" si="44"/>
        <v>80.224884390673836</v>
      </c>
      <c r="AR43">
        <f t="shared" ca="1" si="44"/>
        <v>79.761715840263818</v>
      </c>
      <c r="AS43">
        <f t="shared" ca="1" si="44"/>
        <v>81.102308363948211</v>
      </c>
      <c r="AT43">
        <f t="shared" ca="1" si="44"/>
        <v>80.627175115860652</v>
      </c>
      <c r="AU43">
        <f t="shared" ca="1" si="44"/>
        <v>81.892072225682</v>
      </c>
      <c r="AV43">
        <f t="shared" ca="1" si="44"/>
        <v>84.391138375864912</v>
      </c>
      <c r="AW43">
        <f t="shared" ca="1" si="44"/>
        <v>85.532700245913247</v>
      </c>
      <c r="AX43">
        <f t="shared" ca="1" si="44"/>
        <v>87.623226753841223</v>
      </c>
      <c r="AY43">
        <f t="shared" ca="1" si="44"/>
        <v>87.131888877728358</v>
      </c>
      <c r="AZ43">
        <f t="shared" ca="1" si="44"/>
        <v>85.753095115661097</v>
      </c>
      <c r="BA43">
        <f t="shared" ca="1" si="44"/>
        <v>87.824800704301694</v>
      </c>
      <c r="BB43">
        <f t="shared" ca="1" si="44"/>
        <v>90.219426105893945</v>
      </c>
      <c r="BC43">
        <f t="shared" ca="1" si="44"/>
        <v>90.207972548945904</v>
      </c>
      <c r="BD43">
        <f t="shared" ca="1" si="44"/>
        <v>95.23929259361546</v>
      </c>
      <c r="BE43">
        <f t="shared" ca="1" si="44"/>
        <v>93.658695550001951</v>
      </c>
      <c r="BF43">
        <f t="shared" ca="1" si="44"/>
        <v>93.571928471395665</v>
      </c>
      <c r="BG43">
        <f t="shared" ca="1" si="44"/>
        <v>95.677866285679073</v>
      </c>
      <c r="BH43">
        <f t="shared" ca="1" si="44"/>
        <v>95.178459229640396</v>
      </c>
      <c r="BI43">
        <f t="shared" ca="1" si="44"/>
        <v>94.464143855713559</v>
      </c>
      <c r="BJ43">
        <f t="shared" ca="1" si="44"/>
        <v>94.720395570806176</v>
      </c>
      <c r="BK43">
        <f t="shared" ca="1" si="44"/>
        <v>93.94068797770575</v>
      </c>
      <c r="BL43">
        <f t="shared" ca="1" si="44"/>
        <v>94.566937777650608</v>
      </c>
      <c r="BM43">
        <f t="shared" ca="1" si="44"/>
        <v>92.249227352332838</v>
      </c>
      <c r="BN43">
        <f t="shared" ca="1" si="44"/>
        <v>90.727890314050185</v>
      </c>
      <c r="BO43">
        <f t="shared" ca="1" si="4"/>
        <v>32.727890314050185</v>
      </c>
    </row>
    <row r="44" spans="6:67">
      <c r="F44">
        <f t="shared" si="2"/>
        <v>60.99</v>
      </c>
      <c r="G44">
        <f t="shared" ref="G44:BN44" ca="1" si="45">F44*EXP(($B$2-0.5*$B$3^2)*$B$4+$B$3*_xlfn.NORM.INV(RAND(),0,SQRT($B$4)))</f>
        <v>62.81593891501538</v>
      </c>
      <c r="H44">
        <f t="shared" ca="1" si="45"/>
        <v>62.438117254529736</v>
      </c>
      <c r="I44">
        <f t="shared" ca="1" si="45"/>
        <v>62.610821953148211</v>
      </c>
      <c r="J44">
        <f t="shared" ca="1" si="45"/>
        <v>62.721227703294716</v>
      </c>
      <c r="K44">
        <f t="shared" ca="1" si="45"/>
        <v>62.936186141205084</v>
      </c>
      <c r="L44">
        <f t="shared" ca="1" si="45"/>
        <v>64.192168432625834</v>
      </c>
      <c r="M44">
        <f t="shared" ca="1" si="45"/>
        <v>64.009464102798077</v>
      </c>
      <c r="N44">
        <f t="shared" ca="1" si="45"/>
        <v>65.413309402236195</v>
      </c>
      <c r="O44">
        <f t="shared" ca="1" si="45"/>
        <v>67.017846802638701</v>
      </c>
      <c r="P44">
        <f t="shared" ca="1" si="45"/>
        <v>67.383071069473132</v>
      </c>
      <c r="Q44">
        <f t="shared" ca="1" si="45"/>
        <v>68.525969949799304</v>
      </c>
      <c r="R44">
        <f t="shared" ca="1" si="45"/>
        <v>69.706094706523018</v>
      </c>
      <c r="S44">
        <f t="shared" ca="1" si="45"/>
        <v>68.928216370964606</v>
      </c>
      <c r="T44">
        <f t="shared" ca="1" si="45"/>
        <v>67.963010893629658</v>
      </c>
      <c r="U44">
        <f t="shared" ca="1" si="45"/>
        <v>67.507790845158667</v>
      </c>
      <c r="V44">
        <f t="shared" ca="1" si="45"/>
        <v>65.408550719843305</v>
      </c>
      <c r="W44">
        <f t="shared" ca="1" si="45"/>
        <v>67.472205232860858</v>
      </c>
      <c r="X44">
        <f t="shared" ca="1" si="45"/>
        <v>68.646507379376288</v>
      </c>
      <c r="Y44">
        <f t="shared" ca="1" si="45"/>
        <v>68.258532209421546</v>
      </c>
      <c r="Z44">
        <f t="shared" ca="1" si="45"/>
        <v>68.374149216523961</v>
      </c>
      <c r="AA44">
        <f t="shared" ca="1" si="45"/>
        <v>66.711925332929567</v>
      </c>
      <c r="AB44">
        <f t="shared" ca="1" si="45"/>
        <v>66.692582745858971</v>
      </c>
      <c r="AC44">
        <f t="shared" ca="1" si="45"/>
        <v>65.983334408326158</v>
      </c>
      <c r="AD44">
        <f t="shared" ca="1" si="45"/>
        <v>67.268126369189389</v>
      </c>
      <c r="AE44">
        <f t="shared" ca="1" si="45"/>
        <v>69.246059714112036</v>
      </c>
      <c r="AF44">
        <f t="shared" ca="1" si="45"/>
        <v>70.397407273660775</v>
      </c>
      <c r="AG44">
        <f t="shared" ca="1" si="45"/>
        <v>69.307640163532568</v>
      </c>
      <c r="AH44">
        <f t="shared" ca="1" si="45"/>
        <v>71.568152735546548</v>
      </c>
      <c r="AI44">
        <f t="shared" ca="1" si="45"/>
        <v>71.853073123796023</v>
      </c>
      <c r="AJ44">
        <f t="shared" ca="1" si="45"/>
        <v>70.650893084485148</v>
      </c>
      <c r="AK44">
        <f t="shared" ca="1" si="45"/>
        <v>70.886027407150252</v>
      </c>
      <c r="AL44">
        <f t="shared" ca="1" si="45"/>
        <v>70.708612009664066</v>
      </c>
      <c r="AM44">
        <f t="shared" ca="1" si="45"/>
        <v>68.704914008613216</v>
      </c>
      <c r="AN44">
        <f t="shared" ca="1" si="45"/>
        <v>69.719605964606032</v>
      </c>
      <c r="AO44">
        <f t="shared" ca="1" si="45"/>
        <v>68.908036836146024</v>
      </c>
      <c r="AP44">
        <f t="shared" ca="1" si="45"/>
        <v>69.91251194361719</v>
      </c>
      <c r="AQ44">
        <f t="shared" ca="1" si="45"/>
        <v>70.302640666358101</v>
      </c>
      <c r="AR44">
        <f t="shared" ca="1" si="45"/>
        <v>70.301051173015381</v>
      </c>
      <c r="AS44">
        <f t="shared" ca="1" si="45"/>
        <v>69.442656074817009</v>
      </c>
      <c r="AT44">
        <f t="shared" ca="1" si="45"/>
        <v>70.219231378892687</v>
      </c>
      <c r="AU44">
        <f t="shared" ca="1" si="45"/>
        <v>65.925379054937025</v>
      </c>
      <c r="AV44">
        <f t="shared" ca="1" si="45"/>
        <v>68.167715591341107</v>
      </c>
      <c r="AW44">
        <f t="shared" ca="1" si="45"/>
        <v>69.139318828486765</v>
      </c>
      <c r="AX44">
        <f t="shared" ca="1" si="45"/>
        <v>66.876208935794281</v>
      </c>
      <c r="AY44">
        <f t="shared" ca="1" si="45"/>
        <v>67.976067293427008</v>
      </c>
      <c r="AZ44">
        <f t="shared" ca="1" si="45"/>
        <v>68.621534033328402</v>
      </c>
      <c r="BA44">
        <f t="shared" ca="1" si="45"/>
        <v>66.224323607311334</v>
      </c>
      <c r="BB44">
        <f t="shared" ca="1" si="45"/>
        <v>65.594398795664901</v>
      </c>
      <c r="BC44">
        <f t="shared" ca="1" si="45"/>
        <v>63.342429439512799</v>
      </c>
      <c r="BD44">
        <f t="shared" ca="1" si="45"/>
        <v>63.133898676929725</v>
      </c>
      <c r="BE44">
        <f t="shared" ca="1" si="45"/>
        <v>65.563136447781957</v>
      </c>
      <c r="BF44">
        <f t="shared" ca="1" si="45"/>
        <v>65.045543065031765</v>
      </c>
      <c r="BG44">
        <f t="shared" ca="1" si="45"/>
        <v>65.375604196046169</v>
      </c>
      <c r="BH44">
        <f t="shared" ca="1" si="45"/>
        <v>65.32876119740223</v>
      </c>
      <c r="BI44">
        <f t="shared" ca="1" si="45"/>
        <v>65.039368835120229</v>
      </c>
      <c r="BJ44">
        <f t="shared" ca="1" si="45"/>
        <v>64.341975463216926</v>
      </c>
      <c r="BK44">
        <f t="shared" ca="1" si="45"/>
        <v>67.330648919774632</v>
      </c>
      <c r="BL44">
        <f t="shared" ca="1" si="45"/>
        <v>68.831333249317439</v>
      </c>
      <c r="BM44">
        <f t="shared" ca="1" si="45"/>
        <v>69.709223430232967</v>
      </c>
      <c r="BN44">
        <f t="shared" ca="1" si="45"/>
        <v>69.34233938003031</v>
      </c>
      <c r="BO44">
        <f t="shared" ca="1" si="4"/>
        <v>11.34233938003031</v>
      </c>
    </row>
    <row r="45" spans="6:67">
      <c r="F45">
        <f t="shared" si="2"/>
        <v>60.99</v>
      </c>
      <c r="G45">
        <f t="shared" ref="G45:BN45" ca="1" si="46">F45*EXP(($B$2-0.5*$B$3^2)*$B$4+$B$3*_xlfn.NORM.INV(RAND(),0,SQRT($B$4)))</f>
        <v>61.065841826928171</v>
      </c>
      <c r="H45">
        <f t="shared" ca="1" si="46"/>
        <v>60.789489323655289</v>
      </c>
      <c r="I45">
        <f t="shared" ca="1" si="46"/>
        <v>60.977980826257976</v>
      </c>
      <c r="J45">
        <f t="shared" ca="1" si="46"/>
        <v>61.795319390625785</v>
      </c>
      <c r="K45">
        <f t="shared" ca="1" si="46"/>
        <v>62.179988282320075</v>
      </c>
      <c r="L45">
        <f t="shared" ca="1" si="46"/>
        <v>61.232327278616289</v>
      </c>
      <c r="M45">
        <f t="shared" ca="1" si="46"/>
        <v>61.183877009749473</v>
      </c>
      <c r="N45">
        <f t="shared" ca="1" si="46"/>
        <v>61.365919961263629</v>
      </c>
      <c r="O45">
        <f t="shared" ca="1" si="46"/>
        <v>59.699736314792482</v>
      </c>
      <c r="P45">
        <f t="shared" ca="1" si="46"/>
        <v>59.60751590257113</v>
      </c>
      <c r="Q45">
        <f t="shared" ca="1" si="46"/>
        <v>57.467363023676803</v>
      </c>
      <c r="R45">
        <f t="shared" ca="1" si="46"/>
        <v>57.072647395573682</v>
      </c>
      <c r="S45">
        <f t="shared" ca="1" si="46"/>
        <v>55.924943583203515</v>
      </c>
      <c r="T45">
        <f t="shared" ca="1" si="46"/>
        <v>55.272353447086701</v>
      </c>
      <c r="U45">
        <f t="shared" ca="1" si="46"/>
        <v>54.420032250016014</v>
      </c>
      <c r="V45">
        <f t="shared" ca="1" si="46"/>
        <v>55.11613507211662</v>
      </c>
      <c r="W45">
        <f t="shared" ca="1" si="46"/>
        <v>52.943432998439953</v>
      </c>
      <c r="X45">
        <f t="shared" ca="1" si="46"/>
        <v>52.47866496282191</v>
      </c>
      <c r="Y45">
        <f t="shared" ca="1" si="46"/>
        <v>53.48640889772846</v>
      </c>
      <c r="Z45">
        <f t="shared" ca="1" si="46"/>
        <v>52.983103579351692</v>
      </c>
      <c r="AA45">
        <f t="shared" ca="1" si="46"/>
        <v>51.483176517328253</v>
      </c>
      <c r="AB45">
        <f t="shared" ca="1" si="46"/>
        <v>52.375306652429586</v>
      </c>
      <c r="AC45">
        <f t="shared" ca="1" si="46"/>
        <v>53.362579527867027</v>
      </c>
      <c r="AD45">
        <f t="shared" ca="1" si="46"/>
        <v>53.052661981882281</v>
      </c>
      <c r="AE45">
        <f t="shared" ca="1" si="46"/>
        <v>53.680186249585987</v>
      </c>
      <c r="AF45">
        <f t="shared" ca="1" si="46"/>
        <v>52.159317522458792</v>
      </c>
      <c r="AG45">
        <f t="shared" ca="1" si="46"/>
        <v>50.51053769193819</v>
      </c>
      <c r="AH45">
        <f t="shared" ca="1" si="46"/>
        <v>50.041468531538655</v>
      </c>
      <c r="AI45">
        <f t="shared" ca="1" si="46"/>
        <v>50.28775774724479</v>
      </c>
      <c r="AJ45">
        <f t="shared" ca="1" si="46"/>
        <v>51.264965847134739</v>
      </c>
      <c r="AK45">
        <f t="shared" ca="1" si="46"/>
        <v>51.068624229552157</v>
      </c>
      <c r="AL45">
        <f t="shared" ca="1" si="46"/>
        <v>52.413722193871294</v>
      </c>
      <c r="AM45">
        <f t="shared" ca="1" si="46"/>
        <v>51.456443315956029</v>
      </c>
      <c r="AN45">
        <f t="shared" ca="1" si="46"/>
        <v>49.997831600563465</v>
      </c>
      <c r="AO45">
        <f t="shared" ca="1" si="46"/>
        <v>49.604433109182253</v>
      </c>
      <c r="AP45">
        <f t="shared" ca="1" si="46"/>
        <v>50.788231801562723</v>
      </c>
      <c r="AQ45">
        <f t="shared" ca="1" si="46"/>
        <v>49.817760309035371</v>
      </c>
      <c r="AR45">
        <f t="shared" ca="1" si="46"/>
        <v>49.711229862388223</v>
      </c>
      <c r="AS45">
        <f t="shared" ca="1" si="46"/>
        <v>48.645729540817996</v>
      </c>
      <c r="AT45">
        <f t="shared" ca="1" si="46"/>
        <v>48.477540754821042</v>
      </c>
      <c r="AU45">
        <f t="shared" ca="1" si="46"/>
        <v>49.560568717086653</v>
      </c>
      <c r="AV45">
        <f t="shared" ca="1" si="46"/>
        <v>49.548045770724556</v>
      </c>
      <c r="AW45">
        <f t="shared" ca="1" si="46"/>
        <v>49.426559184155373</v>
      </c>
      <c r="AX45">
        <f t="shared" ca="1" si="46"/>
        <v>49.965472177071575</v>
      </c>
      <c r="AY45">
        <f t="shared" ca="1" si="46"/>
        <v>50.351363621790313</v>
      </c>
      <c r="AZ45">
        <f t="shared" ca="1" si="46"/>
        <v>49.534854836533377</v>
      </c>
      <c r="BA45">
        <f t="shared" ca="1" si="46"/>
        <v>49.921145149047</v>
      </c>
      <c r="BB45">
        <f t="shared" ca="1" si="46"/>
        <v>49.809528581562319</v>
      </c>
      <c r="BC45">
        <f t="shared" ca="1" si="46"/>
        <v>51.333395759421215</v>
      </c>
      <c r="BD45">
        <f t="shared" ca="1" si="46"/>
        <v>54.171865358245711</v>
      </c>
      <c r="BE45">
        <f t="shared" ca="1" si="46"/>
        <v>53.782928067915428</v>
      </c>
      <c r="BF45">
        <f t="shared" ca="1" si="46"/>
        <v>54.052223123013761</v>
      </c>
      <c r="BG45">
        <f t="shared" ca="1" si="46"/>
        <v>53.300699750393989</v>
      </c>
      <c r="BH45">
        <f t="shared" ca="1" si="46"/>
        <v>54.566175385698592</v>
      </c>
      <c r="BI45">
        <f t="shared" ca="1" si="46"/>
        <v>54.407092139739376</v>
      </c>
      <c r="BJ45">
        <f t="shared" ca="1" si="46"/>
        <v>53.573149808925791</v>
      </c>
      <c r="BK45">
        <f t="shared" ca="1" si="46"/>
        <v>54.97645659841038</v>
      </c>
      <c r="BL45">
        <f t="shared" ca="1" si="46"/>
        <v>53.439008944844836</v>
      </c>
      <c r="BM45">
        <f t="shared" ca="1" si="46"/>
        <v>52.468219354526745</v>
      </c>
      <c r="BN45">
        <f t="shared" ca="1" si="46"/>
        <v>52.879484436981301</v>
      </c>
      <c r="BO45">
        <f t="shared" ca="1" si="4"/>
        <v>0</v>
      </c>
    </row>
    <row r="46" spans="6:67">
      <c r="F46">
        <f t="shared" si="2"/>
        <v>60.99</v>
      </c>
      <c r="G46">
        <f t="shared" ref="G46:BN46" ca="1" si="47">F46*EXP(($B$2-0.5*$B$3^2)*$B$4+$B$3*_xlfn.NORM.INV(RAND(),0,SQRT($B$4)))</f>
        <v>62.250998673977243</v>
      </c>
      <c r="H46">
        <f t="shared" ca="1" si="47"/>
        <v>62.904644733982693</v>
      </c>
      <c r="I46">
        <f t="shared" ca="1" si="47"/>
        <v>65.010162768085664</v>
      </c>
      <c r="J46">
        <f t="shared" ca="1" si="47"/>
        <v>64.564584017827954</v>
      </c>
      <c r="K46">
        <f t="shared" ca="1" si="47"/>
        <v>65.13945052775577</v>
      </c>
      <c r="L46">
        <f t="shared" ca="1" si="47"/>
        <v>67.26406639557861</v>
      </c>
      <c r="M46">
        <f t="shared" ca="1" si="47"/>
        <v>66.60717970793057</v>
      </c>
      <c r="N46">
        <f t="shared" ca="1" si="47"/>
        <v>67.298200877944552</v>
      </c>
      <c r="O46">
        <f t="shared" ca="1" si="47"/>
        <v>67.326940536264715</v>
      </c>
      <c r="P46">
        <f t="shared" ca="1" si="47"/>
        <v>68.917371249453666</v>
      </c>
      <c r="Q46">
        <f t="shared" ca="1" si="47"/>
        <v>67.715600520370501</v>
      </c>
      <c r="R46">
        <f t="shared" ca="1" si="47"/>
        <v>66.87013053436452</v>
      </c>
      <c r="S46">
        <f t="shared" ca="1" si="47"/>
        <v>67.12473598742703</v>
      </c>
      <c r="T46">
        <f t="shared" ca="1" si="47"/>
        <v>68.678484051533388</v>
      </c>
      <c r="U46">
        <f t="shared" ca="1" si="47"/>
        <v>69.034753990339738</v>
      </c>
      <c r="V46">
        <f t="shared" ca="1" si="47"/>
        <v>69.289847388381006</v>
      </c>
      <c r="W46">
        <f t="shared" ca="1" si="47"/>
        <v>68.650696225520406</v>
      </c>
      <c r="X46">
        <f t="shared" ca="1" si="47"/>
        <v>66.76123458962762</v>
      </c>
      <c r="Y46">
        <f t="shared" ca="1" si="47"/>
        <v>67.806505909545919</v>
      </c>
      <c r="Z46">
        <f t="shared" ca="1" si="47"/>
        <v>66.84671579222254</v>
      </c>
      <c r="AA46">
        <f t="shared" ca="1" si="47"/>
        <v>65.948536919412916</v>
      </c>
      <c r="AB46">
        <f t="shared" ca="1" si="47"/>
        <v>66.882450267243044</v>
      </c>
      <c r="AC46">
        <f t="shared" ca="1" si="47"/>
        <v>66.691309190987198</v>
      </c>
      <c r="AD46">
        <f t="shared" ca="1" si="47"/>
        <v>66.21788887619023</v>
      </c>
      <c r="AE46">
        <f t="shared" ca="1" si="47"/>
        <v>66.575769803910646</v>
      </c>
      <c r="AF46">
        <f t="shared" ca="1" si="47"/>
        <v>66.807517286285488</v>
      </c>
      <c r="AG46">
        <f t="shared" ca="1" si="47"/>
        <v>66.743450808074243</v>
      </c>
      <c r="AH46">
        <f t="shared" ca="1" si="47"/>
        <v>63.959067598765003</v>
      </c>
      <c r="AI46">
        <f t="shared" ca="1" si="47"/>
        <v>62.960902066732046</v>
      </c>
      <c r="AJ46">
        <f t="shared" ca="1" si="47"/>
        <v>61.208256251424039</v>
      </c>
      <c r="AK46">
        <f t="shared" ca="1" si="47"/>
        <v>62.015109507786413</v>
      </c>
      <c r="AL46">
        <f t="shared" ca="1" si="47"/>
        <v>61.15885203661523</v>
      </c>
      <c r="AM46">
        <f t="shared" ca="1" si="47"/>
        <v>61.960458494182461</v>
      </c>
      <c r="AN46">
        <f t="shared" ca="1" si="47"/>
        <v>60.727431424838542</v>
      </c>
      <c r="AO46">
        <f t="shared" ca="1" si="47"/>
        <v>61.610093326757394</v>
      </c>
      <c r="AP46">
        <f t="shared" ca="1" si="47"/>
        <v>59.545544156042361</v>
      </c>
      <c r="AQ46">
        <f t="shared" ca="1" si="47"/>
        <v>59.108924064723375</v>
      </c>
      <c r="AR46">
        <f t="shared" ca="1" si="47"/>
        <v>59.54845406168949</v>
      </c>
      <c r="AS46">
        <f t="shared" ca="1" si="47"/>
        <v>58.872804438489396</v>
      </c>
      <c r="AT46">
        <f t="shared" ca="1" si="47"/>
        <v>59.5862028334519</v>
      </c>
      <c r="AU46">
        <f t="shared" ca="1" si="47"/>
        <v>59.453113502937398</v>
      </c>
      <c r="AV46">
        <f t="shared" ca="1" si="47"/>
        <v>57.58915453130561</v>
      </c>
      <c r="AW46">
        <f t="shared" ca="1" si="47"/>
        <v>55.671358615872542</v>
      </c>
      <c r="AX46">
        <f t="shared" ca="1" si="47"/>
        <v>55.147499994549669</v>
      </c>
      <c r="AY46">
        <f t="shared" ca="1" si="47"/>
        <v>56.17270398140775</v>
      </c>
      <c r="AZ46">
        <f t="shared" ca="1" si="47"/>
        <v>54.134805254456829</v>
      </c>
      <c r="BA46">
        <f t="shared" ca="1" si="47"/>
        <v>54.284556813943588</v>
      </c>
      <c r="BB46">
        <f t="shared" ca="1" si="47"/>
        <v>53.505188810655135</v>
      </c>
      <c r="BC46">
        <f t="shared" ca="1" si="47"/>
        <v>53.936976607415858</v>
      </c>
      <c r="BD46">
        <f t="shared" ca="1" si="47"/>
        <v>54.498633772726109</v>
      </c>
      <c r="BE46">
        <f t="shared" ca="1" si="47"/>
        <v>55.038789784465209</v>
      </c>
      <c r="BF46">
        <f t="shared" ca="1" si="47"/>
        <v>56.025017445987785</v>
      </c>
      <c r="BG46">
        <f t="shared" ca="1" si="47"/>
        <v>56.975923846517396</v>
      </c>
      <c r="BH46">
        <f t="shared" ca="1" si="47"/>
        <v>56.017122088674675</v>
      </c>
      <c r="BI46">
        <f t="shared" ca="1" si="47"/>
        <v>55.740343588050656</v>
      </c>
      <c r="BJ46">
        <f t="shared" ca="1" si="47"/>
        <v>54.676711604177804</v>
      </c>
      <c r="BK46">
        <f t="shared" ca="1" si="47"/>
        <v>55.362252363630368</v>
      </c>
      <c r="BL46">
        <f t="shared" ca="1" si="47"/>
        <v>56.918594466684389</v>
      </c>
      <c r="BM46">
        <f t="shared" ca="1" si="47"/>
        <v>57.529243907228576</v>
      </c>
      <c r="BN46">
        <f t="shared" ca="1" si="47"/>
        <v>58.308514088288696</v>
      </c>
      <c r="BO46">
        <f t="shared" ca="1" si="4"/>
        <v>0.30851408828869609</v>
      </c>
    </row>
    <row r="47" spans="6:67">
      <c r="F47">
        <f t="shared" si="2"/>
        <v>60.99</v>
      </c>
      <c r="G47">
        <f t="shared" ref="G47:BN47" ca="1" si="48">F47*EXP(($B$2-0.5*$B$3^2)*$B$4+$B$3*_xlfn.NORM.INV(RAND(),0,SQRT($B$4)))</f>
        <v>60.933810715259064</v>
      </c>
      <c r="H47">
        <f t="shared" ca="1" si="48"/>
        <v>60.954296742696883</v>
      </c>
      <c r="I47">
        <f t="shared" ca="1" si="48"/>
        <v>60.88101288137571</v>
      </c>
      <c r="J47">
        <f t="shared" ca="1" si="48"/>
        <v>59.357344446311693</v>
      </c>
      <c r="K47">
        <f t="shared" ca="1" si="48"/>
        <v>57.737297419438576</v>
      </c>
      <c r="L47">
        <f t="shared" ca="1" si="48"/>
        <v>58.147594120585808</v>
      </c>
      <c r="M47">
        <f t="shared" ca="1" si="48"/>
        <v>57.634936066579549</v>
      </c>
      <c r="N47">
        <f t="shared" ca="1" si="48"/>
        <v>57.122326514732492</v>
      </c>
      <c r="O47">
        <f t="shared" ca="1" si="48"/>
        <v>58.272348735523998</v>
      </c>
      <c r="P47">
        <f t="shared" ca="1" si="48"/>
        <v>57.624828821444886</v>
      </c>
      <c r="Q47">
        <f t="shared" ca="1" si="48"/>
        <v>57.941397370841528</v>
      </c>
      <c r="R47">
        <f t="shared" ca="1" si="48"/>
        <v>57.246821091124779</v>
      </c>
      <c r="S47">
        <f t="shared" ca="1" si="48"/>
        <v>56.02503107396074</v>
      </c>
      <c r="T47">
        <f t="shared" ca="1" si="48"/>
        <v>54.95178959269284</v>
      </c>
      <c r="U47">
        <f t="shared" ca="1" si="48"/>
        <v>56.081359672954513</v>
      </c>
      <c r="V47">
        <f t="shared" ca="1" si="48"/>
        <v>55.751678776911675</v>
      </c>
      <c r="W47">
        <f t="shared" ca="1" si="48"/>
        <v>56.080346948935976</v>
      </c>
      <c r="X47">
        <f t="shared" ca="1" si="48"/>
        <v>54.997393427274439</v>
      </c>
      <c r="Y47">
        <f t="shared" ca="1" si="48"/>
        <v>56.481782254059553</v>
      </c>
      <c r="Z47">
        <f t="shared" ca="1" si="48"/>
        <v>56.435579871167533</v>
      </c>
      <c r="AA47">
        <f t="shared" ca="1" si="48"/>
        <v>56.927625053703061</v>
      </c>
      <c r="AB47">
        <f t="shared" ca="1" si="48"/>
        <v>57.064178916182811</v>
      </c>
      <c r="AC47">
        <f t="shared" ca="1" si="48"/>
        <v>57.474396026665815</v>
      </c>
      <c r="AD47">
        <f t="shared" ca="1" si="48"/>
        <v>56.948039827785799</v>
      </c>
      <c r="AE47">
        <f t="shared" ca="1" si="48"/>
        <v>57.697227447175131</v>
      </c>
      <c r="AF47">
        <f t="shared" ca="1" si="48"/>
        <v>55.087343484657886</v>
      </c>
      <c r="AG47">
        <f t="shared" ca="1" si="48"/>
        <v>54.271268392754486</v>
      </c>
      <c r="AH47">
        <f t="shared" ca="1" si="48"/>
        <v>52.592800012034473</v>
      </c>
      <c r="AI47">
        <f t="shared" ca="1" si="48"/>
        <v>53.504079811149708</v>
      </c>
      <c r="AJ47">
        <f t="shared" ca="1" si="48"/>
        <v>53.88921320272533</v>
      </c>
      <c r="AK47">
        <f t="shared" ca="1" si="48"/>
        <v>52.749568780926779</v>
      </c>
      <c r="AL47">
        <f t="shared" ca="1" si="48"/>
        <v>51.734707539908257</v>
      </c>
      <c r="AM47">
        <f t="shared" ca="1" si="48"/>
        <v>49.824733241152934</v>
      </c>
      <c r="AN47">
        <f t="shared" ca="1" si="48"/>
        <v>49.204717006935809</v>
      </c>
      <c r="AO47">
        <f t="shared" ca="1" si="48"/>
        <v>48.383969390384038</v>
      </c>
      <c r="AP47">
        <f t="shared" ca="1" si="48"/>
        <v>48.187567648979297</v>
      </c>
      <c r="AQ47">
        <f t="shared" ca="1" si="48"/>
        <v>48.200105732795016</v>
      </c>
      <c r="AR47">
        <f t="shared" ca="1" si="48"/>
        <v>48.568140992122004</v>
      </c>
      <c r="AS47">
        <f t="shared" ca="1" si="48"/>
        <v>48.278092050440122</v>
      </c>
      <c r="AT47">
        <f t="shared" ca="1" si="48"/>
        <v>47.787203895509691</v>
      </c>
      <c r="AU47">
        <f t="shared" ca="1" si="48"/>
        <v>48.23331827321482</v>
      </c>
      <c r="AV47">
        <f t="shared" ca="1" si="48"/>
        <v>46.729707591535799</v>
      </c>
      <c r="AW47">
        <f t="shared" ca="1" si="48"/>
        <v>46.793261664906545</v>
      </c>
      <c r="AX47">
        <f t="shared" ca="1" si="48"/>
        <v>46.146913384468249</v>
      </c>
      <c r="AY47">
        <f t="shared" ca="1" si="48"/>
        <v>47.057126650968108</v>
      </c>
      <c r="AZ47">
        <f t="shared" ca="1" si="48"/>
        <v>48.149941067818922</v>
      </c>
      <c r="BA47">
        <f t="shared" ca="1" si="48"/>
        <v>46.803327593408994</v>
      </c>
      <c r="BB47">
        <f t="shared" ca="1" si="48"/>
        <v>47.131402225623432</v>
      </c>
      <c r="BC47">
        <f t="shared" ca="1" si="48"/>
        <v>46.701318950659704</v>
      </c>
      <c r="BD47">
        <f t="shared" ca="1" si="48"/>
        <v>46.170137464145476</v>
      </c>
      <c r="BE47">
        <f t="shared" ca="1" si="48"/>
        <v>46.929832979338478</v>
      </c>
      <c r="BF47">
        <f t="shared" ca="1" si="48"/>
        <v>48.314912440259008</v>
      </c>
      <c r="BG47">
        <f t="shared" ca="1" si="48"/>
        <v>47.983800130666246</v>
      </c>
      <c r="BH47">
        <f t="shared" ca="1" si="48"/>
        <v>46.661706984113493</v>
      </c>
      <c r="BI47">
        <f t="shared" ca="1" si="48"/>
        <v>45.996354412135823</v>
      </c>
      <c r="BJ47">
        <f t="shared" ca="1" si="48"/>
        <v>45.861470962154321</v>
      </c>
      <c r="BK47">
        <f t="shared" ca="1" si="48"/>
        <v>46.805553467489638</v>
      </c>
      <c r="BL47">
        <f t="shared" ca="1" si="48"/>
        <v>47.195031822522445</v>
      </c>
      <c r="BM47">
        <f t="shared" ca="1" si="48"/>
        <v>46.398554812837901</v>
      </c>
      <c r="BN47">
        <f t="shared" ca="1" si="48"/>
        <v>46.927680485828731</v>
      </c>
      <c r="BO47">
        <f t="shared" ca="1" si="4"/>
        <v>0</v>
      </c>
    </row>
    <row r="48" spans="6:67">
      <c r="F48">
        <f t="shared" si="2"/>
        <v>60.99</v>
      </c>
      <c r="G48">
        <f t="shared" ref="G48:BN48" ca="1" si="49">F48*EXP(($B$2-0.5*$B$3^2)*$B$4+$B$3*_xlfn.NORM.INV(RAND(),0,SQRT($B$4)))</f>
        <v>59.797536794030684</v>
      </c>
      <c r="H48">
        <f t="shared" ca="1" si="49"/>
        <v>60.35616653692508</v>
      </c>
      <c r="I48">
        <f t="shared" ca="1" si="49"/>
        <v>61.192340356989803</v>
      </c>
      <c r="J48">
        <f t="shared" ca="1" si="49"/>
        <v>61.630591066239269</v>
      </c>
      <c r="K48">
        <f t="shared" ca="1" si="49"/>
        <v>62.718944916208663</v>
      </c>
      <c r="L48">
        <f t="shared" ca="1" si="49"/>
        <v>65.391625555920015</v>
      </c>
      <c r="M48">
        <f t="shared" ca="1" si="49"/>
        <v>65.10270038828132</v>
      </c>
      <c r="N48">
        <f t="shared" ca="1" si="49"/>
        <v>67.073472088644507</v>
      </c>
      <c r="O48">
        <f t="shared" ca="1" si="49"/>
        <v>66.690484880626954</v>
      </c>
      <c r="P48">
        <f t="shared" ca="1" si="49"/>
        <v>66.511811818919838</v>
      </c>
      <c r="Q48">
        <f t="shared" ca="1" si="49"/>
        <v>67.393436708302616</v>
      </c>
      <c r="R48">
        <f t="shared" ca="1" si="49"/>
        <v>65.884743463306236</v>
      </c>
      <c r="S48">
        <f t="shared" ca="1" si="49"/>
        <v>63.7237476344472</v>
      </c>
      <c r="T48">
        <f t="shared" ca="1" si="49"/>
        <v>64.901635404531746</v>
      </c>
      <c r="U48">
        <f t="shared" ca="1" si="49"/>
        <v>64.570035093579506</v>
      </c>
      <c r="V48">
        <f t="shared" ca="1" si="49"/>
        <v>64.85745082654168</v>
      </c>
      <c r="W48">
        <f t="shared" ca="1" si="49"/>
        <v>64.335130332960915</v>
      </c>
      <c r="X48">
        <f t="shared" ca="1" si="49"/>
        <v>65.86679028027892</v>
      </c>
      <c r="Y48">
        <f t="shared" ca="1" si="49"/>
        <v>65.785519645377349</v>
      </c>
      <c r="Z48">
        <f t="shared" ca="1" si="49"/>
        <v>64.909789383204355</v>
      </c>
      <c r="AA48">
        <f t="shared" ca="1" si="49"/>
        <v>64.545762949952859</v>
      </c>
      <c r="AB48">
        <f t="shared" ca="1" si="49"/>
        <v>63.22905458124437</v>
      </c>
      <c r="AC48">
        <f t="shared" ca="1" si="49"/>
        <v>65.289316708823833</v>
      </c>
      <c r="AD48">
        <f t="shared" ca="1" si="49"/>
        <v>64.349408805550283</v>
      </c>
      <c r="AE48">
        <f t="shared" ca="1" si="49"/>
        <v>65.047857719456815</v>
      </c>
      <c r="AF48">
        <f t="shared" ca="1" si="49"/>
        <v>65.629512987421052</v>
      </c>
      <c r="AG48">
        <f t="shared" ca="1" si="49"/>
        <v>64.41978945039159</v>
      </c>
      <c r="AH48">
        <f t="shared" ca="1" si="49"/>
        <v>64.210111354592698</v>
      </c>
      <c r="AI48">
        <f t="shared" ca="1" si="49"/>
        <v>65.60144750948848</v>
      </c>
      <c r="AJ48">
        <f t="shared" ca="1" si="49"/>
        <v>66.378362671057332</v>
      </c>
      <c r="AK48">
        <f t="shared" ca="1" si="49"/>
        <v>63.480905019556957</v>
      </c>
      <c r="AL48">
        <f t="shared" ca="1" si="49"/>
        <v>62.831361994867024</v>
      </c>
      <c r="AM48">
        <f t="shared" ca="1" si="49"/>
        <v>63.035051875735888</v>
      </c>
      <c r="AN48">
        <f t="shared" ca="1" si="49"/>
        <v>62.837272888745623</v>
      </c>
      <c r="AO48">
        <f t="shared" ca="1" si="49"/>
        <v>63.068770840089499</v>
      </c>
      <c r="AP48">
        <f t="shared" ca="1" si="49"/>
        <v>61.149366570314612</v>
      </c>
      <c r="AQ48">
        <f t="shared" ca="1" si="49"/>
        <v>60.696734978387219</v>
      </c>
      <c r="AR48">
        <f t="shared" ca="1" si="49"/>
        <v>61.157157797603155</v>
      </c>
      <c r="AS48">
        <f t="shared" ca="1" si="49"/>
        <v>60.422368239176237</v>
      </c>
      <c r="AT48">
        <f t="shared" ca="1" si="49"/>
        <v>59.693783383544584</v>
      </c>
      <c r="AU48">
        <f t="shared" ca="1" si="49"/>
        <v>59.304354943961457</v>
      </c>
      <c r="AV48">
        <f t="shared" ca="1" si="49"/>
        <v>60.535694664360179</v>
      </c>
      <c r="AW48">
        <f t="shared" ca="1" si="49"/>
        <v>60.787296244425441</v>
      </c>
      <c r="AX48">
        <f t="shared" ca="1" si="49"/>
        <v>62.04327976294303</v>
      </c>
      <c r="AY48">
        <f t="shared" ca="1" si="49"/>
        <v>60.928546621370955</v>
      </c>
      <c r="AZ48">
        <f t="shared" ca="1" si="49"/>
        <v>61.244886541274703</v>
      </c>
      <c r="BA48">
        <f t="shared" ca="1" si="49"/>
        <v>61.441091385007326</v>
      </c>
      <c r="BB48">
        <f t="shared" ca="1" si="49"/>
        <v>64.075501945921971</v>
      </c>
      <c r="BC48">
        <f t="shared" ca="1" si="49"/>
        <v>62.867985980996359</v>
      </c>
      <c r="BD48">
        <f t="shared" ca="1" si="49"/>
        <v>62.384867693411877</v>
      </c>
      <c r="BE48">
        <f t="shared" ca="1" si="49"/>
        <v>62.018573075563474</v>
      </c>
      <c r="BF48">
        <f t="shared" ca="1" si="49"/>
        <v>60.973584554199213</v>
      </c>
      <c r="BG48">
        <f t="shared" ca="1" si="49"/>
        <v>60.075413106202909</v>
      </c>
      <c r="BH48">
        <f t="shared" ca="1" si="49"/>
        <v>58.622480674626473</v>
      </c>
      <c r="BI48">
        <f t="shared" ca="1" si="49"/>
        <v>57.39150866057598</v>
      </c>
      <c r="BJ48">
        <f t="shared" ca="1" si="49"/>
        <v>57.84228246138121</v>
      </c>
      <c r="BK48">
        <f t="shared" ca="1" si="49"/>
        <v>59.963974635652207</v>
      </c>
      <c r="BL48">
        <f t="shared" ca="1" si="49"/>
        <v>59.782855421319034</v>
      </c>
      <c r="BM48">
        <f t="shared" ca="1" si="49"/>
        <v>58.781435672538969</v>
      </c>
      <c r="BN48">
        <f t="shared" ca="1" si="49"/>
        <v>58.101930258996738</v>
      </c>
      <c r="BO48">
        <f t="shared" ca="1" si="4"/>
        <v>0.10193025899673813</v>
      </c>
    </row>
    <row r="49" spans="6:67">
      <c r="F49">
        <f t="shared" si="2"/>
        <v>60.99</v>
      </c>
      <c r="G49">
        <f t="shared" ref="G49:BN49" ca="1" si="50">F49*EXP(($B$2-0.5*$B$3^2)*$B$4+$B$3*_xlfn.NORM.INV(RAND(),0,SQRT($B$4)))</f>
        <v>62.850436949207307</v>
      </c>
      <c r="H49">
        <f t="shared" ca="1" si="50"/>
        <v>61.979582854575092</v>
      </c>
      <c r="I49">
        <f t="shared" ca="1" si="50"/>
        <v>63.235817195657198</v>
      </c>
      <c r="J49">
        <f t="shared" ca="1" si="50"/>
        <v>64.615717636550812</v>
      </c>
      <c r="K49">
        <f t="shared" ca="1" si="50"/>
        <v>65.901178944787461</v>
      </c>
      <c r="L49">
        <f t="shared" ca="1" si="50"/>
        <v>66.374275928775958</v>
      </c>
      <c r="M49">
        <f t="shared" ca="1" si="50"/>
        <v>66.257011447116554</v>
      </c>
      <c r="N49">
        <f t="shared" ca="1" si="50"/>
        <v>65.762030335962677</v>
      </c>
      <c r="O49">
        <f t="shared" ca="1" si="50"/>
        <v>63.847688338373821</v>
      </c>
      <c r="P49">
        <f t="shared" ca="1" si="50"/>
        <v>63.380174244873118</v>
      </c>
      <c r="Q49">
        <f t="shared" ca="1" si="50"/>
        <v>65.267738472060572</v>
      </c>
      <c r="R49">
        <f t="shared" ca="1" si="50"/>
        <v>65.625504008164512</v>
      </c>
      <c r="S49">
        <f t="shared" ca="1" si="50"/>
        <v>65.458185572723636</v>
      </c>
      <c r="T49">
        <f t="shared" ca="1" si="50"/>
        <v>66.818968543843965</v>
      </c>
      <c r="U49">
        <f t="shared" ca="1" si="50"/>
        <v>68.37625707422508</v>
      </c>
      <c r="V49">
        <f t="shared" ca="1" si="50"/>
        <v>70.062836602228515</v>
      </c>
      <c r="W49">
        <f t="shared" ca="1" si="50"/>
        <v>73.326769897863002</v>
      </c>
      <c r="X49">
        <f t="shared" ca="1" si="50"/>
        <v>73.745028260417328</v>
      </c>
      <c r="Y49">
        <f t="shared" ca="1" si="50"/>
        <v>73.172017278894756</v>
      </c>
      <c r="Z49">
        <f t="shared" ca="1" si="50"/>
        <v>71.079298359609851</v>
      </c>
      <c r="AA49">
        <f t="shared" ca="1" si="50"/>
        <v>73.388651080481267</v>
      </c>
      <c r="AB49">
        <f t="shared" ca="1" si="50"/>
        <v>70.652640321562231</v>
      </c>
      <c r="AC49">
        <f t="shared" ca="1" si="50"/>
        <v>72.208287784525353</v>
      </c>
      <c r="AD49">
        <f t="shared" ca="1" si="50"/>
        <v>73.02470433828617</v>
      </c>
      <c r="AE49">
        <f t="shared" ca="1" si="50"/>
        <v>74.592779154634897</v>
      </c>
      <c r="AF49">
        <f t="shared" ca="1" si="50"/>
        <v>75.591845400618254</v>
      </c>
      <c r="AG49">
        <f t="shared" ca="1" si="50"/>
        <v>76.44973739689749</v>
      </c>
      <c r="AH49">
        <f t="shared" ca="1" si="50"/>
        <v>76.259366979004994</v>
      </c>
      <c r="AI49">
        <f t="shared" ca="1" si="50"/>
        <v>75.957405250277915</v>
      </c>
      <c r="AJ49">
        <f t="shared" ca="1" si="50"/>
        <v>78.062235554753286</v>
      </c>
      <c r="AK49">
        <f t="shared" ca="1" si="50"/>
        <v>78.043714586100194</v>
      </c>
      <c r="AL49">
        <f t="shared" ca="1" si="50"/>
        <v>77.719496317751918</v>
      </c>
      <c r="AM49">
        <f t="shared" ca="1" si="50"/>
        <v>77.854105706688131</v>
      </c>
      <c r="AN49">
        <f t="shared" ca="1" si="50"/>
        <v>77.927701308521478</v>
      </c>
      <c r="AO49">
        <f t="shared" ca="1" si="50"/>
        <v>79.761939741105436</v>
      </c>
      <c r="AP49">
        <f t="shared" ca="1" si="50"/>
        <v>78.379861456845575</v>
      </c>
      <c r="AQ49">
        <f t="shared" ca="1" si="50"/>
        <v>77.199541098652304</v>
      </c>
      <c r="AR49">
        <f t="shared" ca="1" si="50"/>
        <v>77.640675101638465</v>
      </c>
      <c r="AS49">
        <f t="shared" ca="1" si="50"/>
        <v>75.426016983305914</v>
      </c>
      <c r="AT49">
        <f t="shared" ca="1" si="50"/>
        <v>73.946363334561241</v>
      </c>
      <c r="AU49">
        <f t="shared" ca="1" si="50"/>
        <v>77.07382032859951</v>
      </c>
      <c r="AV49">
        <f t="shared" ca="1" si="50"/>
        <v>76.595636668609501</v>
      </c>
      <c r="AW49">
        <f t="shared" ca="1" si="50"/>
        <v>76.845053610019519</v>
      </c>
      <c r="AX49">
        <f t="shared" ca="1" si="50"/>
        <v>78.095608245616148</v>
      </c>
      <c r="AY49">
        <f t="shared" ca="1" si="50"/>
        <v>80.906971121689253</v>
      </c>
      <c r="AZ49">
        <f t="shared" ca="1" si="50"/>
        <v>80.043871322787069</v>
      </c>
      <c r="BA49">
        <f t="shared" ca="1" si="50"/>
        <v>77.250672031117261</v>
      </c>
      <c r="BB49">
        <f t="shared" ca="1" si="50"/>
        <v>77.46060338128936</v>
      </c>
      <c r="BC49">
        <f t="shared" ca="1" si="50"/>
        <v>80.542432840701949</v>
      </c>
      <c r="BD49">
        <f t="shared" ca="1" si="50"/>
        <v>79.623405272795068</v>
      </c>
      <c r="BE49">
        <f t="shared" ca="1" si="50"/>
        <v>81.298031817348658</v>
      </c>
      <c r="BF49">
        <f t="shared" ca="1" si="50"/>
        <v>82.676354061482627</v>
      </c>
      <c r="BG49">
        <f t="shared" ca="1" si="50"/>
        <v>81.09086542378445</v>
      </c>
      <c r="BH49">
        <f t="shared" ca="1" si="50"/>
        <v>82.673139732000507</v>
      </c>
      <c r="BI49">
        <f t="shared" ca="1" si="50"/>
        <v>81.116296624115847</v>
      </c>
      <c r="BJ49">
        <f t="shared" ca="1" si="50"/>
        <v>82.042409915338155</v>
      </c>
      <c r="BK49">
        <f t="shared" ca="1" si="50"/>
        <v>80.880342326716274</v>
      </c>
      <c r="BL49">
        <f t="shared" ca="1" si="50"/>
        <v>81.763729350581087</v>
      </c>
      <c r="BM49">
        <f t="shared" ca="1" si="50"/>
        <v>80.418196876300186</v>
      </c>
      <c r="BN49">
        <f t="shared" ca="1" si="50"/>
        <v>77.514485911578817</v>
      </c>
      <c r="BO49">
        <f t="shared" ca="1" si="4"/>
        <v>19.514485911578817</v>
      </c>
    </row>
    <row r="50" spans="6:67">
      <c r="F50">
        <f t="shared" si="2"/>
        <v>60.99</v>
      </c>
      <c r="G50">
        <f t="shared" ref="G50:BN50" ca="1" si="51">F50*EXP(($B$2-0.5*$B$3^2)*$B$4+$B$3*_xlfn.NORM.INV(RAND(),0,SQRT($B$4)))</f>
        <v>60.319725710055778</v>
      </c>
      <c r="H50">
        <f t="shared" ca="1" si="51"/>
        <v>58.775428843578702</v>
      </c>
      <c r="I50">
        <f t="shared" ca="1" si="51"/>
        <v>57.654858026508656</v>
      </c>
      <c r="J50">
        <f t="shared" ca="1" si="51"/>
        <v>57.063977844805173</v>
      </c>
      <c r="K50">
        <f t="shared" ca="1" si="51"/>
        <v>58.825201778249529</v>
      </c>
      <c r="L50">
        <f t="shared" ca="1" si="51"/>
        <v>56.972892975438818</v>
      </c>
      <c r="M50">
        <f t="shared" ca="1" si="51"/>
        <v>57.286084352412352</v>
      </c>
      <c r="N50">
        <f t="shared" ca="1" si="51"/>
        <v>57.486523287214908</v>
      </c>
      <c r="O50">
        <f t="shared" ca="1" si="51"/>
        <v>56.925218594894332</v>
      </c>
      <c r="P50">
        <f t="shared" ca="1" si="51"/>
        <v>56.615442248851465</v>
      </c>
      <c r="Q50">
        <f t="shared" ca="1" si="51"/>
        <v>54.833752892434056</v>
      </c>
      <c r="R50">
        <f t="shared" ca="1" si="51"/>
        <v>54.230169883472378</v>
      </c>
      <c r="S50">
        <f t="shared" ca="1" si="51"/>
        <v>54.043807935381388</v>
      </c>
      <c r="T50">
        <f t="shared" ca="1" si="51"/>
        <v>54.849383598637147</v>
      </c>
      <c r="U50">
        <f t="shared" ca="1" si="51"/>
        <v>54.238393123414951</v>
      </c>
      <c r="V50">
        <f t="shared" ca="1" si="51"/>
        <v>53.518149018122593</v>
      </c>
      <c r="W50">
        <f t="shared" ca="1" si="51"/>
        <v>52.962557782040115</v>
      </c>
      <c r="X50">
        <f t="shared" ca="1" si="51"/>
        <v>53.007923332895309</v>
      </c>
      <c r="Y50">
        <f t="shared" ca="1" si="51"/>
        <v>56.308993134535314</v>
      </c>
      <c r="Z50">
        <f t="shared" ca="1" si="51"/>
        <v>58.424825362805343</v>
      </c>
      <c r="AA50">
        <f t="shared" ca="1" si="51"/>
        <v>57.476529362313642</v>
      </c>
      <c r="AB50">
        <f t="shared" ca="1" si="51"/>
        <v>57.691338246574006</v>
      </c>
      <c r="AC50">
        <f t="shared" ca="1" si="51"/>
        <v>57.258863109641219</v>
      </c>
      <c r="AD50">
        <f t="shared" ca="1" si="51"/>
        <v>56.89385883349491</v>
      </c>
      <c r="AE50">
        <f t="shared" ca="1" si="51"/>
        <v>57.369028508084732</v>
      </c>
      <c r="AF50">
        <f t="shared" ca="1" si="51"/>
        <v>55.499926438272063</v>
      </c>
      <c r="AG50">
        <f t="shared" ca="1" si="51"/>
        <v>54.981585914788639</v>
      </c>
      <c r="AH50">
        <f t="shared" ca="1" si="51"/>
        <v>54.086144694584632</v>
      </c>
      <c r="AI50">
        <f t="shared" ca="1" si="51"/>
        <v>53.190366507396242</v>
      </c>
      <c r="AJ50">
        <f t="shared" ca="1" si="51"/>
        <v>52.757825666709046</v>
      </c>
      <c r="AK50">
        <f t="shared" ca="1" si="51"/>
        <v>54.624177056986632</v>
      </c>
      <c r="AL50">
        <f t="shared" ca="1" si="51"/>
        <v>54.107551545674973</v>
      </c>
      <c r="AM50">
        <f t="shared" ca="1" si="51"/>
        <v>52.979922463164307</v>
      </c>
      <c r="AN50">
        <f t="shared" ca="1" si="51"/>
        <v>52.451620698501344</v>
      </c>
      <c r="AO50">
        <f t="shared" ca="1" si="51"/>
        <v>54.838724599063333</v>
      </c>
      <c r="AP50">
        <f t="shared" ca="1" si="51"/>
        <v>57.102692676508745</v>
      </c>
      <c r="AQ50">
        <f t="shared" ca="1" si="51"/>
        <v>56.62085481615987</v>
      </c>
      <c r="AR50">
        <f t="shared" ca="1" si="51"/>
        <v>56.238557424449787</v>
      </c>
      <c r="AS50">
        <f t="shared" ca="1" si="51"/>
        <v>56.871873870199998</v>
      </c>
      <c r="AT50">
        <f t="shared" ca="1" si="51"/>
        <v>56.684044484263886</v>
      </c>
      <c r="AU50">
        <f t="shared" ca="1" si="51"/>
        <v>57.265900564154109</v>
      </c>
      <c r="AV50">
        <f t="shared" ca="1" si="51"/>
        <v>58.507354896532632</v>
      </c>
      <c r="AW50">
        <f t="shared" ca="1" si="51"/>
        <v>58.584153747219766</v>
      </c>
      <c r="AX50">
        <f t="shared" ca="1" si="51"/>
        <v>59.422086888653809</v>
      </c>
      <c r="AY50">
        <f t="shared" ca="1" si="51"/>
        <v>60.311491856796771</v>
      </c>
      <c r="AZ50">
        <f t="shared" ca="1" si="51"/>
        <v>61.316521509489007</v>
      </c>
      <c r="BA50">
        <f t="shared" ca="1" si="51"/>
        <v>61.450940037864953</v>
      </c>
      <c r="BB50">
        <f t="shared" ca="1" si="51"/>
        <v>62.75386580953537</v>
      </c>
      <c r="BC50">
        <f t="shared" ca="1" si="51"/>
        <v>61.23593326043656</v>
      </c>
      <c r="BD50">
        <f t="shared" ca="1" si="51"/>
        <v>62.35571287372624</v>
      </c>
      <c r="BE50">
        <f t="shared" ca="1" si="51"/>
        <v>64.469554822511753</v>
      </c>
      <c r="BF50">
        <f t="shared" ca="1" si="51"/>
        <v>64.586394721761678</v>
      </c>
      <c r="BG50">
        <f t="shared" ca="1" si="51"/>
        <v>65.458845326056291</v>
      </c>
      <c r="BH50">
        <f t="shared" ca="1" si="51"/>
        <v>65.016107250179317</v>
      </c>
      <c r="BI50">
        <f t="shared" ca="1" si="51"/>
        <v>65.051828038201677</v>
      </c>
      <c r="BJ50">
        <f t="shared" ca="1" si="51"/>
        <v>65.341279207693475</v>
      </c>
      <c r="BK50">
        <f t="shared" ca="1" si="51"/>
        <v>66.066768246384825</v>
      </c>
      <c r="BL50">
        <f t="shared" ca="1" si="51"/>
        <v>65.428716790146737</v>
      </c>
      <c r="BM50">
        <f t="shared" ca="1" si="51"/>
        <v>63.752534520828497</v>
      </c>
      <c r="BN50">
        <f t="shared" ca="1" si="51"/>
        <v>64.986027998677599</v>
      </c>
      <c r="BO50">
        <f t="shared" ca="1" si="4"/>
        <v>6.9860279986775993</v>
      </c>
    </row>
    <row r="51" spans="6:67">
      <c r="F51">
        <f t="shared" si="2"/>
        <v>60.99</v>
      </c>
      <c r="G51">
        <f t="shared" ref="G51:BN51" ca="1" si="52">F51*EXP(($B$2-0.5*$B$3^2)*$B$4+$B$3*_xlfn.NORM.INV(RAND(),0,SQRT($B$4)))</f>
        <v>60.890984444522289</v>
      </c>
      <c r="H51">
        <f t="shared" ca="1" si="52"/>
        <v>62.454711184687845</v>
      </c>
      <c r="I51">
        <f t="shared" ca="1" si="52"/>
        <v>61.579924690819006</v>
      </c>
      <c r="J51">
        <f t="shared" ca="1" si="52"/>
        <v>61.746446034712569</v>
      </c>
      <c r="K51">
        <f t="shared" ca="1" si="52"/>
        <v>61.847546516728201</v>
      </c>
      <c r="L51">
        <f t="shared" ca="1" si="52"/>
        <v>62.184115671875027</v>
      </c>
      <c r="M51">
        <f t="shared" ca="1" si="52"/>
        <v>62.548048955801796</v>
      </c>
      <c r="N51">
        <f t="shared" ca="1" si="52"/>
        <v>62.233259055393411</v>
      </c>
      <c r="O51">
        <f t="shared" ca="1" si="52"/>
        <v>63.591995230348559</v>
      </c>
      <c r="P51">
        <f t="shared" ca="1" si="52"/>
        <v>63.745719876547184</v>
      </c>
      <c r="Q51">
        <f t="shared" ca="1" si="52"/>
        <v>65.594696440020314</v>
      </c>
      <c r="R51">
        <f t="shared" ca="1" si="52"/>
        <v>65.123980425454562</v>
      </c>
      <c r="S51">
        <f t="shared" ca="1" si="52"/>
        <v>63.93030201837594</v>
      </c>
      <c r="T51">
        <f t="shared" ca="1" si="52"/>
        <v>66.247966866090138</v>
      </c>
      <c r="U51">
        <f t="shared" ca="1" si="52"/>
        <v>69.502730697359198</v>
      </c>
      <c r="V51">
        <f t="shared" ca="1" si="52"/>
        <v>67.830782877308764</v>
      </c>
      <c r="W51">
        <f t="shared" ca="1" si="52"/>
        <v>69.916800360577923</v>
      </c>
      <c r="X51">
        <f t="shared" ca="1" si="52"/>
        <v>68.805134773700743</v>
      </c>
      <c r="Y51">
        <f t="shared" ca="1" si="52"/>
        <v>68.652769700539224</v>
      </c>
      <c r="Z51">
        <f t="shared" ca="1" si="52"/>
        <v>69.023999878104107</v>
      </c>
      <c r="AA51">
        <f t="shared" ca="1" si="52"/>
        <v>69.269874688483725</v>
      </c>
      <c r="AB51">
        <f t="shared" ca="1" si="52"/>
        <v>71.044466746168922</v>
      </c>
      <c r="AC51">
        <f t="shared" ca="1" si="52"/>
        <v>71.280996371623971</v>
      </c>
      <c r="AD51">
        <f t="shared" ca="1" si="52"/>
        <v>72.089219468044334</v>
      </c>
      <c r="AE51">
        <f t="shared" ca="1" si="52"/>
        <v>73.312059385079181</v>
      </c>
      <c r="AF51">
        <f t="shared" ca="1" si="52"/>
        <v>74.186327064639883</v>
      </c>
      <c r="AG51">
        <f t="shared" ca="1" si="52"/>
        <v>75.20035101615926</v>
      </c>
      <c r="AH51">
        <f t="shared" ca="1" si="52"/>
        <v>74.456262348230823</v>
      </c>
      <c r="AI51">
        <f t="shared" ca="1" si="52"/>
        <v>74.745736690731263</v>
      </c>
      <c r="AJ51">
        <f t="shared" ca="1" si="52"/>
        <v>74.105905323066054</v>
      </c>
      <c r="AK51">
        <f t="shared" ca="1" si="52"/>
        <v>74.934259761633101</v>
      </c>
      <c r="AL51">
        <f t="shared" ca="1" si="52"/>
        <v>73.736476293467007</v>
      </c>
      <c r="AM51">
        <f t="shared" ca="1" si="52"/>
        <v>74.213442678085599</v>
      </c>
      <c r="AN51">
        <f t="shared" ca="1" si="52"/>
        <v>72.873478620050477</v>
      </c>
      <c r="AO51">
        <f t="shared" ca="1" si="52"/>
        <v>72.451657497223067</v>
      </c>
      <c r="AP51">
        <f t="shared" ca="1" si="52"/>
        <v>72.464320068552539</v>
      </c>
      <c r="AQ51">
        <f t="shared" ca="1" si="52"/>
        <v>70.170494262657414</v>
      </c>
      <c r="AR51">
        <f t="shared" ca="1" si="52"/>
        <v>69.4332494435846</v>
      </c>
      <c r="AS51">
        <f t="shared" ca="1" si="52"/>
        <v>69.221255498262636</v>
      </c>
      <c r="AT51">
        <f t="shared" ca="1" si="52"/>
        <v>68.370914372964236</v>
      </c>
      <c r="AU51">
        <f t="shared" ca="1" si="52"/>
        <v>68.027940458261781</v>
      </c>
      <c r="AV51">
        <f t="shared" ca="1" si="52"/>
        <v>66.546908452852932</v>
      </c>
      <c r="AW51">
        <f t="shared" ca="1" si="52"/>
        <v>66.586355600717283</v>
      </c>
      <c r="AX51">
        <f t="shared" ca="1" si="52"/>
        <v>66.92341781954056</v>
      </c>
      <c r="AY51">
        <f t="shared" ca="1" si="52"/>
        <v>65.507208241950437</v>
      </c>
      <c r="AZ51">
        <f t="shared" ca="1" si="52"/>
        <v>66.370666234694511</v>
      </c>
      <c r="BA51">
        <f t="shared" ca="1" si="52"/>
        <v>67.200400889475333</v>
      </c>
      <c r="BB51">
        <f t="shared" ca="1" si="52"/>
        <v>67.658802016091315</v>
      </c>
      <c r="BC51">
        <f t="shared" ca="1" si="52"/>
        <v>67.207001180075224</v>
      </c>
      <c r="BD51">
        <f t="shared" ca="1" si="52"/>
        <v>70.338502878219771</v>
      </c>
      <c r="BE51">
        <f t="shared" ca="1" si="52"/>
        <v>70.351602691434465</v>
      </c>
      <c r="BF51">
        <f t="shared" ca="1" si="52"/>
        <v>73.418567592877849</v>
      </c>
      <c r="BG51">
        <f t="shared" ca="1" si="52"/>
        <v>75.707682209417626</v>
      </c>
      <c r="BH51">
        <f t="shared" ca="1" si="52"/>
        <v>73.803372326180053</v>
      </c>
      <c r="BI51">
        <f t="shared" ca="1" si="52"/>
        <v>74.771003226857033</v>
      </c>
      <c r="BJ51">
        <f t="shared" ca="1" si="52"/>
        <v>74.993543896839142</v>
      </c>
      <c r="BK51">
        <f t="shared" ca="1" si="52"/>
        <v>75.347469812469768</v>
      </c>
      <c r="BL51">
        <f t="shared" ca="1" si="52"/>
        <v>76.730181654932224</v>
      </c>
      <c r="BM51">
        <f t="shared" ca="1" si="52"/>
        <v>79.203266183617941</v>
      </c>
      <c r="BN51">
        <f t="shared" ca="1" si="52"/>
        <v>80.494167658616036</v>
      </c>
      <c r="BO51">
        <f t="shared" ca="1" si="4"/>
        <v>22.494167658616036</v>
      </c>
    </row>
    <row r="52" spans="6:67">
      <c r="F52">
        <f t="shared" si="2"/>
        <v>60.99</v>
      </c>
      <c r="G52">
        <f t="shared" ref="G52:BN52" ca="1" si="53">F52*EXP(($B$2-0.5*$B$3^2)*$B$4+$B$3*_xlfn.NORM.INV(RAND(),0,SQRT($B$4)))</f>
        <v>59.0040916298939</v>
      </c>
      <c r="H52">
        <f t="shared" ca="1" si="53"/>
        <v>58.335243783443417</v>
      </c>
      <c r="I52">
        <f t="shared" ca="1" si="53"/>
        <v>58.8317846941233</v>
      </c>
      <c r="J52">
        <f t="shared" ca="1" si="53"/>
        <v>61.085647215169821</v>
      </c>
      <c r="K52">
        <f t="shared" ca="1" si="53"/>
        <v>60.755385817870895</v>
      </c>
      <c r="L52">
        <f t="shared" ca="1" si="53"/>
        <v>60.283437597557601</v>
      </c>
      <c r="M52">
        <f t="shared" ca="1" si="53"/>
        <v>58.925905961921423</v>
      </c>
      <c r="N52">
        <f t="shared" ca="1" si="53"/>
        <v>58.675184467280957</v>
      </c>
      <c r="O52">
        <f t="shared" ca="1" si="53"/>
        <v>60.510409855208593</v>
      </c>
      <c r="P52">
        <f t="shared" ca="1" si="53"/>
        <v>60.336271265031264</v>
      </c>
      <c r="Q52">
        <f t="shared" ca="1" si="53"/>
        <v>59.502367139754192</v>
      </c>
      <c r="R52">
        <f t="shared" ca="1" si="53"/>
        <v>60.136568868556353</v>
      </c>
      <c r="S52">
        <f t="shared" ca="1" si="53"/>
        <v>59.41126971531051</v>
      </c>
      <c r="T52">
        <f t="shared" ca="1" si="53"/>
        <v>62.132482010240324</v>
      </c>
      <c r="U52">
        <f t="shared" ca="1" si="53"/>
        <v>60.902769443544777</v>
      </c>
      <c r="V52">
        <f t="shared" ca="1" si="53"/>
        <v>63.702392234916168</v>
      </c>
      <c r="W52">
        <f t="shared" ca="1" si="53"/>
        <v>64.853424502687375</v>
      </c>
      <c r="X52">
        <f t="shared" ca="1" si="53"/>
        <v>65.218110965383033</v>
      </c>
      <c r="Y52">
        <f t="shared" ca="1" si="53"/>
        <v>65.646412875928291</v>
      </c>
      <c r="Z52">
        <f t="shared" ca="1" si="53"/>
        <v>66.617711815690129</v>
      </c>
      <c r="AA52">
        <f t="shared" ca="1" si="53"/>
        <v>65.783085236137765</v>
      </c>
      <c r="AB52">
        <f t="shared" ca="1" si="53"/>
        <v>66.667569162825089</v>
      </c>
      <c r="AC52">
        <f t="shared" ca="1" si="53"/>
        <v>66.795769836483771</v>
      </c>
      <c r="AD52">
        <f t="shared" ca="1" si="53"/>
        <v>65.81099970875546</v>
      </c>
      <c r="AE52">
        <f t="shared" ca="1" si="53"/>
        <v>64.937084289543321</v>
      </c>
      <c r="AF52">
        <f t="shared" ca="1" si="53"/>
        <v>64.944356315129568</v>
      </c>
      <c r="AG52">
        <f t="shared" ca="1" si="53"/>
        <v>64.643493288109454</v>
      </c>
      <c r="AH52">
        <f t="shared" ca="1" si="53"/>
        <v>65.300506289445735</v>
      </c>
      <c r="AI52">
        <f t="shared" ca="1" si="53"/>
        <v>68.758074553284573</v>
      </c>
      <c r="AJ52">
        <f t="shared" ca="1" si="53"/>
        <v>68.804172670145064</v>
      </c>
      <c r="AK52">
        <f t="shared" ca="1" si="53"/>
        <v>68.119087737213235</v>
      </c>
      <c r="AL52">
        <f t="shared" ca="1" si="53"/>
        <v>67.383695547389735</v>
      </c>
      <c r="AM52">
        <f t="shared" ca="1" si="53"/>
        <v>68.700136478633453</v>
      </c>
      <c r="AN52">
        <f t="shared" ca="1" si="53"/>
        <v>68.624481841248127</v>
      </c>
      <c r="AO52">
        <f t="shared" ca="1" si="53"/>
        <v>68.303225411494694</v>
      </c>
      <c r="AP52">
        <f t="shared" ca="1" si="53"/>
        <v>68.837896779363163</v>
      </c>
      <c r="AQ52">
        <f t="shared" ca="1" si="53"/>
        <v>69.90811450621699</v>
      </c>
      <c r="AR52">
        <f t="shared" ca="1" si="53"/>
        <v>71.714521265439842</v>
      </c>
      <c r="AS52">
        <f t="shared" ca="1" si="53"/>
        <v>72.539017162703004</v>
      </c>
      <c r="AT52">
        <f t="shared" ca="1" si="53"/>
        <v>72.239305511171509</v>
      </c>
      <c r="AU52">
        <f t="shared" ca="1" si="53"/>
        <v>69.732057119464955</v>
      </c>
      <c r="AV52">
        <f t="shared" ca="1" si="53"/>
        <v>69.061950961907627</v>
      </c>
      <c r="AW52">
        <f t="shared" ca="1" si="53"/>
        <v>68.571455099288187</v>
      </c>
      <c r="AX52">
        <f t="shared" ca="1" si="53"/>
        <v>68.257453973653639</v>
      </c>
      <c r="AY52">
        <f t="shared" ca="1" si="53"/>
        <v>69.010783521951836</v>
      </c>
      <c r="AZ52">
        <f t="shared" ca="1" si="53"/>
        <v>68.93198721903812</v>
      </c>
      <c r="BA52">
        <f t="shared" ca="1" si="53"/>
        <v>68.825008091676978</v>
      </c>
      <c r="BB52">
        <f t="shared" ca="1" si="53"/>
        <v>71.257056964585175</v>
      </c>
      <c r="BC52">
        <f t="shared" ca="1" si="53"/>
        <v>71.088694661040307</v>
      </c>
      <c r="BD52">
        <f t="shared" ca="1" si="53"/>
        <v>70.342830118308825</v>
      </c>
      <c r="BE52">
        <f t="shared" ca="1" si="53"/>
        <v>70.056646900460237</v>
      </c>
      <c r="BF52">
        <f t="shared" ca="1" si="53"/>
        <v>71.82160345317034</v>
      </c>
      <c r="BG52">
        <f t="shared" ca="1" si="53"/>
        <v>70.041802881969858</v>
      </c>
      <c r="BH52">
        <f t="shared" ca="1" si="53"/>
        <v>71.941953687875568</v>
      </c>
      <c r="BI52">
        <f t="shared" ca="1" si="53"/>
        <v>71.259532640046061</v>
      </c>
      <c r="BJ52">
        <f t="shared" ca="1" si="53"/>
        <v>69.648236956539307</v>
      </c>
      <c r="BK52">
        <f t="shared" ca="1" si="53"/>
        <v>70.840491788931374</v>
      </c>
      <c r="BL52">
        <f t="shared" ca="1" si="53"/>
        <v>70.867259432360271</v>
      </c>
      <c r="BM52">
        <f t="shared" ca="1" si="53"/>
        <v>70.541596781560386</v>
      </c>
      <c r="BN52">
        <f t="shared" ca="1" si="53"/>
        <v>69.838824535346006</v>
      </c>
      <c r="BO52">
        <f t="shared" ca="1" si="4"/>
        <v>11.838824535346006</v>
      </c>
    </row>
    <row r="53" spans="6:67">
      <c r="F53">
        <f t="shared" si="2"/>
        <v>60.99</v>
      </c>
      <c r="G53">
        <f t="shared" ref="G53:BN53" ca="1" si="54">F53*EXP(($B$2-0.5*$B$3^2)*$B$4+$B$3*_xlfn.NORM.INV(RAND(),0,SQRT($B$4)))</f>
        <v>62.17417401918032</v>
      </c>
      <c r="H53">
        <f t="shared" ca="1" si="54"/>
        <v>61.802752110635403</v>
      </c>
      <c r="I53">
        <f t="shared" ca="1" si="54"/>
        <v>64.366820422693195</v>
      </c>
      <c r="J53">
        <f t="shared" ca="1" si="54"/>
        <v>64.533155114717232</v>
      </c>
      <c r="K53">
        <f t="shared" ca="1" si="54"/>
        <v>63.918500207233272</v>
      </c>
      <c r="L53">
        <f t="shared" ca="1" si="54"/>
        <v>63.960371181266112</v>
      </c>
      <c r="M53">
        <f t="shared" ca="1" si="54"/>
        <v>64.081282253952097</v>
      </c>
      <c r="N53">
        <f t="shared" ca="1" si="54"/>
        <v>62.016758510148726</v>
      </c>
      <c r="O53">
        <f t="shared" ca="1" si="54"/>
        <v>60.367540240747282</v>
      </c>
      <c r="P53">
        <f t="shared" ca="1" si="54"/>
        <v>60.871496950141896</v>
      </c>
      <c r="Q53">
        <f t="shared" ca="1" si="54"/>
        <v>61.375246774078967</v>
      </c>
      <c r="R53">
        <f t="shared" ca="1" si="54"/>
        <v>60.662552504987254</v>
      </c>
      <c r="S53">
        <f t="shared" ca="1" si="54"/>
        <v>60.053453434684805</v>
      </c>
      <c r="T53">
        <f t="shared" ca="1" si="54"/>
        <v>58.401229932198667</v>
      </c>
      <c r="U53">
        <f t="shared" ca="1" si="54"/>
        <v>59.019663223340864</v>
      </c>
      <c r="V53">
        <f t="shared" ca="1" si="54"/>
        <v>58.310612935284418</v>
      </c>
      <c r="W53">
        <f t="shared" ca="1" si="54"/>
        <v>59.148685828056671</v>
      </c>
      <c r="X53">
        <f t="shared" ca="1" si="54"/>
        <v>58.365266404303433</v>
      </c>
      <c r="Y53">
        <f t="shared" ca="1" si="54"/>
        <v>59.858756758181649</v>
      </c>
      <c r="Z53">
        <f t="shared" ca="1" si="54"/>
        <v>59.537113704413322</v>
      </c>
      <c r="AA53">
        <f t="shared" ca="1" si="54"/>
        <v>59.099147433525722</v>
      </c>
      <c r="AB53">
        <f t="shared" ca="1" si="54"/>
        <v>57.869018870992463</v>
      </c>
      <c r="AC53">
        <f t="shared" ca="1" si="54"/>
        <v>57.442618528842196</v>
      </c>
      <c r="AD53">
        <f t="shared" ca="1" si="54"/>
        <v>56.319122622466807</v>
      </c>
      <c r="AE53">
        <f t="shared" ca="1" si="54"/>
        <v>55.677217951290338</v>
      </c>
      <c r="AF53">
        <f t="shared" ca="1" si="54"/>
        <v>56.647211724172607</v>
      </c>
      <c r="AG53">
        <f t="shared" ca="1" si="54"/>
        <v>56.246132029217151</v>
      </c>
      <c r="AH53">
        <f t="shared" ca="1" si="54"/>
        <v>54.536287382466334</v>
      </c>
      <c r="AI53">
        <f t="shared" ca="1" si="54"/>
        <v>52.687138696785006</v>
      </c>
      <c r="AJ53">
        <f t="shared" ca="1" si="54"/>
        <v>52.528342766678364</v>
      </c>
      <c r="AK53">
        <f t="shared" ca="1" si="54"/>
        <v>52.698932705433542</v>
      </c>
      <c r="AL53">
        <f t="shared" ca="1" si="54"/>
        <v>54.134605750909934</v>
      </c>
      <c r="AM53">
        <f t="shared" ca="1" si="54"/>
        <v>54.788528291382342</v>
      </c>
      <c r="AN53">
        <f t="shared" ca="1" si="54"/>
        <v>55.357138019064138</v>
      </c>
      <c r="AO53">
        <f t="shared" ca="1" si="54"/>
        <v>55.718879699474876</v>
      </c>
      <c r="AP53">
        <f t="shared" ca="1" si="54"/>
        <v>56.487667565484152</v>
      </c>
      <c r="AQ53">
        <f t="shared" ca="1" si="54"/>
        <v>54.899857291829228</v>
      </c>
      <c r="AR53">
        <f t="shared" ca="1" si="54"/>
        <v>55.118822089198424</v>
      </c>
      <c r="AS53">
        <f t="shared" ca="1" si="54"/>
        <v>55.578224354525624</v>
      </c>
      <c r="AT53">
        <f t="shared" ca="1" si="54"/>
        <v>54.362678878358174</v>
      </c>
      <c r="AU53">
        <f t="shared" ca="1" si="54"/>
        <v>53.999380689197295</v>
      </c>
      <c r="AV53">
        <f t="shared" ca="1" si="54"/>
        <v>53.556093148424488</v>
      </c>
      <c r="AW53">
        <f t="shared" ca="1" si="54"/>
        <v>55.971240297367636</v>
      </c>
      <c r="AX53">
        <f t="shared" ca="1" si="54"/>
        <v>54.644457064941513</v>
      </c>
      <c r="AY53">
        <f t="shared" ca="1" si="54"/>
        <v>53.735966868371321</v>
      </c>
      <c r="AZ53">
        <f t="shared" ca="1" si="54"/>
        <v>53.261702967900469</v>
      </c>
      <c r="BA53">
        <f t="shared" ca="1" si="54"/>
        <v>53.242883660501207</v>
      </c>
      <c r="BB53">
        <f t="shared" ca="1" si="54"/>
        <v>53.466244370065354</v>
      </c>
      <c r="BC53">
        <f t="shared" ca="1" si="54"/>
        <v>54.138950484513842</v>
      </c>
      <c r="BD53">
        <f t="shared" ca="1" si="54"/>
        <v>55.825845053439174</v>
      </c>
      <c r="BE53">
        <f t="shared" ca="1" si="54"/>
        <v>55.486865703361836</v>
      </c>
      <c r="BF53">
        <f t="shared" ca="1" si="54"/>
        <v>57.627262668024237</v>
      </c>
      <c r="BG53">
        <f t="shared" ca="1" si="54"/>
        <v>59.86764057918618</v>
      </c>
      <c r="BH53">
        <f t="shared" ca="1" si="54"/>
        <v>58.509883278114906</v>
      </c>
      <c r="BI53">
        <f t="shared" ca="1" si="54"/>
        <v>56.003450440603466</v>
      </c>
      <c r="BJ53">
        <f t="shared" ca="1" si="54"/>
        <v>57.024780114530486</v>
      </c>
      <c r="BK53">
        <f t="shared" ca="1" si="54"/>
        <v>55.128062526333672</v>
      </c>
      <c r="BL53">
        <f t="shared" ca="1" si="54"/>
        <v>57.303114998379911</v>
      </c>
      <c r="BM53">
        <f t="shared" ca="1" si="54"/>
        <v>58.36453980945597</v>
      </c>
      <c r="BN53">
        <f t="shared" ca="1" si="54"/>
        <v>57.481477883681762</v>
      </c>
      <c r="BO53">
        <f t="shared" ca="1" si="4"/>
        <v>0</v>
      </c>
    </row>
    <row r="54" spans="6:67">
      <c r="F54">
        <f t="shared" si="2"/>
        <v>60.99</v>
      </c>
      <c r="G54">
        <f t="shared" ref="G54:BN54" ca="1" si="55">F54*EXP(($B$2-0.5*$B$3^2)*$B$4+$B$3*_xlfn.NORM.INV(RAND(),0,SQRT($B$4)))</f>
        <v>62.054398564380087</v>
      </c>
      <c r="H54">
        <f t="shared" ca="1" si="55"/>
        <v>62.990162543024745</v>
      </c>
      <c r="I54">
        <f t="shared" ca="1" si="55"/>
        <v>63.73453860687831</v>
      </c>
      <c r="J54">
        <f t="shared" ca="1" si="55"/>
        <v>62.80818509403408</v>
      </c>
      <c r="K54">
        <f t="shared" ca="1" si="55"/>
        <v>64.431029809091726</v>
      </c>
      <c r="L54">
        <f t="shared" ca="1" si="55"/>
        <v>63.356400765362018</v>
      </c>
      <c r="M54">
        <f t="shared" ca="1" si="55"/>
        <v>64.020699120252743</v>
      </c>
      <c r="N54">
        <f t="shared" ca="1" si="55"/>
        <v>64.479045665694159</v>
      </c>
      <c r="O54">
        <f t="shared" ca="1" si="55"/>
        <v>64.516565638571009</v>
      </c>
      <c r="P54">
        <f t="shared" ca="1" si="55"/>
        <v>64.136021021786064</v>
      </c>
      <c r="Q54">
        <f t="shared" ca="1" si="55"/>
        <v>63.085085968995394</v>
      </c>
      <c r="R54">
        <f t="shared" ca="1" si="55"/>
        <v>65.297915454191482</v>
      </c>
      <c r="S54">
        <f t="shared" ca="1" si="55"/>
        <v>65.455277452263729</v>
      </c>
      <c r="T54">
        <f t="shared" ca="1" si="55"/>
        <v>66.355305523196591</v>
      </c>
      <c r="U54">
        <f t="shared" ca="1" si="55"/>
        <v>68.410331220614751</v>
      </c>
      <c r="V54">
        <f t="shared" ca="1" si="55"/>
        <v>67.791551081752942</v>
      </c>
      <c r="W54">
        <f t="shared" ca="1" si="55"/>
        <v>69.243158240278518</v>
      </c>
      <c r="X54">
        <f t="shared" ca="1" si="55"/>
        <v>67.57521426323477</v>
      </c>
      <c r="Y54">
        <f t="shared" ca="1" si="55"/>
        <v>68.744899158294842</v>
      </c>
      <c r="Z54">
        <f t="shared" ca="1" si="55"/>
        <v>69.881477367557792</v>
      </c>
      <c r="AA54">
        <f t="shared" ca="1" si="55"/>
        <v>69.950591238616084</v>
      </c>
      <c r="AB54">
        <f t="shared" ca="1" si="55"/>
        <v>70.662681288991905</v>
      </c>
      <c r="AC54">
        <f t="shared" ca="1" si="55"/>
        <v>70.849838049568675</v>
      </c>
      <c r="AD54">
        <f t="shared" ca="1" si="55"/>
        <v>70.266786041332296</v>
      </c>
      <c r="AE54">
        <f t="shared" ca="1" si="55"/>
        <v>71.227597918600281</v>
      </c>
      <c r="AF54">
        <f t="shared" ca="1" si="55"/>
        <v>72.594812577315167</v>
      </c>
      <c r="AG54">
        <f t="shared" ca="1" si="55"/>
        <v>74.939918160013463</v>
      </c>
      <c r="AH54">
        <f t="shared" ca="1" si="55"/>
        <v>74.846897328571146</v>
      </c>
      <c r="AI54">
        <f t="shared" ca="1" si="55"/>
        <v>75.411540621292247</v>
      </c>
      <c r="AJ54">
        <f t="shared" ca="1" si="55"/>
        <v>74.957593471241168</v>
      </c>
      <c r="AK54">
        <f t="shared" ca="1" si="55"/>
        <v>75.477628411499495</v>
      </c>
      <c r="AL54">
        <f t="shared" ca="1" si="55"/>
        <v>77.78570266312353</v>
      </c>
      <c r="AM54">
        <f t="shared" ca="1" si="55"/>
        <v>78.998223550513245</v>
      </c>
      <c r="AN54">
        <f t="shared" ca="1" si="55"/>
        <v>76.76316671416852</v>
      </c>
      <c r="AO54">
        <f t="shared" ca="1" si="55"/>
        <v>77.150991679477087</v>
      </c>
      <c r="AP54">
        <f t="shared" ca="1" si="55"/>
        <v>77.347832024951344</v>
      </c>
      <c r="AQ54">
        <f t="shared" ca="1" si="55"/>
        <v>78.425218928602874</v>
      </c>
      <c r="AR54">
        <f t="shared" ca="1" si="55"/>
        <v>79.552429165958245</v>
      </c>
      <c r="AS54">
        <f t="shared" ca="1" si="55"/>
        <v>79.254360695286906</v>
      </c>
      <c r="AT54">
        <f t="shared" ca="1" si="55"/>
        <v>80.291919059310572</v>
      </c>
      <c r="AU54">
        <f t="shared" ca="1" si="55"/>
        <v>81.640832714862057</v>
      </c>
      <c r="AV54">
        <f t="shared" ca="1" si="55"/>
        <v>79.941981536150649</v>
      </c>
      <c r="AW54">
        <f t="shared" ca="1" si="55"/>
        <v>78.982530783775928</v>
      </c>
      <c r="AX54">
        <f t="shared" ca="1" si="55"/>
        <v>79.109830760142756</v>
      </c>
      <c r="AY54">
        <f t="shared" ca="1" si="55"/>
        <v>81.111488403271338</v>
      </c>
      <c r="AZ54">
        <f t="shared" ca="1" si="55"/>
        <v>81.578026617886863</v>
      </c>
      <c r="BA54">
        <f t="shared" ca="1" si="55"/>
        <v>82.21904501613858</v>
      </c>
      <c r="BB54">
        <f t="shared" ca="1" si="55"/>
        <v>83.212702395888584</v>
      </c>
      <c r="BC54">
        <f t="shared" ca="1" si="55"/>
        <v>84.827113936090043</v>
      </c>
      <c r="BD54">
        <f t="shared" ca="1" si="55"/>
        <v>86.146441858378822</v>
      </c>
      <c r="BE54">
        <f t="shared" ca="1" si="55"/>
        <v>87.909288074355217</v>
      </c>
      <c r="BF54">
        <f t="shared" ca="1" si="55"/>
        <v>90.833072827297826</v>
      </c>
      <c r="BG54">
        <f t="shared" ca="1" si="55"/>
        <v>90.123521515676273</v>
      </c>
      <c r="BH54">
        <f t="shared" ca="1" si="55"/>
        <v>88.3485166967791</v>
      </c>
      <c r="BI54">
        <f t="shared" ca="1" si="55"/>
        <v>87.138251020648397</v>
      </c>
      <c r="BJ54">
        <f t="shared" ca="1" si="55"/>
        <v>85.186224388053745</v>
      </c>
      <c r="BK54">
        <f t="shared" ca="1" si="55"/>
        <v>87.105989147585049</v>
      </c>
      <c r="BL54">
        <f t="shared" ca="1" si="55"/>
        <v>89.359206684629683</v>
      </c>
      <c r="BM54">
        <f t="shared" ca="1" si="55"/>
        <v>91.986335168067626</v>
      </c>
      <c r="BN54">
        <f t="shared" ca="1" si="55"/>
        <v>92.574488808083302</v>
      </c>
      <c r="BO54">
        <f t="shared" ca="1" si="4"/>
        <v>34.574488808083302</v>
      </c>
    </row>
    <row r="55" spans="6:67">
      <c r="F55">
        <f t="shared" si="2"/>
        <v>60.99</v>
      </c>
      <c r="G55">
        <f t="shared" ref="G55:BN55" ca="1" si="56">F55*EXP(($B$2-0.5*$B$3^2)*$B$4+$B$3*_xlfn.NORM.INV(RAND(),0,SQRT($B$4)))</f>
        <v>61.528354486698603</v>
      </c>
      <c r="H55">
        <f t="shared" ca="1" si="56"/>
        <v>61.679939962771819</v>
      </c>
      <c r="I55">
        <f t="shared" ca="1" si="56"/>
        <v>63.708882949057987</v>
      </c>
      <c r="J55">
        <f t="shared" ca="1" si="56"/>
        <v>63.822906377227227</v>
      </c>
      <c r="K55">
        <f t="shared" ca="1" si="56"/>
        <v>65.921283843516917</v>
      </c>
      <c r="L55">
        <f t="shared" ca="1" si="56"/>
        <v>66.417585460024839</v>
      </c>
      <c r="M55">
        <f t="shared" ca="1" si="56"/>
        <v>66.631870979681551</v>
      </c>
      <c r="N55">
        <f t="shared" ca="1" si="56"/>
        <v>65.651717268904804</v>
      </c>
      <c r="O55">
        <f t="shared" ca="1" si="56"/>
        <v>66.657273983721794</v>
      </c>
      <c r="P55">
        <f t="shared" ca="1" si="56"/>
        <v>65.862041170753869</v>
      </c>
      <c r="Q55">
        <f t="shared" ca="1" si="56"/>
        <v>65.155270557658014</v>
      </c>
      <c r="R55">
        <f t="shared" ca="1" si="56"/>
        <v>65.307551153566848</v>
      </c>
      <c r="S55">
        <f t="shared" ca="1" si="56"/>
        <v>65.114549707509099</v>
      </c>
      <c r="T55">
        <f t="shared" ca="1" si="56"/>
        <v>65.703185458826553</v>
      </c>
      <c r="U55">
        <f t="shared" ca="1" si="56"/>
        <v>65.723463279474686</v>
      </c>
      <c r="V55">
        <f t="shared" ca="1" si="56"/>
        <v>67.56776215628193</v>
      </c>
      <c r="W55">
        <f t="shared" ca="1" si="56"/>
        <v>69.499300350605267</v>
      </c>
      <c r="X55">
        <f t="shared" ca="1" si="56"/>
        <v>73.575825706398092</v>
      </c>
      <c r="Y55">
        <f t="shared" ca="1" si="56"/>
        <v>73.098012903502763</v>
      </c>
      <c r="Z55">
        <f t="shared" ca="1" si="56"/>
        <v>74.111036972055174</v>
      </c>
      <c r="AA55">
        <f t="shared" ca="1" si="56"/>
        <v>75.638153695333969</v>
      </c>
      <c r="AB55">
        <f t="shared" ca="1" si="56"/>
        <v>75.742740877023834</v>
      </c>
      <c r="AC55">
        <f t="shared" ca="1" si="56"/>
        <v>75.873342405251051</v>
      </c>
      <c r="AD55">
        <f t="shared" ca="1" si="56"/>
        <v>76.256787228619501</v>
      </c>
      <c r="AE55">
        <f t="shared" ca="1" si="56"/>
        <v>77.407402643854795</v>
      </c>
      <c r="AF55">
        <f t="shared" ca="1" si="56"/>
        <v>80.912617409852629</v>
      </c>
      <c r="AG55">
        <f t="shared" ca="1" si="56"/>
        <v>79.884859467454945</v>
      </c>
      <c r="AH55">
        <f t="shared" ca="1" si="56"/>
        <v>81.570057386337595</v>
      </c>
      <c r="AI55">
        <f t="shared" ca="1" si="56"/>
        <v>82.581962490262484</v>
      </c>
      <c r="AJ55">
        <f t="shared" ca="1" si="56"/>
        <v>82.521358587210742</v>
      </c>
      <c r="AK55">
        <f t="shared" ca="1" si="56"/>
        <v>83.572399833997224</v>
      </c>
      <c r="AL55">
        <f t="shared" ca="1" si="56"/>
        <v>86.42798341736632</v>
      </c>
      <c r="AM55">
        <f t="shared" ca="1" si="56"/>
        <v>86.300949966366147</v>
      </c>
      <c r="AN55">
        <f t="shared" ca="1" si="56"/>
        <v>86.469631267701516</v>
      </c>
      <c r="AO55">
        <f t="shared" ca="1" si="56"/>
        <v>87.552280414046962</v>
      </c>
      <c r="AP55">
        <f t="shared" ca="1" si="56"/>
        <v>88.28882860134884</v>
      </c>
      <c r="AQ55">
        <f t="shared" ca="1" si="56"/>
        <v>89.727128900393694</v>
      </c>
      <c r="AR55">
        <f t="shared" ca="1" si="56"/>
        <v>88.788973141973088</v>
      </c>
      <c r="AS55">
        <f t="shared" ca="1" si="56"/>
        <v>91.442160737317337</v>
      </c>
      <c r="AT55">
        <f t="shared" ca="1" si="56"/>
        <v>90.478692026207725</v>
      </c>
      <c r="AU55">
        <f t="shared" ca="1" si="56"/>
        <v>90.793110608853866</v>
      </c>
      <c r="AV55">
        <f t="shared" ca="1" si="56"/>
        <v>91.592324302070423</v>
      </c>
      <c r="AW55">
        <f t="shared" ca="1" si="56"/>
        <v>90.471358882459427</v>
      </c>
      <c r="AX55">
        <f t="shared" ca="1" si="56"/>
        <v>88.686662060733568</v>
      </c>
      <c r="AY55">
        <f t="shared" ca="1" si="56"/>
        <v>90.574541439792398</v>
      </c>
      <c r="AZ55">
        <f t="shared" ca="1" si="56"/>
        <v>87.959032853610367</v>
      </c>
      <c r="BA55">
        <f t="shared" ca="1" si="56"/>
        <v>89.502346620098209</v>
      </c>
      <c r="BB55">
        <f t="shared" ca="1" si="56"/>
        <v>90.947843661260336</v>
      </c>
      <c r="BC55">
        <f t="shared" ca="1" si="56"/>
        <v>91.823115115711857</v>
      </c>
      <c r="BD55">
        <f t="shared" ca="1" si="56"/>
        <v>90.649771716158881</v>
      </c>
      <c r="BE55">
        <f t="shared" ca="1" si="56"/>
        <v>91.475512139744254</v>
      </c>
      <c r="BF55">
        <f t="shared" ca="1" si="56"/>
        <v>93.838674429171419</v>
      </c>
      <c r="BG55">
        <f t="shared" ca="1" si="56"/>
        <v>96.140685064428439</v>
      </c>
      <c r="BH55">
        <f t="shared" ca="1" si="56"/>
        <v>97.875661883989665</v>
      </c>
      <c r="BI55">
        <f t="shared" ca="1" si="56"/>
        <v>97.656381209179756</v>
      </c>
      <c r="BJ55">
        <f t="shared" ca="1" si="56"/>
        <v>99.969846305594885</v>
      </c>
      <c r="BK55">
        <f t="shared" ca="1" si="56"/>
        <v>100.61764207668064</v>
      </c>
      <c r="BL55">
        <f t="shared" ca="1" si="56"/>
        <v>100.84667536508985</v>
      </c>
      <c r="BM55">
        <f t="shared" ca="1" si="56"/>
        <v>100.32891709900854</v>
      </c>
      <c r="BN55">
        <f t="shared" ca="1" si="56"/>
        <v>102.89440813276887</v>
      </c>
      <c r="BO55">
        <f t="shared" ca="1" si="4"/>
        <v>44.894408132768874</v>
      </c>
    </row>
    <row r="56" spans="6:67">
      <c r="F56">
        <f t="shared" si="2"/>
        <v>60.99</v>
      </c>
      <c r="G56">
        <f t="shared" ref="G56:BN56" ca="1" si="57">F56*EXP(($B$2-0.5*$B$3^2)*$B$4+$B$3*_xlfn.NORM.INV(RAND(),0,SQRT($B$4)))</f>
        <v>61.876224572006066</v>
      </c>
      <c r="H56">
        <f t="shared" ca="1" si="57"/>
        <v>61.017593051687783</v>
      </c>
      <c r="I56">
        <f t="shared" ca="1" si="57"/>
        <v>62.049630002137143</v>
      </c>
      <c r="J56">
        <f t="shared" ca="1" si="57"/>
        <v>62.140128035942084</v>
      </c>
      <c r="K56">
        <f t="shared" ca="1" si="57"/>
        <v>62.076245281284571</v>
      </c>
      <c r="L56">
        <f t="shared" ca="1" si="57"/>
        <v>63.718952071197407</v>
      </c>
      <c r="M56">
        <f t="shared" ca="1" si="57"/>
        <v>61.545184308057657</v>
      </c>
      <c r="N56">
        <f t="shared" ca="1" si="57"/>
        <v>62.250667099390846</v>
      </c>
      <c r="O56">
        <f t="shared" ca="1" si="57"/>
        <v>63.194003434268218</v>
      </c>
      <c r="P56">
        <f t="shared" ca="1" si="57"/>
        <v>62.839260346996959</v>
      </c>
      <c r="Q56">
        <f t="shared" ca="1" si="57"/>
        <v>63.587714194134051</v>
      </c>
      <c r="R56">
        <f t="shared" ca="1" si="57"/>
        <v>64.897386491929637</v>
      </c>
      <c r="S56">
        <f t="shared" ca="1" si="57"/>
        <v>65.248327266262265</v>
      </c>
      <c r="T56">
        <f t="shared" ca="1" si="57"/>
        <v>65.670612380249452</v>
      </c>
      <c r="U56">
        <f t="shared" ca="1" si="57"/>
        <v>64.724177080064209</v>
      </c>
      <c r="V56">
        <f t="shared" ca="1" si="57"/>
        <v>64.239271685594062</v>
      </c>
      <c r="W56">
        <f t="shared" ca="1" si="57"/>
        <v>64.278249680155355</v>
      </c>
      <c r="X56">
        <f t="shared" ca="1" si="57"/>
        <v>64.506141795869723</v>
      </c>
      <c r="Y56">
        <f t="shared" ca="1" si="57"/>
        <v>65.633368003098667</v>
      </c>
      <c r="Z56">
        <f t="shared" ca="1" si="57"/>
        <v>64.679964909383585</v>
      </c>
      <c r="AA56">
        <f t="shared" ca="1" si="57"/>
        <v>65.356155285556227</v>
      </c>
      <c r="AB56">
        <f t="shared" ca="1" si="57"/>
        <v>67.254576152226818</v>
      </c>
      <c r="AC56">
        <f t="shared" ca="1" si="57"/>
        <v>69.218251812562244</v>
      </c>
      <c r="AD56">
        <f t="shared" ca="1" si="57"/>
        <v>68.523909035225273</v>
      </c>
      <c r="AE56">
        <f t="shared" ca="1" si="57"/>
        <v>68.916883196672018</v>
      </c>
      <c r="AF56">
        <f t="shared" ca="1" si="57"/>
        <v>67.467772823780606</v>
      </c>
      <c r="AG56">
        <f t="shared" ca="1" si="57"/>
        <v>66.33168163939429</v>
      </c>
      <c r="AH56">
        <f t="shared" ca="1" si="57"/>
        <v>66.280479738649248</v>
      </c>
      <c r="AI56">
        <f t="shared" ca="1" si="57"/>
        <v>65.10515940671867</v>
      </c>
      <c r="AJ56">
        <f t="shared" ca="1" si="57"/>
        <v>65.595332658613032</v>
      </c>
      <c r="AK56">
        <f t="shared" ca="1" si="57"/>
        <v>66.822447538885768</v>
      </c>
      <c r="AL56">
        <f t="shared" ca="1" si="57"/>
        <v>66.272878957407087</v>
      </c>
      <c r="AM56">
        <f t="shared" ca="1" si="57"/>
        <v>63.987895941726798</v>
      </c>
      <c r="AN56">
        <f t="shared" ca="1" si="57"/>
        <v>65.09272816918515</v>
      </c>
      <c r="AO56">
        <f t="shared" ca="1" si="57"/>
        <v>67.315861444805364</v>
      </c>
      <c r="AP56">
        <f t="shared" ca="1" si="57"/>
        <v>68.157935891005963</v>
      </c>
      <c r="AQ56">
        <f t="shared" ca="1" si="57"/>
        <v>69.127978695843069</v>
      </c>
      <c r="AR56">
        <f t="shared" ca="1" si="57"/>
        <v>69.479950388379649</v>
      </c>
      <c r="AS56">
        <f t="shared" ca="1" si="57"/>
        <v>69.568537230464713</v>
      </c>
      <c r="AT56">
        <f t="shared" ca="1" si="57"/>
        <v>67.142400324901473</v>
      </c>
      <c r="AU56">
        <f t="shared" ca="1" si="57"/>
        <v>65.975384295673621</v>
      </c>
      <c r="AV56">
        <f t="shared" ca="1" si="57"/>
        <v>67.767049427562128</v>
      </c>
      <c r="AW56">
        <f t="shared" ca="1" si="57"/>
        <v>67.857632089969457</v>
      </c>
      <c r="AX56">
        <f t="shared" ca="1" si="57"/>
        <v>66.339275291046079</v>
      </c>
      <c r="AY56">
        <f t="shared" ca="1" si="57"/>
        <v>65.678639660118847</v>
      </c>
      <c r="AZ56">
        <f t="shared" ca="1" si="57"/>
        <v>66.196333006110194</v>
      </c>
      <c r="BA56">
        <f t="shared" ca="1" si="57"/>
        <v>65.392939973310945</v>
      </c>
      <c r="BB56">
        <f t="shared" ca="1" si="57"/>
        <v>63.707525765258474</v>
      </c>
      <c r="BC56">
        <f t="shared" ca="1" si="57"/>
        <v>64.854006088100789</v>
      </c>
      <c r="BD56">
        <f t="shared" ca="1" si="57"/>
        <v>64.568873956036668</v>
      </c>
      <c r="BE56">
        <f t="shared" ca="1" si="57"/>
        <v>63.460716465972666</v>
      </c>
      <c r="BF56">
        <f t="shared" ca="1" si="57"/>
        <v>62.103214664251944</v>
      </c>
      <c r="BG56">
        <f t="shared" ca="1" si="57"/>
        <v>61.932124700062097</v>
      </c>
      <c r="BH56">
        <f t="shared" ca="1" si="57"/>
        <v>62.777957179468899</v>
      </c>
      <c r="BI56">
        <f t="shared" ca="1" si="57"/>
        <v>62.47359973377884</v>
      </c>
      <c r="BJ56">
        <f t="shared" ca="1" si="57"/>
        <v>61.448891095550529</v>
      </c>
      <c r="BK56">
        <f t="shared" ca="1" si="57"/>
        <v>61.660179916766197</v>
      </c>
      <c r="BL56">
        <f t="shared" ca="1" si="57"/>
        <v>64.783740681489704</v>
      </c>
      <c r="BM56">
        <f t="shared" ca="1" si="57"/>
        <v>64.879156227328096</v>
      </c>
      <c r="BN56">
        <f t="shared" ca="1" si="57"/>
        <v>64.120343010737898</v>
      </c>
      <c r="BO56">
        <f t="shared" ca="1" si="4"/>
        <v>6.1203430107378978</v>
      </c>
    </row>
    <row r="57" spans="6:67">
      <c r="F57">
        <f t="shared" si="2"/>
        <v>60.99</v>
      </c>
      <c r="G57">
        <f t="shared" ref="G57:BN57" ca="1" si="58">F57*EXP(($B$2-0.5*$B$3^2)*$B$4+$B$3*_xlfn.NORM.INV(RAND(),0,SQRT($B$4)))</f>
        <v>59.309582361494613</v>
      </c>
      <c r="H57">
        <f t="shared" ca="1" si="58"/>
        <v>57.437742527029194</v>
      </c>
      <c r="I57">
        <f t="shared" ca="1" si="58"/>
        <v>56.436724497580606</v>
      </c>
      <c r="J57">
        <f t="shared" ca="1" si="58"/>
        <v>55.868852404604269</v>
      </c>
      <c r="K57">
        <f t="shared" ca="1" si="58"/>
        <v>55.695615218665495</v>
      </c>
      <c r="L57">
        <f t="shared" ca="1" si="58"/>
        <v>57.052121512407567</v>
      </c>
      <c r="M57">
        <f t="shared" ca="1" si="58"/>
        <v>55.872043922419607</v>
      </c>
      <c r="N57">
        <f t="shared" ca="1" si="58"/>
        <v>56.724652376921888</v>
      </c>
      <c r="O57">
        <f t="shared" ca="1" si="58"/>
        <v>57.106700065129282</v>
      </c>
      <c r="P57">
        <f t="shared" ca="1" si="58"/>
        <v>58.021784903282473</v>
      </c>
      <c r="Q57">
        <f t="shared" ca="1" si="58"/>
        <v>57.591722631166903</v>
      </c>
      <c r="R57">
        <f t="shared" ca="1" si="58"/>
        <v>58.34889713600267</v>
      </c>
      <c r="S57">
        <f t="shared" ca="1" si="58"/>
        <v>56.648242322014482</v>
      </c>
      <c r="T57">
        <f t="shared" ca="1" si="58"/>
        <v>56.420081215695078</v>
      </c>
      <c r="U57">
        <f t="shared" ca="1" si="58"/>
        <v>58.299747386123428</v>
      </c>
      <c r="V57">
        <f t="shared" ca="1" si="58"/>
        <v>58.465736115602262</v>
      </c>
      <c r="W57">
        <f t="shared" ca="1" si="58"/>
        <v>60.110275897262269</v>
      </c>
      <c r="X57">
        <f t="shared" ca="1" si="58"/>
        <v>59.239365466942296</v>
      </c>
      <c r="Y57">
        <f t="shared" ca="1" si="58"/>
        <v>60.110156182700251</v>
      </c>
      <c r="Z57">
        <f t="shared" ca="1" si="58"/>
        <v>59.599657137418234</v>
      </c>
      <c r="AA57">
        <f t="shared" ca="1" si="58"/>
        <v>60.798166673413448</v>
      </c>
      <c r="AB57">
        <f t="shared" ca="1" si="58"/>
        <v>60.995098349035651</v>
      </c>
      <c r="AC57">
        <f t="shared" ca="1" si="58"/>
        <v>61.54266391362237</v>
      </c>
      <c r="AD57">
        <f t="shared" ca="1" si="58"/>
        <v>62.163303686196791</v>
      </c>
      <c r="AE57">
        <f t="shared" ca="1" si="58"/>
        <v>63.752287360922239</v>
      </c>
      <c r="AF57">
        <f t="shared" ca="1" si="58"/>
        <v>64.252709097329259</v>
      </c>
      <c r="AG57">
        <f t="shared" ca="1" si="58"/>
        <v>62.998750090935367</v>
      </c>
      <c r="AH57">
        <f t="shared" ca="1" si="58"/>
        <v>65.72016873842928</v>
      </c>
      <c r="AI57">
        <f t="shared" ca="1" si="58"/>
        <v>66.224823379338943</v>
      </c>
      <c r="AJ57">
        <f t="shared" ca="1" si="58"/>
        <v>64.763883080717051</v>
      </c>
      <c r="AK57">
        <f t="shared" ca="1" si="58"/>
        <v>65.463990245907709</v>
      </c>
      <c r="AL57">
        <f t="shared" ca="1" si="58"/>
        <v>65.914482981692558</v>
      </c>
      <c r="AM57">
        <f t="shared" ca="1" si="58"/>
        <v>67.18109227184614</v>
      </c>
      <c r="AN57">
        <f t="shared" ca="1" si="58"/>
        <v>67.978047982570061</v>
      </c>
      <c r="AO57">
        <f t="shared" ca="1" si="58"/>
        <v>67.219492607092192</v>
      </c>
      <c r="AP57">
        <f t="shared" ca="1" si="58"/>
        <v>68.472906823065813</v>
      </c>
      <c r="AQ57">
        <f t="shared" ca="1" si="58"/>
        <v>68.805277438869723</v>
      </c>
      <c r="AR57">
        <f t="shared" ca="1" si="58"/>
        <v>67.34510012476629</v>
      </c>
      <c r="AS57">
        <f t="shared" ca="1" si="58"/>
        <v>67.455241484520471</v>
      </c>
      <c r="AT57">
        <f t="shared" ca="1" si="58"/>
        <v>66.116042667227262</v>
      </c>
      <c r="AU57">
        <f t="shared" ca="1" si="58"/>
        <v>66.590240586608076</v>
      </c>
      <c r="AV57">
        <f t="shared" ca="1" si="58"/>
        <v>67.096792568832853</v>
      </c>
      <c r="AW57">
        <f t="shared" ca="1" si="58"/>
        <v>64.884869468292081</v>
      </c>
      <c r="AX57">
        <f t="shared" ca="1" si="58"/>
        <v>65.030833618104694</v>
      </c>
      <c r="AY57">
        <f t="shared" ca="1" si="58"/>
        <v>66.790600293267104</v>
      </c>
      <c r="AZ57">
        <f t="shared" ca="1" si="58"/>
        <v>68.191086352231267</v>
      </c>
      <c r="BA57">
        <f t="shared" ca="1" si="58"/>
        <v>70.647825041642633</v>
      </c>
      <c r="BB57">
        <f t="shared" ca="1" si="58"/>
        <v>70.00527189780658</v>
      </c>
      <c r="BC57">
        <f t="shared" ca="1" si="58"/>
        <v>70.330350946912304</v>
      </c>
      <c r="BD57">
        <f t="shared" ca="1" si="58"/>
        <v>68.484483197339273</v>
      </c>
      <c r="BE57">
        <f t="shared" ca="1" si="58"/>
        <v>66.707713155986283</v>
      </c>
      <c r="BF57">
        <f t="shared" ca="1" si="58"/>
        <v>65.07160542962329</v>
      </c>
      <c r="BG57">
        <f t="shared" ca="1" si="58"/>
        <v>64.327857137849193</v>
      </c>
      <c r="BH57">
        <f t="shared" ca="1" si="58"/>
        <v>65.000550162317651</v>
      </c>
      <c r="BI57">
        <f t="shared" ca="1" si="58"/>
        <v>64.437382869425164</v>
      </c>
      <c r="BJ57">
        <f t="shared" ca="1" si="58"/>
        <v>63.263325240432323</v>
      </c>
      <c r="BK57">
        <f t="shared" ca="1" si="58"/>
        <v>61.062508823947191</v>
      </c>
      <c r="BL57">
        <f t="shared" ca="1" si="58"/>
        <v>61.864912237832705</v>
      </c>
      <c r="BM57">
        <f t="shared" ca="1" si="58"/>
        <v>62.582896137809712</v>
      </c>
      <c r="BN57">
        <f t="shared" ca="1" si="58"/>
        <v>62.034153473466212</v>
      </c>
      <c r="BO57">
        <f t="shared" ca="1" si="4"/>
        <v>4.0341534734662119</v>
      </c>
    </row>
    <row r="58" spans="6:67">
      <c r="F58">
        <f t="shared" si="2"/>
        <v>60.99</v>
      </c>
      <c r="G58">
        <f t="shared" ref="G58:BN58" ca="1" si="59">F58*EXP(($B$2-0.5*$B$3^2)*$B$4+$B$3*_xlfn.NORM.INV(RAND(),0,SQRT($B$4)))</f>
        <v>60.331185679691046</v>
      </c>
      <c r="H58">
        <f t="shared" ca="1" si="59"/>
        <v>60.859498939506125</v>
      </c>
      <c r="I58">
        <f t="shared" ca="1" si="59"/>
        <v>59.700510847492801</v>
      </c>
      <c r="J58">
        <f t="shared" ca="1" si="59"/>
        <v>60.749052113725668</v>
      </c>
      <c r="K58">
        <f t="shared" ca="1" si="59"/>
        <v>61.452504738822256</v>
      </c>
      <c r="L58">
        <f t="shared" ca="1" si="59"/>
        <v>63.131870767761917</v>
      </c>
      <c r="M58">
        <f t="shared" ca="1" si="59"/>
        <v>62.639164286110116</v>
      </c>
      <c r="N58">
        <f t="shared" ca="1" si="59"/>
        <v>62.102266355301516</v>
      </c>
      <c r="O58">
        <f t="shared" ca="1" si="59"/>
        <v>62.723706069185738</v>
      </c>
      <c r="P58">
        <f t="shared" ca="1" si="59"/>
        <v>64.708015412793316</v>
      </c>
      <c r="Q58">
        <f t="shared" ca="1" si="59"/>
        <v>63.628519688386753</v>
      </c>
      <c r="R58">
        <f t="shared" ca="1" si="59"/>
        <v>63.291978568074271</v>
      </c>
      <c r="S58">
        <f t="shared" ca="1" si="59"/>
        <v>65.927525348056278</v>
      </c>
      <c r="T58">
        <f t="shared" ca="1" si="59"/>
        <v>65.983851195474827</v>
      </c>
      <c r="U58">
        <f t="shared" ca="1" si="59"/>
        <v>67.571376883716368</v>
      </c>
      <c r="V58">
        <f t="shared" ca="1" si="59"/>
        <v>68.209584890255428</v>
      </c>
      <c r="W58">
        <f t="shared" ca="1" si="59"/>
        <v>70.621839248278931</v>
      </c>
      <c r="X58">
        <f t="shared" ca="1" si="59"/>
        <v>70.835146602766528</v>
      </c>
      <c r="Y58">
        <f t="shared" ca="1" si="59"/>
        <v>68.114253872934739</v>
      </c>
      <c r="Z58">
        <f t="shared" ca="1" si="59"/>
        <v>68.284181774334456</v>
      </c>
      <c r="AA58">
        <f t="shared" ca="1" si="59"/>
        <v>69.354548536186073</v>
      </c>
      <c r="AB58">
        <f t="shared" ca="1" si="59"/>
        <v>69.52429833206763</v>
      </c>
      <c r="AC58">
        <f t="shared" ca="1" si="59"/>
        <v>68.392258188819426</v>
      </c>
      <c r="AD58">
        <f t="shared" ca="1" si="59"/>
        <v>67.816444895698638</v>
      </c>
      <c r="AE58">
        <f t="shared" ca="1" si="59"/>
        <v>66.377972570568843</v>
      </c>
      <c r="AF58">
        <f t="shared" ca="1" si="59"/>
        <v>64.883550136353236</v>
      </c>
      <c r="AG58">
        <f t="shared" ca="1" si="59"/>
        <v>64.690161210610057</v>
      </c>
      <c r="AH58">
        <f t="shared" ca="1" si="59"/>
        <v>64.868651484744902</v>
      </c>
      <c r="AI58">
        <f t="shared" ca="1" si="59"/>
        <v>66.556079643450715</v>
      </c>
      <c r="AJ58">
        <f t="shared" ca="1" si="59"/>
        <v>66.813771058258936</v>
      </c>
      <c r="AK58">
        <f t="shared" ca="1" si="59"/>
        <v>69.440996710986568</v>
      </c>
      <c r="AL58">
        <f t="shared" ca="1" si="59"/>
        <v>68.997882034692694</v>
      </c>
      <c r="AM58">
        <f t="shared" ca="1" si="59"/>
        <v>70.658797014957202</v>
      </c>
      <c r="AN58">
        <f t="shared" ca="1" si="59"/>
        <v>70.555470731925766</v>
      </c>
      <c r="AO58">
        <f t="shared" ca="1" si="59"/>
        <v>68.922321645378503</v>
      </c>
      <c r="AP58">
        <f t="shared" ca="1" si="59"/>
        <v>69.201159182930354</v>
      </c>
      <c r="AQ58">
        <f t="shared" ca="1" si="59"/>
        <v>71.34294159063802</v>
      </c>
      <c r="AR58">
        <f t="shared" ca="1" si="59"/>
        <v>72.687070386344942</v>
      </c>
      <c r="AS58">
        <f t="shared" ca="1" si="59"/>
        <v>74.08804662805214</v>
      </c>
      <c r="AT58">
        <f t="shared" ca="1" si="59"/>
        <v>72.383372444251194</v>
      </c>
      <c r="AU58">
        <f t="shared" ca="1" si="59"/>
        <v>72.639745375545431</v>
      </c>
      <c r="AV58">
        <f t="shared" ca="1" si="59"/>
        <v>71.698520131437306</v>
      </c>
      <c r="AW58">
        <f t="shared" ca="1" si="59"/>
        <v>71.705339827683616</v>
      </c>
      <c r="AX58">
        <f t="shared" ca="1" si="59"/>
        <v>72.050004921616377</v>
      </c>
      <c r="AY58">
        <f t="shared" ca="1" si="59"/>
        <v>69.380606910132784</v>
      </c>
      <c r="AZ58">
        <f t="shared" ca="1" si="59"/>
        <v>71.859875748241805</v>
      </c>
      <c r="BA58">
        <f t="shared" ca="1" si="59"/>
        <v>71.073902548676969</v>
      </c>
      <c r="BB58">
        <f t="shared" ca="1" si="59"/>
        <v>72.294526114232227</v>
      </c>
      <c r="BC58">
        <f t="shared" ca="1" si="59"/>
        <v>73.519982676643707</v>
      </c>
      <c r="BD58">
        <f t="shared" ca="1" si="59"/>
        <v>73.125176657278971</v>
      </c>
      <c r="BE58">
        <f t="shared" ca="1" si="59"/>
        <v>70.837226799900932</v>
      </c>
      <c r="BF58">
        <f t="shared" ca="1" si="59"/>
        <v>72.352316972079919</v>
      </c>
      <c r="BG58">
        <f t="shared" ca="1" si="59"/>
        <v>72.389442571604306</v>
      </c>
      <c r="BH58">
        <f t="shared" ca="1" si="59"/>
        <v>73.228780742752633</v>
      </c>
      <c r="BI58">
        <f t="shared" ca="1" si="59"/>
        <v>75.410631252097446</v>
      </c>
      <c r="BJ58">
        <f t="shared" ca="1" si="59"/>
        <v>76.798396657782348</v>
      </c>
      <c r="BK58">
        <f t="shared" ca="1" si="59"/>
        <v>75.36403357569759</v>
      </c>
      <c r="BL58">
        <f t="shared" ca="1" si="59"/>
        <v>75.414715997791049</v>
      </c>
      <c r="BM58">
        <f t="shared" ca="1" si="59"/>
        <v>75.029665708368839</v>
      </c>
      <c r="BN58">
        <f t="shared" ca="1" si="59"/>
        <v>74.172145087424084</v>
      </c>
      <c r="BO58">
        <f t="shared" ca="1" si="4"/>
        <v>16.172145087424084</v>
      </c>
    </row>
    <row r="59" spans="6:67">
      <c r="F59">
        <f t="shared" si="2"/>
        <v>60.99</v>
      </c>
      <c r="G59">
        <f t="shared" ref="G59:BN59" ca="1" si="60">F59*EXP(($B$2-0.5*$B$3^2)*$B$4+$B$3*_xlfn.NORM.INV(RAND(),0,SQRT($B$4)))</f>
        <v>61.322587788338822</v>
      </c>
      <c r="H59">
        <f t="shared" ca="1" si="60"/>
        <v>61.898270163346197</v>
      </c>
      <c r="I59">
        <f t="shared" ca="1" si="60"/>
        <v>61.821515854349862</v>
      </c>
      <c r="J59">
        <f t="shared" ca="1" si="60"/>
        <v>62.432084275728236</v>
      </c>
      <c r="K59">
        <f t="shared" ca="1" si="60"/>
        <v>63.198457930718533</v>
      </c>
      <c r="L59">
        <f t="shared" ca="1" si="60"/>
        <v>64.220344739172191</v>
      </c>
      <c r="M59">
        <f t="shared" ca="1" si="60"/>
        <v>64.896726230987639</v>
      </c>
      <c r="N59">
        <f t="shared" ca="1" si="60"/>
        <v>62.408498533461589</v>
      </c>
      <c r="O59">
        <f t="shared" ca="1" si="60"/>
        <v>61.675225832139063</v>
      </c>
      <c r="P59">
        <f t="shared" ca="1" si="60"/>
        <v>62.625261854768183</v>
      </c>
      <c r="Q59">
        <f t="shared" ca="1" si="60"/>
        <v>62.699528949381623</v>
      </c>
      <c r="R59">
        <f t="shared" ca="1" si="60"/>
        <v>63.506864183238193</v>
      </c>
      <c r="S59">
        <f t="shared" ca="1" si="60"/>
        <v>62.675316457214947</v>
      </c>
      <c r="T59">
        <f t="shared" ca="1" si="60"/>
        <v>60.722252797969482</v>
      </c>
      <c r="U59">
        <f t="shared" ca="1" si="60"/>
        <v>61.641620553943767</v>
      </c>
      <c r="V59">
        <f t="shared" ca="1" si="60"/>
        <v>62.060497121576773</v>
      </c>
      <c r="W59">
        <f t="shared" ca="1" si="60"/>
        <v>60.211070351471569</v>
      </c>
      <c r="X59">
        <f t="shared" ca="1" si="60"/>
        <v>59.20744703721703</v>
      </c>
      <c r="Y59">
        <f t="shared" ca="1" si="60"/>
        <v>60.086746146022413</v>
      </c>
      <c r="Z59">
        <f t="shared" ca="1" si="60"/>
        <v>60.74577160744505</v>
      </c>
      <c r="AA59">
        <f t="shared" ca="1" si="60"/>
        <v>59.522044691614802</v>
      </c>
      <c r="AB59">
        <f t="shared" ca="1" si="60"/>
        <v>57.421252076187955</v>
      </c>
      <c r="AC59">
        <f t="shared" ca="1" si="60"/>
        <v>57.744578135027176</v>
      </c>
      <c r="AD59">
        <f t="shared" ca="1" si="60"/>
        <v>57.976524869670165</v>
      </c>
      <c r="AE59">
        <f t="shared" ca="1" si="60"/>
        <v>60.889632394921179</v>
      </c>
      <c r="AF59">
        <f t="shared" ca="1" si="60"/>
        <v>60.404496169557731</v>
      </c>
      <c r="AG59">
        <f t="shared" ca="1" si="60"/>
        <v>60.820831559131129</v>
      </c>
      <c r="AH59">
        <f t="shared" ca="1" si="60"/>
        <v>61.984730976370038</v>
      </c>
      <c r="AI59">
        <f t="shared" ca="1" si="60"/>
        <v>60.242362799384139</v>
      </c>
      <c r="AJ59">
        <f t="shared" ca="1" si="60"/>
        <v>60.556318661670275</v>
      </c>
      <c r="AK59">
        <f t="shared" ca="1" si="60"/>
        <v>61.89137864197906</v>
      </c>
      <c r="AL59">
        <f t="shared" ca="1" si="60"/>
        <v>61.819052099600214</v>
      </c>
      <c r="AM59">
        <f t="shared" ca="1" si="60"/>
        <v>60.023762633915979</v>
      </c>
      <c r="AN59">
        <f t="shared" ca="1" si="60"/>
        <v>60.193467525383035</v>
      </c>
      <c r="AO59">
        <f t="shared" ca="1" si="60"/>
        <v>60.761914030203513</v>
      </c>
      <c r="AP59">
        <f t="shared" ca="1" si="60"/>
        <v>61.922458662753385</v>
      </c>
      <c r="AQ59">
        <f t="shared" ca="1" si="60"/>
        <v>61.395645024291241</v>
      </c>
      <c r="AR59">
        <f t="shared" ca="1" si="60"/>
        <v>61.931517882688809</v>
      </c>
      <c r="AS59">
        <f t="shared" ca="1" si="60"/>
        <v>61.884997449127063</v>
      </c>
      <c r="AT59">
        <f t="shared" ca="1" si="60"/>
        <v>63.440082869417807</v>
      </c>
      <c r="AU59">
        <f t="shared" ca="1" si="60"/>
        <v>62.662425987541852</v>
      </c>
      <c r="AV59">
        <f t="shared" ca="1" si="60"/>
        <v>62.460057932079124</v>
      </c>
      <c r="AW59">
        <f t="shared" ca="1" si="60"/>
        <v>62.618582090610673</v>
      </c>
      <c r="AX59">
        <f t="shared" ca="1" si="60"/>
        <v>62.136485780201767</v>
      </c>
      <c r="AY59">
        <f t="shared" ca="1" si="60"/>
        <v>60.684076737616756</v>
      </c>
      <c r="AZ59">
        <f t="shared" ca="1" si="60"/>
        <v>60.739009767933766</v>
      </c>
      <c r="BA59">
        <f t="shared" ca="1" si="60"/>
        <v>59.639582993730208</v>
      </c>
      <c r="BB59">
        <f t="shared" ca="1" si="60"/>
        <v>59.422137079002944</v>
      </c>
      <c r="BC59">
        <f t="shared" ca="1" si="60"/>
        <v>59.497235732410331</v>
      </c>
      <c r="BD59">
        <f t="shared" ca="1" si="60"/>
        <v>59.004242065797271</v>
      </c>
      <c r="BE59">
        <f t="shared" ca="1" si="60"/>
        <v>59.545099599875748</v>
      </c>
      <c r="BF59">
        <f t="shared" ca="1" si="60"/>
        <v>60.788948503298613</v>
      </c>
      <c r="BG59">
        <f t="shared" ca="1" si="60"/>
        <v>58.943305407454858</v>
      </c>
      <c r="BH59">
        <f t="shared" ca="1" si="60"/>
        <v>59.551352769218063</v>
      </c>
      <c r="BI59">
        <f t="shared" ca="1" si="60"/>
        <v>59.75953870234639</v>
      </c>
      <c r="BJ59">
        <f t="shared" ca="1" si="60"/>
        <v>59.960094166927817</v>
      </c>
      <c r="BK59">
        <f t="shared" ca="1" si="60"/>
        <v>60.639565015422534</v>
      </c>
      <c r="BL59">
        <f t="shared" ca="1" si="60"/>
        <v>60.164012210844156</v>
      </c>
      <c r="BM59">
        <f t="shared" ca="1" si="60"/>
        <v>59.559145617417585</v>
      </c>
      <c r="BN59">
        <f t="shared" ca="1" si="60"/>
        <v>60.356857009403377</v>
      </c>
      <c r="BO59">
        <f t="shared" ca="1" si="4"/>
        <v>2.3568570094033774</v>
      </c>
    </row>
    <row r="60" spans="6:67">
      <c r="F60">
        <f t="shared" si="2"/>
        <v>60.99</v>
      </c>
      <c r="G60">
        <f t="shared" ref="G60:BN60" ca="1" si="61">F60*EXP(($B$2-0.5*$B$3^2)*$B$4+$B$3*_xlfn.NORM.INV(RAND(),0,SQRT($B$4)))</f>
        <v>62.014977312856985</v>
      </c>
      <c r="H60">
        <f t="shared" ca="1" si="61"/>
        <v>62.413407055824983</v>
      </c>
      <c r="I60">
        <f t="shared" ca="1" si="61"/>
        <v>63.23692174428156</v>
      </c>
      <c r="J60">
        <f t="shared" ca="1" si="61"/>
        <v>62.39199600645825</v>
      </c>
      <c r="K60">
        <f t="shared" ca="1" si="61"/>
        <v>64.994752517913781</v>
      </c>
      <c r="L60">
        <f t="shared" ca="1" si="61"/>
        <v>65.438394110016048</v>
      </c>
      <c r="M60">
        <f t="shared" ca="1" si="61"/>
        <v>66.176401523243669</v>
      </c>
      <c r="N60">
        <f t="shared" ca="1" si="61"/>
        <v>66.932254387532566</v>
      </c>
      <c r="O60">
        <f t="shared" ca="1" si="61"/>
        <v>66.449878320845841</v>
      </c>
      <c r="P60">
        <f t="shared" ca="1" si="61"/>
        <v>65.411716174569904</v>
      </c>
      <c r="Q60">
        <f t="shared" ca="1" si="61"/>
        <v>64.972059431992832</v>
      </c>
      <c r="R60">
        <f t="shared" ca="1" si="61"/>
        <v>66.424954886212504</v>
      </c>
      <c r="S60">
        <f t="shared" ca="1" si="61"/>
        <v>66.681601107418075</v>
      </c>
      <c r="T60">
        <f t="shared" ca="1" si="61"/>
        <v>66.448047198973782</v>
      </c>
      <c r="U60">
        <f t="shared" ca="1" si="61"/>
        <v>65.520962793699482</v>
      </c>
      <c r="V60">
        <f t="shared" ca="1" si="61"/>
        <v>66.628236456536101</v>
      </c>
      <c r="W60">
        <f t="shared" ca="1" si="61"/>
        <v>64.477331788469073</v>
      </c>
      <c r="X60">
        <f t="shared" ca="1" si="61"/>
        <v>64.482166240533232</v>
      </c>
      <c r="Y60">
        <f t="shared" ca="1" si="61"/>
        <v>64.666051175500996</v>
      </c>
      <c r="Z60">
        <f t="shared" ca="1" si="61"/>
        <v>67.159689403968017</v>
      </c>
      <c r="AA60">
        <f t="shared" ca="1" si="61"/>
        <v>65.351511451951183</v>
      </c>
      <c r="AB60">
        <f t="shared" ca="1" si="61"/>
        <v>65.996799435984883</v>
      </c>
      <c r="AC60">
        <f t="shared" ca="1" si="61"/>
        <v>68.092556473982029</v>
      </c>
      <c r="AD60">
        <f t="shared" ca="1" si="61"/>
        <v>67.67457688015422</v>
      </c>
      <c r="AE60">
        <f t="shared" ca="1" si="61"/>
        <v>68.946376890717261</v>
      </c>
      <c r="AF60">
        <f t="shared" ca="1" si="61"/>
        <v>69.671002804126843</v>
      </c>
      <c r="AG60">
        <f t="shared" ca="1" si="61"/>
        <v>69.446609065014442</v>
      </c>
      <c r="AH60">
        <f t="shared" ca="1" si="61"/>
        <v>70.318336584211494</v>
      </c>
      <c r="AI60">
        <f t="shared" ca="1" si="61"/>
        <v>69.053269524862003</v>
      </c>
      <c r="AJ60">
        <f t="shared" ca="1" si="61"/>
        <v>69.676165984955929</v>
      </c>
      <c r="AK60">
        <f t="shared" ca="1" si="61"/>
        <v>70.949617630987987</v>
      </c>
      <c r="AL60">
        <f t="shared" ca="1" si="61"/>
        <v>70.007187889989282</v>
      </c>
      <c r="AM60">
        <f t="shared" ca="1" si="61"/>
        <v>72.315678413257132</v>
      </c>
      <c r="AN60">
        <f t="shared" ca="1" si="61"/>
        <v>71.324858080957853</v>
      </c>
      <c r="AO60">
        <f t="shared" ca="1" si="61"/>
        <v>68.622374910490947</v>
      </c>
      <c r="AP60">
        <f t="shared" ca="1" si="61"/>
        <v>68.189560741631951</v>
      </c>
      <c r="AQ60">
        <f t="shared" ca="1" si="61"/>
        <v>70.509980895685089</v>
      </c>
      <c r="AR60">
        <f t="shared" ca="1" si="61"/>
        <v>69.378466451748238</v>
      </c>
      <c r="AS60">
        <f t="shared" ca="1" si="61"/>
        <v>71.307416423669778</v>
      </c>
      <c r="AT60">
        <f t="shared" ca="1" si="61"/>
        <v>72.033905144607587</v>
      </c>
      <c r="AU60">
        <f t="shared" ca="1" si="61"/>
        <v>72.735074093008876</v>
      </c>
      <c r="AV60">
        <f t="shared" ca="1" si="61"/>
        <v>74.376876447636931</v>
      </c>
      <c r="AW60">
        <f t="shared" ca="1" si="61"/>
        <v>74.329540729310935</v>
      </c>
      <c r="AX60">
        <f t="shared" ca="1" si="61"/>
        <v>73.785476595305255</v>
      </c>
      <c r="AY60">
        <f t="shared" ca="1" si="61"/>
        <v>75.459112869990818</v>
      </c>
      <c r="AZ60">
        <f t="shared" ca="1" si="61"/>
        <v>74.35655337545532</v>
      </c>
      <c r="BA60">
        <f t="shared" ca="1" si="61"/>
        <v>76.505559910866808</v>
      </c>
      <c r="BB60">
        <f t="shared" ca="1" si="61"/>
        <v>77.968134291942093</v>
      </c>
      <c r="BC60">
        <f t="shared" ca="1" si="61"/>
        <v>77.073449924253282</v>
      </c>
      <c r="BD60">
        <f t="shared" ca="1" si="61"/>
        <v>78.588315771312935</v>
      </c>
      <c r="BE60">
        <f t="shared" ca="1" si="61"/>
        <v>79.422181499305182</v>
      </c>
      <c r="BF60">
        <f t="shared" ca="1" si="61"/>
        <v>80.920763961510588</v>
      </c>
      <c r="BG60">
        <f t="shared" ca="1" si="61"/>
        <v>78.293629259228609</v>
      </c>
      <c r="BH60">
        <f t="shared" ca="1" si="61"/>
        <v>77.827036276251206</v>
      </c>
      <c r="BI60">
        <f t="shared" ca="1" si="61"/>
        <v>77.605728181029576</v>
      </c>
      <c r="BJ60">
        <f t="shared" ca="1" si="61"/>
        <v>80.432969875991574</v>
      </c>
      <c r="BK60">
        <f t="shared" ca="1" si="61"/>
        <v>80.363266389298701</v>
      </c>
      <c r="BL60">
        <f t="shared" ca="1" si="61"/>
        <v>83.272277374643949</v>
      </c>
      <c r="BM60">
        <f t="shared" ca="1" si="61"/>
        <v>83.397878926378738</v>
      </c>
      <c r="BN60">
        <f t="shared" ca="1" si="61"/>
        <v>83.445821324507264</v>
      </c>
      <c r="BO60">
        <f t="shared" ca="1" si="4"/>
        <v>25.445821324507264</v>
      </c>
    </row>
    <row r="61" spans="6:67">
      <c r="F61">
        <f t="shared" si="2"/>
        <v>60.99</v>
      </c>
      <c r="G61">
        <f t="shared" ref="G61:BN61" ca="1" si="62">F61*EXP(($B$2-0.5*$B$3^2)*$B$4+$B$3*_xlfn.NORM.INV(RAND(),0,SQRT($B$4)))</f>
        <v>62.155039220395629</v>
      </c>
      <c r="H61">
        <f t="shared" ca="1" si="62"/>
        <v>60.763083607576149</v>
      </c>
      <c r="I61">
        <f t="shared" ca="1" si="62"/>
        <v>62.93794435408482</v>
      </c>
      <c r="J61">
        <f t="shared" ca="1" si="62"/>
        <v>64.480820682199962</v>
      </c>
      <c r="K61">
        <f t="shared" ca="1" si="62"/>
        <v>62.53056570851119</v>
      </c>
      <c r="L61">
        <f t="shared" ca="1" si="62"/>
        <v>61.804521737902341</v>
      </c>
      <c r="M61">
        <f t="shared" ca="1" si="62"/>
        <v>63.517936457459712</v>
      </c>
      <c r="N61">
        <f t="shared" ca="1" si="62"/>
        <v>63.712804206517163</v>
      </c>
      <c r="O61">
        <f t="shared" ca="1" si="62"/>
        <v>63.793114052896506</v>
      </c>
      <c r="P61">
        <f t="shared" ca="1" si="62"/>
        <v>65.447645031371238</v>
      </c>
      <c r="Q61">
        <f t="shared" ca="1" si="62"/>
        <v>63.904938510195144</v>
      </c>
      <c r="R61">
        <f t="shared" ca="1" si="62"/>
        <v>63.957241515678859</v>
      </c>
      <c r="S61">
        <f t="shared" ca="1" si="62"/>
        <v>62.879418304180952</v>
      </c>
      <c r="T61">
        <f t="shared" ca="1" si="62"/>
        <v>63.750041013324868</v>
      </c>
      <c r="U61">
        <f t="shared" ca="1" si="62"/>
        <v>63.28321953191525</v>
      </c>
      <c r="V61">
        <f t="shared" ca="1" si="62"/>
        <v>62.526070005511222</v>
      </c>
      <c r="W61">
        <f t="shared" ca="1" si="62"/>
        <v>65.277699633388934</v>
      </c>
      <c r="X61">
        <f t="shared" ca="1" si="62"/>
        <v>65.222344581638311</v>
      </c>
      <c r="Y61">
        <f t="shared" ca="1" si="62"/>
        <v>64.376107615525541</v>
      </c>
      <c r="Z61">
        <f t="shared" ca="1" si="62"/>
        <v>63.708679096323046</v>
      </c>
      <c r="AA61">
        <f t="shared" ca="1" si="62"/>
        <v>64.720835019438638</v>
      </c>
      <c r="AB61">
        <f t="shared" ca="1" si="62"/>
        <v>63.93642994067968</v>
      </c>
      <c r="AC61">
        <f t="shared" ca="1" si="62"/>
        <v>62.627643142892346</v>
      </c>
      <c r="AD61">
        <f t="shared" ca="1" si="62"/>
        <v>64.324014601922357</v>
      </c>
      <c r="AE61">
        <f t="shared" ca="1" si="62"/>
        <v>65.237601864593415</v>
      </c>
      <c r="AF61">
        <f t="shared" ca="1" si="62"/>
        <v>65.971202523127928</v>
      </c>
      <c r="AG61">
        <f t="shared" ca="1" si="62"/>
        <v>67.056890732622378</v>
      </c>
      <c r="AH61">
        <f t="shared" ca="1" si="62"/>
        <v>66.868304801859722</v>
      </c>
      <c r="AI61">
        <f t="shared" ca="1" si="62"/>
        <v>67.02273601093971</v>
      </c>
      <c r="AJ61">
        <f t="shared" ca="1" si="62"/>
        <v>65.648248169032797</v>
      </c>
      <c r="AK61">
        <f t="shared" ca="1" si="62"/>
        <v>65.992386536774546</v>
      </c>
      <c r="AL61">
        <f t="shared" ca="1" si="62"/>
        <v>66.541055047616382</v>
      </c>
      <c r="AM61">
        <f t="shared" ca="1" si="62"/>
        <v>65.364826837301976</v>
      </c>
      <c r="AN61">
        <f t="shared" ca="1" si="62"/>
        <v>65.716786261402021</v>
      </c>
      <c r="AO61">
        <f t="shared" ca="1" si="62"/>
        <v>64.67078301402195</v>
      </c>
      <c r="AP61">
        <f t="shared" ca="1" si="62"/>
        <v>64.341702496044633</v>
      </c>
      <c r="AQ61">
        <f t="shared" ca="1" si="62"/>
        <v>65.356985248135686</v>
      </c>
      <c r="AR61">
        <f t="shared" ca="1" si="62"/>
        <v>66.173368337556113</v>
      </c>
      <c r="AS61">
        <f t="shared" ca="1" si="62"/>
        <v>64.929548981365855</v>
      </c>
      <c r="AT61">
        <f t="shared" ca="1" si="62"/>
        <v>67.679972975039007</v>
      </c>
      <c r="AU61">
        <f t="shared" ca="1" si="62"/>
        <v>68.110196168150011</v>
      </c>
      <c r="AV61">
        <f t="shared" ca="1" si="62"/>
        <v>69.643619374644729</v>
      </c>
      <c r="AW61">
        <f t="shared" ca="1" si="62"/>
        <v>70.950260644915417</v>
      </c>
      <c r="AX61">
        <f t="shared" ca="1" si="62"/>
        <v>70.4693137128167</v>
      </c>
      <c r="AY61">
        <f t="shared" ca="1" si="62"/>
        <v>71.16133853462425</v>
      </c>
      <c r="AZ61">
        <f t="shared" ca="1" si="62"/>
        <v>69.893411667807868</v>
      </c>
      <c r="BA61">
        <f t="shared" ca="1" si="62"/>
        <v>71.118362594187062</v>
      </c>
      <c r="BB61">
        <f t="shared" ca="1" si="62"/>
        <v>71.093970728041427</v>
      </c>
      <c r="BC61">
        <f t="shared" ca="1" si="62"/>
        <v>71.591022814091431</v>
      </c>
      <c r="BD61">
        <f t="shared" ca="1" si="62"/>
        <v>69.177045256828634</v>
      </c>
      <c r="BE61">
        <f t="shared" ca="1" si="62"/>
        <v>66.547239476801124</v>
      </c>
      <c r="BF61">
        <f t="shared" ca="1" si="62"/>
        <v>66.956555978425982</v>
      </c>
      <c r="BG61">
        <f t="shared" ca="1" si="62"/>
        <v>66.35708475715299</v>
      </c>
      <c r="BH61">
        <f t="shared" ca="1" si="62"/>
        <v>66.384496728901482</v>
      </c>
      <c r="BI61">
        <f t="shared" ca="1" si="62"/>
        <v>64.656482943417274</v>
      </c>
      <c r="BJ61">
        <f t="shared" ca="1" si="62"/>
        <v>62.80684718615835</v>
      </c>
      <c r="BK61">
        <f t="shared" ca="1" si="62"/>
        <v>61.552059055641465</v>
      </c>
      <c r="BL61">
        <f t="shared" ca="1" si="62"/>
        <v>60.697669672594287</v>
      </c>
      <c r="BM61">
        <f t="shared" ca="1" si="62"/>
        <v>61.119414423591252</v>
      </c>
      <c r="BN61">
        <f t="shared" ca="1" si="62"/>
        <v>61.221742303220246</v>
      </c>
      <c r="BO61">
        <f t="shared" ca="1" si="4"/>
        <v>3.2217423032202461</v>
      </c>
    </row>
    <row r="62" spans="6:67">
      <c r="F62">
        <f t="shared" si="2"/>
        <v>60.99</v>
      </c>
      <c r="G62">
        <f t="shared" ref="G62:BN62" ca="1" si="63">F62*EXP(($B$2-0.5*$B$3^2)*$B$4+$B$3*_xlfn.NORM.INV(RAND(),0,SQRT($B$4)))</f>
        <v>60.81251655536073</v>
      </c>
      <c r="H62">
        <f t="shared" ca="1" si="63"/>
        <v>59.093887479604994</v>
      </c>
      <c r="I62">
        <f t="shared" ca="1" si="63"/>
        <v>57.35961093516012</v>
      </c>
      <c r="J62">
        <f t="shared" ca="1" si="63"/>
        <v>58.619956225197448</v>
      </c>
      <c r="K62">
        <f t="shared" ca="1" si="63"/>
        <v>59.266262863525135</v>
      </c>
      <c r="L62">
        <f t="shared" ca="1" si="63"/>
        <v>59.523419643446367</v>
      </c>
      <c r="M62">
        <f t="shared" ca="1" si="63"/>
        <v>58.272689982753633</v>
      </c>
      <c r="N62">
        <f t="shared" ca="1" si="63"/>
        <v>58.642915418323177</v>
      </c>
      <c r="O62">
        <f t="shared" ca="1" si="63"/>
        <v>57.542337736609319</v>
      </c>
      <c r="P62">
        <f t="shared" ca="1" si="63"/>
        <v>58.135959547902402</v>
      </c>
      <c r="Q62">
        <f t="shared" ca="1" si="63"/>
        <v>57.513125962705736</v>
      </c>
      <c r="R62">
        <f t="shared" ca="1" si="63"/>
        <v>57.110087908530154</v>
      </c>
      <c r="S62">
        <f t="shared" ca="1" si="63"/>
        <v>58.292353775299375</v>
      </c>
      <c r="T62">
        <f t="shared" ca="1" si="63"/>
        <v>59.417076170421097</v>
      </c>
      <c r="U62">
        <f t="shared" ca="1" si="63"/>
        <v>59.210138672448252</v>
      </c>
      <c r="V62">
        <f t="shared" ca="1" si="63"/>
        <v>59.890072798846013</v>
      </c>
      <c r="W62">
        <f t="shared" ca="1" si="63"/>
        <v>62.046433865487735</v>
      </c>
      <c r="X62">
        <f t="shared" ca="1" si="63"/>
        <v>61.638787894333532</v>
      </c>
      <c r="Y62">
        <f t="shared" ca="1" si="63"/>
        <v>62.464583015830634</v>
      </c>
      <c r="Z62">
        <f t="shared" ca="1" si="63"/>
        <v>63.83110204565439</v>
      </c>
      <c r="AA62">
        <f t="shared" ca="1" si="63"/>
        <v>65.01568400688646</v>
      </c>
      <c r="AB62">
        <f t="shared" ca="1" si="63"/>
        <v>66.73287611936702</v>
      </c>
      <c r="AC62">
        <f t="shared" ca="1" si="63"/>
        <v>66.8710607620052</v>
      </c>
      <c r="AD62">
        <f t="shared" ca="1" si="63"/>
        <v>68.377618149995513</v>
      </c>
      <c r="AE62">
        <f t="shared" ca="1" si="63"/>
        <v>67.864159990960161</v>
      </c>
      <c r="AF62">
        <f t="shared" ca="1" si="63"/>
        <v>68.7266624460309</v>
      </c>
      <c r="AG62">
        <f t="shared" ca="1" si="63"/>
        <v>69.184080295433958</v>
      </c>
      <c r="AH62">
        <f t="shared" ca="1" si="63"/>
        <v>68.525424281846696</v>
      </c>
      <c r="AI62">
        <f t="shared" ca="1" si="63"/>
        <v>69.421851135734286</v>
      </c>
      <c r="AJ62">
        <f t="shared" ca="1" si="63"/>
        <v>67.780654727256604</v>
      </c>
      <c r="AK62">
        <f t="shared" ca="1" si="63"/>
        <v>67.264845480013491</v>
      </c>
      <c r="AL62">
        <f t="shared" ca="1" si="63"/>
        <v>68.099116434980417</v>
      </c>
      <c r="AM62">
        <f t="shared" ca="1" si="63"/>
        <v>66.896414355913052</v>
      </c>
      <c r="AN62">
        <f t="shared" ca="1" si="63"/>
        <v>69.033844468048898</v>
      </c>
      <c r="AO62">
        <f t="shared" ca="1" si="63"/>
        <v>69.021651486696712</v>
      </c>
      <c r="AP62">
        <f t="shared" ca="1" si="63"/>
        <v>68.561437109898293</v>
      </c>
      <c r="AQ62">
        <f t="shared" ca="1" si="63"/>
        <v>69.110108654696717</v>
      </c>
      <c r="AR62">
        <f t="shared" ca="1" si="63"/>
        <v>70.507525362858843</v>
      </c>
      <c r="AS62">
        <f t="shared" ca="1" si="63"/>
        <v>70.45725992980222</v>
      </c>
      <c r="AT62">
        <f t="shared" ca="1" si="63"/>
        <v>73.345532902546481</v>
      </c>
      <c r="AU62">
        <f t="shared" ca="1" si="63"/>
        <v>72.775531405896729</v>
      </c>
      <c r="AV62">
        <f t="shared" ca="1" si="63"/>
        <v>73.225041931573784</v>
      </c>
      <c r="AW62">
        <f t="shared" ca="1" si="63"/>
        <v>74.087165288983371</v>
      </c>
      <c r="AX62">
        <f t="shared" ca="1" si="63"/>
        <v>72.856785287579498</v>
      </c>
      <c r="AY62">
        <f t="shared" ca="1" si="63"/>
        <v>70.728488873385331</v>
      </c>
      <c r="AZ62">
        <f t="shared" ca="1" si="63"/>
        <v>70.474244017949545</v>
      </c>
      <c r="BA62">
        <f t="shared" ca="1" si="63"/>
        <v>72.826165544046191</v>
      </c>
      <c r="BB62">
        <f t="shared" ca="1" si="63"/>
        <v>72.747451465301523</v>
      </c>
      <c r="BC62">
        <f t="shared" ca="1" si="63"/>
        <v>73.616014700392498</v>
      </c>
      <c r="BD62">
        <f t="shared" ca="1" si="63"/>
        <v>72.902570573251509</v>
      </c>
      <c r="BE62">
        <f t="shared" ca="1" si="63"/>
        <v>74.319494520491006</v>
      </c>
      <c r="BF62">
        <f t="shared" ca="1" si="63"/>
        <v>76.435747687152158</v>
      </c>
      <c r="BG62">
        <f t="shared" ca="1" si="63"/>
        <v>77.224157656287858</v>
      </c>
      <c r="BH62">
        <f t="shared" ca="1" si="63"/>
        <v>75.922150453818347</v>
      </c>
      <c r="BI62">
        <f t="shared" ca="1" si="63"/>
        <v>77.382980819681862</v>
      </c>
      <c r="BJ62">
        <f t="shared" ca="1" si="63"/>
        <v>79.610308994887731</v>
      </c>
      <c r="BK62">
        <f t="shared" ca="1" si="63"/>
        <v>81.020440650029926</v>
      </c>
      <c r="BL62">
        <f t="shared" ca="1" si="63"/>
        <v>80.980422768282082</v>
      </c>
      <c r="BM62">
        <f t="shared" ca="1" si="63"/>
        <v>82.228628050518822</v>
      </c>
      <c r="BN62">
        <f t="shared" ca="1" si="63"/>
        <v>81.244373326418298</v>
      </c>
      <c r="BO62">
        <f t="shared" ca="1" si="4"/>
        <v>23.244373326418298</v>
      </c>
    </row>
    <row r="63" spans="6:67">
      <c r="F63">
        <f t="shared" si="2"/>
        <v>60.99</v>
      </c>
      <c r="G63">
        <f t="shared" ref="G63:BN63" ca="1" si="64">F63*EXP(($B$2-0.5*$B$3^2)*$B$4+$B$3*_xlfn.NORM.INV(RAND(),0,SQRT($B$4)))</f>
        <v>62.283254249154595</v>
      </c>
      <c r="H63">
        <f t="shared" ca="1" si="64"/>
        <v>62.806737029795798</v>
      </c>
      <c r="I63">
        <f t="shared" ca="1" si="64"/>
        <v>64.728365536421364</v>
      </c>
      <c r="J63">
        <f t="shared" ca="1" si="64"/>
        <v>65.365435703412928</v>
      </c>
      <c r="K63">
        <f t="shared" ca="1" si="64"/>
        <v>65.933849012950162</v>
      </c>
      <c r="L63">
        <f t="shared" ca="1" si="64"/>
        <v>64.232902087458328</v>
      </c>
      <c r="M63">
        <f t="shared" ca="1" si="64"/>
        <v>63.369448906739187</v>
      </c>
      <c r="N63">
        <f t="shared" ca="1" si="64"/>
        <v>63.891472628975698</v>
      </c>
      <c r="O63">
        <f t="shared" ca="1" si="64"/>
        <v>64.231192738221694</v>
      </c>
      <c r="P63">
        <f t="shared" ca="1" si="64"/>
        <v>63.157057177258089</v>
      </c>
      <c r="Q63">
        <f t="shared" ca="1" si="64"/>
        <v>64.868245454421938</v>
      </c>
      <c r="R63">
        <f t="shared" ca="1" si="64"/>
        <v>64.905913435177979</v>
      </c>
      <c r="S63">
        <f t="shared" ca="1" si="64"/>
        <v>66.53148668417353</v>
      </c>
      <c r="T63">
        <f t="shared" ca="1" si="64"/>
        <v>67.005874880590099</v>
      </c>
      <c r="U63">
        <f t="shared" ca="1" si="64"/>
        <v>67.110693693144626</v>
      </c>
      <c r="V63">
        <f t="shared" ca="1" si="64"/>
        <v>64.975470370850189</v>
      </c>
      <c r="W63">
        <f t="shared" ca="1" si="64"/>
        <v>64.682399807215944</v>
      </c>
      <c r="X63">
        <f t="shared" ca="1" si="64"/>
        <v>65.434586047133863</v>
      </c>
      <c r="Y63">
        <f t="shared" ca="1" si="64"/>
        <v>65.559287327978438</v>
      </c>
      <c r="Z63">
        <f t="shared" ca="1" si="64"/>
        <v>66.493735966471959</v>
      </c>
      <c r="AA63">
        <f t="shared" ca="1" si="64"/>
        <v>67.531642112814225</v>
      </c>
      <c r="AB63">
        <f t="shared" ca="1" si="64"/>
        <v>65.437554079402403</v>
      </c>
      <c r="AC63">
        <f t="shared" ca="1" si="64"/>
        <v>64.947121249103034</v>
      </c>
      <c r="AD63">
        <f t="shared" ca="1" si="64"/>
        <v>65.332142072037982</v>
      </c>
      <c r="AE63">
        <f t="shared" ca="1" si="64"/>
        <v>64.90158905180779</v>
      </c>
      <c r="AF63">
        <f t="shared" ca="1" si="64"/>
        <v>63.747699094214504</v>
      </c>
      <c r="AG63">
        <f t="shared" ca="1" si="64"/>
        <v>61.521742857193921</v>
      </c>
      <c r="AH63">
        <f t="shared" ca="1" si="64"/>
        <v>64.64740439296132</v>
      </c>
      <c r="AI63">
        <f t="shared" ca="1" si="64"/>
        <v>64.922782352327459</v>
      </c>
      <c r="AJ63">
        <f t="shared" ca="1" si="64"/>
        <v>64.92504827340079</v>
      </c>
      <c r="AK63">
        <f t="shared" ca="1" si="64"/>
        <v>64.667591465927245</v>
      </c>
      <c r="AL63">
        <f t="shared" ca="1" si="64"/>
        <v>64.562562535183801</v>
      </c>
      <c r="AM63">
        <f t="shared" ca="1" si="64"/>
        <v>64.608790993343874</v>
      </c>
      <c r="AN63">
        <f t="shared" ca="1" si="64"/>
        <v>64.483301158889347</v>
      </c>
      <c r="AO63">
        <f t="shared" ca="1" si="64"/>
        <v>65.721262306374072</v>
      </c>
      <c r="AP63">
        <f t="shared" ca="1" si="64"/>
        <v>67.259489166146125</v>
      </c>
      <c r="AQ63">
        <f t="shared" ca="1" si="64"/>
        <v>66.218188594214709</v>
      </c>
      <c r="AR63">
        <f t="shared" ca="1" si="64"/>
        <v>68.733020870248993</v>
      </c>
      <c r="AS63">
        <f t="shared" ca="1" si="64"/>
        <v>69.914743230923065</v>
      </c>
      <c r="AT63">
        <f t="shared" ca="1" si="64"/>
        <v>69.834746099769973</v>
      </c>
      <c r="AU63">
        <f t="shared" ca="1" si="64"/>
        <v>70.069116915182022</v>
      </c>
      <c r="AV63">
        <f t="shared" ca="1" si="64"/>
        <v>70.145958331241658</v>
      </c>
      <c r="AW63">
        <f t="shared" ca="1" si="64"/>
        <v>68.782146005427563</v>
      </c>
      <c r="AX63">
        <f t="shared" ca="1" si="64"/>
        <v>66.977890950740601</v>
      </c>
      <c r="AY63">
        <f t="shared" ca="1" si="64"/>
        <v>65.976360561728114</v>
      </c>
      <c r="AZ63">
        <f t="shared" ca="1" si="64"/>
        <v>66.112104697600202</v>
      </c>
      <c r="BA63">
        <f t="shared" ca="1" si="64"/>
        <v>65.54568129981881</v>
      </c>
      <c r="BB63">
        <f t="shared" ca="1" si="64"/>
        <v>66.51952487297153</v>
      </c>
      <c r="BC63">
        <f t="shared" ca="1" si="64"/>
        <v>66.180624296536294</v>
      </c>
      <c r="BD63">
        <f t="shared" ca="1" si="64"/>
        <v>67.341725759034659</v>
      </c>
      <c r="BE63">
        <f t="shared" ca="1" si="64"/>
        <v>67.562044046411842</v>
      </c>
      <c r="BF63">
        <f t="shared" ca="1" si="64"/>
        <v>66.018120212262872</v>
      </c>
      <c r="BG63">
        <f t="shared" ca="1" si="64"/>
        <v>65.44803730019845</v>
      </c>
      <c r="BH63">
        <f t="shared" ca="1" si="64"/>
        <v>65.849108342465058</v>
      </c>
      <c r="BI63">
        <f t="shared" ca="1" si="64"/>
        <v>65.554215382975258</v>
      </c>
      <c r="BJ63">
        <f t="shared" ca="1" si="64"/>
        <v>66.444348648716101</v>
      </c>
      <c r="BK63">
        <f t="shared" ca="1" si="64"/>
        <v>66.909021767792197</v>
      </c>
      <c r="BL63">
        <f t="shared" ca="1" si="64"/>
        <v>65.930756389526692</v>
      </c>
      <c r="BM63">
        <f t="shared" ca="1" si="64"/>
        <v>67.58332122188429</v>
      </c>
      <c r="BN63">
        <f t="shared" ca="1" si="64"/>
        <v>68.87820109306557</v>
      </c>
      <c r="BO63">
        <f t="shared" ca="1" si="4"/>
        <v>10.87820109306557</v>
      </c>
    </row>
    <row r="64" spans="6:67">
      <c r="F64">
        <f t="shared" si="2"/>
        <v>60.99</v>
      </c>
      <c r="G64">
        <f t="shared" ref="G64:BN64" ca="1" si="65">F64*EXP(($B$2-0.5*$B$3^2)*$B$4+$B$3*_xlfn.NORM.INV(RAND(),0,SQRT($B$4)))</f>
        <v>60.517555974936492</v>
      </c>
      <c r="H64">
        <f t="shared" ca="1" si="65"/>
        <v>60.780020758858441</v>
      </c>
      <c r="I64">
        <f t="shared" ca="1" si="65"/>
        <v>60.720834901920981</v>
      </c>
      <c r="J64">
        <f t="shared" ca="1" si="65"/>
        <v>60.19984496767151</v>
      </c>
      <c r="K64">
        <f t="shared" ca="1" si="65"/>
        <v>58.833628745387934</v>
      </c>
      <c r="L64">
        <f t="shared" ca="1" si="65"/>
        <v>60.272491964483692</v>
      </c>
      <c r="M64">
        <f t="shared" ca="1" si="65"/>
        <v>60.859063017745058</v>
      </c>
      <c r="N64">
        <f t="shared" ca="1" si="65"/>
        <v>61.668620551089383</v>
      </c>
      <c r="O64">
        <f t="shared" ca="1" si="65"/>
        <v>59.70235970136158</v>
      </c>
      <c r="P64">
        <f t="shared" ca="1" si="65"/>
        <v>58.423543242586753</v>
      </c>
      <c r="Q64">
        <f t="shared" ca="1" si="65"/>
        <v>59.217646827771318</v>
      </c>
      <c r="R64">
        <f t="shared" ca="1" si="65"/>
        <v>60.078970838907729</v>
      </c>
      <c r="S64">
        <f t="shared" ca="1" si="65"/>
        <v>61.162911133354967</v>
      </c>
      <c r="T64">
        <f t="shared" ca="1" si="65"/>
        <v>59.65177626982581</v>
      </c>
      <c r="U64">
        <f t="shared" ca="1" si="65"/>
        <v>61.314196896173975</v>
      </c>
      <c r="V64">
        <f t="shared" ca="1" si="65"/>
        <v>60.846182293875835</v>
      </c>
      <c r="W64">
        <f t="shared" ca="1" si="65"/>
        <v>60.782404431840114</v>
      </c>
      <c r="X64">
        <f t="shared" ca="1" si="65"/>
        <v>61.184231614646343</v>
      </c>
      <c r="Y64">
        <f t="shared" ca="1" si="65"/>
        <v>62.73409380757068</v>
      </c>
      <c r="Z64">
        <f t="shared" ca="1" si="65"/>
        <v>64.381091262277167</v>
      </c>
      <c r="AA64">
        <f t="shared" ca="1" si="65"/>
        <v>63.407981608717364</v>
      </c>
      <c r="AB64">
        <f t="shared" ca="1" si="65"/>
        <v>63.194439135177923</v>
      </c>
      <c r="AC64">
        <f t="shared" ca="1" si="65"/>
        <v>64.551804746644805</v>
      </c>
      <c r="AD64">
        <f t="shared" ca="1" si="65"/>
        <v>63.967995943854845</v>
      </c>
      <c r="AE64">
        <f t="shared" ca="1" si="65"/>
        <v>66.093412666783678</v>
      </c>
      <c r="AF64">
        <f t="shared" ca="1" si="65"/>
        <v>64.040843363915215</v>
      </c>
      <c r="AG64">
        <f t="shared" ca="1" si="65"/>
        <v>65.257930926020038</v>
      </c>
      <c r="AH64">
        <f t="shared" ca="1" si="65"/>
        <v>65.078816556661167</v>
      </c>
      <c r="AI64">
        <f t="shared" ca="1" si="65"/>
        <v>65.436112778875668</v>
      </c>
      <c r="AJ64">
        <f t="shared" ca="1" si="65"/>
        <v>65.704493820961076</v>
      </c>
      <c r="AK64">
        <f t="shared" ca="1" si="65"/>
        <v>66.165004141756469</v>
      </c>
      <c r="AL64">
        <f t="shared" ca="1" si="65"/>
        <v>65.548887635024229</v>
      </c>
      <c r="AM64">
        <f t="shared" ca="1" si="65"/>
        <v>65.986429071033683</v>
      </c>
      <c r="AN64">
        <f t="shared" ca="1" si="65"/>
        <v>66.17826239565548</v>
      </c>
      <c r="AO64">
        <f t="shared" ca="1" si="65"/>
        <v>65.237940101736811</v>
      </c>
      <c r="AP64">
        <f t="shared" ca="1" si="65"/>
        <v>64.407967710200978</v>
      </c>
      <c r="AQ64">
        <f t="shared" ca="1" si="65"/>
        <v>64.527689838142336</v>
      </c>
      <c r="AR64">
        <f t="shared" ca="1" si="65"/>
        <v>65.518043641971403</v>
      </c>
      <c r="AS64">
        <f t="shared" ca="1" si="65"/>
        <v>63.966820656987039</v>
      </c>
      <c r="AT64">
        <f t="shared" ca="1" si="65"/>
        <v>63.832713588179637</v>
      </c>
      <c r="AU64">
        <f t="shared" ca="1" si="65"/>
        <v>68.120460605254337</v>
      </c>
      <c r="AV64">
        <f t="shared" ca="1" si="65"/>
        <v>66.524137340478418</v>
      </c>
      <c r="AW64">
        <f t="shared" ca="1" si="65"/>
        <v>63.855437341241519</v>
      </c>
      <c r="AX64">
        <f t="shared" ca="1" si="65"/>
        <v>63.733152164692491</v>
      </c>
      <c r="AY64">
        <f t="shared" ca="1" si="65"/>
        <v>62.236334680035156</v>
      </c>
      <c r="AZ64">
        <f t="shared" ca="1" si="65"/>
        <v>63.270772730348853</v>
      </c>
      <c r="BA64">
        <f t="shared" ca="1" si="65"/>
        <v>60.63993127760294</v>
      </c>
      <c r="BB64">
        <f t="shared" ca="1" si="65"/>
        <v>61.847067184062134</v>
      </c>
      <c r="BC64">
        <f t="shared" ca="1" si="65"/>
        <v>63.247380926501833</v>
      </c>
      <c r="BD64">
        <f t="shared" ca="1" si="65"/>
        <v>63.589598708461018</v>
      </c>
      <c r="BE64">
        <f t="shared" ca="1" si="65"/>
        <v>63.977866830939526</v>
      </c>
      <c r="BF64">
        <f t="shared" ca="1" si="65"/>
        <v>63.995094592288908</v>
      </c>
      <c r="BG64">
        <f t="shared" ca="1" si="65"/>
        <v>64.006459022505325</v>
      </c>
      <c r="BH64">
        <f t="shared" ca="1" si="65"/>
        <v>62.104039055940568</v>
      </c>
      <c r="BI64">
        <f t="shared" ca="1" si="65"/>
        <v>60.149625681558661</v>
      </c>
      <c r="BJ64">
        <f t="shared" ca="1" si="65"/>
        <v>59.711010886127696</v>
      </c>
      <c r="BK64">
        <f t="shared" ca="1" si="65"/>
        <v>59.96908831639994</v>
      </c>
      <c r="BL64">
        <f t="shared" ca="1" si="65"/>
        <v>60.851212761661323</v>
      </c>
      <c r="BM64">
        <f t="shared" ca="1" si="65"/>
        <v>62.282830533534984</v>
      </c>
      <c r="BN64">
        <f t="shared" ca="1" si="65"/>
        <v>62.32859491492475</v>
      </c>
      <c r="BO64">
        <f t="shared" ca="1" si="4"/>
        <v>4.32859491492475</v>
      </c>
    </row>
    <row r="65" spans="6:67">
      <c r="F65">
        <f t="shared" si="2"/>
        <v>60.99</v>
      </c>
      <c r="G65">
        <f t="shared" ref="G65:BN65" ca="1" si="66">F65*EXP(($B$2-0.5*$B$3^2)*$B$4+$B$3*_xlfn.NORM.INV(RAND(),0,SQRT($B$4)))</f>
        <v>62.636105285304993</v>
      </c>
      <c r="H65">
        <f t="shared" ca="1" si="66"/>
        <v>62.479571176411227</v>
      </c>
      <c r="I65">
        <f t="shared" ca="1" si="66"/>
        <v>63.677971741636526</v>
      </c>
      <c r="J65">
        <f t="shared" ca="1" si="66"/>
        <v>61.878673409528453</v>
      </c>
      <c r="K65">
        <f t="shared" ca="1" si="66"/>
        <v>62.877699175547448</v>
      </c>
      <c r="L65">
        <f t="shared" ca="1" si="66"/>
        <v>63.855700258435</v>
      </c>
      <c r="M65">
        <f t="shared" ca="1" si="66"/>
        <v>62.613989139781708</v>
      </c>
      <c r="N65">
        <f t="shared" ca="1" si="66"/>
        <v>64.633946967841354</v>
      </c>
      <c r="O65">
        <f t="shared" ca="1" si="66"/>
        <v>63.791325797527726</v>
      </c>
      <c r="P65">
        <f t="shared" ca="1" si="66"/>
        <v>62.925815903751669</v>
      </c>
      <c r="Q65">
        <f t="shared" ca="1" si="66"/>
        <v>63.986208013835913</v>
      </c>
      <c r="R65">
        <f t="shared" ca="1" si="66"/>
        <v>65.041541018749257</v>
      </c>
      <c r="S65">
        <f t="shared" ca="1" si="66"/>
        <v>62.307503007183414</v>
      </c>
      <c r="T65">
        <f t="shared" ca="1" si="66"/>
        <v>62.161489620535662</v>
      </c>
      <c r="U65">
        <f t="shared" ca="1" si="66"/>
        <v>60.69886415447818</v>
      </c>
      <c r="V65">
        <f t="shared" ca="1" si="66"/>
        <v>62.445571433138447</v>
      </c>
      <c r="W65">
        <f t="shared" ca="1" si="66"/>
        <v>63.290948958213271</v>
      </c>
      <c r="X65">
        <f t="shared" ca="1" si="66"/>
        <v>63.064069244178292</v>
      </c>
      <c r="Y65">
        <f t="shared" ca="1" si="66"/>
        <v>64.055835292338884</v>
      </c>
      <c r="Z65">
        <f t="shared" ca="1" si="66"/>
        <v>63.419234864538772</v>
      </c>
      <c r="AA65">
        <f t="shared" ca="1" si="66"/>
        <v>64.446485729551057</v>
      </c>
      <c r="AB65">
        <f t="shared" ca="1" si="66"/>
        <v>64.804205792300948</v>
      </c>
      <c r="AC65">
        <f t="shared" ca="1" si="66"/>
        <v>65.872680572753211</v>
      </c>
      <c r="AD65">
        <f t="shared" ca="1" si="66"/>
        <v>67.945033087827895</v>
      </c>
      <c r="AE65">
        <f t="shared" ca="1" si="66"/>
        <v>68.346383817089844</v>
      </c>
      <c r="AF65">
        <f t="shared" ca="1" si="66"/>
        <v>69.556770096582355</v>
      </c>
      <c r="AG65">
        <f t="shared" ca="1" si="66"/>
        <v>66.894781995052583</v>
      </c>
      <c r="AH65">
        <f t="shared" ca="1" si="66"/>
        <v>64.565571678986913</v>
      </c>
      <c r="AI65">
        <f t="shared" ca="1" si="66"/>
        <v>62.97050910162676</v>
      </c>
      <c r="AJ65">
        <f t="shared" ca="1" si="66"/>
        <v>65.455064624755565</v>
      </c>
      <c r="AK65">
        <f t="shared" ca="1" si="66"/>
        <v>66.801153628452298</v>
      </c>
      <c r="AL65">
        <f t="shared" ca="1" si="66"/>
        <v>66.503850523891444</v>
      </c>
      <c r="AM65">
        <f t="shared" ca="1" si="66"/>
        <v>64.063182837668634</v>
      </c>
      <c r="AN65">
        <f t="shared" ca="1" si="66"/>
        <v>66.560889210259248</v>
      </c>
      <c r="AO65">
        <f t="shared" ca="1" si="66"/>
        <v>67.346710740495212</v>
      </c>
      <c r="AP65">
        <f t="shared" ca="1" si="66"/>
        <v>66.051308283845415</v>
      </c>
      <c r="AQ65">
        <f t="shared" ca="1" si="66"/>
        <v>65.280102650990955</v>
      </c>
      <c r="AR65">
        <f t="shared" ca="1" si="66"/>
        <v>65.722657196295799</v>
      </c>
      <c r="AS65">
        <f t="shared" ca="1" si="66"/>
        <v>64.674893089370173</v>
      </c>
      <c r="AT65">
        <f t="shared" ca="1" si="66"/>
        <v>65.599832553641448</v>
      </c>
      <c r="AU65">
        <f t="shared" ca="1" si="66"/>
        <v>64.906255639174319</v>
      </c>
      <c r="AV65">
        <f t="shared" ca="1" si="66"/>
        <v>65.808560992837045</v>
      </c>
      <c r="AW65">
        <f t="shared" ca="1" si="66"/>
        <v>64.606282207929993</v>
      </c>
      <c r="AX65">
        <f t="shared" ca="1" si="66"/>
        <v>63.480370082545122</v>
      </c>
      <c r="AY65">
        <f t="shared" ca="1" si="66"/>
        <v>64.376223083108798</v>
      </c>
      <c r="AZ65">
        <f t="shared" ca="1" si="66"/>
        <v>66.091369615685053</v>
      </c>
      <c r="BA65">
        <f t="shared" ca="1" si="66"/>
        <v>67.814698523479279</v>
      </c>
      <c r="BB65">
        <f t="shared" ca="1" si="66"/>
        <v>67.322650311077453</v>
      </c>
      <c r="BC65">
        <f t="shared" ca="1" si="66"/>
        <v>66.531477754858003</v>
      </c>
      <c r="BD65">
        <f t="shared" ca="1" si="66"/>
        <v>66.514876726707655</v>
      </c>
      <c r="BE65">
        <f t="shared" ca="1" si="66"/>
        <v>66.243885657505174</v>
      </c>
      <c r="BF65">
        <f t="shared" ca="1" si="66"/>
        <v>68.097296727542258</v>
      </c>
      <c r="BG65">
        <f t="shared" ca="1" si="66"/>
        <v>69.278718394754151</v>
      </c>
      <c r="BH65">
        <f t="shared" ca="1" si="66"/>
        <v>71.48856175801069</v>
      </c>
      <c r="BI65">
        <f t="shared" ca="1" si="66"/>
        <v>72.265281659551164</v>
      </c>
      <c r="BJ65">
        <f t="shared" ca="1" si="66"/>
        <v>72.564595229616941</v>
      </c>
      <c r="BK65">
        <f t="shared" ca="1" si="66"/>
        <v>71.045034235650334</v>
      </c>
      <c r="BL65">
        <f t="shared" ca="1" si="66"/>
        <v>72.328868613924229</v>
      </c>
      <c r="BM65">
        <f t="shared" ca="1" si="66"/>
        <v>73.783789658714696</v>
      </c>
      <c r="BN65">
        <f t="shared" ca="1" si="66"/>
        <v>75.403661263927333</v>
      </c>
      <c r="BO65">
        <f t="shared" ca="1" si="4"/>
        <v>17.403661263927333</v>
      </c>
    </row>
    <row r="66" spans="6:67">
      <c r="F66">
        <f t="shared" si="2"/>
        <v>60.99</v>
      </c>
      <c r="G66">
        <f t="shared" ref="G66:BN66" ca="1" si="67">F66*EXP(($B$2-0.5*$B$3^2)*$B$4+$B$3*_xlfn.NORM.INV(RAND(),0,SQRT($B$4)))</f>
        <v>62.517161916305824</v>
      </c>
      <c r="H66">
        <f t="shared" ca="1" si="67"/>
        <v>61.263341592423856</v>
      </c>
      <c r="I66">
        <f t="shared" ca="1" si="67"/>
        <v>63.978765754296582</v>
      </c>
      <c r="J66">
        <f t="shared" ca="1" si="67"/>
        <v>62.103843170149617</v>
      </c>
      <c r="K66">
        <f t="shared" ca="1" si="67"/>
        <v>63.506668527625237</v>
      </c>
      <c r="L66">
        <f t="shared" ca="1" si="67"/>
        <v>62.639104553187288</v>
      </c>
      <c r="M66">
        <f t="shared" ca="1" si="67"/>
        <v>64.98379323730893</v>
      </c>
      <c r="N66">
        <f t="shared" ca="1" si="67"/>
        <v>62.813434456480273</v>
      </c>
      <c r="O66">
        <f t="shared" ca="1" si="67"/>
        <v>62.73835189872117</v>
      </c>
      <c r="P66">
        <f t="shared" ca="1" si="67"/>
        <v>61.931391125592896</v>
      </c>
      <c r="Q66">
        <f t="shared" ca="1" si="67"/>
        <v>60.14519235074372</v>
      </c>
      <c r="R66">
        <f t="shared" ca="1" si="67"/>
        <v>59.882142048648241</v>
      </c>
      <c r="S66">
        <f t="shared" ca="1" si="67"/>
        <v>59.201968356650092</v>
      </c>
      <c r="T66">
        <f t="shared" ca="1" si="67"/>
        <v>59.227069997094645</v>
      </c>
      <c r="U66">
        <f t="shared" ca="1" si="67"/>
        <v>58.307753694608742</v>
      </c>
      <c r="V66">
        <f t="shared" ca="1" si="67"/>
        <v>58.634077538425252</v>
      </c>
      <c r="W66">
        <f t="shared" ca="1" si="67"/>
        <v>57.959551601620269</v>
      </c>
      <c r="X66">
        <f t="shared" ca="1" si="67"/>
        <v>57.827494390069489</v>
      </c>
      <c r="Y66">
        <f t="shared" ca="1" si="67"/>
        <v>59.734657614058349</v>
      </c>
      <c r="Z66">
        <f t="shared" ca="1" si="67"/>
        <v>57.631940952867872</v>
      </c>
      <c r="AA66">
        <f t="shared" ca="1" si="67"/>
        <v>57.379411082959621</v>
      </c>
      <c r="AB66">
        <f t="shared" ca="1" si="67"/>
        <v>54.401990218085437</v>
      </c>
      <c r="AC66">
        <f t="shared" ca="1" si="67"/>
        <v>54.005486552356487</v>
      </c>
      <c r="AD66">
        <f t="shared" ca="1" si="67"/>
        <v>53.952941884139079</v>
      </c>
      <c r="AE66">
        <f t="shared" ca="1" si="67"/>
        <v>53.476454154988353</v>
      </c>
      <c r="AF66">
        <f t="shared" ca="1" si="67"/>
        <v>53.607645051164539</v>
      </c>
      <c r="AG66">
        <f t="shared" ca="1" si="67"/>
        <v>53.202449074807873</v>
      </c>
      <c r="AH66">
        <f t="shared" ca="1" si="67"/>
        <v>54.053041383588891</v>
      </c>
      <c r="AI66">
        <f t="shared" ca="1" si="67"/>
        <v>55.437984829703218</v>
      </c>
      <c r="AJ66">
        <f t="shared" ca="1" si="67"/>
        <v>56.33913510688275</v>
      </c>
      <c r="AK66">
        <f t="shared" ca="1" si="67"/>
        <v>57.0145403524022</v>
      </c>
      <c r="AL66">
        <f t="shared" ca="1" si="67"/>
        <v>56.102223757976368</v>
      </c>
      <c r="AM66">
        <f t="shared" ca="1" si="67"/>
        <v>54.687966612227065</v>
      </c>
      <c r="AN66">
        <f t="shared" ca="1" si="67"/>
        <v>56.192576141192546</v>
      </c>
      <c r="AO66">
        <f t="shared" ca="1" si="67"/>
        <v>54.366022407492849</v>
      </c>
      <c r="AP66">
        <f t="shared" ca="1" si="67"/>
        <v>54.218974489921848</v>
      </c>
      <c r="AQ66">
        <f t="shared" ca="1" si="67"/>
        <v>54.008895919640082</v>
      </c>
      <c r="AR66">
        <f t="shared" ca="1" si="67"/>
        <v>54.9588090187953</v>
      </c>
      <c r="AS66">
        <f t="shared" ca="1" si="67"/>
        <v>56.086081067509078</v>
      </c>
      <c r="AT66">
        <f t="shared" ca="1" si="67"/>
        <v>55.675578654670133</v>
      </c>
      <c r="AU66">
        <f t="shared" ca="1" si="67"/>
        <v>59.003245675572614</v>
      </c>
      <c r="AV66">
        <f t="shared" ca="1" si="67"/>
        <v>59.02661001298187</v>
      </c>
      <c r="AW66">
        <f t="shared" ca="1" si="67"/>
        <v>59.040593594493437</v>
      </c>
      <c r="AX66">
        <f t="shared" ca="1" si="67"/>
        <v>58.784081335153083</v>
      </c>
      <c r="AY66">
        <f t="shared" ca="1" si="67"/>
        <v>60.755543647588638</v>
      </c>
      <c r="AZ66">
        <f t="shared" ca="1" si="67"/>
        <v>61.784279078960914</v>
      </c>
      <c r="BA66">
        <f t="shared" ca="1" si="67"/>
        <v>61.697903186224316</v>
      </c>
      <c r="BB66">
        <f t="shared" ca="1" si="67"/>
        <v>59.08801759576599</v>
      </c>
      <c r="BC66">
        <f t="shared" ca="1" si="67"/>
        <v>57.456270177192387</v>
      </c>
      <c r="BD66">
        <f t="shared" ca="1" si="67"/>
        <v>56.698549715738807</v>
      </c>
      <c r="BE66">
        <f t="shared" ca="1" si="67"/>
        <v>56.169810822356794</v>
      </c>
      <c r="BF66">
        <f t="shared" ca="1" si="67"/>
        <v>57.619608255925542</v>
      </c>
      <c r="BG66">
        <f t="shared" ca="1" si="67"/>
        <v>57.282603820680123</v>
      </c>
      <c r="BH66">
        <f t="shared" ca="1" si="67"/>
        <v>56.787598543677262</v>
      </c>
      <c r="BI66">
        <f t="shared" ca="1" si="67"/>
        <v>55.95668564274785</v>
      </c>
      <c r="BJ66">
        <f t="shared" ca="1" si="67"/>
        <v>57.015115263329093</v>
      </c>
      <c r="BK66">
        <f t="shared" ca="1" si="67"/>
        <v>56.292506100939598</v>
      </c>
      <c r="BL66">
        <f t="shared" ca="1" si="67"/>
        <v>56.215571514361059</v>
      </c>
      <c r="BM66">
        <f t="shared" ca="1" si="67"/>
        <v>55.076381059539266</v>
      </c>
      <c r="BN66">
        <f t="shared" ca="1" si="67"/>
        <v>55.383569980716089</v>
      </c>
      <c r="BO66">
        <f t="shared" ca="1" si="4"/>
        <v>0</v>
      </c>
    </row>
    <row r="67" spans="6:67">
      <c r="F67">
        <f t="shared" ref="F67:F102" si="68">$B$1</f>
        <v>60.99</v>
      </c>
      <c r="G67">
        <f t="shared" ref="G67:BN67" ca="1" si="69">F67*EXP(($B$2-0.5*$B$3^2)*$B$4+$B$3*_xlfn.NORM.INV(RAND(),0,SQRT($B$4)))</f>
        <v>59.896950834001586</v>
      </c>
      <c r="H67">
        <f t="shared" ca="1" si="69"/>
        <v>59.329387210610079</v>
      </c>
      <c r="I67">
        <f t="shared" ca="1" si="69"/>
        <v>59.034141759083276</v>
      </c>
      <c r="J67">
        <f t="shared" ca="1" si="69"/>
        <v>60.070938775332984</v>
      </c>
      <c r="K67">
        <f t="shared" ca="1" si="69"/>
        <v>59.378211302217984</v>
      </c>
      <c r="L67">
        <f t="shared" ca="1" si="69"/>
        <v>58.911323871029268</v>
      </c>
      <c r="M67">
        <f t="shared" ca="1" si="69"/>
        <v>58.942329209274988</v>
      </c>
      <c r="N67">
        <f t="shared" ca="1" si="69"/>
        <v>57.393280034271619</v>
      </c>
      <c r="O67">
        <f t="shared" ca="1" si="69"/>
        <v>56.698290802923673</v>
      </c>
      <c r="P67">
        <f t="shared" ca="1" si="69"/>
        <v>58.595863478858433</v>
      </c>
      <c r="Q67">
        <f t="shared" ca="1" si="69"/>
        <v>58.761418998370253</v>
      </c>
      <c r="R67">
        <f t="shared" ca="1" si="69"/>
        <v>57.927317297677618</v>
      </c>
      <c r="S67">
        <f t="shared" ca="1" si="69"/>
        <v>57.777802611942107</v>
      </c>
      <c r="T67">
        <f t="shared" ca="1" si="69"/>
        <v>56.449354518482366</v>
      </c>
      <c r="U67">
        <f t="shared" ca="1" si="69"/>
        <v>55.651901222690164</v>
      </c>
      <c r="V67">
        <f t="shared" ca="1" si="69"/>
        <v>56.89249372723377</v>
      </c>
      <c r="W67">
        <f t="shared" ca="1" si="69"/>
        <v>56.70779626921864</v>
      </c>
      <c r="X67">
        <f t="shared" ca="1" si="69"/>
        <v>55.724379315734957</v>
      </c>
      <c r="Y67">
        <f t="shared" ca="1" si="69"/>
        <v>56.262475688290507</v>
      </c>
      <c r="Z67">
        <f t="shared" ca="1" si="69"/>
        <v>55.582441746363713</v>
      </c>
      <c r="AA67">
        <f t="shared" ca="1" si="69"/>
        <v>55.406364023882738</v>
      </c>
      <c r="AB67">
        <f t="shared" ca="1" si="69"/>
        <v>57.519798191000859</v>
      </c>
      <c r="AC67">
        <f t="shared" ca="1" si="69"/>
        <v>56.322581538042279</v>
      </c>
      <c r="AD67">
        <f t="shared" ca="1" si="69"/>
        <v>56.228249215749265</v>
      </c>
      <c r="AE67">
        <f t="shared" ca="1" si="69"/>
        <v>57.608917617681406</v>
      </c>
      <c r="AF67">
        <f t="shared" ca="1" si="69"/>
        <v>58.172548288896031</v>
      </c>
      <c r="AG67">
        <f t="shared" ca="1" si="69"/>
        <v>56.79287275999355</v>
      </c>
      <c r="AH67">
        <f t="shared" ca="1" si="69"/>
        <v>57.581473843456216</v>
      </c>
      <c r="AI67">
        <f t="shared" ca="1" si="69"/>
        <v>57.07012207825079</v>
      </c>
      <c r="AJ67">
        <f t="shared" ca="1" si="69"/>
        <v>59.491643046229242</v>
      </c>
      <c r="AK67">
        <f t="shared" ca="1" si="69"/>
        <v>58.98270590502527</v>
      </c>
      <c r="AL67">
        <f t="shared" ca="1" si="69"/>
        <v>56.442586149245592</v>
      </c>
      <c r="AM67">
        <f t="shared" ca="1" si="69"/>
        <v>57.5306795963319</v>
      </c>
      <c r="AN67">
        <f t="shared" ca="1" si="69"/>
        <v>56.95854151779438</v>
      </c>
      <c r="AO67">
        <f t="shared" ca="1" si="69"/>
        <v>54.377404088634584</v>
      </c>
      <c r="AP67">
        <f t="shared" ca="1" si="69"/>
        <v>53.884419328973721</v>
      </c>
      <c r="AQ67">
        <f t="shared" ca="1" si="69"/>
        <v>53.385216839681348</v>
      </c>
      <c r="AR67">
        <f t="shared" ca="1" si="69"/>
        <v>53.106861805599529</v>
      </c>
      <c r="AS67">
        <f t="shared" ca="1" si="69"/>
        <v>53.920839777907659</v>
      </c>
      <c r="AT67">
        <f t="shared" ca="1" si="69"/>
        <v>52.687092998963095</v>
      </c>
      <c r="AU67">
        <f t="shared" ca="1" si="69"/>
        <v>54.063800711486273</v>
      </c>
      <c r="AV67">
        <f t="shared" ca="1" si="69"/>
        <v>54.685813274976844</v>
      </c>
      <c r="AW67">
        <f t="shared" ca="1" si="69"/>
        <v>55.381106211722788</v>
      </c>
      <c r="AX67">
        <f t="shared" ca="1" si="69"/>
        <v>55.22487270555505</v>
      </c>
      <c r="AY67">
        <f t="shared" ca="1" si="69"/>
        <v>54.753823317572078</v>
      </c>
      <c r="AZ67">
        <f t="shared" ca="1" si="69"/>
        <v>55.153899970828668</v>
      </c>
      <c r="BA67">
        <f t="shared" ca="1" si="69"/>
        <v>53.51749805108885</v>
      </c>
      <c r="BB67">
        <f t="shared" ca="1" si="69"/>
        <v>51.575717834540072</v>
      </c>
      <c r="BC67">
        <f t="shared" ca="1" si="69"/>
        <v>51.671704868218839</v>
      </c>
      <c r="BD67">
        <f t="shared" ca="1" si="69"/>
        <v>52.514524002342149</v>
      </c>
      <c r="BE67">
        <f t="shared" ca="1" si="69"/>
        <v>52.780194914832236</v>
      </c>
      <c r="BF67">
        <f t="shared" ca="1" si="69"/>
        <v>52.901094147615154</v>
      </c>
      <c r="BG67">
        <f t="shared" ca="1" si="69"/>
        <v>53.040602456089196</v>
      </c>
      <c r="BH67">
        <f t="shared" ca="1" si="69"/>
        <v>51.771337287534422</v>
      </c>
      <c r="BI67">
        <f t="shared" ca="1" si="69"/>
        <v>53.415390504044666</v>
      </c>
      <c r="BJ67">
        <f t="shared" ca="1" si="69"/>
        <v>54.404053681687522</v>
      </c>
      <c r="BK67">
        <f t="shared" ca="1" si="69"/>
        <v>54.357428828452349</v>
      </c>
      <c r="BL67">
        <f t="shared" ca="1" si="69"/>
        <v>55.817886408439918</v>
      </c>
      <c r="BM67">
        <f t="shared" ca="1" si="69"/>
        <v>56.201720300666636</v>
      </c>
      <c r="BN67">
        <f t="shared" ca="1" si="69"/>
        <v>56.176743527480802</v>
      </c>
      <c r="BO67">
        <f t="shared" ref="BO67:BO102" ca="1" si="70">MAX(BN67-$BN$104,0)</f>
        <v>0</v>
      </c>
    </row>
    <row r="68" spans="6:67">
      <c r="F68">
        <f t="shared" si="68"/>
        <v>60.99</v>
      </c>
      <c r="G68">
        <f t="shared" ref="G68:BN68" ca="1" si="71">F68*EXP(($B$2-0.5*$B$3^2)*$B$4+$B$3*_xlfn.NORM.INV(RAND(),0,SQRT($B$4)))</f>
        <v>61.441237897930812</v>
      </c>
      <c r="H68">
        <f t="shared" ca="1" si="71"/>
        <v>64.06016180736529</v>
      </c>
      <c r="I68">
        <f t="shared" ca="1" si="71"/>
        <v>64.181170480258487</v>
      </c>
      <c r="J68">
        <f t="shared" ca="1" si="71"/>
        <v>66.492811782113037</v>
      </c>
      <c r="K68">
        <f t="shared" ca="1" si="71"/>
        <v>66.545996009348272</v>
      </c>
      <c r="L68">
        <f t="shared" ca="1" si="71"/>
        <v>67.211328505877759</v>
      </c>
      <c r="M68">
        <f t="shared" ca="1" si="71"/>
        <v>66.030744658612775</v>
      </c>
      <c r="N68">
        <f t="shared" ca="1" si="71"/>
        <v>65.706055366024643</v>
      </c>
      <c r="O68">
        <f t="shared" ca="1" si="71"/>
        <v>68.02970553663485</v>
      </c>
      <c r="P68">
        <f t="shared" ca="1" si="71"/>
        <v>69.34776917822748</v>
      </c>
      <c r="Q68">
        <f t="shared" ca="1" si="71"/>
        <v>68.503517987197029</v>
      </c>
      <c r="R68">
        <f t="shared" ca="1" si="71"/>
        <v>69.252191612255373</v>
      </c>
      <c r="S68">
        <f t="shared" ca="1" si="71"/>
        <v>67.263348590914802</v>
      </c>
      <c r="T68">
        <f t="shared" ca="1" si="71"/>
        <v>69.485491809696299</v>
      </c>
      <c r="U68">
        <f t="shared" ca="1" si="71"/>
        <v>68.96453153955764</v>
      </c>
      <c r="V68">
        <f t="shared" ca="1" si="71"/>
        <v>68.309456378731582</v>
      </c>
      <c r="W68">
        <f t="shared" ca="1" si="71"/>
        <v>67.644984627883076</v>
      </c>
      <c r="X68">
        <f t="shared" ca="1" si="71"/>
        <v>68.709575972936889</v>
      </c>
      <c r="Y68">
        <f t="shared" ca="1" si="71"/>
        <v>68.188265539421266</v>
      </c>
      <c r="Z68">
        <f t="shared" ca="1" si="71"/>
        <v>68.004606371697378</v>
      </c>
      <c r="AA68">
        <f t="shared" ca="1" si="71"/>
        <v>68.73921921876277</v>
      </c>
      <c r="AB68">
        <f t="shared" ca="1" si="71"/>
        <v>66.462351433524645</v>
      </c>
      <c r="AC68">
        <f t="shared" ca="1" si="71"/>
        <v>64.328579101933016</v>
      </c>
      <c r="AD68">
        <f t="shared" ca="1" si="71"/>
        <v>66.520006822576931</v>
      </c>
      <c r="AE68">
        <f t="shared" ca="1" si="71"/>
        <v>65.017593801005532</v>
      </c>
      <c r="AF68">
        <f t="shared" ca="1" si="71"/>
        <v>65.762591743013431</v>
      </c>
      <c r="AG68">
        <f t="shared" ca="1" si="71"/>
        <v>67.306085210249492</v>
      </c>
      <c r="AH68">
        <f t="shared" ca="1" si="71"/>
        <v>66.5371699101253</v>
      </c>
      <c r="AI68">
        <f t="shared" ca="1" si="71"/>
        <v>66.266012404740309</v>
      </c>
      <c r="AJ68">
        <f t="shared" ca="1" si="71"/>
        <v>65.904778805522213</v>
      </c>
      <c r="AK68">
        <f t="shared" ca="1" si="71"/>
        <v>66.152164263852882</v>
      </c>
      <c r="AL68">
        <f t="shared" ca="1" si="71"/>
        <v>63.758800217955461</v>
      </c>
      <c r="AM68">
        <f t="shared" ca="1" si="71"/>
        <v>66.262288356096178</v>
      </c>
      <c r="AN68">
        <f t="shared" ca="1" si="71"/>
        <v>64.576793503773786</v>
      </c>
      <c r="AO68">
        <f t="shared" ca="1" si="71"/>
        <v>65.660042232001459</v>
      </c>
      <c r="AP68">
        <f t="shared" ca="1" si="71"/>
        <v>65.975192977139287</v>
      </c>
      <c r="AQ68">
        <f t="shared" ca="1" si="71"/>
        <v>64.530494856123909</v>
      </c>
      <c r="AR68">
        <f t="shared" ca="1" si="71"/>
        <v>64.56773548748815</v>
      </c>
      <c r="AS68">
        <f t="shared" ca="1" si="71"/>
        <v>63.706503166370055</v>
      </c>
      <c r="AT68">
        <f t="shared" ca="1" si="71"/>
        <v>64.398154520319579</v>
      </c>
      <c r="AU68">
        <f t="shared" ca="1" si="71"/>
        <v>62.908345422334513</v>
      </c>
      <c r="AV68">
        <f t="shared" ca="1" si="71"/>
        <v>63.559720591575221</v>
      </c>
      <c r="AW68">
        <f t="shared" ca="1" si="71"/>
        <v>64.764098722427278</v>
      </c>
      <c r="AX68">
        <f t="shared" ca="1" si="71"/>
        <v>65.009905488139424</v>
      </c>
      <c r="AY68">
        <f t="shared" ca="1" si="71"/>
        <v>65.303740215253811</v>
      </c>
      <c r="AZ68">
        <f t="shared" ca="1" si="71"/>
        <v>67.161288831646829</v>
      </c>
      <c r="BA68">
        <f t="shared" ca="1" si="71"/>
        <v>66.287964966678842</v>
      </c>
      <c r="BB68">
        <f t="shared" ca="1" si="71"/>
        <v>64.548538912426608</v>
      </c>
      <c r="BC68">
        <f t="shared" ca="1" si="71"/>
        <v>66.723775977572956</v>
      </c>
      <c r="BD68">
        <f t="shared" ca="1" si="71"/>
        <v>66.98676269917496</v>
      </c>
      <c r="BE68">
        <f t="shared" ca="1" si="71"/>
        <v>65.506109227193676</v>
      </c>
      <c r="BF68">
        <f t="shared" ca="1" si="71"/>
        <v>66.261569405156521</v>
      </c>
      <c r="BG68">
        <f t="shared" ca="1" si="71"/>
        <v>64.424763678854049</v>
      </c>
      <c r="BH68">
        <f t="shared" ca="1" si="71"/>
        <v>63.775463478599697</v>
      </c>
      <c r="BI68">
        <f t="shared" ca="1" si="71"/>
        <v>62.365086331439826</v>
      </c>
      <c r="BJ68">
        <f t="shared" ca="1" si="71"/>
        <v>62.284649344312434</v>
      </c>
      <c r="BK68">
        <f t="shared" ca="1" si="71"/>
        <v>62.013055564050426</v>
      </c>
      <c r="BL68">
        <f t="shared" ca="1" si="71"/>
        <v>62.233414401252006</v>
      </c>
      <c r="BM68">
        <f t="shared" ca="1" si="71"/>
        <v>60.867596027491032</v>
      </c>
      <c r="BN68">
        <f t="shared" ca="1" si="71"/>
        <v>62.681633473023801</v>
      </c>
      <c r="BO68">
        <f t="shared" ca="1" si="70"/>
        <v>4.6816334730238012</v>
      </c>
    </row>
    <row r="69" spans="6:67">
      <c r="F69">
        <f t="shared" si="68"/>
        <v>60.99</v>
      </c>
      <c r="G69">
        <f t="shared" ref="G69:BN69" ca="1" si="72">F69*EXP(($B$2-0.5*$B$3^2)*$B$4+$B$3*_xlfn.NORM.INV(RAND(),0,SQRT($B$4)))</f>
        <v>61.80839141945772</v>
      </c>
      <c r="H69">
        <f t="shared" ca="1" si="72"/>
        <v>62.274653813752337</v>
      </c>
      <c r="I69">
        <f t="shared" ca="1" si="72"/>
        <v>61.620032096531588</v>
      </c>
      <c r="J69">
        <f t="shared" ca="1" si="72"/>
        <v>60.721857478536954</v>
      </c>
      <c r="K69">
        <f t="shared" ca="1" si="72"/>
        <v>58.773779725887778</v>
      </c>
      <c r="L69">
        <f t="shared" ca="1" si="72"/>
        <v>59.207244947062321</v>
      </c>
      <c r="M69">
        <f t="shared" ca="1" si="72"/>
        <v>59.003726438020578</v>
      </c>
      <c r="N69">
        <f t="shared" ca="1" si="72"/>
        <v>60.798380411653838</v>
      </c>
      <c r="O69">
        <f t="shared" ca="1" si="72"/>
        <v>61.898136198865281</v>
      </c>
      <c r="P69">
        <f t="shared" ca="1" si="72"/>
        <v>62.024540912313562</v>
      </c>
      <c r="Q69">
        <f t="shared" ca="1" si="72"/>
        <v>63.727426305901247</v>
      </c>
      <c r="R69">
        <f t="shared" ca="1" si="72"/>
        <v>65.138947005166628</v>
      </c>
      <c r="S69">
        <f t="shared" ca="1" si="72"/>
        <v>64.919381114865374</v>
      </c>
      <c r="T69">
        <f t="shared" ca="1" si="72"/>
        <v>66.849178818098096</v>
      </c>
      <c r="U69">
        <f t="shared" ca="1" si="72"/>
        <v>67.071000065785753</v>
      </c>
      <c r="V69">
        <f t="shared" ca="1" si="72"/>
        <v>66.703208062966723</v>
      </c>
      <c r="W69">
        <f t="shared" ca="1" si="72"/>
        <v>67.379262755220552</v>
      </c>
      <c r="X69">
        <f t="shared" ca="1" si="72"/>
        <v>67.743927323007767</v>
      </c>
      <c r="Y69">
        <f t="shared" ca="1" si="72"/>
        <v>68.925083065985206</v>
      </c>
      <c r="Z69">
        <f t="shared" ca="1" si="72"/>
        <v>68.304362815313581</v>
      </c>
      <c r="AA69">
        <f t="shared" ca="1" si="72"/>
        <v>68.000706441415801</v>
      </c>
      <c r="AB69">
        <f t="shared" ca="1" si="72"/>
        <v>68.946536759547953</v>
      </c>
      <c r="AC69">
        <f t="shared" ca="1" si="72"/>
        <v>69.230576349995914</v>
      </c>
      <c r="AD69">
        <f t="shared" ca="1" si="72"/>
        <v>68.151004158336903</v>
      </c>
      <c r="AE69">
        <f t="shared" ca="1" si="72"/>
        <v>69.823154597857098</v>
      </c>
      <c r="AF69">
        <f t="shared" ca="1" si="72"/>
        <v>69.0205960322739</v>
      </c>
      <c r="AG69">
        <f t="shared" ca="1" si="72"/>
        <v>70.370135748408842</v>
      </c>
      <c r="AH69">
        <f t="shared" ca="1" si="72"/>
        <v>71.666212337700259</v>
      </c>
      <c r="AI69">
        <f t="shared" ca="1" si="72"/>
        <v>70.364912979729098</v>
      </c>
      <c r="AJ69">
        <f t="shared" ca="1" si="72"/>
        <v>72.14923878675674</v>
      </c>
      <c r="AK69">
        <f t="shared" ca="1" si="72"/>
        <v>72.405405115791211</v>
      </c>
      <c r="AL69">
        <f t="shared" ca="1" si="72"/>
        <v>74.086687452622328</v>
      </c>
      <c r="AM69">
        <f t="shared" ca="1" si="72"/>
        <v>73.994649486856702</v>
      </c>
      <c r="AN69">
        <f t="shared" ca="1" si="72"/>
        <v>72.555870310619994</v>
      </c>
      <c r="AO69">
        <f t="shared" ca="1" si="72"/>
        <v>71.186078343213111</v>
      </c>
      <c r="AP69">
        <f t="shared" ca="1" si="72"/>
        <v>73.350051765805475</v>
      </c>
      <c r="AQ69">
        <f t="shared" ca="1" si="72"/>
        <v>73.467751884650312</v>
      </c>
      <c r="AR69">
        <f t="shared" ca="1" si="72"/>
        <v>74.252627657176149</v>
      </c>
      <c r="AS69">
        <f t="shared" ca="1" si="72"/>
        <v>71.1625346610126</v>
      </c>
      <c r="AT69">
        <f t="shared" ca="1" si="72"/>
        <v>72.417687639506454</v>
      </c>
      <c r="AU69">
        <f t="shared" ca="1" si="72"/>
        <v>74.169716894909755</v>
      </c>
      <c r="AV69">
        <f t="shared" ca="1" si="72"/>
        <v>75.477802105879661</v>
      </c>
      <c r="AW69">
        <f t="shared" ca="1" si="72"/>
        <v>74.467712610266048</v>
      </c>
      <c r="AX69">
        <f t="shared" ca="1" si="72"/>
        <v>74.581478923237171</v>
      </c>
      <c r="AY69">
        <f t="shared" ca="1" si="72"/>
        <v>73.364513110995901</v>
      </c>
      <c r="AZ69">
        <f t="shared" ca="1" si="72"/>
        <v>75.255431898937687</v>
      </c>
      <c r="BA69">
        <f t="shared" ca="1" si="72"/>
        <v>75.89197327905147</v>
      </c>
      <c r="BB69">
        <f t="shared" ca="1" si="72"/>
        <v>78.316541749027436</v>
      </c>
      <c r="BC69">
        <f t="shared" ca="1" si="72"/>
        <v>78.566979104044364</v>
      </c>
      <c r="BD69">
        <f t="shared" ca="1" si="72"/>
        <v>77.577923661076298</v>
      </c>
      <c r="BE69">
        <f t="shared" ca="1" si="72"/>
        <v>77.99811495279954</v>
      </c>
      <c r="BF69">
        <f t="shared" ca="1" si="72"/>
        <v>79.058882069880084</v>
      </c>
      <c r="BG69">
        <f t="shared" ca="1" si="72"/>
        <v>78.564545944556457</v>
      </c>
      <c r="BH69">
        <f t="shared" ca="1" si="72"/>
        <v>81.418637194983233</v>
      </c>
      <c r="BI69">
        <f t="shared" ca="1" si="72"/>
        <v>81.325121046643773</v>
      </c>
      <c r="BJ69">
        <f t="shared" ca="1" si="72"/>
        <v>82.405724703076942</v>
      </c>
      <c r="BK69">
        <f t="shared" ca="1" si="72"/>
        <v>81.220408286564407</v>
      </c>
      <c r="BL69">
        <f t="shared" ca="1" si="72"/>
        <v>79.607614427524823</v>
      </c>
      <c r="BM69">
        <f t="shared" ca="1" si="72"/>
        <v>78.288912914779303</v>
      </c>
      <c r="BN69">
        <f t="shared" ca="1" si="72"/>
        <v>80.375510087124766</v>
      </c>
      <c r="BO69">
        <f t="shared" ca="1" si="70"/>
        <v>22.375510087124766</v>
      </c>
    </row>
    <row r="70" spans="6:67">
      <c r="F70">
        <f t="shared" si="68"/>
        <v>60.99</v>
      </c>
      <c r="G70">
        <f t="shared" ref="G70:BN70" ca="1" si="73">F70*EXP(($B$2-0.5*$B$3^2)*$B$4+$B$3*_xlfn.NORM.INV(RAND(),0,SQRT($B$4)))</f>
        <v>62.039053638784253</v>
      </c>
      <c r="H70">
        <f t="shared" ca="1" si="73"/>
        <v>62.296633065005324</v>
      </c>
      <c r="I70">
        <f t="shared" ca="1" si="73"/>
        <v>63.172821844542618</v>
      </c>
      <c r="J70">
        <f t="shared" ca="1" si="73"/>
        <v>64.920728820710863</v>
      </c>
      <c r="K70">
        <f t="shared" ca="1" si="73"/>
        <v>63.109673628863234</v>
      </c>
      <c r="L70">
        <f t="shared" ca="1" si="73"/>
        <v>62.875153501754319</v>
      </c>
      <c r="M70">
        <f t="shared" ca="1" si="73"/>
        <v>62.223281941024325</v>
      </c>
      <c r="N70">
        <f t="shared" ca="1" si="73"/>
        <v>63.002108175618851</v>
      </c>
      <c r="O70">
        <f t="shared" ca="1" si="73"/>
        <v>61.631166011067187</v>
      </c>
      <c r="P70">
        <f t="shared" ca="1" si="73"/>
        <v>62.660223777445403</v>
      </c>
      <c r="Q70">
        <f t="shared" ca="1" si="73"/>
        <v>62.149268980468825</v>
      </c>
      <c r="R70">
        <f t="shared" ca="1" si="73"/>
        <v>61.661194783275477</v>
      </c>
      <c r="S70">
        <f t="shared" ca="1" si="73"/>
        <v>61.646141914579495</v>
      </c>
      <c r="T70">
        <f t="shared" ca="1" si="73"/>
        <v>61.780089292994795</v>
      </c>
      <c r="U70">
        <f t="shared" ca="1" si="73"/>
        <v>61.984637420589955</v>
      </c>
      <c r="V70">
        <f t="shared" ca="1" si="73"/>
        <v>60.426771676454841</v>
      </c>
      <c r="W70">
        <f t="shared" ca="1" si="73"/>
        <v>58.98550536309429</v>
      </c>
      <c r="X70">
        <f t="shared" ca="1" si="73"/>
        <v>60.139499328104847</v>
      </c>
      <c r="Y70">
        <f t="shared" ca="1" si="73"/>
        <v>61.899559086259138</v>
      </c>
      <c r="Z70">
        <f t="shared" ca="1" si="73"/>
        <v>61.868507893892847</v>
      </c>
      <c r="AA70">
        <f t="shared" ca="1" si="73"/>
        <v>61.047440564979134</v>
      </c>
      <c r="AB70">
        <f t="shared" ca="1" si="73"/>
        <v>63.90499943730309</v>
      </c>
      <c r="AC70">
        <f t="shared" ca="1" si="73"/>
        <v>64.387728896233938</v>
      </c>
      <c r="AD70">
        <f t="shared" ca="1" si="73"/>
        <v>64.155348177272998</v>
      </c>
      <c r="AE70">
        <f t="shared" ca="1" si="73"/>
        <v>62.126481125272313</v>
      </c>
      <c r="AF70">
        <f t="shared" ca="1" si="73"/>
        <v>64.095343143687302</v>
      </c>
      <c r="AG70">
        <f t="shared" ca="1" si="73"/>
        <v>62.466914415175594</v>
      </c>
      <c r="AH70">
        <f t="shared" ca="1" si="73"/>
        <v>64.73797249317424</v>
      </c>
      <c r="AI70">
        <f t="shared" ca="1" si="73"/>
        <v>67.442180514694982</v>
      </c>
      <c r="AJ70">
        <f t="shared" ca="1" si="73"/>
        <v>64.028783051033272</v>
      </c>
      <c r="AK70">
        <f t="shared" ca="1" si="73"/>
        <v>62.69632390722694</v>
      </c>
      <c r="AL70">
        <f t="shared" ca="1" si="73"/>
        <v>64.184329466766812</v>
      </c>
      <c r="AM70">
        <f t="shared" ca="1" si="73"/>
        <v>61.935145005963712</v>
      </c>
      <c r="AN70">
        <f t="shared" ca="1" si="73"/>
        <v>60.375559176505334</v>
      </c>
      <c r="AO70">
        <f t="shared" ca="1" si="73"/>
        <v>59.430881155529278</v>
      </c>
      <c r="AP70">
        <f t="shared" ca="1" si="73"/>
        <v>60.943918440803863</v>
      </c>
      <c r="AQ70">
        <f t="shared" ca="1" si="73"/>
        <v>60.761288803242266</v>
      </c>
      <c r="AR70">
        <f t="shared" ca="1" si="73"/>
        <v>60.297247867768618</v>
      </c>
      <c r="AS70">
        <f t="shared" ca="1" si="73"/>
        <v>61.024366988721958</v>
      </c>
      <c r="AT70">
        <f t="shared" ca="1" si="73"/>
        <v>62.099861940020034</v>
      </c>
      <c r="AU70">
        <f t="shared" ca="1" si="73"/>
        <v>61.421578626290177</v>
      </c>
      <c r="AV70">
        <f t="shared" ca="1" si="73"/>
        <v>59.24346314437193</v>
      </c>
      <c r="AW70">
        <f t="shared" ca="1" si="73"/>
        <v>60.906847435512177</v>
      </c>
      <c r="AX70">
        <f t="shared" ca="1" si="73"/>
        <v>61.543990023343447</v>
      </c>
      <c r="AY70">
        <f t="shared" ca="1" si="73"/>
        <v>61.329836699975381</v>
      </c>
      <c r="AZ70">
        <f t="shared" ca="1" si="73"/>
        <v>63.351634634898176</v>
      </c>
      <c r="BA70">
        <f t="shared" ca="1" si="73"/>
        <v>62.787200694466762</v>
      </c>
      <c r="BB70">
        <f t="shared" ca="1" si="73"/>
        <v>62.253857216901757</v>
      </c>
      <c r="BC70">
        <f t="shared" ca="1" si="73"/>
        <v>62.10738557861248</v>
      </c>
      <c r="BD70">
        <f t="shared" ca="1" si="73"/>
        <v>60.991686081099509</v>
      </c>
      <c r="BE70">
        <f t="shared" ca="1" si="73"/>
        <v>60.823847989235652</v>
      </c>
      <c r="BF70">
        <f t="shared" ca="1" si="73"/>
        <v>61.207245189172113</v>
      </c>
      <c r="BG70">
        <f t="shared" ca="1" si="73"/>
        <v>59.844505956345799</v>
      </c>
      <c r="BH70">
        <f t="shared" ca="1" si="73"/>
        <v>60.75586548695447</v>
      </c>
      <c r="BI70">
        <f t="shared" ca="1" si="73"/>
        <v>60.206382236030841</v>
      </c>
      <c r="BJ70">
        <f t="shared" ca="1" si="73"/>
        <v>59.329516555786881</v>
      </c>
      <c r="BK70">
        <f t="shared" ca="1" si="73"/>
        <v>58.100655023773633</v>
      </c>
      <c r="BL70">
        <f t="shared" ca="1" si="73"/>
        <v>59.35917520832254</v>
      </c>
      <c r="BM70">
        <f t="shared" ca="1" si="73"/>
        <v>59.226565517282083</v>
      </c>
      <c r="BN70">
        <f t="shared" ca="1" si="73"/>
        <v>58.686783921711623</v>
      </c>
      <c r="BO70">
        <f t="shared" ca="1" si="70"/>
        <v>0.68678392171162272</v>
      </c>
    </row>
    <row r="71" spans="6:67">
      <c r="F71">
        <f t="shared" si="68"/>
        <v>60.99</v>
      </c>
      <c r="G71">
        <f t="shared" ref="G71:BN71" ca="1" si="74">F71*EXP(($B$2-0.5*$B$3^2)*$B$4+$B$3*_xlfn.NORM.INV(RAND(),0,SQRT($B$4)))</f>
        <v>62.538249632258264</v>
      </c>
      <c r="H71">
        <f t="shared" ca="1" si="74"/>
        <v>62.12874319341433</v>
      </c>
      <c r="I71">
        <f t="shared" ca="1" si="74"/>
        <v>62.154330647698259</v>
      </c>
      <c r="J71">
        <f t="shared" ca="1" si="74"/>
        <v>63.148996715253759</v>
      </c>
      <c r="K71">
        <f t="shared" ca="1" si="74"/>
        <v>63.689827877398457</v>
      </c>
      <c r="L71">
        <f t="shared" ca="1" si="74"/>
        <v>60.971490104240488</v>
      </c>
      <c r="M71">
        <f t="shared" ca="1" si="74"/>
        <v>62.871164083288946</v>
      </c>
      <c r="N71">
        <f t="shared" ca="1" si="74"/>
        <v>61.222906415509115</v>
      </c>
      <c r="O71">
        <f t="shared" ca="1" si="74"/>
        <v>60.841243554877352</v>
      </c>
      <c r="P71">
        <f t="shared" ca="1" si="74"/>
        <v>61.9625494306934</v>
      </c>
      <c r="Q71">
        <f t="shared" ca="1" si="74"/>
        <v>61.513408127828377</v>
      </c>
      <c r="R71">
        <f t="shared" ca="1" si="74"/>
        <v>59.937142035802289</v>
      </c>
      <c r="S71">
        <f t="shared" ca="1" si="74"/>
        <v>60.942834893872778</v>
      </c>
      <c r="T71">
        <f t="shared" ca="1" si="74"/>
        <v>61.913938815667713</v>
      </c>
      <c r="U71">
        <f t="shared" ca="1" si="74"/>
        <v>63.285961712068385</v>
      </c>
      <c r="V71">
        <f t="shared" ca="1" si="74"/>
        <v>63.938851398580283</v>
      </c>
      <c r="W71">
        <f t="shared" ca="1" si="74"/>
        <v>65.63086517014537</v>
      </c>
      <c r="X71">
        <f t="shared" ca="1" si="74"/>
        <v>65.848204193799134</v>
      </c>
      <c r="Y71">
        <f t="shared" ca="1" si="74"/>
        <v>65.460681483297321</v>
      </c>
      <c r="Z71">
        <f t="shared" ca="1" si="74"/>
        <v>65.334470224910902</v>
      </c>
      <c r="AA71">
        <f t="shared" ca="1" si="74"/>
        <v>67.228888912914186</v>
      </c>
      <c r="AB71">
        <f t="shared" ca="1" si="74"/>
        <v>67.200668851351992</v>
      </c>
      <c r="AC71">
        <f t="shared" ca="1" si="74"/>
        <v>67.335231580670367</v>
      </c>
      <c r="AD71">
        <f t="shared" ca="1" si="74"/>
        <v>67.704174933482435</v>
      </c>
      <c r="AE71">
        <f t="shared" ca="1" si="74"/>
        <v>69.848732279493149</v>
      </c>
      <c r="AF71">
        <f t="shared" ca="1" si="74"/>
        <v>72.063555246153285</v>
      </c>
      <c r="AG71">
        <f t="shared" ca="1" si="74"/>
        <v>69.953187511402589</v>
      </c>
      <c r="AH71">
        <f t="shared" ca="1" si="74"/>
        <v>70.677431586981484</v>
      </c>
      <c r="AI71">
        <f t="shared" ca="1" si="74"/>
        <v>71.734671945261965</v>
      </c>
      <c r="AJ71">
        <f t="shared" ca="1" si="74"/>
        <v>71.947905348673146</v>
      </c>
      <c r="AK71">
        <f t="shared" ca="1" si="74"/>
        <v>74.282171647225042</v>
      </c>
      <c r="AL71">
        <f t="shared" ca="1" si="74"/>
        <v>74.891051077877506</v>
      </c>
      <c r="AM71">
        <f t="shared" ca="1" si="74"/>
        <v>77.007581349076901</v>
      </c>
      <c r="AN71">
        <f t="shared" ca="1" si="74"/>
        <v>77.610724140233927</v>
      </c>
      <c r="AO71">
        <f t="shared" ca="1" si="74"/>
        <v>78.096329256058084</v>
      </c>
      <c r="AP71">
        <f t="shared" ca="1" si="74"/>
        <v>75.778659555581612</v>
      </c>
      <c r="AQ71">
        <f t="shared" ca="1" si="74"/>
        <v>74.43339752754602</v>
      </c>
      <c r="AR71">
        <f t="shared" ca="1" si="74"/>
        <v>75.725042524384378</v>
      </c>
      <c r="AS71">
        <f t="shared" ca="1" si="74"/>
        <v>75.8729958210278</v>
      </c>
      <c r="AT71">
        <f t="shared" ca="1" si="74"/>
        <v>75.272629953820584</v>
      </c>
      <c r="AU71">
        <f t="shared" ca="1" si="74"/>
        <v>73.333356717702728</v>
      </c>
      <c r="AV71">
        <f t="shared" ca="1" si="74"/>
        <v>72.428711259939519</v>
      </c>
      <c r="AW71">
        <f t="shared" ca="1" si="74"/>
        <v>73.351363707299427</v>
      </c>
      <c r="AX71">
        <f t="shared" ca="1" si="74"/>
        <v>74.448807826824918</v>
      </c>
      <c r="AY71">
        <f t="shared" ca="1" si="74"/>
        <v>75.619986503330267</v>
      </c>
      <c r="AZ71">
        <f t="shared" ca="1" si="74"/>
        <v>75.846516290048513</v>
      </c>
      <c r="BA71">
        <f t="shared" ca="1" si="74"/>
        <v>75.165080822521318</v>
      </c>
      <c r="BB71">
        <f t="shared" ca="1" si="74"/>
        <v>75.342186434152651</v>
      </c>
      <c r="BC71">
        <f t="shared" ca="1" si="74"/>
        <v>74.07106248165546</v>
      </c>
      <c r="BD71">
        <f t="shared" ca="1" si="74"/>
        <v>73.489670982195562</v>
      </c>
      <c r="BE71">
        <f t="shared" ca="1" si="74"/>
        <v>74.637994853841903</v>
      </c>
      <c r="BF71">
        <f t="shared" ca="1" si="74"/>
        <v>73.225258628555679</v>
      </c>
      <c r="BG71">
        <f t="shared" ca="1" si="74"/>
        <v>73.007536715865967</v>
      </c>
      <c r="BH71">
        <f t="shared" ca="1" si="74"/>
        <v>73.256731632009135</v>
      </c>
      <c r="BI71">
        <f t="shared" ca="1" si="74"/>
        <v>73.919236924072976</v>
      </c>
      <c r="BJ71">
        <f t="shared" ca="1" si="74"/>
        <v>77.328275367220215</v>
      </c>
      <c r="BK71">
        <f t="shared" ca="1" si="74"/>
        <v>79.577727883340046</v>
      </c>
      <c r="BL71">
        <f t="shared" ca="1" si="74"/>
        <v>79.94576903782071</v>
      </c>
      <c r="BM71">
        <f t="shared" ca="1" si="74"/>
        <v>81.891085940217664</v>
      </c>
      <c r="BN71">
        <f t="shared" ca="1" si="74"/>
        <v>83.667935351949581</v>
      </c>
      <c r="BO71">
        <f t="shared" ca="1" si="70"/>
        <v>25.667935351949581</v>
      </c>
    </row>
    <row r="72" spans="6:67">
      <c r="F72">
        <f t="shared" si="68"/>
        <v>60.99</v>
      </c>
      <c r="G72">
        <f t="shared" ref="G72:BN72" ca="1" si="75">F72*EXP(($B$2-0.5*$B$3^2)*$B$4+$B$3*_xlfn.NORM.INV(RAND(),0,SQRT($B$4)))</f>
        <v>60.373364648514034</v>
      </c>
      <c r="H72">
        <f t="shared" ca="1" si="75"/>
        <v>58.99952252186155</v>
      </c>
      <c r="I72">
        <f t="shared" ca="1" si="75"/>
        <v>58.801200197108734</v>
      </c>
      <c r="J72">
        <f t="shared" ca="1" si="75"/>
        <v>58.082844399902882</v>
      </c>
      <c r="K72">
        <f t="shared" ca="1" si="75"/>
        <v>58.865746264464256</v>
      </c>
      <c r="L72">
        <f t="shared" ca="1" si="75"/>
        <v>58.794496483103764</v>
      </c>
      <c r="M72">
        <f t="shared" ca="1" si="75"/>
        <v>59.795188530803408</v>
      </c>
      <c r="N72">
        <f t="shared" ca="1" si="75"/>
        <v>59.755913216769677</v>
      </c>
      <c r="O72">
        <f t="shared" ca="1" si="75"/>
        <v>57.434606241971458</v>
      </c>
      <c r="P72">
        <f t="shared" ca="1" si="75"/>
        <v>56.949961097655105</v>
      </c>
      <c r="Q72">
        <f t="shared" ca="1" si="75"/>
        <v>57.146637831983888</v>
      </c>
      <c r="R72">
        <f t="shared" ca="1" si="75"/>
        <v>57.282012385882311</v>
      </c>
      <c r="S72">
        <f t="shared" ca="1" si="75"/>
        <v>56.648488894417213</v>
      </c>
      <c r="T72">
        <f t="shared" ca="1" si="75"/>
        <v>54.961995064049475</v>
      </c>
      <c r="U72">
        <f t="shared" ca="1" si="75"/>
        <v>56.197465992798982</v>
      </c>
      <c r="V72">
        <f t="shared" ca="1" si="75"/>
        <v>55.603002628712254</v>
      </c>
      <c r="W72">
        <f t="shared" ca="1" si="75"/>
        <v>56.871548431346525</v>
      </c>
      <c r="X72">
        <f t="shared" ca="1" si="75"/>
        <v>55.560419490420266</v>
      </c>
      <c r="Y72">
        <f t="shared" ca="1" si="75"/>
        <v>54.636670857922482</v>
      </c>
      <c r="Z72">
        <f t="shared" ca="1" si="75"/>
        <v>55.612689042914255</v>
      </c>
      <c r="AA72">
        <f t="shared" ca="1" si="75"/>
        <v>55.224241504043185</v>
      </c>
      <c r="AB72">
        <f t="shared" ca="1" si="75"/>
        <v>55.785892969865692</v>
      </c>
      <c r="AC72">
        <f t="shared" ca="1" si="75"/>
        <v>57.962041126479235</v>
      </c>
      <c r="AD72">
        <f t="shared" ca="1" si="75"/>
        <v>58.042622697733684</v>
      </c>
      <c r="AE72">
        <f t="shared" ca="1" si="75"/>
        <v>58.825264936333767</v>
      </c>
      <c r="AF72">
        <f t="shared" ca="1" si="75"/>
        <v>59.526401176179689</v>
      </c>
      <c r="AG72">
        <f t="shared" ca="1" si="75"/>
        <v>59.850521894540648</v>
      </c>
      <c r="AH72">
        <f t="shared" ca="1" si="75"/>
        <v>61.40689391513029</v>
      </c>
      <c r="AI72">
        <f t="shared" ca="1" si="75"/>
        <v>61.713083603532688</v>
      </c>
      <c r="AJ72">
        <f t="shared" ca="1" si="75"/>
        <v>61.071050723507568</v>
      </c>
      <c r="AK72">
        <f t="shared" ca="1" si="75"/>
        <v>60.507946025167548</v>
      </c>
      <c r="AL72">
        <f t="shared" ca="1" si="75"/>
        <v>59.95327523584892</v>
      </c>
      <c r="AM72">
        <f t="shared" ca="1" si="75"/>
        <v>61.706423135519813</v>
      </c>
      <c r="AN72">
        <f t="shared" ca="1" si="75"/>
        <v>61.198629440964119</v>
      </c>
      <c r="AO72">
        <f t="shared" ca="1" si="75"/>
        <v>61.043054406985917</v>
      </c>
      <c r="AP72">
        <f t="shared" ca="1" si="75"/>
        <v>61.524273933323173</v>
      </c>
      <c r="AQ72">
        <f t="shared" ca="1" si="75"/>
        <v>60.870016718054202</v>
      </c>
      <c r="AR72">
        <f t="shared" ca="1" si="75"/>
        <v>60.280017584260847</v>
      </c>
      <c r="AS72">
        <f t="shared" ca="1" si="75"/>
        <v>59.494864052349556</v>
      </c>
      <c r="AT72">
        <f t="shared" ca="1" si="75"/>
        <v>60.556963558362696</v>
      </c>
      <c r="AU72">
        <f t="shared" ca="1" si="75"/>
        <v>61.677705122951267</v>
      </c>
      <c r="AV72">
        <f t="shared" ca="1" si="75"/>
        <v>63.251894002573607</v>
      </c>
      <c r="AW72">
        <f t="shared" ca="1" si="75"/>
        <v>63.74973932341797</v>
      </c>
      <c r="AX72">
        <f t="shared" ca="1" si="75"/>
        <v>63.451197848237619</v>
      </c>
      <c r="AY72">
        <f t="shared" ca="1" si="75"/>
        <v>64.044184051253126</v>
      </c>
      <c r="AZ72">
        <f t="shared" ca="1" si="75"/>
        <v>65.045411467830249</v>
      </c>
      <c r="BA72">
        <f t="shared" ca="1" si="75"/>
        <v>64.696674670397627</v>
      </c>
      <c r="BB72">
        <f t="shared" ca="1" si="75"/>
        <v>65.230710684440254</v>
      </c>
      <c r="BC72">
        <f t="shared" ca="1" si="75"/>
        <v>65.813876719759477</v>
      </c>
      <c r="BD72">
        <f t="shared" ca="1" si="75"/>
        <v>66.06307280136393</v>
      </c>
      <c r="BE72">
        <f t="shared" ca="1" si="75"/>
        <v>65.921074531586115</v>
      </c>
      <c r="BF72">
        <f t="shared" ca="1" si="75"/>
        <v>66.370290013044794</v>
      </c>
      <c r="BG72">
        <f t="shared" ca="1" si="75"/>
        <v>66.897346099197989</v>
      </c>
      <c r="BH72">
        <f t="shared" ca="1" si="75"/>
        <v>64.537430375592336</v>
      </c>
      <c r="BI72">
        <f t="shared" ca="1" si="75"/>
        <v>64.448832648717925</v>
      </c>
      <c r="BJ72">
        <f t="shared" ca="1" si="75"/>
        <v>64.317879519384348</v>
      </c>
      <c r="BK72">
        <f t="shared" ca="1" si="75"/>
        <v>62.121237425702752</v>
      </c>
      <c r="BL72">
        <f t="shared" ca="1" si="75"/>
        <v>64.106968732467067</v>
      </c>
      <c r="BM72">
        <f t="shared" ca="1" si="75"/>
        <v>64.058400290444567</v>
      </c>
      <c r="BN72">
        <f t="shared" ca="1" si="75"/>
        <v>65.445416123501886</v>
      </c>
      <c r="BO72">
        <f t="shared" ca="1" si="70"/>
        <v>7.4454161235018859</v>
      </c>
    </row>
    <row r="73" spans="6:67">
      <c r="F73">
        <f t="shared" si="68"/>
        <v>60.99</v>
      </c>
      <c r="G73">
        <f t="shared" ref="G73:BN73" ca="1" si="76">F73*EXP(($B$2-0.5*$B$3^2)*$B$4+$B$3*_xlfn.NORM.INV(RAND(),0,SQRT($B$4)))</f>
        <v>60.647139277739804</v>
      </c>
      <c r="H73">
        <f t="shared" ca="1" si="76"/>
        <v>60.300933065296931</v>
      </c>
      <c r="I73">
        <f t="shared" ca="1" si="76"/>
        <v>61.367047271259935</v>
      </c>
      <c r="J73">
        <f t="shared" ca="1" si="76"/>
        <v>62.417110782251903</v>
      </c>
      <c r="K73">
        <f t="shared" ca="1" si="76"/>
        <v>63.693574803665157</v>
      </c>
      <c r="L73">
        <f t="shared" ca="1" si="76"/>
        <v>66.563190158679959</v>
      </c>
      <c r="M73">
        <f t="shared" ca="1" si="76"/>
        <v>68.112028611585572</v>
      </c>
      <c r="N73">
        <f t="shared" ca="1" si="76"/>
        <v>69.007078793396289</v>
      </c>
      <c r="O73">
        <f t="shared" ca="1" si="76"/>
        <v>67.973510707203985</v>
      </c>
      <c r="P73">
        <f t="shared" ca="1" si="76"/>
        <v>69.168347451527751</v>
      </c>
      <c r="Q73">
        <f t="shared" ca="1" si="76"/>
        <v>68.633495125071633</v>
      </c>
      <c r="R73">
        <f t="shared" ca="1" si="76"/>
        <v>68.489082756190683</v>
      </c>
      <c r="S73">
        <f t="shared" ca="1" si="76"/>
        <v>67.064609829710491</v>
      </c>
      <c r="T73">
        <f t="shared" ca="1" si="76"/>
        <v>67.765564769737864</v>
      </c>
      <c r="U73">
        <f t="shared" ca="1" si="76"/>
        <v>68.217165538700129</v>
      </c>
      <c r="V73">
        <f t="shared" ca="1" si="76"/>
        <v>67.820992920610692</v>
      </c>
      <c r="W73">
        <f t="shared" ca="1" si="76"/>
        <v>66.902067396997197</v>
      </c>
      <c r="X73">
        <f t="shared" ca="1" si="76"/>
        <v>65.412060781531054</v>
      </c>
      <c r="Y73">
        <f t="shared" ca="1" si="76"/>
        <v>64.204708724250736</v>
      </c>
      <c r="Z73">
        <f t="shared" ca="1" si="76"/>
        <v>64.66137810691319</v>
      </c>
      <c r="AA73">
        <f t="shared" ca="1" si="76"/>
        <v>66.877871892469969</v>
      </c>
      <c r="AB73">
        <f t="shared" ca="1" si="76"/>
        <v>66.086835805650452</v>
      </c>
      <c r="AC73">
        <f t="shared" ca="1" si="76"/>
        <v>64.681055469755989</v>
      </c>
      <c r="AD73">
        <f t="shared" ca="1" si="76"/>
        <v>67.343332917073383</v>
      </c>
      <c r="AE73">
        <f t="shared" ca="1" si="76"/>
        <v>67.16935360094898</v>
      </c>
      <c r="AF73">
        <f t="shared" ca="1" si="76"/>
        <v>64.902065653529633</v>
      </c>
      <c r="AG73">
        <f t="shared" ca="1" si="76"/>
        <v>65.141404253897491</v>
      </c>
      <c r="AH73">
        <f t="shared" ca="1" si="76"/>
        <v>67.726086857997529</v>
      </c>
      <c r="AI73">
        <f t="shared" ca="1" si="76"/>
        <v>67.722795927491774</v>
      </c>
      <c r="AJ73">
        <f t="shared" ca="1" si="76"/>
        <v>68.180900927919808</v>
      </c>
      <c r="AK73">
        <f t="shared" ca="1" si="76"/>
        <v>67.192169051829964</v>
      </c>
      <c r="AL73">
        <f t="shared" ca="1" si="76"/>
        <v>68.219155436291132</v>
      </c>
      <c r="AM73">
        <f t="shared" ca="1" si="76"/>
        <v>68.269348902745108</v>
      </c>
      <c r="AN73">
        <f t="shared" ca="1" si="76"/>
        <v>70.482326630237836</v>
      </c>
      <c r="AO73">
        <f t="shared" ca="1" si="76"/>
        <v>72.207334100339395</v>
      </c>
      <c r="AP73">
        <f t="shared" ca="1" si="76"/>
        <v>73.11986169231912</v>
      </c>
      <c r="AQ73">
        <f t="shared" ca="1" si="76"/>
        <v>74.338711599481229</v>
      </c>
      <c r="AR73">
        <f t="shared" ca="1" si="76"/>
        <v>73.585233845407387</v>
      </c>
      <c r="AS73">
        <f t="shared" ca="1" si="76"/>
        <v>74.942021871858543</v>
      </c>
      <c r="AT73">
        <f t="shared" ca="1" si="76"/>
        <v>74.99923727701244</v>
      </c>
      <c r="AU73">
        <f t="shared" ca="1" si="76"/>
        <v>77.78124683554681</v>
      </c>
      <c r="AV73">
        <f t="shared" ca="1" si="76"/>
        <v>79.327001726453844</v>
      </c>
      <c r="AW73">
        <f t="shared" ca="1" si="76"/>
        <v>81.083766980658609</v>
      </c>
      <c r="AX73">
        <f t="shared" ca="1" si="76"/>
        <v>81.903196789676656</v>
      </c>
      <c r="AY73">
        <f t="shared" ca="1" si="76"/>
        <v>81.192235241546484</v>
      </c>
      <c r="AZ73">
        <f t="shared" ca="1" si="76"/>
        <v>82.510970024734434</v>
      </c>
      <c r="BA73">
        <f t="shared" ca="1" si="76"/>
        <v>83.637295285268635</v>
      </c>
      <c r="BB73">
        <f t="shared" ca="1" si="76"/>
        <v>83.785535926675635</v>
      </c>
      <c r="BC73">
        <f t="shared" ca="1" si="76"/>
        <v>84.976017389635345</v>
      </c>
      <c r="BD73">
        <f t="shared" ca="1" si="76"/>
        <v>83.908355131454442</v>
      </c>
      <c r="BE73">
        <f t="shared" ca="1" si="76"/>
        <v>84.874890972079257</v>
      </c>
      <c r="BF73">
        <f t="shared" ca="1" si="76"/>
        <v>82.593666555259006</v>
      </c>
      <c r="BG73">
        <f t="shared" ca="1" si="76"/>
        <v>84.450260359694838</v>
      </c>
      <c r="BH73">
        <f t="shared" ca="1" si="76"/>
        <v>84.797162613501328</v>
      </c>
      <c r="BI73">
        <f t="shared" ca="1" si="76"/>
        <v>83.417417614324322</v>
      </c>
      <c r="BJ73">
        <f t="shared" ca="1" si="76"/>
        <v>81.436196850007462</v>
      </c>
      <c r="BK73">
        <f t="shared" ca="1" si="76"/>
        <v>81.50657192391887</v>
      </c>
      <c r="BL73">
        <f t="shared" ca="1" si="76"/>
        <v>80.008853132480411</v>
      </c>
      <c r="BM73">
        <f t="shared" ca="1" si="76"/>
        <v>79.094220678089542</v>
      </c>
      <c r="BN73">
        <f t="shared" ca="1" si="76"/>
        <v>78.905586013648332</v>
      </c>
      <c r="BO73">
        <f t="shared" ca="1" si="70"/>
        <v>20.905586013648332</v>
      </c>
    </row>
    <row r="74" spans="6:67">
      <c r="F74">
        <f t="shared" si="68"/>
        <v>60.99</v>
      </c>
      <c r="G74">
        <f t="shared" ref="G74:BN74" ca="1" si="77">F74*EXP(($B$2-0.5*$B$3^2)*$B$4+$B$3*_xlfn.NORM.INV(RAND(),0,SQRT($B$4)))</f>
        <v>61.852924960160465</v>
      </c>
      <c r="H74">
        <f t="shared" ca="1" si="77"/>
        <v>62.099621623910949</v>
      </c>
      <c r="I74">
        <f t="shared" ca="1" si="77"/>
        <v>60.796138881976297</v>
      </c>
      <c r="J74">
        <f t="shared" ca="1" si="77"/>
        <v>58.714513620757067</v>
      </c>
      <c r="K74">
        <f t="shared" ca="1" si="77"/>
        <v>58.46766604852246</v>
      </c>
      <c r="L74">
        <f t="shared" ca="1" si="77"/>
        <v>57.786524193413427</v>
      </c>
      <c r="M74">
        <f t="shared" ca="1" si="77"/>
        <v>57.287244700806646</v>
      </c>
      <c r="N74">
        <f t="shared" ca="1" si="77"/>
        <v>57.87575476472108</v>
      </c>
      <c r="O74">
        <f t="shared" ca="1" si="77"/>
        <v>59.647384737534608</v>
      </c>
      <c r="P74">
        <f t="shared" ca="1" si="77"/>
        <v>58.46652740622055</v>
      </c>
      <c r="Q74">
        <f t="shared" ca="1" si="77"/>
        <v>57.663621593305294</v>
      </c>
      <c r="R74">
        <f t="shared" ca="1" si="77"/>
        <v>57.664898256349353</v>
      </c>
      <c r="S74">
        <f t="shared" ca="1" si="77"/>
        <v>57.746591934665069</v>
      </c>
      <c r="T74">
        <f t="shared" ca="1" si="77"/>
        <v>58.301596004843596</v>
      </c>
      <c r="U74">
        <f t="shared" ca="1" si="77"/>
        <v>58.123309270829196</v>
      </c>
      <c r="V74">
        <f t="shared" ca="1" si="77"/>
        <v>58.759804106782269</v>
      </c>
      <c r="W74">
        <f t="shared" ca="1" si="77"/>
        <v>58.896799735993753</v>
      </c>
      <c r="X74">
        <f t="shared" ca="1" si="77"/>
        <v>58.137756689439698</v>
      </c>
      <c r="Y74">
        <f t="shared" ca="1" si="77"/>
        <v>57.575726957341814</v>
      </c>
      <c r="Z74">
        <f t="shared" ca="1" si="77"/>
        <v>55.977598626602337</v>
      </c>
      <c r="AA74">
        <f t="shared" ca="1" si="77"/>
        <v>56.325577702865154</v>
      </c>
      <c r="AB74">
        <f t="shared" ca="1" si="77"/>
        <v>56.500470640701337</v>
      </c>
      <c r="AC74">
        <f t="shared" ca="1" si="77"/>
        <v>57.944085269631707</v>
      </c>
      <c r="AD74">
        <f t="shared" ca="1" si="77"/>
        <v>58.658564597889551</v>
      </c>
      <c r="AE74">
        <f t="shared" ca="1" si="77"/>
        <v>57.122995166880209</v>
      </c>
      <c r="AF74">
        <f t="shared" ca="1" si="77"/>
        <v>55.650009612208478</v>
      </c>
      <c r="AG74">
        <f t="shared" ca="1" si="77"/>
        <v>55.39956904512902</v>
      </c>
      <c r="AH74">
        <f t="shared" ca="1" si="77"/>
        <v>55.956432219887525</v>
      </c>
      <c r="AI74">
        <f t="shared" ca="1" si="77"/>
        <v>53.582273740874513</v>
      </c>
      <c r="AJ74">
        <f t="shared" ca="1" si="77"/>
        <v>54.538073311516165</v>
      </c>
      <c r="AK74">
        <f t="shared" ca="1" si="77"/>
        <v>55.018772954768878</v>
      </c>
      <c r="AL74">
        <f t="shared" ca="1" si="77"/>
        <v>52.895839091284778</v>
      </c>
      <c r="AM74">
        <f t="shared" ca="1" si="77"/>
        <v>53.117740700608564</v>
      </c>
      <c r="AN74">
        <f t="shared" ca="1" si="77"/>
        <v>52.71714300332723</v>
      </c>
      <c r="AO74">
        <f t="shared" ca="1" si="77"/>
        <v>52.352501680772313</v>
      </c>
      <c r="AP74">
        <f t="shared" ca="1" si="77"/>
        <v>54.091979170673163</v>
      </c>
      <c r="AQ74">
        <f t="shared" ca="1" si="77"/>
        <v>54.460405180660388</v>
      </c>
      <c r="AR74">
        <f t="shared" ca="1" si="77"/>
        <v>54.921728959028258</v>
      </c>
      <c r="AS74">
        <f t="shared" ca="1" si="77"/>
        <v>56.216796072512658</v>
      </c>
      <c r="AT74">
        <f t="shared" ca="1" si="77"/>
        <v>56.164165037816858</v>
      </c>
      <c r="AU74">
        <f t="shared" ca="1" si="77"/>
        <v>55.484808256720299</v>
      </c>
      <c r="AV74">
        <f t="shared" ca="1" si="77"/>
        <v>55.280841713047209</v>
      </c>
      <c r="AW74">
        <f t="shared" ca="1" si="77"/>
        <v>55.876408708379394</v>
      </c>
      <c r="AX74">
        <f t="shared" ca="1" si="77"/>
        <v>56.841579379064619</v>
      </c>
      <c r="AY74">
        <f t="shared" ca="1" si="77"/>
        <v>57.828875725062041</v>
      </c>
      <c r="AZ74">
        <f t="shared" ca="1" si="77"/>
        <v>56.87886477678817</v>
      </c>
      <c r="BA74">
        <f t="shared" ca="1" si="77"/>
        <v>57.128435098272121</v>
      </c>
      <c r="BB74">
        <f t="shared" ca="1" si="77"/>
        <v>57.246704033143651</v>
      </c>
      <c r="BC74">
        <f t="shared" ca="1" si="77"/>
        <v>55.636485988616194</v>
      </c>
      <c r="BD74">
        <f t="shared" ca="1" si="77"/>
        <v>56.47440560866503</v>
      </c>
      <c r="BE74">
        <f t="shared" ca="1" si="77"/>
        <v>57.299624711710329</v>
      </c>
      <c r="BF74">
        <f t="shared" ca="1" si="77"/>
        <v>56.679729519521423</v>
      </c>
      <c r="BG74">
        <f t="shared" ca="1" si="77"/>
        <v>55.790834655500589</v>
      </c>
      <c r="BH74">
        <f t="shared" ca="1" si="77"/>
        <v>56.43719111952668</v>
      </c>
      <c r="BI74">
        <f t="shared" ca="1" si="77"/>
        <v>57.595355729686759</v>
      </c>
      <c r="BJ74">
        <f t="shared" ca="1" si="77"/>
        <v>57.28505259135023</v>
      </c>
      <c r="BK74">
        <f t="shared" ca="1" si="77"/>
        <v>57.855874560414058</v>
      </c>
      <c r="BL74">
        <f t="shared" ca="1" si="77"/>
        <v>58.619792537788967</v>
      </c>
      <c r="BM74">
        <f t="shared" ca="1" si="77"/>
        <v>60.00224878069816</v>
      </c>
      <c r="BN74">
        <f t="shared" ca="1" si="77"/>
        <v>60.034552548089266</v>
      </c>
      <c r="BO74">
        <f t="shared" ca="1" si="70"/>
        <v>2.0345525480892661</v>
      </c>
    </row>
    <row r="75" spans="6:67">
      <c r="F75">
        <f t="shared" si="68"/>
        <v>60.99</v>
      </c>
      <c r="G75">
        <f t="shared" ref="G75:BN75" ca="1" si="78">F75*EXP(($B$2-0.5*$B$3^2)*$B$4+$B$3*_xlfn.NORM.INV(RAND(),0,SQRT($B$4)))</f>
        <v>62.265883769287882</v>
      </c>
      <c r="H75">
        <f t="shared" ca="1" si="78"/>
        <v>62.189580029675483</v>
      </c>
      <c r="I75">
        <f t="shared" ca="1" si="78"/>
        <v>62.174557081540165</v>
      </c>
      <c r="J75">
        <f t="shared" ca="1" si="78"/>
        <v>61.500220366630387</v>
      </c>
      <c r="K75">
        <f t="shared" ca="1" si="78"/>
        <v>61.634502265223283</v>
      </c>
      <c r="L75">
        <f t="shared" ca="1" si="78"/>
        <v>59.611470170550518</v>
      </c>
      <c r="M75">
        <f t="shared" ca="1" si="78"/>
        <v>59.947769594236547</v>
      </c>
      <c r="N75">
        <f t="shared" ca="1" si="78"/>
        <v>59.821485146920466</v>
      </c>
      <c r="O75">
        <f t="shared" ca="1" si="78"/>
        <v>59.308528231752803</v>
      </c>
      <c r="P75">
        <f t="shared" ca="1" si="78"/>
        <v>59.882987449411111</v>
      </c>
      <c r="Q75">
        <f t="shared" ca="1" si="78"/>
        <v>57.626789317949836</v>
      </c>
      <c r="R75">
        <f t="shared" ca="1" si="78"/>
        <v>59.188026682151595</v>
      </c>
      <c r="S75">
        <f t="shared" ca="1" si="78"/>
        <v>59.774988203349068</v>
      </c>
      <c r="T75">
        <f t="shared" ca="1" si="78"/>
        <v>60.371543098083521</v>
      </c>
      <c r="U75">
        <f t="shared" ca="1" si="78"/>
        <v>59.301832395367832</v>
      </c>
      <c r="V75">
        <f t="shared" ca="1" si="78"/>
        <v>58.534912641928827</v>
      </c>
      <c r="W75">
        <f t="shared" ca="1" si="78"/>
        <v>58.840938962158475</v>
      </c>
      <c r="X75">
        <f t="shared" ca="1" si="78"/>
        <v>60.979303828386833</v>
      </c>
      <c r="Y75">
        <f t="shared" ca="1" si="78"/>
        <v>62.688001692906013</v>
      </c>
      <c r="Z75">
        <f t="shared" ca="1" si="78"/>
        <v>65.158988129893004</v>
      </c>
      <c r="AA75">
        <f t="shared" ca="1" si="78"/>
        <v>63.353517333429323</v>
      </c>
      <c r="AB75">
        <f t="shared" ca="1" si="78"/>
        <v>62.748151609667715</v>
      </c>
      <c r="AC75">
        <f t="shared" ca="1" si="78"/>
        <v>64.51772198071977</v>
      </c>
      <c r="AD75">
        <f t="shared" ca="1" si="78"/>
        <v>64.752837204519594</v>
      </c>
      <c r="AE75">
        <f t="shared" ca="1" si="78"/>
        <v>65.705881153275541</v>
      </c>
      <c r="AF75">
        <f t="shared" ca="1" si="78"/>
        <v>63.956015068463422</v>
      </c>
      <c r="AG75">
        <f t="shared" ca="1" si="78"/>
        <v>65.839660102444185</v>
      </c>
      <c r="AH75">
        <f t="shared" ca="1" si="78"/>
        <v>66.403795656930512</v>
      </c>
      <c r="AI75">
        <f t="shared" ca="1" si="78"/>
        <v>66.193828256067633</v>
      </c>
      <c r="AJ75">
        <f t="shared" ca="1" si="78"/>
        <v>65.234487759832746</v>
      </c>
      <c r="AK75">
        <f t="shared" ca="1" si="78"/>
        <v>65.008324699032102</v>
      </c>
      <c r="AL75">
        <f t="shared" ca="1" si="78"/>
        <v>65.624780098463617</v>
      </c>
      <c r="AM75">
        <f t="shared" ca="1" si="78"/>
        <v>64.148847133118409</v>
      </c>
      <c r="AN75">
        <f t="shared" ca="1" si="78"/>
        <v>64.070856611776534</v>
      </c>
      <c r="AO75">
        <f t="shared" ca="1" si="78"/>
        <v>62.514153820070206</v>
      </c>
      <c r="AP75">
        <f t="shared" ca="1" si="78"/>
        <v>63.104798296781098</v>
      </c>
      <c r="AQ75">
        <f t="shared" ca="1" si="78"/>
        <v>62.724220450406342</v>
      </c>
      <c r="AR75">
        <f t="shared" ca="1" si="78"/>
        <v>62.590371850587474</v>
      </c>
      <c r="AS75">
        <f t="shared" ca="1" si="78"/>
        <v>62.706092179655542</v>
      </c>
      <c r="AT75">
        <f t="shared" ca="1" si="78"/>
        <v>62.805957866623253</v>
      </c>
      <c r="AU75">
        <f t="shared" ca="1" si="78"/>
        <v>64.160929617648904</v>
      </c>
      <c r="AV75">
        <f t="shared" ca="1" si="78"/>
        <v>62.442265993978793</v>
      </c>
      <c r="AW75">
        <f t="shared" ca="1" si="78"/>
        <v>61.736045123606488</v>
      </c>
      <c r="AX75">
        <f t="shared" ca="1" si="78"/>
        <v>61.085603077841952</v>
      </c>
      <c r="AY75">
        <f t="shared" ca="1" si="78"/>
        <v>61.692143191451585</v>
      </c>
      <c r="AZ75">
        <f t="shared" ca="1" si="78"/>
        <v>60.476374556159307</v>
      </c>
      <c r="BA75">
        <f t="shared" ca="1" si="78"/>
        <v>60.579757020698828</v>
      </c>
      <c r="BB75">
        <f t="shared" ca="1" si="78"/>
        <v>59.21137382782927</v>
      </c>
      <c r="BC75">
        <f t="shared" ca="1" si="78"/>
        <v>59.375838249266614</v>
      </c>
      <c r="BD75">
        <f t="shared" ca="1" si="78"/>
        <v>59.953884749936421</v>
      </c>
      <c r="BE75">
        <f t="shared" ca="1" si="78"/>
        <v>59.9497960998441</v>
      </c>
      <c r="BF75">
        <f t="shared" ca="1" si="78"/>
        <v>59.363665135427119</v>
      </c>
      <c r="BG75">
        <f t="shared" ca="1" si="78"/>
        <v>60.062452589563868</v>
      </c>
      <c r="BH75">
        <f t="shared" ca="1" si="78"/>
        <v>58.76424448983181</v>
      </c>
      <c r="BI75">
        <f t="shared" ca="1" si="78"/>
        <v>57.122202018342918</v>
      </c>
      <c r="BJ75">
        <f t="shared" ca="1" si="78"/>
        <v>57.094209346213773</v>
      </c>
      <c r="BK75">
        <f t="shared" ca="1" si="78"/>
        <v>57.243559943146487</v>
      </c>
      <c r="BL75">
        <f t="shared" ca="1" si="78"/>
        <v>56.765917813566467</v>
      </c>
      <c r="BM75">
        <f t="shared" ca="1" si="78"/>
        <v>56.699796501908295</v>
      </c>
      <c r="BN75">
        <f t="shared" ca="1" si="78"/>
        <v>56.823740182675785</v>
      </c>
      <c r="BO75">
        <f t="shared" ca="1" si="70"/>
        <v>0</v>
      </c>
    </row>
    <row r="76" spans="6:67">
      <c r="F76">
        <f t="shared" si="68"/>
        <v>60.99</v>
      </c>
      <c r="G76">
        <f t="shared" ref="G76:BN76" ca="1" si="79">F76*EXP(($B$2-0.5*$B$3^2)*$B$4+$B$3*_xlfn.NORM.INV(RAND(),0,SQRT($B$4)))</f>
        <v>62.883431915679488</v>
      </c>
      <c r="H76">
        <f t="shared" ca="1" si="79"/>
        <v>62.008718778025646</v>
      </c>
      <c r="I76">
        <f t="shared" ca="1" si="79"/>
        <v>61.175333479152116</v>
      </c>
      <c r="J76">
        <f t="shared" ca="1" si="79"/>
        <v>62.117667626334338</v>
      </c>
      <c r="K76">
        <f t="shared" ca="1" si="79"/>
        <v>64.094417001809006</v>
      </c>
      <c r="L76">
        <f t="shared" ca="1" si="79"/>
        <v>62.392423978318632</v>
      </c>
      <c r="M76">
        <f t="shared" ca="1" si="79"/>
        <v>63.01301765025935</v>
      </c>
      <c r="N76">
        <f t="shared" ca="1" si="79"/>
        <v>63.69642264248958</v>
      </c>
      <c r="O76">
        <f t="shared" ca="1" si="79"/>
        <v>64.592110628421622</v>
      </c>
      <c r="P76">
        <f t="shared" ca="1" si="79"/>
        <v>63.850491419225293</v>
      </c>
      <c r="Q76">
        <f t="shared" ca="1" si="79"/>
        <v>64.17381254931334</v>
      </c>
      <c r="R76">
        <f t="shared" ca="1" si="79"/>
        <v>63.523993692518971</v>
      </c>
      <c r="S76">
        <f t="shared" ca="1" si="79"/>
        <v>61.684217809145515</v>
      </c>
      <c r="T76">
        <f t="shared" ca="1" si="79"/>
        <v>62.635751724946196</v>
      </c>
      <c r="U76">
        <f t="shared" ca="1" si="79"/>
        <v>62.681982689195578</v>
      </c>
      <c r="V76">
        <f t="shared" ca="1" si="79"/>
        <v>62.448590203737112</v>
      </c>
      <c r="W76">
        <f t="shared" ca="1" si="79"/>
        <v>62.335623803799983</v>
      </c>
      <c r="X76">
        <f t="shared" ca="1" si="79"/>
        <v>62.712268588724328</v>
      </c>
      <c r="Y76">
        <f t="shared" ca="1" si="79"/>
        <v>60.954626581221966</v>
      </c>
      <c r="Z76">
        <f t="shared" ca="1" si="79"/>
        <v>61.095930162648237</v>
      </c>
      <c r="AA76">
        <f t="shared" ca="1" si="79"/>
        <v>62.495524960792189</v>
      </c>
      <c r="AB76">
        <f t="shared" ca="1" si="79"/>
        <v>64.40476785337799</v>
      </c>
      <c r="AC76">
        <f t="shared" ca="1" si="79"/>
        <v>64.390595409023263</v>
      </c>
      <c r="AD76">
        <f t="shared" ca="1" si="79"/>
        <v>64.744610815716158</v>
      </c>
      <c r="AE76">
        <f t="shared" ca="1" si="79"/>
        <v>63.993875315487699</v>
      </c>
      <c r="AF76">
        <f t="shared" ca="1" si="79"/>
        <v>65.304113897655668</v>
      </c>
      <c r="AG76">
        <f t="shared" ca="1" si="79"/>
        <v>67.026432657901026</v>
      </c>
      <c r="AH76">
        <f t="shared" ca="1" si="79"/>
        <v>66.63285949222734</v>
      </c>
      <c r="AI76">
        <f t="shared" ca="1" si="79"/>
        <v>67.095696159252157</v>
      </c>
      <c r="AJ76">
        <f t="shared" ca="1" si="79"/>
        <v>64.768567218920609</v>
      </c>
      <c r="AK76">
        <f t="shared" ca="1" si="79"/>
        <v>63.783011451196487</v>
      </c>
      <c r="AL76">
        <f t="shared" ca="1" si="79"/>
        <v>62.586617934037257</v>
      </c>
      <c r="AM76">
        <f t="shared" ca="1" si="79"/>
        <v>61.599675666181888</v>
      </c>
      <c r="AN76">
        <f t="shared" ca="1" si="79"/>
        <v>61.281201996843798</v>
      </c>
      <c r="AO76">
        <f t="shared" ca="1" si="79"/>
        <v>62.16430725775416</v>
      </c>
      <c r="AP76">
        <f t="shared" ca="1" si="79"/>
        <v>61.585058000885923</v>
      </c>
      <c r="AQ76">
        <f t="shared" ca="1" si="79"/>
        <v>61.502502646367816</v>
      </c>
      <c r="AR76">
        <f t="shared" ca="1" si="79"/>
        <v>60.907142715439086</v>
      </c>
      <c r="AS76">
        <f t="shared" ca="1" si="79"/>
        <v>59.877441227630804</v>
      </c>
      <c r="AT76">
        <f t="shared" ca="1" si="79"/>
        <v>58.171301020902106</v>
      </c>
      <c r="AU76">
        <f t="shared" ca="1" si="79"/>
        <v>58.235566356713086</v>
      </c>
      <c r="AV76">
        <f t="shared" ca="1" si="79"/>
        <v>59.763923936914871</v>
      </c>
      <c r="AW76">
        <f t="shared" ca="1" si="79"/>
        <v>60.813202861919464</v>
      </c>
      <c r="AX76">
        <f t="shared" ca="1" si="79"/>
        <v>61.847085579474758</v>
      </c>
      <c r="AY76">
        <f t="shared" ca="1" si="79"/>
        <v>61.122390163256036</v>
      </c>
      <c r="AZ76">
        <f t="shared" ca="1" si="79"/>
        <v>62.075606728314696</v>
      </c>
      <c r="BA76">
        <f t="shared" ca="1" si="79"/>
        <v>60.44313653331907</v>
      </c>
      <c r="BB76">
        <f t="shared" ca="1" si="79"/>
        <v>59.715715796429073</v>
      </c>
      <c r="BC76">
        <f t="shared" ca="1" si="79"/>
        <v>60.828841605270597</v>
      </c>
      <c r="BD76">
        <f t="shared" ca="1" si="79"/>
        <v>60.862277572145707</v>
      </c>
      <c r="BE76">
        <f t="shared" ca="1" si="79"/>
        <v>62.615285104435664</v>
      </c>
      <c r="BF76">
        <f t="shared" ca="1" si="79"/>
        <v>60.342107154636665</v>
      </c>
      <c r="BG76">
        <f t="shared" ca="1" si="79"/>
        <v>58.715004965386058</v>
      </c>
      <c r="BH76">
        <f t="shared" ca="1" si="79"/>
        <v>60.188912389572572</v>
      </c>
      <c r="BI76">
        <f t="shared" ca="1" si="79"/>
        <v>60.855426383622934</v>
      </c>
      <c r="BJ76">
        <f t="shared" ca="1" si="79"/>
        <v>59.791801006869584</v>
      </c>
      <c r="BK76">
        <f t="shared" ca="1" si="79"/>
        <v>59.816185695485558</v>
      </c>
      <c r="BL76">
        <f t="shared" ca="1" si="79"/>
        <v>59.269212426658271</v>
      </c>
      <c r="BM76">
        <f t="shared" ca="1" si="79"/>
        <v>59.321468555799768</v>
      </c>
      <c r="BN76">
        <f t="shared" ca="1" si="79"/>
        <v>58.789161624428665</v>
      </c>
      <c r="BO76">
        <f t="shared" ca="1" si="70"/>
        <v>0.78916162442866522</v>
      </c>
    </row>
    <row r="77" spans="6:67">
      <c r="F77">
        <f t="shared" si="68"/>
        <v>60.99</v>
      </c>
      <c r="G77">
        <f t="shared" ref="G77:BN77" ca="1" si="80">F77*EXP(($B$2-0.5*$B$3^2)*$B$4+$B$3*_xlfn.NORM.INV(RAND(),0,SQRT($B$4)))</f>
        <v>60.538096665506352</v>
      </c>
      <c r="H77">
        <f t="shared" ca="1" si="80"/>
        <v>60.670497283710453</v>
      </c>
      <c r="I77">
        <f t="shared" ca="1" si="80"/>
        <v>61.91028512638141</v>
      </c>
      <c r="J77">
        <f t="shared" ca="1" si="80"/>
        <v>60.958958308863991</v>
      </c>
      <c r="K77">
        <f t="shared" ca="1" si="80"/>
        <v>61.616846588613114</v>
      </c>
      <c r="L77">
        <f t="shared" ca="1" si="80"/>
        <v>61.143517757054632</v>
      </c>
      <c r="M77">
        <f t="shared" ca="1" si="80"/>
        <v>61.385019568455498</v>
      </c>
      <c r="N77">
        <f t="shared" ca="1" si="80"/>
        <v>59.763908891855891</v>
      </c>
      <c r="O77">
        <f t="shared" ca="1" si="80"/>
        <v>59.303862803995699</v>
      </c>
      <c r="P77">
        <f t="shared" ca="1" si="80"/>
        <v>60.391848373692675</v>
      </c>
      <c r="Q77">
        <f t="shared" ca="1" si="80"/>
        <v>60.50903379186574</v>
      </c>
      <c r="R77">
        <f t="shared" ca="1" si="80"/>
        <v>61.596570726747089</v>
      </c>
      <c r="S77">
        <f t="shared" ca="1" si="80"/>
        <v>60.75842624141621</v>
      </c>
      <c r="T77">
        <f t="shared" ca="1" si="80"/>
        <v>61.399984804896846</v>
      </c>
      <c r="U77">
        <f t="shared" ca="1" si="80"/>
        <v>63.462089389088248</v>
      </c>
      <c r="V77">
        <f t="shared" ca="1" si="80"/>
        <v>63.266928828354928</v>
      </c>
      <c r="W77">
        <f t="shared" ca="1" si="80"/>
        <v>63.533752139047031</v>
      </c>
      <c r="X77">
        <f t="shared" ca="1" si="80"/>
        <v>64.068869003291624</v>
      </c>
      <c r="Y77">
        <f t="shared" ca="1" si="80"/>
        <v>64.138574135874393</v>
      </c>
      <c r="Z77">
        <f t="shared" ca="1" si="80"/>
        <v>65.057568322611758</v>
      </c>
      <c r="AA77">
        <f t="shared" ca="1" si="80"/>
        <v>64.370738935443768</v>
      </c>
      <c r="AB77">
        <f t="shared" ca="1" si="80"/>
        <v>61.784817004973128</v>
      </c>
      <c r="AC77">
        <f t="shared" ca="1" si="80"/>
        <v>62.036719702690867</v>
      </c>
      <c r="AD77">
        <f t="shared" ca="1" si="80"/>
        <v>61.486417937056217</v>
      </c>
      <c r="AE77">
        <f t="shared" ca="1" si="80"/>
        <v>62.354471053108192</v>
      </c>
      <c r="AF77">
        <f t="shared" ca="1" si="80"/>
        <v>64.067816095029727</v>
      </c>
      <c r="AG77">
        <f t="shared" ca="1" si="80"/>
        <v>65.482481285033998</v>
      </c>
      <c r="AH77">
        <f t="shared" ca="1" si="80"/>
        <v>66.507107496748574</v>
      </c>
      <c r="AI77">
        <f t="shared" ca="1" si="80"/>
        <v>65.843360378331354</v>
      </c>
      <c r="AJ77">
        <f t="shared" ca="1" si="80"/>
        <v>64.557152635603629</v>
      </c>
      <c r="AK77">
        <f t="shared" ca="1" si="80"/>
        <v>65.145595233125448</v>
      </c>
      <c r="AL77">
        <f t="shared" ca="1" si="80"/>
        <v>65.879457939958385</v>
      </c>
      <c r="AM77">
        <f t="shared" ca="1" si="80"/>
        <v>67.247057179744786</v>
      </c>
      <c r="AN77">
        <f t="shared" ca="1" si="80"/>
        <v>69.288782939432011</v>
      </c>
      <c r="AO77">
        <f t="shared" ca="1" si="80"/>
        <v>68.777500544913963</v>
      </c>
      <c r="AP77">
        <f t="shared" ca="1" si="80"/>
        <v>67.902564945589688</v>
      </c>
      <c r="AQ77">
        <f t="shared" ca="1" si="80"/>
        <v>70.572632483484966</v>
      </c>
      <c r="AR77">
        <f t="shared" ca="1" si="80"/>
        <v>72.189919629886148</v>
      </c>
      <c r="AS77">
        <f t="shared" ca="1" si="80"/>
        <v>71.827206929723431</v>
      </c>
      <c r="AT77">
        <f t="shared" ca="1" si="80"/>
        <v>72.228632465508994</v>
      </c>
      <c r="AU77">
        <f t="shared" ca="1" si="80"/>
        <v>71.512778121445479</v>
      </c>
      <c r="AV77">
        <f t="shared" ca="1" si="80"/>
        <v>73.380822842364367</v>
      </c>
      <c r="AW77">
        <f t="shared" ca="1" si="80"/>
        <v>72.930579280992475</v>
      </c>
      <c r="AX77">
        <f t="shared" ca="1" si="80"/>
        <v>73.32385654012991</v>
      </c>
      <c r="AY77">
        <f t="shared" ca="1" si="80"/>
        <v>72.064068636326923</v>
      </c>
      <c r="AZ77">
        <f t="shared" ca="1" si="80"/>
        <v>70.724597428174619</v>
      </c>
      <c r="BA77">
        <f t="shared" ca="1" si="80"/>
        <v>71.265073552086847</v>
      </c>
      <c r="BB77">
        <f t="shared" ca="1" si="80"/>
        <v>69.992591107336324</v>
      </c>
      <c r="BC77">
        <f t="shared" ca="1" si="80"/>
        <v>70.368438485300672</v>
      </c>
      <c r="BD77">
        <f t="shared" ca="1" si="80"/>
        <v>71.654473482943317</v>
      </c>
      <c r="BE77">
        <f t="shared" ca="1" si="80"/>
        <v>70.464456791045151</v>
      </c>
      <c r="BF77">
        <f t="shared" ca="1" si="80"/>
        <v>69.376891163473786</v>
      </c>
      <c r="BG77">
        <f t="shared" ca="1" si="80"/>
        <v>69.117113162168565</v>
      </c>
      <c r="BH77">
        <f t="shared" ca="1" si="80"/>
        <v>70.025246342783078</v>
      </c>
      <c r="BI77">
        <f t="shared" ca="1" si="80"/>
        <v>68.39057175681306</v>
      </c>
      <c r="BJ77">
        <f t="shared" ca="1" si="80"/>
        <v>65.181321920330774</v>
      </c>
      <c r="BK77">
        <f t="shared" ca="1" si="80"/>
        <v>65.632001828170402</v>
      </c>
      <c r="BL77">
        <f t="shared" ca="1" si="80"/>
        <v>64.339919903671841</v>
      </c>
      <c r="BM77">
        <f t="shared" ca="1" si="80"/>
        <v>67.076326836320334</v>
      </c>
      <c r="BN77">
        <f t="shared" ca="1" si="80"/>
        <v>66.172739326824939</v>
      </c>
      <c r="BO77">
        <f t="shared" ca="1" si="70"/>
        <v>8.1727393268249386</v>
      </c>
    </row>
    <row r="78" spans="6:67">
      <c r="F78">
        <f t="shared" si="68"/>
        <v>60.99</v>
      </c>
      <c r="G78">
        <f t="shared" ref="G78:BN78" ca="1" si="81">F78*EXP(($B$2-0.5*$B$3^2)*$B$4+$B$3*_xlfn.NORM.INV(RAND(),0,SQRT($B$4)))</f>
        <v>60.178453607325991</v>
      </c>
      <c r="H78">
        <f t="shared" ca="1" si="81"/>
        <v>59.48837808218034</v>
      </c>
      <c r="I78">
        <f t="shared" ca="1" si="81"/>
        <v>59.118182230456632</v>
      </c>
      <c r="J78">
        <f t="shared" ca="1" si="81"/>
        <v>58.18132098796189</v>
      </c>
      <c r="K78">
        <f t="shared" ca="1" si="81"/>
        <v>57.648935828138313</v>
      </c>
      <c r="L78">
        <f t="shared" ca="1" si="81"/>
        <v>57.155202891536234</v>
      </c>
      <c r="M78">
        <f t="shared" ca="1" si="81"/>
        <v>56.902385570267242</v>
      </c>
      <c r="N78">
        <f t="shared" ca="1" si="81"/>
        <v>56.241797017185242</v>
      </c>
      <c r="O78">
        <f t="shared" ca="1" si="81"/>
        <v>54.88429355750435</v>
      </c>
      <c r="P78">
        <f t="shared" ca="1" si="81"/>
        <v>56.303965463256397</v>
      </c>
      <c r="Q78">
        <f t="shared" ca="1" si="81"/>
        <v>58.497572039029954</v>
      </c>
      <c r="R78">
        <f t="shared" ca="1" si="81"/>
        <v>59.133503348939421</v>
      </c>
      <c r="S78">
        <f t="shared" ca="1" si="81"/>
        <v>60.995912639128747</v>
      </c>
      <c r="T78">
        <f t="shared" ca="1" si="81"/>
        <v>60.839720297679726</v>
      </c>
      <c r="U78">
        <f t="shared" ca="1" si="81"/>
        <v>62.147067372275984</v>
      </c>
      <c r="V78">
        <f t="shared" ca="1" si="81"/>
        <v>61.227436845314671</v>
      </c>
      <c r="W78">
        <f t="shared" ca="1" si="81"/>
        <v>64.45377971951801</v>
      </c>
      <c r="X78">
        <f t="shared" ca="1" si="81"/>
        <v>66.951347041518261</v>
      </c>
      <c r="Y78">
        <f t="shared" ca="1" si="81"/>
        <v>66.905175077136334</v>
      </c>
      <c r="Z78">
        <f t="shared" ca="1" si="81"/>
        <v>66.989938128718109</v>
      </c>
      <c r="AA78">
        <f t="shared" ca="1" si="81"/>
        <v>67.898955320649563</v>
      </c>
      <c r="AB78">
        <f t="shared" ca="1" si="81"/>
        <v>67.272940100171013</v>
      </c>
      <c r="AC78">
        <f t="shared" ca="1" si="81"/>
        <v>67.748376756776679</v>
      </c>
      <c r="AD78">
        <f t="shared" ca="1" si="81"/>
        <v>66.45404693787583</v>
      </c>
      <c r="AE78">
        <f t="shared" ca="1" si="81"/>
        <v>65.551052617793871</v>
      </c>
      <c r="AF78">
        <f t="shared" ca="1" si="81"/>
        <v>65.592720220997791</v>
      </c>
      <c r="AG78">
        <f t="shared" ca="1" si="81"/>
        <v>65.904780985967832</v>
      </c>
      <c r="AH78">
        <f t="shared" ca="1" si="81"/>
        <v>68.121170539571509</v>
      </c>
      <c r="AI78">
        <f t="shared" ca="1" si="81"/>
        <v>67.64543333967255</v>
      </c>
      <c r="AJ78">
        <f t="shared" ca="1" si="81"/>
        <v>68.505639890414017</v>
      </c>
      <c r="AK78">
        <f t="shared" ca="1" si="81"/>
        <v>68.234850361599726</v>
      </c>
      <c r="AL78">
        <f t="shared" ca="1" si="81"/>
        <v>67.492249931531688</v>
      </c>
      <c r="AM78">
        <f t="shared" ca="1" si="81"/>
        <v>68.749360245272698</v>
      </c>
      <c r="AN78">
        <f t="shared" ca="1" si="81"/>
        <v>69.041077027141412</v>
      </c>
      <c r="AO78">
        <f t="shared" ca="1" si="81"/>
        <v>68.219808435578898</v>
      </c>
      <c r="AP78">
        <f t="shared" ca="1" si="81"/>
        <v>67.58644305934628</v>
      </c>
      <c r="AQ78">
        <f t="shared" ca="1" si="81"/>
        <v>66.559091672495839</v>
      </c>
      <c r="AR78">
        <f t="shared" ca="1" si="81"/>
        <v>65.586102559734258</v>
      </c>
      <c r="AS78">
        <f t="shared" ca="1" si="81"/>
        <v>64.983960236080961</v>
      </c>
      <c r="AT78">
        <f t="shared" ca="1" si="81"/>
        <v>65.177503270620861</v>
      </c>
      <c r="AU78">
        <f t="shared" ca="1" si="81"/>
        <v>65.525456130827791</v>
      </c>
      <c r="AV78">
        <f t="shared" ca="1" si="81"/>
        <v>64.755473273242671</v>
      </c>
      <c r="AW78">
        <f t="shared" ca="1" si="81"/>
        <v>63.759855430664018</v>
      </c>
      <c r="AX78">
        <f t="shared" ca="1" si="81"/>
        <v>63.914831114698636</v>
      </c>
      <c r="AY78">
        <f t="shared" ca="1" si="81"/>
        <v>64.549775815035787</v>
      </c>
      <c r="AZ78">
        <f t="shared" ca="1" si="81"/>
        <v>64.230996091930933</v>
      </c>
      <c r="BA78">
        <f t="shared" ca="1" si="81"/>
        <v>64.053229235546752</v>
      </c>
      <c r="BB78">
        <f t="shared" ca="1" si="81"/>
        <v>63.853978448515562</v>
      </c>
      <c r="BC78">
        <f t="shared" ca="1" si="81"/>
        <v>64.451949896445299</v>
      </c>
      <c r="BD78">
        <f t="shared" ca="1" si="81"/>
        <v>65.225659106055858</v>
      </c>
      <c r="BE78">
        <f t="shared" ca="1" si="81"/>
        <v>66.270913880060505</v>
      </c>
      <c r="BF78">
        <f t="shared" ca="1" si="81"/>
        <v>67.495965214747443</v>
      </c>
      <c r="BG78">
        <f t="shared" ca="1" si="81"/>
        <v>70.055599967278383</v>
      </c>
      <c r="BH78">
        <f t="shared" ca="1" si="81"/>
        <v>68.81372425421705</v>
      </c>
      <c r="BI78">
        <f t="shared" ca="1" si="81"/>
        <v>70.147265745921871</v>
      </c>
      <c r="BJ78">
        <f t="shared" ca="1" si="81"/>
        <v>69.741517563935219</v>
      </c>
      <c r="BK78">
        <f t="shared" ca="1" si="81"/>
        <v>69.350688594056308</v>
      </c>
      <c r="BL78">
        <f t="shared" ca="1" si="81"/>
        <v>68.34289773880279</v>
      </c>
      <c r="BM78">
        <f t="shared" ca="1" si="81"/>
        <v>69.427998101705967</v>
      </c>
      <c r="BN78">
        <f t="shared" ca="1" si="81"/>
        <v>70.036586000879623</v>
      </c>
      <c r="BO78">
        <f t="shared" ca="1" si="70"/>
        <v>12.036586000879623</v>
      </c>
    </row>
    <row r="79" spans="6:67">
      <c r="F79">
        <f t="shared" si="68"/>
        <v>60.99</v>
      </c>
      <c r="G79">
        <f t="shared" ref="G79:BN79" ca="1" si="82">F79*EXP(($B$2-0.5*$B$3^2)*$B$4+$B$3*_xlfn.NORM.INV(RAND(),0,SQRT($B$4)))</f>
        <v>59.8046113787954</v>
      </c>
      <c r="H79">
        <f t="shared" ca="1" si="82"/>
        <v>61.911478226955502</v>
      </c>
      <c r="I79">
        <f t="shared" ca="1" si="82"/>
        <v>62.542301814525061</v>
      </c>
      <c r="J79">
        <f t="shared" ca="1" si="82"/>
        <v>60.902408508082594</v>
      </c>
      <c r="K79">
        <f t="shared" ca="1" si="82"/>
        <v>62.183283731952891</v>
      </c>
      <c r="L79">
        <f t="shared" ca="1" si="82"/>
        <v>60.092462562565629</v>
      </c>
      <c r="M79">
        <f t="shared" ca="1" si="82"/>
        <v>60.148069806904843</v>
      </c>
      <c r="N79">
        <f t="shared" ca="1" si="82"/>
        <v>61.832858629836402</v>
      </c>
      <c r="O79">
        <f t="shared" ca="1" si="82"/>
        <v>62.711863555205902</v>
      </c>
      <c r="P79">
        <f t="shared" ca="1" si="82"/>
        <v>61.654013705653824</v>
      </c>
      <c r="Q79">
        <f t="shared" ca="1" si="82"/>
        <v>61.366076012780674</v>
      </c>
      <c r="R79">
        <f t="shared" ca="1" si="82"/>
        <v>60.588610613857263</v>
      </c>
      <c r="S79">
        <f t="shared" ca="1" si="82"/>
        <v>60.696793304903395</v>
      </c>
      <c r="T79">
        <f t="shared" ca="1" si="82"/>
        <v>58.800213391204437</v>
      </c>
      <c r="U79">
        <f t="shared" ca="1" si="82"/>
        <v>58.965048947002963</v>
      </c>
      <c r="V79">
        <f t="shared" ca="1" si="82"/>
        <v>61.10911539348772</v>
      </c>
      <c r="W79">
        <f t="shared" ca="1" si="82"/>
        <v>61.195814525168856</v>
      </c>
      <c r="X79">
        <f t="shared" ca="1" si="82"/>
        <v>61.268991599831651</v>
      </c>
      <c r="Y79">
        <f t="shared" ca="1" si="82"/>
        <v>59.672472231425246</v>
      </c>
      <c r="Z79">
        <f t="shared" ca="1" si="82"/>
        <v>60.164837705497249</v>
      </c>
      <c r="AA79">
        <f t="shared" ca="1" si="82"/>
        <v>60.984703731425206</v>
      </c>
      <c r="AB79">
        <f t="shared" ca="1" si="82"/>
        <v>61.67767185970267</v>
      </c>
      <c r="AC79">
        <f t="shared" ca="1" si="82"/>
        <v>61.735246510555953</v>
      </c>
      <c r="AD79">
        <f t="shared" ca="1" si="82"/>
        <v>60.431309249211402</v>
      </c>
      <c r="AE79">
        <f t="shared" ca="1" si="82"/>
        <v>61.280077556587649</v>
      </c>
      <c r="AF79">
        <f t="shared" ca="1" si="82"/>
        <v>60.140136504100219</v>
      </c>
      <c r="AG79">
        <f t="shared" ca="1" si="82"/>
        <v>60.259809701365803</v>
      </c>
      <c r="AH79">
        <f t="shared" ca="1" si="82"/>
        <v>61.712610264473916</v>
      </c>
      <c r="AI79">
        <f t="shared" ca="1" si="82"/>
        <v>61.361520196502617</v>
      </c>
      <c r="AJ79">
        <f t="shared" ca="1" si="82"/>
        <v>62.958469609647388</v>
      </c>
      <c r="AK79">
        <f t="shared" ca="1" si="82"/>
        <v>63.472112787330609</v>
      </c>
      <c r="AL79">
        <f t="shared" ca="1" si="82"/>
        <v>64.545878191425899</v>
      </c>
      <c r="AM79">
        <f t="shared" ca="1" si="82"/>
        <v>64.023754051706121</v>
      </c>
      <c r="AN79">
        <f t="shared" ca="1" si="82"/>
        <v>61.885000475547763</v>
      </c>
      <c r="AO79">
        <f t="shared" ca="1" si="82"/>
        <v>61.652425083720892</v>
      </c>
      <c r="AP79">
        <f t="shared" ca="1" si="82"/>
        <v>59.987287501719379</v>
      </c>
      <c r="AQ79">
        <f t="shared" ca="1" si="82"/>
        <v>57.88671688918658</v>
      </c>
      <c r="AR79">
        <f t="shared" ca="1" si="82"/>
        <v>58.981104336502739</v>
      </c>
      <c r="AS79">
        <f t="shared" ca="1" si="82"/>
        <v>60.003052001682398</v>
      </c>
      <c r="AT79">
        <f t="shared" ca="1" si="82"/>
        <v>58.089418170839451</v>
      </c>
      <c r="AU79">
        <f t="shared" ca="1" si="82"/>
        <v>59.597410964769786</v>
      </c>
      <c r="AV79">
        <f t="shared" ca="1" si="82"/>
        <v>57.964077117819762</v>
      </c>
      <c r="AW79">
        <f t="shared" ca="1" si="82"/>
        <v>55.773419005723838</v>
      </c>
      <c r="AX79">
        <f t="shared" ca="1" si="82"/>
        <v>55.691451798464158</v>
      </c>
      <c r="AY79">
        <f t="shared" ca="1" si="82"/>
        <v>55.100442109843307</v>
      </c>
      <c r="AZ79">
        <f t="shared" ca="1" si="82"/>
        <v>53.606370365588688</v>
      </c>
      <c r="BA79">
        <f t="shared" ca="1" si="82"/>
        <v>54.477886108543892</v>
      </c>
      <c r="BB79">
        <f t="shared" ca="1" si="82"/>
        <v>54.890725987205933</v>
      </c>
      <c r="BC79">
        <f t="shared" ca="1" si="82"/>
        <v>55.408094199290012</v>
      </c>
      <c r="BD79">
        <f t="shared" ca="1" si="82"/>
        <v>55.979176703262205</v>
      </c>
      <c r="BE79">
        <f t="shared" ca="1" si="82"/>
        <v>58.366305147804695</v>
      </c>
      <c r="BF79">
        <f t="shared" ca="1" si="82"/>
        <v>59.190306130732971</v>
      </c>
      <c r="BG79">
        <f t="shared" ca="1" si="82"/>
        <v>59.463097981681493</v>
      </c>
      <c r="BH79">
        <f t="shared" ca="1" si="82"/>
        <v>58.113256879987425</v>
      </c>
      <c r="BI79">
        <f t="shared" ca="1" si="82"/>
        <v>55.428222976567099</v>
      </c>
      <c r="BJ79">
        <f t="shared" ca="1" si="82"/>
        <v>57.702331729783232</v>
      </c>
      <c r="BK79">
        <f t="shared" ca="1" si="82"/>
        <v>58.57029708963789</v>
      </c>
      <c r="BL79">
        <f t="shared" ca="1" si="82"/>
        <v>58.033209186700013</v>
      </c>
      <c r="BM79">
        <f t="shared" ca="1" si="82"/>
        <v>57.984715620604476</v>
      </c>
      <c r="BN79">
        <f t="shared" ca="1" si="82"/>
        <v>56.737361119840216</v>
      </c>
      <c r="BO79">
        <f t="shared" ca="1" si="70"/>
        <v>0</v>
      </c>
    </row>
    <row r="80" spans="6:67">
      <c r="F80">
        <f t="shared" si="68"/>
        <v>60.99</v>
      </c>
      <c r="G80">
        <f t="shared" ref="G80:BN80" ca="1" si="83">F80*EXP(($B$2-0.5*$B$3^2)*$B$4+$B$3*_xlfn.NORM.INV(RAND(),0,SQRT($B$4)))</f>
        <v>61.691451887760628</v>
      </c>
      <c r="H80">
        <f t="shared" ca="1" si="83"/>
        <v>62.684867882856942</v>
      </c>
      <c r="I80">
        <f t="shared" ca="1" si="83"/>
        <v>64.560631974678017</v>
      </c>
      <c r="J80">
        <f t="shared" ca="1" si="83"/>
        <v>63.650428166231976</v>
      </c>
      <c r="K80">
        <f t="shared" ca="1" si="83"/>
        <v>64.774336701326419</v>
      </c>
      <c r="L80">
        <f t="shared" ca="1" si="83"/>
        <v>64.871817516521958</v>
      </c>
      <c r="M80">
        <f t="shared" ca="1" si="83"/>
        <v>66.367143390659592</v>
      </c>
      <c r="N80">
        <f t="shared" ca="1" si="83"/>
        <v>66.432875205861095</v>
      </c>
      <c r="O80">
        <f t="shared" ca="1" si="83"/>
        <v>68.968666687896913</v>
      </c>
      <c r="P80">
        <f t="shared" ca="1" si="83"/>
        <v>66.847550245739441</v>
      </c>
      <c r="Q80">
        <f t="shared" ca="1" si="83"/>
        <v>67.615346274751161</v>
      </c>
      <c r="R80">
        <f t="shared" ca="1" si="83"/>
        <v>66.913924564354787</v>
      </c>
      <c r="S80">
        <f t="shared" ca="1" si="83"/>
        <v>66.012314705858842</v>
      </c>
      <c r="T80">
        <f t="shared" ca="1" si="83"/>
        <v>67.048122488982429</v>
      </c>
      <c r="U80">
        <f t="shared" ca="1" si="83"/>
        <v>64.837198910333541</v>
      </c>
      <c r="V80">
        <f t="shared" ca="1" si="83"/>
        <v>62.757501400153131</v>
      </c>
      <c r="W80">
        <f t="shared" ca="1" si="83"/>
        <v>64.17357108117497</v>
      </c>
      <c r="X80">
        <f t="shared" ca="1" si="83"/>
        <v>64.982495767584851</v>
      </c>
      <c r="Y80">
        <f t="shared" ca="1" si="83"/>
        <v>63.251426005212231</v>
      </c>
      <c r="Z80">
        <f t="shared" ca="1" si="83"/>
        <v>65.203841319728141</v>
      </c>
      <c r="AA80">
        <f t="shared" ca="1" si="83"/>
        <v>65.594371260828311</v>
      </c>
      <c r="AB80">
        <f t="shared" ca="1" si="83"/>
        <v>63.790143779962541</v>
      </c>
      <c r="AC80">
        <f t="shared" ca="1" si="83"/>
        <v>60.275260847959551</v>
      </c>
      <c r="AD80">
        <f t="shared" ca="1" si="83"/>
        <v>59.879426266195857</v>
      </c>
      <c r="AE80">
        <f t="shared" ca="1" si="83"/>
        <v>60.408787816621455</v>
      </c>
      <c r="AF80">
        <f t="shared" ca="1" si="83"/>
        <v>60.737390011836808</v>
      </c>
      <c r="AG80">
        <f t="shared" ca="1" si="83"/>
        <v>61.894530022647771</v>
      </c>
      <c r="AH80">
        <f t="shared" ca="1" si="83"/>
        <v>63.411824976146299</v>
      </c>
      <c r="AI80">
        <f t="shared" ca="1" si="83"/>
        <v>63.554211731238489</v>
      </c>
      <c r="AJ80">
        <f t="shared" ca="1" si="83"/>
        <v>63.621314749496484</v>
      </c>
      <c r="AK80">
        <f t="shared" ca="1" si="83"/>
        <v>64.647659553614787</v>
      </c>
      <c r="AL80">
        <f t="shared" ca="1" si="83"/>
        <v>63.000059497620519</v>
      </c>
      <c r="AM80">
        <f t="shared" ca="1" si="83"/>
        <v>63.470621378463044</v>
      </c>
      <c r="AN80">
        <f t="shared" ca="1" si="83"/>
        <v>63.348626598715768</v>
      </c>
      <c r="AO80">
        <f t="shared" ca="1" si="83"/>
        <v>63.028140386809724</v>
      </c>
      <c r="AP80">
        <f t="shared" ca="1" si="83"/>
        <v>63.245698123088573</v>
      </c>
      <c r="AQ80">
        <f t="shared" ca="1" si="83"/>
        <v>62.735153764873239</v>
      </c>
      <c r="AR80">
        <f t="shared" ca="1" si="83"/>
        <v>62.882778114362026</v>
      </c>
      <c r="AS80">
        <f t="shared" ca="1" si="83"/>
        <v>63.460028912333811</v>
      </c>
      <c r="AT80">
        <f t="shared" ca="1" si="83"/>
        <v>62.863395978093948</v>
      </c>
      <c r="AU80">
        <f t="shared" ca="1" si="83"/>
        <v>60.177990926725556</v>
      </c>
      <c r="AV80">
        <f t="shared" ca="1" si="83"/>
        <v>60.552799843193952</v>
      </c>
      <c r="AW80">
        <f t="shared" ca="1" si="83"/>
        <v>60.280892068562856</v>
      </c>
      <c r="AX80">
        <f t="shared" ca="1" si="83"/>
        <v>61.133433675368593</v>
      </c>
      <c r="AY80">
        <f t="shared" ca="1" si="83"/>
        <v>60.322194128146478</v>
      </c>
      <c r="AZ80">
        <f t="shared" ca="1" si="83"/>
        <v>60.792606397489756</v>
      </c>
      <c r="BA80">
        <f t="shared" ca="1" si="83"/>
        <v>62.271399447797428</v>
      </c>
      <c r="BB80">
        <f t="shared" ca="1" si="83"/>
        <v>62.467660906634535</v>
      </c>
      <c r="BC80">
        <f t="shared" ca="1" si="83"/>
        <v>62.280808255417568</v>
      </c>
      <c r="BD80">
        <f t="shared" ca="1" si="83"/>
        <v>64.020328918569689</v>
      </c>
      <c r="BE80">
        <f t="shared" ca="1" si="83"/>
        <v>64.641799805693822</v>
      </c>
      <c r="BF80">
        <f t="shared" ca="1" si="83"/>
        <v>62.701398340193343</v>
      </c>
      <c r="BG80">
        <f t="shared" ca="1" si="83"/>
        <v>61.577604295114675</v>
      </c>
      <c r="BH80">
        <f t="shared" ca="1" si="83"/>
        <v>60.53689898713607</v>
      </c>
      <c r="BI80">
        <f t="shared" ca="1" si="83"/>
        <v>60.62214210272839</v>
      </c>
      <c r="BJ80">
        <f t="shared" ca="1" si="83"/>
        <v>59.976422326860856</v>
      </c>
      <c r="BK80">
        <f t="shared" ca="1" si="83"/>
        <v>58.895491357599319</v>
      </c>
      <c r="BL80">
        <f t="shared" ca="1" si="83"/>
        <v>58.730722558242441</v>
      </c>
      <c r="BM80">
        <f t="shared" ca="1" si="83"/>
        <v>59.340392869421692</v>
      </c>
      <c r="BN80">
        <f t="shared" ca="1" si="83"/>
        <v>59.637545595027696</v>
      </c>
      <c r="BO80">
        <f t="shared" ca="1" si="70"/>
        <v>1.6375455950276958</v>
      </c>
    </row>
    <row r="81" spans="6:67">
      <c r="F81">
        <f t="shared" si="68"/>
        <v>60.99</v>
      </c>
      <c r="G81">
        <f t="shared" ref="G81:BN81" ca="1" si="84">F81*EXP(($B$2-0.5*$B$3^2)*$B$4+$B$3*_xlfn.NORM.INV(RAND(),0,SQRT($B$4)))</f>
        <v>61.032130140384886</v>
      </c>
      <c r="H81">
        <f t="shared" ca="1" si="84"/>
        <v>61.794236006877398</v>
      </c>
      <c r="I81">
        <f t="shared" ca="1" si="84"/>
        <v>61.039161495129164</v>
      </c>
      <c r="J81">
        <f t="shared" ca="1" si="84"/>
        <v>59.286401127115376</v>
      </c>
      <c r="K81">
        <f t="shared" ca="1" si="84"/>
        <v>58.832280636575959</v>
      </c>
      <c r="L81">
        <f t="shared" ca="1" si="84"/>
        <v>57.537299390418461</v>
      </c>
      <c r="M81">
        <f t="shared" ca="1" si="84"/>
        <v>55.775404853573086</v>
      </c>
      <c r="N81">
        <f t="shared" ca="1" si="84"/>
        <v>54.867259530509493</v>
      </c>
      <c r="O81">
        <f t="shared" ca="1" si="84"/>
        <v>57.51093646864139</v>
      </c>
      <c r="P81">
        <f t="shared" ca="1" si="84"/>
        <v>57.53630764084982</v>
      </c>
      <c r="Q81">
        <f t="shared" ca="1" si="84"/>
        <v>58.862296119394955</v>
      </c>
      <c r="R81">
        <f t="shared" ca="1" si="84"/>
        <v>57.596449854949014</v>
      </c>
      <c r="S81">
        <f t="shared" ca="1" si="84"/>
        <v>57.471858667435193</v>
      </c>
      <c r="T81">
        <f t="shared" ca="1" si="84"/>
        <v>57.104536547075028</v>
      </c>
      <c r="U81">
        <f t="shared" ca="1" si="84"/>
        <v>57.440022385431789</v>
      </c>
      <c r="V81">
        <f t="shared" ca="1" si="84"/>
        <v>55.495810030919692</v>
      </c>
      <c r="W81">
        <f t="shared" ca="1" si="84"/>
        <v>55.056563433143495</v>
      </c>
      <c r="X81">
        <f t="shared" ca="1" si="84"/>
        <v>57.171718232131802</v>
      </c>
      <c r="Y81">
        <f t="shared" ca="1" si="84"/>
        <v>56.854227056651851</v>
      </c>
      <c r="Z81">
        <f t="shared" ca="1" si="84"/>
        <v>56.977141235207078</v>
      </c>
      <c r="AA81">
        <f t="shared" ca="1" si="84"/>
        <v>56.459109108506503</v>
      </c>
      <c r="AB81">
        <f t="shared" ca="1" si="84"/>
        <v>57.168022559644918</v>
      </c>
      <c r="AC81">
        <f t="shared" ca="1" si="84"/>
        <v>58.012014915358691</v>
      </c>
      <c r="AD81">
        <f t="shared" ca="1" si="84"/>
        <v>57.866891947919505</v>
      </c>
      <c r="AE81">
        <f t="shared" ca="1" si="84"/>
        <v>58.623561979044801</v>
      </c>
      <c r="AF81">
        <f t="shared" ca="1" si="84"/>
        <v>60.089325461283039</v>
      </c>
      <c r="AG81">
        <f t="shared" ca="1" si="84"/>
        <v>58.864124715036951</v>
      </c>
      <c r="AH81">
        <f t="shared" ca="1" si="84"/>
        <v>58.552424316319609</v>
      </c>
      <c r="AI81">
        <f t="shared" ca="1" si="84"/>
        <v>57.408168231906217</v>
      </c>
      <c r="AJ81">
        <f t="shared" ca="1" si="84"/>
        <v>56.36422981144905</v>
      </c>
      <c r="AK81">
        <f t="shared" ca="1" si="84"/>
        <v>57.442725814851677</v>
      </c>
      <c r="AL81">
        <f t="shared" ca="1" si="84"/>
        <v>57.958980729359368</v>
      </c>
      <c r="AM81">
        <f t="shared" ca="1" si="84"/>
        <v>57.807935958191479</v>
      </c>
      <c r="AN81">
        <f t="shared" ca="1" si="84"/>
        <v>57.706025921780139</v>
      </c>
      <c r="AO81">
        <f t="shared" ca="1" si="84"/>
        <v>57.297482312720149</v>
      </c>
      <c r="AP81">
        <f t="shared" ca="1" si="84"/>
        <v>57.17265805103375</v>
      </c>
      <c r="AQ81">
        <f t="shared" ca="1" si="84"/>
        <v>57.908582948027096</v>
      </c>
      <c r="AR81">
        <f t="shared" ca="1" si="84"/>
        <v>59.46404989465578</v>
      </c>
      <c r="AS81">
        <f t="shared" ca="1" si="84"/>
        <v>58.495416682231003</v>
      </c>
      <c r="AT81">
        <f t="shared" ca="1" si="84"/>
        <v>58.025425220851076</v>
      </c>
      <c r="AU81">
        <f t="shared" ca="1" si="84"/>
        <v>59.369479086074051</v>
      </c>
      <c r="AV81">
        <f t="shared" ca="1" si="84"/>
        <v>60.40688452857578</v>
      </c>
      <c r="AW81">
        <f t="shared" ca="1" si="84"/>
        <v>59.260141854350977</v>
      </c>
      <c r="AX81">
        <f t="shared" ca="1" si="84"/>
        <v>58.05632786627676</v>
      </c>
      <c r="AY81">
        <f t="shared" ca="1" si="84"/>
        <v>58.150262754451695</v>
      </c>
      <c r="AZ81">
        <f t="shared" ca="1" si="84"/>
        <v>57.326066740443068</v>
      </c>
      <c r="BA81">
        <f t="shared" ca="1" si="84"/>
        <v>57.012285700570608</v>
      </c>
      <c r="BB81">
        <f t="shared" ca="1" si="84"/>
        <v>57.151110074628001</v>
      </c>
      <c r="BC81">
        <f t="shared" ca="1" si="84"/>
        <v>56.740972707798562</v>
      </c>
      <c r="BD81">
        <f t="shared" ca="1" si="84"/>
        <v>54.140210580045427</v>
      </c>
      <c r="BE81">
        <f t="shared" ca="1" si="84"/>
        <v>52.950919571781625</v>
      </c>
      <c r="BF81">
        <f t="shared" ca="1" si="84"/>
        <v>51.623858767808656</v>
      </c>
      <c r="BG81">
        <f t="shared" ca="1" si="84"/>
        <v>51.862892111772496</v>
      </c>
      <c r="BH81">
        <f t="shared" ca="1" si="84"/>
        <v>50.810249475686234</v>
      </c>
      <c r="BI81">
        <f t="shared" ca="1" si="84"/>
        <v>49.301984184661748</v>
      </c>
      <c r="BJ81">
        <f t="shared" ca="1" si="84"/>
        <v>50.602578500239126</v>
      </c>
      <c r="BK81">
        <f t="shared" ca="1" si="84"/>
        <v>49.776052477299622</v>
      </c>
      <c r="BL81">
        <f t="shared" ca="1" si="84"/>
        <v>48.032155183718515</v>
      </c>
      <c r="BM81">
        <f t="shared" ca="1" si="84"/>
        <v>50.146256333504354</v>
      </c>
      <c r="BN81">
        <f t="shared" ca="1" si="84"/>
        <v>50.466225458920519</v>
      </c>
      <c r="BO81">
        <f t="shared" ca="1" si="70"/>
        <v>0</v>
      </c>
    </row>
    <row r="82" spans="6:67">
      <c r="F82">
        <f t="shared" si="68"/>
        <v>60.99</v>
      </c>
      <c r="G82">
        <f t="shared" ref="G82:BN82" ca="1" si="85">F82*EXP(($B$2-0.5*$B$3^2)*$B$4+$B$3*_xlfn.NORM.INV(RAND(),0,SQRT($B$4)))</f>
        <v>61.35144269630414</v>
      </c>
      <c r="H82">
        <f t="shared" ca="1" si="85"/>
        <v>62.156494549103634</v>
      </c>
      <c r="I82">
        <f t="shared" ca="1" si="85"/>
        <v>62.391656166059647</v>
      </c>
      <c r="J82">
        <f t="shared" ca="1" si="85"/>
        <v>61.846934597111279</v>
      </c>
      <c r="K82">
        <f t="shared" ca="1" si="85"/>
        <v>62.071252269350921</v>
      </c>
      <c r="L82">
        <f t="shared" ca="1" si="85"/>
        <v>62.438816374155763</v>
      </c>
      <c r="M82">
        <f t="shared" ca="1" si="85"/>
        <v>63.619145036323275</v>
      </c>
      <c r="N82">
        <f t="shared" ca="1" si="85"/>
        <v>61.86322309942507</v>
      </c>
      <c r="O82">
        <f t="shared" ca="1" si="85"/>
        <v>63.193104109614282</v>
      </c>
      <c r="P82">
        <f t="shared" ca="1" si="85"/>
        <v>64.573059287820399</v>
      </c>
      <c r="Q82">
        <f t="shared" ca="1" si="85"/>
        <v>66.04194367308375</v>
      </c>
      <c r="R82">
        <f t="shared" ca="1" si="85"/>
        <v>64.845811806600395</v>
      </c>
      <c r="S82">
        <f t="shared" ca="1" si="85"/>
        <v>65.505079068231026</v>
      </c>
      <c r="T82">
        <f t="shared" ca="1" si="85"/>
        <v>67.752803924565555</v>
      </c>
      <c r="U82">
        <f t="shared" ca="1" si="85"/>
        <v>67.354797430398264</v>
      </c>
      <c r="V82">
        <f t="shared" ca="1" si="85"/>
        <v>67.932225068054805</v>
      </c>
      <c r="W82">
        <f t="shared" ca="1" si="85"/>
        <v>70.820455773052885</v>
      </c>
      <c r="X82">
        <f t="shared" ca="1" si="85"/>
        <v>70.738066936893659</v>
      </c>
      <c r="Y82">
        <f t="shared" ca="1" si="85"/>
        <v>71.68335667361481</v>
      </c>
      <c r="Z82">
        <f t="shared" ca="1" si="85"/>
        <v>73.29189671379477</v>
      </c>
      <c r="AA82">
        <f t="shared" ca="1" si="85"/>
        <v>73.733761748348641</v>
      </c>
      <c r="AB82">
        <f t="shared" ca="1" si="85"/>
        <v>72.279420855851029</v>
      </c>
      <c r="AC82">
        <f t="shared" ca="1" si="85"/>
        <v>70.677385100618039</v>
      </c>
      <c r="AD82">
        <f t="shared" ca="1" si="85"/>
        <v>71.032397579289125</v>
      </c>
      <c r="AE82">
        <f t="shared" ca="1" si="85"/>
        <v>71.7882526321185</v>
      </c>
      <c r="AF82">
        <f t="shared" ca="1" si="85"/>
        <v>70.441490761161404</v>
      </c>
      <c r="AG82">
        <f t="shared" ca="1" si="85"/>
        <v>68.608022124091633</v>
      </c>
      <c r="AH82">
        <f t="shared" ca="1" si="85"/>
        <v>70.523245222437296</v>
      </c>
      <c r="AI82">
        <f t="shared" ca="1" si="85"/>
        <v>69.526442931336263</v>
      </c>
      <c r="AJ82">
        <f t="shared" ca="1" si="85"/>
        <v>68.871395423535915</v>
      </c>
      <c r="AK82">
        <f t="shared" ca="1" si="85"/>
        <v>69.822313992245867</v>
      </c>
      <c r="AL82">
        <f t="shared" ca="1" si="85"/>
        <v>67.206404178557989</v>
      </c>
      <c r="AM82">
        <f t="shared" ca="1" si="85"/>
        <v>68.609311640080918</v>
      </c>
      <c r="AN82">
        <f t="shared" ca="1" si="85"/>
        <v>68.068114178736934</v>
      </c>
      <c r="AO82">
        <f t="shared" ca="1" si="85"/>
        <v>68.54723676218282</v>
      </c>
      <c r="AP82">
        <f t="shared" ca="1" si="85"/>
        <v>68.646758444196223</v>
      </c>
      <c r="AQ82">
        <f t="shared" ca="1" si="85"/>
        <v>67.259278990217183</v>
      </c>
      <c r="AR82">
        <f t="shared" ca="1" si="85"/>
        <v>65.982623313585762</v>
      </c>
      <c r="AS82">
        <f t="shared" ca="1" si="85"/>
        <v>65.677560172487773</v>
      </c>
      <c r="AT82">
        <f t="shared" ca="1" si="85"/>
        <v>65.115312730470677</v>
      </c>
      <c r="AU82">
        <f t="shared" ca="1" si="85"/>
        <v>65.926650815559242</v>
      </c>
      <c r="AV82">
        <f t="shared" ca="1" si="85"/>
        <v>64.322162415544128</v>
      </c>
      <c r="AW82">
        <f t="shared" ca="1" si="85"/>
        <v>66.004473744406496</v>
      </c>
      <c r="AX82">
        <f t="shared" ca="1" si="85"/>
        <v>66.245930404554869</v>
      </c>
      <c r="AY82">
        <f t="shared" ca="1" si="85"/>
        <v>66.328527113152276</v>
      </c>
      <c r="AZ82">
        <f t="shared" ca="1" si="85"/>
        <v>67.58591742854648</v>
      </c>
      <c r="BA82">
        <f t="shared" ca="1" si="85"/>
        <v>67.545423474071001</v>
      </c>
      <c r="BB82">
        <f t="shared" ca="1" si="85"/>
        <v>67.50452328994281</v>
      </c>
      <c r="BC82">
        <f t="shared" ca="1" si="85"/>
        <v>68.966471319069342</v>
      </c>
      <c r="BD82">
        <f t="shared" ca="1" si="85"/>
        <v>69.655199844577353</v>
      </c>
      <c r="BE82">
        <f t="shared" ca="1" si="85"/>
        <v>69.72099817625984</v>
      </c>
      <c r="BF82">
        <f t="shared" ca="1" si="85"/>
        <v>71.843057397286401</v>
      </c>
      <c r="BG82">
        <f t="shared" ca="1" si="85"/>
        <v>72.645573155440516</v>
      </c>
      <c r="BH82">
        <f t="shared" ca="1" si="85"/>
        <v>70.732384462728405</v>
      </c>
      <c r="BI82">
        <f t="shared" ca="1" si="85"/>
        <v>71.140275715598548</v>
      </c>
      <c r="BJ82">
        <f t="shared" ca="1" si="85"/>
        <v>70.759780424248433</v>
      </c>
      <c r="BK82">
        <f t="shared" ca="1" si="85"/>
        <v>71.092198721298715</v>
      </c>
      <c r="BL82">
        <f t="shared" ca="1" si="85"/>
        <v>72.042540376358502</v>
      </c>
      <c r="BM82">
        <f t="shared" ca="1" si="85"/>
        <v>72.743497275718838</v>
      </c>
      <c r="BN82">
        <f t="shared" ca="1" si="85"/>
        <v>74.150092733546487</v>
      </c>
      <c r="BO82">
        <f t="shared" ca="1" si="70"/>
        <v>16.150092733546487</v>
      </c>
    </row>
    <row r="83" spans="6:67">
      <c r="F83">
        <f t="shared" si="68"/>
        <v>60.99</v>
      </c>
      <c r="G83">
        <f t="shared" ref="G83:BN83" ca="1" si="86">F83*EXP(($B$2-0.5*$B$3^2)*$B$4+$B$3*_xlfn.NORM.INV(RAND(),0,SQRT($B$4)))</f>
        <v>59.807561007204889</v>
      </c>
      <c r="H83">
        <f t="shared" ca="1" si="86"/>
        <v>59.801466958316901</v>
      </c>
      <c r="I83">
        <f t="shared" ca="1" si="86"/>
        <v>60.015930207377686</v>
      </c>
      <c r="J83">
        <f t="shared" ca="1" si="86"/>
        <v>60.238693013100651</v>
      </c>
      <c r="K83">
        <f t="shared" ca="1" si="86"/>
        <v>60.534688993181192</v>
      </c>
      <c r="L83">
        <f t="shared" ca="1" si="86"/>
        <v>60.843297667459012</v>
      </c>
      <c r="M83">
        <f t="shared" ca="1" si="86"/>
        <v>64.066463782656896</v>
      </c>
      <c r="N83">
        <f t="shared" ca="1" si="86"/>
        <v>63.475614400618753</v>
      </c>
      <c r="O83">
        <f t="shared" ca="1" si="86"/>
        <v>63.396801054747392</v>
      </c>
      <c r="P83">
        <f t="shared" ca="1" si="86"/>
        <v>63.271384308705258</v>
      </c>
      <c r="Q83">
        <f t="shared" ca="1" si="86"/>
        <v>62.431787662692173</v>
      </c>
      <c r="R83">
        <f t="shared" ca="1" si="86"/>
        <v>62.659630855408778</v>
      </c>
      <c r="S83">
        <f t="shared" ca="1" si="86"/>
        <v>62.893167153167482</v>
      </c>
      <c r="T83">
        <f t="shared" ca="1" si="86"/>
        <v>63.361652085186982</v>
      </c>
      <c r="U83">
        <f t="shared" ca="1" si="86"/>
        <v>63.410640314241704</v>
      </c>
      <c r="V83">
        <f t="shared" ca="1" si="86"/>
        <v>63.670398110922925</v>
      </c>
      <c r="W83">
        <f t="shared" ca="1" si="86"/>
        <v>64.821148292873303</v>
      </c>
      <c r="X83">
        <f t="shared" ca="1" si="86"/>
        <v>65.618914394062614</v>
      </c>
      <c r="Y83">
        <f t="shared" ca="1" si="86"/>
        <v>66.277043621480686</v>
      </c>
      <c r="Z83">
        <f t="shared" ca="1" si="86"/>
        <v>70.628148398174105</v>
      </c>
      <c r="AA83">
        <f t="shared" ca="1" si="86"/>
        <v>70.38035859238839</v>
      </c>
      <c r="AB83">
        <f t="shared" ca="1" si="86"/>
        <v>72.56696080102985</v>
      </c>
      <c r="AC83">
        <f t="shared" ca="1" si="86"/>
        <v>70.535635660255522</v>
      </c>
      <c r="AD83">
        <f t="shared" ca="1" si="86"/>
        <v>71.521792092489065</v>
      </c>
      <c r="AE83">
        <f t="shared" ca="1" si="86"/>
        <v>71.727972666827753</v>
      </c>
      <c r="AF83">
        <f t="shared" ca="1" si="86"/>
        <v>72.655811640031772</v>
      </c>
      <c r="AG83">
        <f t="shared" ca="1" si="86"/>
        <v>73.408511701565104</v>
      </c>
      <c r="AH83">
        <f t="shared" ca="1" si="86"/>
        <v>74.050261761811711</v>
      </c>
      <c r="AI83">
        <f t="shared" ca="1" si="86"/>
        <v>74.456667482910746</v>
      </c>
      <c r="AJ83">
        <f t="shared" ca="1" si="86"/>
        <v>74.5571751284062</v>
      </c>
      <c r="AK83">
        <f t="shared" ca="1" si="86"/>
        <v>74.333987388474185</v>
      </c>
      <c r="AL83">
        <f t="shared" ca="1" si="86"/>
        <v>73.649574807884093</v>
      </c>
      <c r="AM83">
        <f t="shared" ca="1" si="86"/>
        <v>75.099612207904556</v>
      </c>
      <c r="AN83">
        <f t="shared" ca="1" si="86"/>
        <v>73.576105693531588</v>
      </c>
      <c r="AO83">
        <f t="shared" ca="1" si="86"/>
        <v>72.577130266140514</v>
      </c>
      <c r="AP83">
        <f t="shared" ca="1" si="86"/>
        <v>71.103226582989578</v>
      </c>
      <c r="AQ83">
        <f t="shared" ca="1" si="86"/>
        <v>70.89648057180726</v>
      </c>
      <c r="AR83">
        <f t="shared" ca="1" si="86"/>
        <v>70.970459766333931</v>
      </c>
      <c r="AS83">
        <f t="shared" ca="1" si="86"/>
        <v>72.180768590815532</v>
      </c>
      <c r="AT83">
        <f t="shared" ca="1" si="86"/>
        <v>73.035349290431981</v>
      </c>
      <c r="AU83">
        <f t="shared" ca="1" si="86"/>
        <v>72.647776776497494</v>
      </c>
      <c r="AV83">
        <f t="shared" ca="1" si="86"/>
        <v>70.812199267516149</v>
      </c>
      <c r="AW83">
        <f t="shared" ca="1" si="86"/>
        <v>72.786240116556826</v>
      </c>
      <c r="AX83">
        <f t="shared" ca="1" si="86"/>
        <v>74.106668800030349</v>
      </c>
      <c r="AY83">
        <f t="shared" ca="1" si="86"/>
        <v>74.038578550630163</v>
      </c>
      <c r="AZ83">
        <f t="shared" ca="1" si="86"/>
        <v>73.315830504681458</v>
      </c>
      <c r="BA83">
        <f t="shared" ca="1" si="86"/>
        <v>73.900522340888017</v>
      </c>
      <c r="BB83">
        <f t="shared" ca="1" si="86"/>
        <v>73.293772427976393</v>
      </c>
      <c r="BC83">
        <f t="shared" ca="1" si="86"/>
        <v>73.90252266187828</v>
      </c>
      <c r="BD83">
        <f t="shared" ca="1" si="86"/>
        <v>74.175172322794594</v>
      </c>
      <c r="BE83">
        <f t="shared" ca="1" si="86"/>
        <v>74.500516270787372</v>
      </c>
      <c r="BF83">
        <f t="shared" ca="1" si="86"/>
        <v>74.97691973604725</v>
      </c>
      <c r="BG83">
        <f t="shared" ca="1" si="86"/>
        <v>75.820737665728501</v>
      </c>
      <c r="BH83">
        <f t="shared" ca="1" si="86"/>
        <v>74.577105879952697</v>
      </c>
      <c r="BI83">
        <f t="shared" ca="1" si="86"/>
        <v>73.860500678022859</v>
      </c>
      <c r="BJ83">
        <f t="shared" ca="1" si="86"/>
        <v>71.197618241337082</v>
      </c>
      <c r="BK83">
        <f t="shared" ca="1" si="86"/>
        <v>71.477496479020516</v>
      </c>
      <c r="BL83">
        <f t="shared" ca="1" si="86"/>
        <v>71.143275187061093</v>
      </c>
      <c r="BM83">
        <f t="shared" ca="1" si="86"/>
        <v>71.133735046425073</v>
      </c>
      <c r="BN83">
        <f t="shared" ca="1" si="86"/>
        <v>74.519351154460466</v>
      </c>
      <c r="BO83">
        <f t="shared" ca="1" si="70"/>
        <v>16.519351154460466</v>
      </c>
    </row>
    <row r="84" spans="6:67">
      <c r="F84">
        <f t="shared" si="68"/>
        <v>60.99</v>
      </c>
      <c r="G84">
        <f t="shared" ref="G84:BN84" ca="1" si="87">F84*EXP(($B$2-0.5*$B$3^2)*$B$4+$B$3*_xlfn.NORM.INV(RAND(),0,SQRT($B$4)))</f>
        <v>62.418103212206908</v>
      </c>
      <c r="H84">
        <f t="shared" ca="1" si="87"/>
        <v>59.78425986825691</v>
      </c>
      <c r="I84">
        <f t="shared" ca="1" si="87"/>
        <v>60.085812386081123</v>
      </c>
      <c r="J84">
        <f t="shared" ca="1" si="87"/>
        <v>60.967836500555201</v>
      </c>
      <c r="K84">
        <f t="shared" ca="1" si="87"/>
        <v>62.673394113764815</v>
      </c>
      <c r="L84">
        <f t="shared" ca="1" si="87"/>
        <v>63.252977095422459</v>
      </c>
      <c r="M84">
        <f t="shared" ca="1" si="87"/>
        <v>62.180111459293535</v>
      </c>
      <c r="N84">
        <f t="shared" ca="1" si="87"/>
        <v>60.396563210433428</v>
      </c>
      <c r="O84">
        <f t="shared" ca="1" si="87"/>
        <v>61.155877209469978</v>
      </c>
      <c r="P84">
        <f t="shared" ca="1" si="87"/>
        <v>59.88975873446342</v>
      </c>
      <c r="Q84">
        <f t="shared" ca="1" si="87"/>
        <v>58.709369166574277</v>
      </c>
      <c r="R84">
        <f t="shared" ca="1" si="87"/>
        <v>58.880399856104759</v>
      </c>
      <c r="S84">
        <f t="shared" ca="1" si="87"/>
        <v>60.425661102852025</v>
      </c>
      <c r="T84">
        <f t="shared" ca="1" si="87"/>
        <v>61.676918410527293</v>
      </c>
      <c r="U84">
        <f t="shared" ca="1" si="87"/>
        <v>61.146053268916887</v>
      </c>
      <c r="V84">
        <f t="shared" ca="1" si="87"/>
        <v>61.496807303675403</v>
      </c>
      <c r="W84">
        <f t="shared" ca="1" si="87"/>
        <v>62.188925371486974</v>
      </c>
      <c r="X84">
        <f t="shared" ca="1" si="87"/>
        <v>64.19039920469757</v>
      </c>
      <c r="Y84">
        <f t="shared" ca="1" si="87"/>
        <v>65.847543880163556</v>
      </c>
      <c r="Z84">
        <f t="shared" ca="1" si="87"/>
        <v>67.176004455033762</v>
      </c>
      <c r="AA84">
        <f t="shared" ca="1" si="87"/>
        <v>70.519654284729498</v>
      </c>
      <c r="AB84">
        <f t="shared" ca="1" si="87"/>
        <v>70.032083358735989</v>
      </c>
      <c r="AC84">
        <f t="shared" ca="1" si="87"/>
        <v>69.028519119088926</v>
      </c>
      <c r="AD84">
        <f t="shared" ca="1" si="87"/>
        <v>69.701127694943665</v>
      </c>
      <c r="AE84">
        <f t="shared" ca="1" si="87"/>
        <v>68.101036732827239</v>
      </c>
      <c r="AF84">
        <f t="shared" ca="1" si="87"/>
        <v>69.08050182903952</v>
      </c>
      <c r="AG84">
        <f t="shared" ca="1" si="87"/>
        <v>68.068732839794549</v>
      </c>
      <c r="AH84">
        <f t="shared" ca="1" si="87"/>
        <v>69.737318049016153</v>
      </c>
      <c r="AI84">
        <f t="shared" ca="1" si="87"/>
        <v>70.559645243607093</v>
      </c>
      <c r="AJ84">
        <f t="shared" ca="1" si="87"/>
        <v>70.646773314846271</v>
      </c>
      <c r="AK84">
        <f t="shared" ca="1" si="87"/>
        <v>68.327983318844772</v>
      </c>
      <c r="AL84">
        <f t="shared" ca="1" si="87"/>
        <v>68.386220905810646</v>
      </c>
      <c r="AM84">
        <f t="shared" ca="1" si="87"/>
        <v>68.539217060240077</v>
      </c>
      <c r="AN84">
        <f t="shared" ca="1" si="87"/>
        <v>67.019284850431063</v>
      </c>
      <c r="AO84">
        <f t="shared" ca="1" si="87"/>
        <v>68.481634538037042</v>
      </c>
      <c r="AP84">
        <f t="shared" ca="1" si="87"/>
        <v>68.131790860897027</v>
      </c>
      <c r="AQ84">
        <f t="shared" ca="1" si="87"/>
        <v>69.907684707340792</v>
      </c>
      <c r="AR84">
        <f t="shared" ca="1" si="87"/>
        <v>68.346901970571594</v>
      </c>
      <c r="AS84">
        <f t="shared" ca="1" si="87"/>
        <v>67.935520158792301</v>
      </c>
      <c r="AT84">
        <f t="shared" ca="1" si="87"/>
        <v>67.127741148683299</v>
      </c>
      <c r="AU84">
        <f t="shared" ca="1" si="87"/>
        <v>68.78853891419709</v>
      </c>
      <c r="AV84">
        <f t="shared" ca="1" si="87"/>
        <v>73.355802867425979</v>
      </c>
      <c r="AW84">
        <f t="shared" ca="1" si="87"/>
        <v>70.694267655245753</v>
      </c>
      <c r="AX84">
        <f t="shared" ca="1" si="87"/>
        <v>70.584878301540172</v>
      </c>
      <c r="AY84">
        <f t="shared" ca="1" si="87"/>
        <v>67.959779560949457</v>
      </c>
      <c r="AZ84">
        <f t="shared" ca="1" si="87"/>
        <v>67.40989100314809</v>
      </c>
      <c r="BA84">
        <f t="shared" ca="1" si="87"/>
        <v>68.080083544592554</v>
      </c>
      <c r="BB84">
        <f t="shared" ca="1" si="87"/>
        <v>66.778578753073859</v>
      </c>
      <c r="BC84">
        <f t="shared" ca="1" si="87"/>
        <v>65.948408918733989</v>
      </c>
      <c r="BD84">
        <f t="shared" ca="1" si="87"/>
        <v>67.207399279861747</v>
      </c>
      <c r="BE84">
        <f t="shared" ca="1" si="87"/>
        <v>66.647088955004349</v>
      </c>
      <c r="BF84">
        <f t="shared" ca="1" si="87"/>
        <v>66.564452639501539</v>
      </c>
      <c r="BG84">
        <f t="shared" ca="1" si="87"/>
        <v>68.022686103235984</v>
      </c>
      <c r="BH84">
        <f t="shared" ca="1" si="87"/>
        <v>68.844700334013567</v>
      </c>
      <c r="BI84">
        <f t="shared" ca="1" si="87"/>
        <v>68.815796071406623</v>
      </c>
      <c r="BJ84">
        <f t="shared" ca="1" si="87"/>
        <v>70.587914912679651</v>
      </c>
      <c r="BK84">
        <f t="shared" ca="1" si="87"/>
        <v>69.202239220731116</v>
      </c>
      <c r="BL84">
        <f t="shared" ca="1" si="87"/>
        <v>69.06728908270901</v>
      </c>
      <c r="BM84">
        <f t="shared" ca="1" si="87"/>
        <v>69.401416093043963</v>
      </c>
      <c r="BN84">
        <f t="shared" ca="1" si="87"/>
        <v>70.248018623744656</v>
      </c>
      <c r="BO84">
        <f t="shared" ca="1" si="70"/>
        <v>12.248018623744656</v>
      </c>
    </row>
    <row r="85" spans="6:67">
      <c r="F85">
        <f t="shared" si="68"/>
        <v>60.99</v>
      </c>
      <c r="G85">
        <f t="shared" ref="G85:BN85" ca="1" si="88">F85*EXP(($B$2-0.5*$B$3^2)*$B$4+$B$3*_xlfn.NORM.INV(RAND(),0,SQRT($B$4)))</f>
        <v>60.779369720675284</v>
      </c>
      <c r="H85">
        <f t="shared" ca="1" si="88"/>
        <v>59.955049239000964</v>
      </c>
      <c r="I85">
        <f t="shared" ca="1" si="88"/>
        <v>60.621175429181406</v>
      </c>
      <c r="J85">
        <f t="shared" ca="1" si="88"/>
        <v>62.300521169895276</v>
      </c>
      <c r="K85">
        <f t="shared" ca="1" si="88"/>
        <v>62.621294444826958</v>
      </c>
      <c r="L85">
        <f t="shared" ca="1" si="88"/>
        <v>63.452171806197676</v>
      </c>
      <c r="M85">
        <f t="shared" ca="1" si="88"/>
        <v>62.904503714267321</v>
      </c>
      <c r="N85">
        <f t="shared" ca="1" si="88"/>
        <v>62.205007374409568</v>
      </c>
      <c r="O85">
        <f t="shared" ca="1" si="88"/>
        <v>63.238150236748396</v>
      </c>
      <c r="P85">
        <f t="shared" ca="1" si="88"/>
        <v>61.29722897390095</v>
      </c>
      <c r="Q85">
        <f t="shared" ca="1" si="88"/>
        <v>61.825514809502131</v>
      </c>
      <c r="R85">
        <f t="shared" ca="1" si="88"/>
        <v>61.619406512328304</v>
      </c>
      <c r="S85">
        <f t="shared" ca="1" si="88"/>
        <v>59.903181668947511</v>
      </c>
      <c r="T85">
        <f t="shared" ca="1" si="88"/>
        <v>60.118444132721308</v>
      </c>
      <c r="U85">
        <f t="shared" ca="1" si="88"/>
        <v>58.884680657202551</v>
      </c>
      <c r="V85">
        <f t="shared" ca="1" si="88"/>
        <v>58.56219316749872</v>
      </c>
      <c r="W85">
        <f t="shared" ca="1" si="88"/>
        <v>57.830382540391973</v>
      </c>
      <c r="X85">
        <f t="shared" ca="1" si="88"/>
        <v>59.20964541130401</v>
      </c>
      <c r="Y85">
        <f t="shared" ca="1" si="88"/>
        <v>59.419863673242709</v>
      </c>
      <c r="Z85">
        <f t="shared" ca="1" si="88"/>
        <v>56.897511287174055</v>
      </c>
      <c r="AA85">
        <f t="shared" ca="1" si="88"/>
        <v>55.840341502607863</v>
      </c>
      <c r="AB85">
        <f t="shared" ca="1" si="88"/>
        <v>55.731520501779812</v>
      </c>
      <c r="AC85">
        <f t="shared" ca="1" si="88"/>
        <v>55.803789267109394</v>
      </c>
      <c r="AD85">
        <f t="shared" ca="1" si="88"/>
        <v>56.628139594299739</v>
      </c>
      <c r="AE85">
        <f t="shared" ca="1" si="88"/>
        <v>58.210445288367218</v>
      </c>
      <c r="AF85">
        <f t="shared" ca="1" si="88"/>
        <v>57.00030757401499</v>
      </c>
      <c r="AG85">
        <f t="shared" ca="1" si="88"/>
        <v>56.743693460924248</v>
      </c>
      <c r="AH85">
        <f t="shared" ca="1" si="88"/>
        <v>56.703367136404395</v>
      </c>
      <c r="AI85">
        <f t="shared" ca="1" si="88"/>
        <v>57.475207408326384</v>
      </c>
      <c r="AJ85">
        <f t="shared" ca="1" si="88"/>
        <v>58.672950793413868</v>
      </c>
      <c r="AK85">
        <f t="shared" ca="1" si="88"/>
        <v>59.030976007877442</v>
      </c>
      <c r="AL85">
        <f t="shared" ca="1" si="88"/>
        <v>57.939954562958377</v>
      </c>
      <c r="AM85">
        <f t="shared" ca="1" si="88"/>
        <v>58.116474788079806</v>
      </c>
      <c r="AN85">
        <f t="shared" ca="1" si="88"/>
        <v>57.839162187668656</v>
      </c>
      <c r="AO85">
        <f t="shared" ca="1" si="88"/>
        <v>57.721146857015675</v>
      </c>
      <c r="AP85">
        <f t="shared" ca="1" si="88"/>
        <v>57.124009400016845</v>
      </c>
      <c r="AQ85">
        <f t="shared" ca="1" si="88"/>
        <v>57.104366408543996</v>
      </c>
      <c r="AR85">
        <f t="shared" ca="1" si="88"/>
        <v>55.916765219057119</v>
      </c>
      <c r="AS85">
        <f t="shared" ca="1" si="88"/>
        <v>56.007248177487561</v>
      </c>
      <c r="AT85">
        <f t="shared" ca="1" si="88"/>
        <v>56.536401101727371</v>
      </c>
      <c r="AU85">
        <f t="shared" ca="1" si="88"/>
        <v>56.447849135369879</v>
      </c>
      <c r="AV85">
        <f t="shared" ca="1" si="88"/>
        <v>56.14850596198086</v>
      </c>
      <c r="AW85">
        <f t="shared" ca="1" si="88"/>
        <v>55.401983038587993</v>
      </c>
      <c r="AX85">
        <f t="shared" ca="1" si="88"/>
        <v>54.736686072176646</v>
      </c>
      <c r="AY85">
        <f t="shared" ca="1" si="88"/>
        <v>56.594164013491046</v>
      </c>
      <c r="AZ85">
        <f t="shared" ca="1" si="88"/>
        <v>55.514176696575497</v>
      </c>
      <c r="BA85">
        <f t="shared" ca="1" si="88"/>
        <v>54.473525719105183</v>
      </c>
      <c r="BB85">
        <f t="shared" ca="1" si="88"/>
        <v>54.779274683961447</v>
      </c>
      <c r="BC85">
        <f t="shared" ca="1" si="88"/>
        <v>52.548163152753474</v>
      </c>
      <c r="BD85">
        <f t="shared" ca="1" si="88"/>
        <v>52.718607221365822</v>
      </c>
      <c r="BE85">
        <f t="shared" ca="1" si="88"/>
        <v>50.764731560422462</v>
      </c>
      <c r="BF85">
        <f t="shared" ca="1" si="88"/>
        <v>50.411929167592127</v>
      </c>
      <c r="BG85">
        <f t="shared" ca="1" si="88"/>
        <v>50.685076129073323</v>
      </c>
      <c r="BH85">
        <f t="shared" ca="1" si="88"/>
        <v>51.207936947610698</v>
      </c>
      <c r="BI85">
        <f t="shared" ca="1" si="88"/>
        <v>52.48918578873252</v>
      </c>
      <c r="BJ85">
        <f t="shared" ca="1" si="88"/>
        <v>52.575022753914865</v>
      </c>
      <c r="BK85">
        <f t="shared" ca="1" si="88"/>
        <v>52.340657604823932</v>
      </c>
      <c r="BL85">
        <f t="shared" ca="1" si="88"/>
        <v>53.750679320412956</v>
      </c>
      <c r="BM85">
        <f t="shared" ca="1" si="88"/>
        <v>54.036933982111762</v>
      </c>
      <c r="BN85">
        <f t="shared" ca="1" si="88"/>
        <v>54.738737336110809</v>
      </c>
      <c r="BO85">
        <f t="shared" ca="1" si="70"/>
        <v>0</v>
      </c>
    </row>
    <row r="86" spans="6:67">
      <c r="F86">
        <f t="shared" si="68"/>
        <v>60.99</v>
      </c>
      <c r="G86">
        <f t="shared" ref="G86:BN86" ca="1" si="89">F86*EXP(($B$2-0.5*$B$3^2)*$B$4+$B$3*_xlfn.NORM.INV(RAND(),0,SQRT($B$4)))</f>
        <v>60.694470357380659</v>
      </c>
      <c r="H86">
        <f t="shared" ca="1" si="89"/>
        <v>59.778501981963991</v>
      </c>
      <c r="I86">
        <f t="shared" ca="1" si="89"/>
        <v>61.617182668767363</v>
      </c>
      <c r="J86">
        <f t="shared" ca="1" si="89"/>
        <v>60.023045115049094</v>
      </c>
      <c r="K86">
        <f t="shared" ca="1" si="89"/>
        <v>60.397427828465034</v>
      </c>
      <c r="L86">
        <f t="shared" ca="1" si="89"/>
        <v>60.523645086307823</v>
      </c>
      <c r="M86">
        <f t="shared" ca="1" si="89"/>
        <v>63.570069726870962</v>
      </c>
      <c r="N86">
        <f t="shared" ca="1" si="89"/>
        <v>63.675909733337576</v>
      </c>
      <c r="O86">
        <f t="shared" ca="1" si="89"/>
        <v>64.07531034333789</v>
      </c>
      <c r="P86">
        <f t="shared" ca="1" si="89"/>
        <v>63.798829289664894</v>
      </c>
      <c r="Q86">
        <f t="shared" ca="1" si="89"/>
        <v>63.80171359846743</v>
      </c>
      <c r="R86">
        <f t="shared" ca="1" si="89"/>
        <v>65.887665895657861</v>
      </c>
      <c r="S86">
        <f t="shared" ca="1" si="89"/>
        <v>66.796560436718963</v>
      </c>
      <c r="T86">
        <f t="shared" ca="1" si="89"/>
        <v>69.080218561114322</v>
      </c>
      <c r="U86">
        <f t="shared" ca="1" si="89"/>
        <v>68.653551562345072</v>
      </c>
      <c r="V86">
        <f t="shared" ca="1" si="89"/>
        <v>70.626798466138681</v>
      </c>
      <c r="W86">
        <f t="shared" ca="1" si="89"/>
        <v>71.378650877927967</v>
      </c>
      <c r="X86">
        <f t="shared" ca="1" si="89"/>
        <v>71.060460281705986</v>
      </c>
      <c r="Y86">
        <f t="shared" ca="1" si="89"/>
        <v>72.602448911986144</v>
      </c>
      <c r="Z86">
        <f t="shared" ca="1" si="89"/>
        <v>73.657911236012936</v>
      </c>
      <c r="AA86">
        <f t="shared" ca="1" si="89"/>
        <v>73.751718831682808</v>
      </c>
      <c r="AB86">
        <f t="shared" ca="1" si="89"/>
        <v>72.746234906493072</v>
      </c>
      <c r="AC86">
        <f t="shared" ca="1" si="89"/>
        <v>71.714896655224862</v>
      </c>
      <c r="AD86">
        <f t="shared" ca="1" si="89"/>
        <v>71.791654821498653</v>
      </c>
      <c r="AE86">
        <f t="shared" ca="1" si="89"/>
        <v>71.039507415977113</v>
      </c>
      <c r="AF86">
        <f t="shared" ca="1" si="89"/>
        <v>70.689108693953827</v>
      </c>
      <c r="AG86">
        <f t="shared" ca="1" si="89"/>
        <v>71.210075125943973</v>
      </c>
      <c r="AH86">
        <f t="shared" ca="1" si="89"/>
        <v>72.41957423677033</v>
      </c>
      <c r="AI86">
        <f t="shared" ca="1" si="89"/>
        <v>70.714957659311054</v>
      </c>
      <c r="AJ86">
        <f t="shared" ca="1" si="89"/>
        <v>70.561789654802752</v>
      </c>
      <c r="AK86">
        <f t="shared" ca="1" si="89"/>
        <v>68.058204159834034</v>
      </c>
      <c r="AL86">
        <f t="shared" ca="1" si="89"/>
        <v>70.209368952245441</v>
      </c>
      <c r="AM86">
        <f t="shared" ca="1" si="89"/>
        <v>73.594549025846717</v>
      </c>
      <c r="AN86">
        <f t="shared" ca="1" si="89"/>
        <v>72.669563259310067</v>
      </c>
      <c r="AO86">
        <f t="shared" ca="1" si="89"/>
        <v>71.463252439818831</v>
      </c>
      <c r="AP86">
        <f t="shared" ca="1" si="89"/>
        <v>72.140787511592151</v>
      </c>
      <c r="AQ86">
        <f t="shared" ca="1" si="89"/>
        <v>74.976346589607743</v>
      </c>
      <c r="AR86">
        <f t="shared" ca="1" si="89"/>
        <v>75.122607688567129</v>
      </c>
      <c r="AS86">
        <f t="shared" ca="1" si="89"/>
        <v>73.895293052641463</v>
      </c>
      <c r="AT86">
        <f t="shared" ca="1" si="89"/>
        <v>71.750223224267117</v>
      </c>
      <c r="AU86">
        <f t="shared" ca="1" si="89"/>
        <v>72.549438596067105</v>
      </c>
      <c r="AV86">
        <f t="shared" ca="1" si="89"/>
        <v>73.122950198837813</v>
      </c>
      <c r="AW86">
        <f t="shared" ca="1" si="89"/>
        <v>72.288551948417549</v>
      </c>
      <c r="AX86">
        <f t="shared" ca="1" si="89"/>
        <v>73.578644498072663</v>
      </c>
      <c r="AY86">
        <f t="shared" ca="1" si="89"/>
        <v>73.956589892633048</v>
      </c>
      <c r="AZ86">
        <f t="shared" ca="1" si="89"/>
        <v>73.149007353092244</v>
      </c>
      <c r="BA86">
        <f t="shared" ca="1" si="89"/>
        <v>72.123784093856955</v>
      </c>
      <c r="BB86">
        <f t="shared" ca="1" si="89"/>
        <v>71.547043860324436</v>
      </c>
      <c r="BC86">
        <f t="shared" ca="1" si="89"/>
        <v>72.829033049033711</v>
      </c>
      <c r="BD86">
        <f t="shared" ca="1" si="89"/>
        <v>72.106290683090435</v>
      </c>
      <c r="BE86">
        <f t="shared" ca="1" si="89"/>
        <v>71.517552516857904</v>
      </c>
      <c r="BF86">
        <f t="shared" ca="1" si="89"/>
        <v>72.413327312071843</v>
      </c>
      <c r="BG86">
        <f t="shared" ca="1" si="89"/>
        <v>72.384852986531342</v>
      </c>
      <c r="BH86">
        <f t="shared" ca="1" si="89"/>
        <v>74.541745524660087</v>
      </c>
      <c r="BI86">
        <f t="shared" ca="1" si="89"/>
        <v>73.619280285701237</v>
      </c>
      <c r="BJ86">
        <f t="shared" ca="1" si="89"/>
        <v>72.860328536864685</v>
      </c>
      <c r="BK86">
        <f t="shared" ca="1" si="89"/>
        <v>72.133956809832924</v>
      </c>
      <c r="BL86">
        <f t="shared" ca="1" si="89"/>
        <v>71.088235846244871</v>
      </c>
      <c r="BM86">
        <f t="shared" ca="1" si="89"/>
        <v>69.640261900105017</v>
      </c>
      <c r="BN86">
        <f t="shared" ca="1" si="89"/>
        <v>70.633255700714699</v>
      </c>
      <c r="BO86">
        <f t="shared" ca="1" si="70"/>
        <v>12.633255700714699</v>
      </c>
    </row>
    <row r="87" spans="6:67">
      <c r="F87">
        <f t="shared" si="68"/>
        <v>60.99</v>
      </c>
      <c r="G87">
        <f t="shared" ref="G87:BN87" ca="1" si="90">F87*EXP(($B$2-0.5*$B$3^2)*$B$4+$B$3*_xlfn.NORM.INV(RAND(),0,SQRT($B$4)))</f>
        <v>61.553246234877989</v>
      </c>
      <c r="H87">
        <f t="shared" ca="1" si="90"/>
        <v>60.83281377303215</v>
      </c>
      <c r="I87">
        <f t="shared" ca="1" si="90"/>
        <v>59.138116032053375</v>
      </c>
      <c r="J87">
        <f t="shared" ca="1" si="90"/>
        <v>58.561814442671022</v>
      </c>
      <c r="K87">
        <f t="shared" ca="1" si="90"/>
        <v>60.519524320864392</v>
      </c>
      <c r="L87">
        <f t="shared" ca="1" si="90"/>
        <v>62.552247464837841</v>
      </c>
      <c r="M87">
        <f t="shared" ca="1" si="90"/>
        <v>62.2365237410486</v>
      </c>
      <c r="N87">
        <f t="shared" ca="1" si="90"/>
        <v>62.18677480561319</v>
      </c>
      <c r="O87">
        <f t="shared" ca="1" si="90"/>
        <v>62.729148222361701</v>
      </c>
      <c r="P87">
        <f t="shared" ca="1" si="90"/>
        <v>61.793233135532539</v>
      </c>
      <c r="Q87">
        <f t="shared" ca="1" si="90"/>
        <v>61.714408839856205</v>
      </c>
      <c r="R87">
        <f t="shared" ca="1" si="90"/>
        <v>61.979384222205859</v>
      </c>
      <c r="S87">
        <f t="shared" ca="1" si="90"/>
        <v>60.96731236293045</v>
      </c>
      <c r="T87">
        <f t="shared" ca="1" si="90"/>
        <v>61.299171079905612</v>
      </c>
      <c r="U87">
        <f t="shared" ca="1" si="90"/>
        <v>60.004696341873903</v>
      </c>
      <c r="V87">
        <f t="shared" ca="1" si="90"/>
        <v>62.021160374035318</v>
      </c>
      <c r="W87">
        <f t="shared" ca="1" si="90"/>
        <v>60.374166300518318</v>
      </c>
      <c r="X87">
        <f t="shared" ca="1" si="90"/>
        <v>60.400436528672103</v>
      </c>
      <c r="Y87">
        <f t="shared" ca="1" si="90"/>
        <v>60.336122183484711</v>
      </c>
      <c r="Z87">
        <f t="shared" ca="1" si="90"/>
        <v>59.371101411104128</v>
      </c>
      <c r="AA87">
        <f t="shared" ca="1" si="90"/>
        <v>58.410415145599607</v>
      </c>
      <c r="AB87">
        <f t="shared" ca="1" si="90"/>
        <v>60.352311455937901</v>
      </c>
      <c r="AC87">
        <f t="shared" ca="1" si="90"/>
        <v>60.230506441742165</v>
      </c>
      <c r="AD87">
        <f t="shared" ca="1" si="90"/>
        <v>61.203776915094195</v>
      </c>
      <c r="AE87">
        <f t="shared" ca="1" si="90"/>
        <v>61.497321417055474</v>
      </c>
      <c r="AF87">
        <f t="shared" ca="1" si="90"/>
        <v>62.091334846529861</v>
      </c>
      <c r="AG87">
        <f t="shared" ca="1" si="90"/>
        <v>61.600540900000226</v>
      </c>
      <c r="AH87">
        <f t="shared" ca="1" si="90"/>
        <v>63.127905623926409</v>
      </c>
      <c r="AI87">
        <f t="shared" ca="1" si="90"/>
        <v>64.636135578030121</v>
      </c>
      <c r="AJ87">
        <f t="shared" ca="1" si="90"/>
        <v>63.434598855097562</v>
      </c>
      <c r="AK87">
        <f t="shared" ca="1" si="90"/>
        <v>64.70758134916484</v>
      </c>
      <c r="AL87">
        <f t="shared" ca="1" si="90"/>
        <v>64.712694227750106</v>
      </c>
      <c r="AM87">
        <f t="shared" ca="1" si="90"/>
        <v>64.54360327363176</v>
      </c>
      <c r="AN87">
        <f t="shared" ca="1" si="90"/>
        <v>64.561751089202843</v>
      </c>
      <c r="AO87">
        <f t="shared" ca="1" si="90"/>
        <v>64.968400036004525</v>
      </c>
      <c r="AP87">
        <f t="shared" ca="1" si="90"/>
        <v>67.27822188986714</v>
      </c>
      <c r="AQ87">
        <f t="shared" ca="1" si="90"/>
        <v>66.711349582023601</v>
      </c>
      <c r="AR87">
        <f t="shared" ca="1" si="90"/>
        <v>69.076413243335466</v>
      </c>
      <c r="AS87">
        <f t="shared" ca="1" si="90"/>
        <v>69.460346409410334</v>
      </c>
      <c r="AT87">
        <f t="shared" ca="1" si="90"/>
        <v>69.922018171973519</v>
      </c>
      <c r="AU87">
        <f t="shared" ca="1" si="90"/>
        <v>69.385766153746857</v>
      </c>
      <c r="AV87">
        <f t="shared" ca="1" si="90"/>
        <v>68.030959122194787</v>
      </c>
      <c r="AW87">
        <f t="shared" ca="1" si="90"/>
        <v>66.655221778939108</v>
      </c>
      <c r="AX87">
        <f t="shared" ca="1" si="90"/>
        <v>66.596782639216059</v>
      </c>
      <c r="AY87">
        <f t="shared" ca="1" si="90"/>
        <v>68.261535103429992</v>
      </c>
      <c r="AZ87">
        <f t="shared" ca="1" si="90"/>
        <v>66.71608142196979</v>
      </c>
      <c r="BA87">
        <f t="shared" ca="1" si="90"/>
        <v>66.118440467668989</v>
      </c>
      <c r="BB87">
        <f t="shared" ca="1" si="90"/>
        <v>66.493171239718336</v>
      </c>
      <c r="BC87">
        <f t="shared" ca="1" si="90"/>
        <v>66.457760531305425</v>
      </c>
      <c r="BD87">
        <f t="shared" ca="1" si="90"/>
        <v>66.491423925568213</v>
      </c>
      <c r="BE87">
        <f t="shared" ca="1" si="90"/>
        <v>64.499484363693554</v>
      </c>
      <c r="BF87">
        <f t="shared" ca="1" si="90"/>
        <v>65.443537456784924</v>
      </c>
      <c r="BG87">
        <f t="shared" ca="1" si="90"/>
        <v>65.974571620874386</v>
      </c>
      <c r="BH87">
        <f t="shared" ca="1" si="90"/>
        <v>65.957142866685544</v>
      </c>
      <c r="BI87">
        <f t="shared" ca="1" si="90"/>
        <v>65.083998189671718</v>
      </c>
      <c r="BJ87">
        <f t="shared" ca="1" si="90"/>
        <v>64.577073504128904</v>
      </c>
      <c r="BK87">
        <f t="shared" ca="1" si="90"/>
        <v>64.675276767601034</v>
      </c>
      <c r="BL87">
        <f t="shared" ca="1" si="90"/>
        <v>65.077776326221098</v>
      </c>
      <c r="BM87">
        <f t="shared" ca="1" si="90"/>
        <v>64.966485957462524</v>
      </c>
      <c r="BN87">
        <f t="shared" ca="1" si="90"/>
        <v>63.63872323965937</v>
      </c>
      <c r="BO87">
        <f t="shared" ca="1" si="70"/>
        <v>5.6387232396593703</v>
      </c>
    </row>
    <row r="88" spans="6:67">
      <c r="F88">
        <f t="shared" si="68"/>
        <v>60.99</v>
      </c>
      <c r="G88">
        <f t="shared" ref="G88:BN88" ca="1" si="91">F88*EXP(($B$2-0.5*$B$3^2)*$B$4+$B$3*_xlfn.NORM.INV(RAND(),0,SQRT($B$4)))</f>
        <v>59.70421412625285</v>
      </c>
      <c r="H88">
        <f t="shared" ca="1" si="91"/>
        <v>59.400363385667568</v>
      </c>
      <c r="I88">
        <f t="shared" ca="1" si="91"/>
        <v>61.836091933311479</v>
      </c>
      <c r="J88">
        <f t="shared" ca="1" si="91"/>
        <v>62.993037004404925</v>
      </c>
      <c r="K88">
        <f t="shared" ca="1" si="91"/>
        <v>62.648299060080419</v>
      </c>
      <c r="L88">
        <f t="shared" ca="1" si="91"/>
        <v>62.451927411333749</v>
      </c>
      <c r="M88">
        <f t="shared" ca="1" si="91"/>
        <v>62.260296493244773</v>
      </c>
      <c r="N88">
        <f t="shared" ca="1" si="91"/>
        <v>61.989440568443392</v>
      </c>
      <c r="O88">
        <f t="shared" ca="1" si="91"/>
        <v>60.571618960854401</v>
      </c>
      <c r="P88">
        <f t="shared" ca="1" si="91"/>
        <v>59.922722537026267</v>
      </c>
      <c r="Q88">
        <f t="shared" ca="1" si="91"/>
        <v>60.981718889172583</v>
      </c>
      <c r="R88">
        <f t="shared" ca="1" si="91"/>
        <v>61.075418800527217</v>
      </c>
      <c r="S88">
        <f t="shared" ca="1" si="91"/>
        <v>61.470549967977611</v>
      </c>
      <c r="T88">
        <f t="shared" ca="1" si="91"/>
        <v>64.163626229879512</v>
      </c>
      <c r="U88">
        <f t="shared" ca="1" si="91"/>
        <v>64.081565353221762</v>
      </c>
      <c r="V88">
        <f t="shared" ca="1" si="91"/>
        <v>62.685866067582992</v>
      </c>
      <c r="W88">
        <f t="shared" ca="1" si="91"/>
        <v>62.75108210972553</v>
      </c>
      <c r="X88">
        <f t="shared" ca="1" si="91"/>
        <v>62.816862321389593</v>
      </c>
      <c r="Y88">
        <f t="shared" ca="1" si="91"/>
        <v>61.896470365339773</v>
      </c>
      <c r="Z88">
        <f t="shared" ca="1" si="91"/>
        <v>61.60349470159148</v>
      </c>
      <c r="AA88">
        <f t="shared" ca="1" si="91"/>
        <v>61.996356217344456</v>
      </c>
      <c r="AB88">
        <f t="shared" ca="1" si="91"/>
        <v>61.763552286217106</v>
      </c>
      <c r="AC88">
        <f t="shared" ca="1" si="91"/>
        <v>61.70801622811004</v>
      </c>
      <c r="AD88">
        <f t="shared" ca="1" si="91"/>
        <v>63.92348280645701</v>
      </c>
      <c r="AE88">
        <f t="shared" ca="1" si="91"/>
        <v>64.115672584745511</v>
      </c>
      <c r="AF88">
        <f t="shared" ca="1" si="91"/>
        <v>63.727165134324935</v>
      </c>
      <c r="AG88">
        <f t="shared" ca="1" si="91"/>
        <v>64.053413604308858</v>
      </c>
      <c r="AH88">
        <f t="shared" ca="1" si="91"/>
        <v>63.769108433815241</v>
      </c>
      <c r="AI88">
        <f t="shared" ca="1" si="91"/>
        <v>62.504513253300402</v>
      </c>
      <c r="AJ88">
        <f t="shared" ca="1" si="91"/>
        <v>61.530595794096413</v>
      </c>
      <c r="AK88">
        <f t="shared" ca="1" si="91"/>
        <v>62.116157243072998</v>
      </c>
      <c r="AL88">
        <f t="shared" ca="1" si="91"/>
        <v>64.084982685035129</v>
      </c>
      <c r="AM88">
        <f t="shared" ca="1" si="91"/>
        <v>63.829919173597261</v>
      </c>
      <c r="AN88">
        <f t="shared" ca="1" si="91"/>
        <v>64.000209262535918</v>
      </c>
      <c r="AO88">
        <f t="shared" ca="1" si="91"/>
        <v>61.293568157078298</v>
      </c>
      <c r="AP88">
        <f t="shared" ca="1" si="91"/>
        <v>61.342063855236866</v>
      </c>
      <c r="AQ88">
        <f t="shared" ca="1" si="91"/>
        <v>61.633431366024773</v>
      </c>
      <c r="AR88">
        <f t="shared" ca="1" si="91"/>
        <v>61.566777570638088</v>
      </c>
      <c r="AS88">
        <f t="shared" ca="1" si="91"/>
        <v>62.527882370283002</v>
      </c>
      <c r="AT88">
        <f t="shared" ca="1" si="91"/>
        <v>61.071657283077499</v>
      </c>
      <c r="AU88">
        <f t="shared" ca="1" si="91"/>
        <v>60.410843262491568</v>
      </c>
      <c r="AV88">
        <f t="shared" ca="1" si="91"/>
        <v>59.845265822480769</v>
      </c>
      <c r="AW88">
        <f t="shared" ca="1" si="91"/>
        <v>60.33520286482652</v>
      </c>
      <c r="AX88">
        <f t="shared" ca="1" si="91"/>
        <v>60.100577986140223</v>
      </c>
      <c r="AY88">
        <f t="shared" ca="1" si="91"/>
        <v>62.303772526478468</v>
      </c>
      <c r="AZ88">
        <f t="shared" ca="1" si="91"/>
        <v>64.746110929628216</v>
      </c>
      <c r="BA88">
        <f t="shared" ca="1" si="91"/>
        <v>64.166003563806413</v>
      </c>
      <c r="BB88">
        <f t="shared" ca="1" si="91"/>
        <v>64.343789673681371</v>
      </c>
      <c r="BC88">
        <f t="shared" ca="1" si="91"/>
        <v>66.046676090441139</v>
      </c>
      <c r="BD88">
        <f t="shared" ca="1" si="91"/>
        <v>66.519433940416931</v>
      </c>
      <c r="BE88">
        <f t="shared" ca="1" si="91"/>
        <v>67.097506484237414</v>
      </c>
      <c r="BF88">
        <f t="shared" ca="1" si="91"/>
        <v>68.545956326738661</v>
      </c>
      <c r="BG88">
        <f t="shared" ca="1" si="91"/>
        <v>69.24283142438486</v>
      </c>
      <c r="BH88">
        <f t="shared" ca="1" si="91"/>
        <v>66.535071482641456</v>
      </c>
      <c r="BI88">
        <f t="shared" ca="1" si="91"/>
        <v>66.757201238764324</v>
      </c>
      <c r="BJ88">
        <f t="shared" ca="1" si="91"/>
        <v>67.772193743467199</v>
      </c>
      <c r="BK88">
        <f t="shared" ca="1" si="91"/>
        <v>69.417547675830235</v>
      </c>
      <c r="BL88">
        <f t="shared" ca="1" si="91"/>
        <v>69.697913219766193</v>
      </c>
      <c r="BM88">
        <f t="shared" ca="1" si="91"/>
        <v>69.941880025263515</v>
      </c>
      <c r="BN88">
        <f t="shared" ca="1" si="91"/>
        <v>71.278794877540889</v>
      </c>
      <c r="BO88">
        <f t="shared" ca="1" si="70"/>
        <v>13.278794877540889</v>
      </c>
    </row>
    <row r="89" spans="6:67">
      <c r="F89">
        <f t="shared" si="68"/>
        <v>60.99</v>
      </c>
      <c r="G89">
        <f t="shared" ref="G89:BN89" ca="1" si="92">F89*EXP(($B$2-0.5*$B$3^2)*$B$4+$B$3*_xlfn.NORM.INV(RAND(),0,SQRT($B$4)))</f>
        <v>59.099540116651056</v>
      </c>
      <c r="H89">
        <f t="shared" ca="1" si="92"/>
        <v>59.16691383095506</v>
      </c>
      <c r="I89">
        <f t="shared" ca="1" si="92"/>
        <v>59.61326114132828</v>
      </c>
      <c r="J89">
        <f t="shared" ca="1" si="92"/>
        <v>59.366760380475505</v>
      </c>
      <c r="K89">
        <f t="shared" ca="1" si="92"/>
        <v>61.353393606355631</v>
      </c>
      <c r="L89">
        <f t="shared" ca="1" si="92"/>
        <v>62.487968345709874</v>
      </c>
      <c r="M89">
        <f t="shared" ca="1" si="92"/>
        <v>62.723869158064474</v>
      </c>
      <c r="N89">
        <f t="shared" ca="1" si="92"/>
        <v>61.486383298032784</v>
      </c>
      <c r="O89">
        <f t="shared" ca="1" si="92"/>
        <v>62.088303200391849</v>
      </c>
      <c r="P89">
        <f t="shared" ca="1" si="92"/>
        <v>62.993917655400899</v>
      </c>
      <c r="Q89">
        <f t="shared" ca="1" si="92"/>
        <v>64.285302468112334</v>
      </c>
      <c r="R89">
        <f t="shared" ca="1" si="92"/>
        <v>64.97940081632251</v>
      </c>
      <c r="S89">
        <f t="shared" ca="1" si="92"/>
        <v>64.093817006371964</v>
      </c>
      <c r="T89">
        <f t="shared" ca="1" si="92"/>
        <v>63.607700559213676</v>
      </c>
      <c r="U89">
        <f t="shared" ca="1" si="92"/>
        <v>62.370888634827331</v>
      </c>
      <c r="V89">
        <f t="shared" ca="1" si="92"/>
        <v>63.933018403508385</v>
      </c>
      <c r="W89">
        <f t="shared" ca="1" si="92"/>
        <v>63.28800568005564</v>
      </c>
      <c r="X89">
        <f t="shared" ca="1" si="92"/>
        <v>62.675499261999249</v>
      </c>
      <c r="Y89">
        <f t="shared" ca="1" si="92"/>
        <v>63.883325872788959</v>
      </c>
      <c r="Z89">
        <f t="shared" ca="1" si="92"/>
        <v>62.088460434095929</v>
      </c>
      <c r="AA89">
        <f t="shared" ca="1" si="92"/>
        <v>61.537280498445554</v>
      </c>
      <c r="AB89">
        <f t="shared" ca="1" si="92"/>
        <v>62.123926345536717</v>
      </c>
      <c r="AC89">
        <f t="shared" ca="1" si="92"/>
        <v>61.952963830189319</v>
      </c>
      <c r="AD89">
        <f t="shared" ca="1" si="92"/>
        <v>63.055925687368664</v>
      </c>
      <c r="AE89">
        <f t="shared" ca="1" si="92"/>
        <v>66.229399862165295</v>
      </c>
      <c r="AF89">
        <f t="shared" ca="1" si="92"/>
        <v>64.889705307025451</v>
      </c>
      <c r="AG89">
        <f t="shared" ca="1" si="92"/>
        <v>63.956868723169016</v>
      </c>
      <c r="AH89">
        <f t="shared" ca="1" si="92"/>
        <v>64.341061931357032</v>
      </c>
      <c r="AI89">
        <f t="shared" ca="1" si="92"/>
        <v>65.519563158765621</v>
      </c>
      <c r="AJ89">
        <f t="shared" ca="1" si="92"/>
        <v>66.174642721985919</v>
      </c>
      <c r="AK89">
        <f t="shared" ca="1" si="92"/>
        <v>65.973928404717327</v>
      </c>
      <c r="AL89">
        <f t="shared" ca="1" si="92"/>
        <v>65.006412129425925</v>
      </c>
      <c r="AM89">
        <f t="shared" ca="1" si="92"/>
        <v>64.71751353519592</v>
      </c>
      <c r="AN89">
        <f t="shared" ca="1" si="92"/>
        <v>66.872384852711704</v>
      </c>
      <c r="AO89">
        <f t="shared" ca="1" si="92"/>
        <v>67.025791897140351</v>
      </c>
      <c r="AP89">
        <f t="shared" ca="1" si="92"/>
        <v>67.819201482551904</v>
      </c>
      <c r="AQ89">
        <f t="shared" ca="1" si="92"/>
        <v>68.779611141022244</v>
      </c>
      <c r="AR89">
        <f t="shared" ca="1" si="92"/>
        <v>70.813147851723642</v>
      </c>
      <c r="AS89">
        <f t="shared" ca="1" si="92"/>
        <v>72.248441960974446</v>
      </c>
      <c r="AT89">
        <f t="shared" ca="1" si="92"/>
        <v>73.086351044122395</v>
      </c>
      <c r="AU89">
        <f t="shared" ca="1" si="92"/>
        <v>71.079185288755482</v>
      </c>
      <c r="AV89">
        <f t="shared" ca="1" si="92"/>
        <v>70.015107204604703</v>
      </c>
      <c r="AW89">
        <f t="shared" ca="1" si="92"/>
        <v>70.192361706833154</v>
      </c>
      <c r="AX89">
        <f t="shared" ca="1" si="92"/>
        <v>71.063285954654091</v>
      </c>
      <c r="AY89">
        <f t="shared" ca="1" si="92"/>
        <v>70.1035517695084</v>
      </c>
      <c r="AZ89">
        <f t="shared" ca="1" si="92"/>
        <v>69.392475878423781</v>
      </c>
      <c r="BA89">
        <f t="shared" ca="1" si="92"/>
        <v>69.512615493140004</v>
      </c>
      <c r="BB89">
        <f t="shared" ca="1" si="92"/>
        <v>67.485848928107728</v>
      </c>
      <c r="BC89">
        <f t="shared" ca="1" si="92"/>
        <v>68.935273636471351</v>
      </c>
      <c r="BD89">
        <f t="shared" ca="1" si="92"/>
        <v>70.926749288783412</v>
      </c>
      <c r="BE89">
        <f t="shared" ca="1" si="92"/>
        <v>69.970274062640868</v>
      </c>
      <c r="BF89">
        <f t="shared" ca="1" si="92"/>
        <v>71.806083055319647</v>
      </c>
      <c r="BG89">
        <f t="shared" ca="1" si="92"/>
        <v>71.969207795754983</v>
      </c>
      <c r="BH89">
        <f t="shared" ca="1" si="92"/>
        <v>70.485481172443485</v>
      </c>
      <c r="BI89">
        <f t="shared" ca="1" si="92"/>
        <v>71.985926552881722</v>
      </c>
      <c r="BJ89">
        <f t="shared" ca="1" si="92"/>
        <v>72.997287888300562</v>
      </c>
      <c r="BK89">
        <f t="shared" ca="1" si="92"/>
        <v>71.700279519695073</v>
      </c>
      <c r="BL89">
        <f t="shared" ca="1" si="92"/>
        <v>73.733759702865868</v>
      </c>
      <c r="BM89">
        <f t="shared" ca="1" si="92"/>
        <v>74.777666027658981</v>
      </c>
      <c r="BN89">
        <f t="shared" ca="1" si="92"/>
        <v>72.424618800297736</v>
      </c>
      <c r="BO89">
        <f t="shared" ca="1" si="70"/>
        <v>14.424618800297736</v>
      </c>
    </row>
    <row r="90" spans="6:67">
      <c r="F90">
        <f t="shared" si="68"/>
        <v>60.99</v>
      </c>
      <c r="G90">
        <f t="shared" ref="G90:BN90" ca="1" si="93">F90*EXP(($B$2-0.5*$B$3^2)*$B$4+$B$3*_xlfn.NORM.INV(RAND(),0,SQRT($B$4)))</f>
        <v>61.201914728920194</v>
      </c>
      <c r="H90">
        <f t="shared" ca="1" si="93"/>
        <v>60.734081360406201</v>
      </c>
      <c r="I90">
        <f t="shared" ca="1" si="93"/>
        <v>59.243866535329701</v>
      </c>
      <c r="J90">
        <f t="shared" ca="1" si="93"/>
        <v>59.345520329095649</v>
      </c>
      <c r="K90">
        <f t="shared" ca="1" si="93"/>
        <v>59.92480213566099</v>
      </c>
      <c r="L90">
        <f t="shared" ca="1" si="93"/>
        <v>58.393047473065295</v>
      </c>
      <c r="M90">
        <f t="shared" ca="1" si="93"/>
        <v>61.892054742592684</v>
      </c>
      <c r="N90">
        <f t="shared" ca="1" si="93"/>
        <v>61.766874008727513</v>
      </c>
      <c r="O90">
        <f t="shared" ca="1" si="93"/>
        <v>63.55737925177678</v>
      </c>
      <c r="P90">
        <f t="shared" ca="1" si="93"/>
        <v>62.538566398540091</v>
      </c>
      <c r="Q90">
        <f t="shared" ca="1" si="93"/>
        <v>61.673432894728975</v>
      </c>
      <c r="R90">
        <f t="shared" ca="1" si="93"/>
        <v>63.376657854458728</v>
      </c>
      <c r="S90">
        <f t="shared" ca="1" si="93"/>
        <v>64.821137811797598</v>
      </c>
      <c r="T90">
        <f t="shared" ca="1" si="93"/>
        <v>65.938583057270463</v>
      </c>
      <c r="U90">
        <f t="shared" ca="1" si="93"/>
        <v>63.861094677131746</v>
      </c>
      <c r="V90">
        <f t="shared" ca="1" si="93"/>
        <v>63.16408300316143</v>
      </c>
      <c r="W90">
        <f t="shared" ca="1" si="93"/>
        <v>63.173973108640034</v>
      </c>
      <c r="X90">
        <f t="shared" ca="1" si="93"/>
        <v>64.135376807587335</v>
      </c>
      <c r="Y90">
        <f t="shared" ca="1" si="93"/>
        <v>66.187914446816677</v>
      </c>
      <c r="Z90">
        <f t="shared" ca="1" si="93"/>
        <v>68.129259321149718</v>
      </c>
      <c r="AA90">
        <f t="shared" ca="1" si="93"/>
        <v>68.700679599323138</v>
      </c>
      <c r="AB90">
        <f t="shared" ca="1" si="93"/>
        <v>67.366722202211022</v>
      </c>
      <c r="AC90">
        <f t="shared" ca="1" si="93"/>
        <v>66.134148696885845</v>
      </c>
      <c r="AD90">
        <f t="shared" ca="1" si="93"/>
        <v>68.415557923798033</v>
      </c>
      <c r="AE90">
        <f t="shared" ca="1" si="93"/>
        <v>68.045766128821526</v>
      </c>
      <c r="AF90">
        <f t="shared" ca="1" si="93"/>
        <v>64.805779891938087</v>
      </c>
      <c r="AG90">
        <f t="shared" ca="1" si="93"/>
        <v>65.234137047618105</v>
      </c>
      <c r="AH90">
        <f t="shared" ca="1" si="93"/>
        <v>62.529640147226658</v>
      </c>
      <c r="AI90">
        <f t="shared" ca="1" si="93"/>
        <v>60.545938021442836</v>
      </c>
      <c r="AJ90">
        <f t="shared" ca="1" si="93"/>
        <v>61.115394510978973</v>
      </c>
      <c r="AK90">
        <f t="shared" ca="1" si="93"/>
        <v>61.009516981980269</v>
      </c>
      <c r="AL90">
        <f t="shared" ca="1" si="93"/>
        <v>61.443512231167617</v>
      </c>
      <c r="AM90">
        <f t="shared" ca="1" si="93"/>
        <v>62.45746651551265</v>
      </c>
      <c r="AN90">
        <f t="shared" ca="1" si="93"/>
        <v>61.937647462211366</v>
      </c>
      <c r="AO90">
        <f t="shared" ca="1" si="93"/>
        <v>62.295027400705457</v>
      </c>
      <c r="AP90">
        <f t="shared" ca="1" si="93"/>
        <v>63.1811630466728</v>
      </c>
      <c r="AQ90">
        <f t="shared" ca="1" si="93"/>
        <v>64.409866393648713</v>
      </c>
      <c r="AR90">
        <f t="shared" ca="1" si="93"/>
        <v>67.081545611605563</v>
      </c>
      <c r="AS90">
        <f t="shared" ca="1" si="93"/>
        <v>68.384435401365849</v>
      </c>
      <c r="AT90">
        <f t="shared" ca="1" si="93"/>
        <v>67.66250198325136</v>
      </c>
      <c r="AU90">
        <f t="shared" ca="1" si="93"/>
        <v>68.276161543188991</v>
      </c>
      <c r="AV90">
        <f t="shared" ca="1" si="93"/>
        <v>67.598727652679898</v>
      </c>
      <c r="AW90">
        <f t="shared" ca="1" si="93"/>
        <v>66.644184012319059</v>
      </c>
      <c r="AX90">
        <f t="shared" ca="1" si="93"/>
        <v>67.977186534665336</v>
      </c>
      <c r="AY90">
        <f t="shared" ca="1" si="93"/>
        <v>71.554349558116158</v>
      </c>
      <c r="AZ90">
        <f t="shared" ca="1" si="93"/>
        <v>70.933694454296656</v>
      </c>
      <c r="BA90">
        <f t="shared" ca="1" si="93"/>
        <v>70.590073296019327</v>
      </c>
      <c r="BB90">
        <f t="shared" ca="1" si="93"/>
        <v>72.042168059165348</v>
      </c>
      <c r="BC90">
        <f t="shared" ca="1" si="93"/>
        <v>71.650857637795639</v>
      </c>
      <c r="BD90">
        <f t="shared" ca="1" si="93"/>
        <v>70.243261935320973</v>
      </c>
      <c r="BE90">
        <f t="shared" ca="1" si="93"/>
        <v>68.355528305515818</v>
      </c>
      <c r="BF90">
        <f t="shared" ca="1" si="93"/>
        <v>68.641701901399571</v>
      </c>
      <c r="BG90">
        <f t="shared" ca="1" si="93"/>
        <v>68.62428576226651</v>
      </c>
      <c r="BH90">
        <f t="shared" ca="1" si="93"/>
        <v>68.695071742791924</v>
      </c>
      <c r="BI90">
        <f t="shared" ca="1" si="93"/>
        <v>65.950941007252865</v>
      </c>
      <c r="BJ90">
        <f t="shared" ca="1" si="93"/>
        <v>65.749252660818115</v>
      </c>
      <c r="BK90">
        <f t="shared" ca="1" si="93"/>
        <v>67.8681382908713</v>
      </c>
      <c r="BL90">
        <f t="shared" ca="1" si="93"/>
        <v>66.669472528015405</v>
      </c>
      <c r="BM90">
        <f t="shared" ca="1" si="93"/>
        <v>66.405346678298486</v>
      </c>
      <c r="BN90">
        <f t="shared" ca="1" si="93"/>
        <v>64.930500127107351</v>
      </c>
      <c r="BO90">
        <f t="shared" ca="1" si="70"/>
        <v>6.9305001271073507</v>
      </c>
    </row>
    <row r="91" spans="6:67">
      <c r="F91">
        <f t="shared" si="68"/>
        <v>60.99</v>
      </c>
      <c r="G91">
        <f t="shared" ref="G91:BN91" ca="1" si="94">F91*EXP(($B$2-0.5*$B$3^2)*$B$4+$B$3*_xlfn.NORM.INV(RAND(),0,SQRT($B$4)))</f>
        <v>58.925387839952037</v>
      </c>
      <c r="H91">
        <f t="shared" ca="1" si="94"/>
        <v>57.864401097183944</v>
      </c>
      <c r="I91">
        <f t="shared" ca="1" si="94"/>
        <v>59.218171910325296</v>
      </c>
      <c r="J91">
        <f t="shared" ca="1" si="94"/>
        <v>60.127280590307329</v>
      </c>
      <c r="K91">
        <f t="shared" ca="1" si="94"/>
        <v>59.610267343636501</v>
      </c>
      <c r="L91">
        <f t="shared" ca="1" si="94"/>
        <v>59.242997342908019</v>
      </c>
      <c r="M91">
        <f t="shared" ca="1" si="94"/>
        <v>59.078335287535651</v>
      </c>
      <c r="N91">
        <f t="shared" ca="1" si="94"/>
        <v>58.557097492880509</v>
      </c>
      <c r="O91">
        <f t="shared" ca="1" si="94"/>
        <v>56.932205963612496</v>
      </c>
      <c r="P91">
        <f t="shared" ca="1" si="94"/>
        <v>56.809100021322664</v>
      </c>
      <c r="Q91">
        <f t="shared" ca="1" si="94"/>
        <v>56.776524619305761</v>
      </c>
      <c r="R91">
        <f t="shared" ca="1" si="94"/>
        <v>56.853190877010157</v>
      </c>
      <c r="S91">
        <f t="shared" ca="1" si="94"/>
        <v>58.034122302679535</v>
      </c>
      <c r="T91">
        <f t="shared" ca="1" si="94"/>
        <v>55.728434372075462</v>
      </c>
      <c r="U91">
        <f t="shared" ca="1" si="94"/>
        <v>57.425847984160939</v>
      </c>
      <c r="V91">
        <f t="shared" ca="1" si="94"/>
        <v>56.789018077811171</v>
      </c>
      <c r="W91">
        <f t="shared" ca="1" si="94"/>
        <v>57.879002305721336</v>
      </c>
      <c r="X91">
        <f t="shared" ca="1" si="94"/>
        <v>60.458942905200622</v>
      </c>
      <c r="Y91">
        <f t="shared" ca="1" si="94"/>
        <v>61.689954311504842</v>
      </c>
      <c r="Z91">
        <f t="shared" ca="1" si="94"/>
        <v>62.933702275912346</v>
      </c>
      <c r="AA91">
        <f t="shared" ca="1" si="94"/>
        <v>62.814652277270916</v>
      </c>
      <c r="AB91">
        <f t="shared" ca="1" si="94"/>
        <v>63.971241796727661</v>
      </c>
      <c r="AC91">
        <f t="shared" ca="1" si="94"/>
        <v>62.34961196515286</v>
      </c>
      <c r="AD91">
        <f t="shared" ca="1" si="94"/>
        <v>62.619658402339347</v>
      </c>
      <c r="AE91">
        <f t="shared" ca="1" si="94"/>
        <v>61.602227799508903</v>
      </c>
      <c r="AF91">
        <f t="shared" ca="1" si="94"/>
        <v>60.778402907126107</v>
      </c>
      <c r="AG91">
        <f t="shared" ca="1" si="94"/>
        <v>60.66208051756756</v>
      </c>
      <c r="AH91">
        <f t="shared" ca="1" si="94"/>
        <v>61.199688162296184</v>
      </c>
      <c r="AI91">
        <f t="shared" ca="1" si="94"/>
        <v>59.987886565800927</v>
      </c>
      <c r="AJ91">
        <f t="shared" ca="1" si="94"/>
        <v>60.5558287136517</v>
      </c>
      <c r="AK91">
        <f t="shared" ca="1" si="94"/>
        <v>62.240755865544656</v>
      </c>
      <c r="AL91">
        <f t="shared" ca="1" si="94"/>
        <v>61.825489137656838</v>
      </c>
      <c r="AM91">
        <f t="shared" ca="1" si="94"/>
        <v>61.420620700903648</v>
      </c>
      <c r="AN91">
        <f t="shared" ca="1" si="94"/>
        <v>61.722157760535403</v>
      </c>
      <c r="AO91">
        <f t="shared" ca="1" si="94"/>
        <v>61.856422043844525</v>
      </c>
      <c r="AP91">
        <f t="shared" ca="1" si="94"/>
        <v>61.836893560937298</v>
      </c>
      <c r="AQ91">
        <f t="shared" ca="1" si="94"/>
        <v>61.584613570032246</v>
      </c>
      <c r="AR91">
        <f t="shared" ca="1" si="94"/>
        <v>62.295974143616526</v>
      </c>
      <c r="AS91">
        <f t="shared" ca="1" si="94"/>
        <v>63.681847182223727</v>
      </c>
      <c r="AT91">
        <f t="shared" ca="1" si="94"/>
        <v>62.94807837435755</v>
      </c>
      <c r="AU91">
        <f t="shared" ca="1" si="94"/>
        <v>63.441572442547077</v>
      </c>
      <c r="AV91">
        <f t="shared" ca="1" si="94"/>
        <v>63.257830119758047</v>
      </c>
      <c r="AW91">
        <f t="shared" ca="1" si="94"/>
        <v>64.458789233717411</v>
      </c>
      <c r="AX91">
        <f t="shared" ca="1" si="94"/>
        <v>64.753645772456466</v>
      </c>
      <c r="AY91">
        <f t="shared" ca="1" si="94"/>
        <v>66.153499306914071</v>
      </c>
      <c r="AZ91">
        <f t="shared" ca="1" si="94"/>
        <v>67.041036512505798</v>
      </c>
      <c r="BA91">
        <f t="shared" ca="1" si="94"/>
        <v>67.664573319942065</v>
      </c>
      <c r="BB91">
        <f t="shared" ca="1" si="94"/>
        <v>68.490863014705212</v>
      </c>
      <c r="BC91">
        <f t="shared" ca="1" si="94"/>
        <v>70.322197285230317</v>
      </c>
      <c r="BD91">
        <f t="shared" ca="1" si="94"/>
        <v>71.815949501647012</v>
      </c>
      <c r="BE91">
        <f t="shared" ca="1" si="94"/>
        <v>73.421443883809772</v>
      </c>
      <c r="BF91">
        <f t="shared" ca="1" si="94"/>
        <v>73.408812573192932</v>
      </c>
      <c r="BG91">
        <f t="shared" ca="1" si="94"/>
        <v>74.076567049021747</v>
      </c>
      <c r="BH91">
        <f t="shared" ca="1" si="94"/>
        <v>74.426609362667321</v>
      </c>
      <c r="BI91">
        <f t="shared" ca="1" si="94"/>
        <v>75.464558308801173</v>
      </c>
      <c r="BJ91">
        <f t="shared" ca="1" si="94"/>
        <v>77.89138003781224</v>
      </c>
      <c r="BK91">
        <f t="shared" ca="1" si="94"/>
        <v>80.563144113262723</v>
      </c>
      <c r="BL91">
        <f t="shared" ca="1" si="94"/>
        <v>79.86069169379482</v>
      </c>
      <c r="BM91">
        <f t="shared" ca="1" si="94"/>
        <v>81.962381561961593</v>
      </c>
      <c r="BN91">
        <f t="shared" ca="1" si="94"/>
        <v>83.963947678841947</v>
      </c>
      <c r="BO91">
        <f t="shared" ca="1" si="70"/>
        <v>25.963947678841947</v>
      </c>
    </row>
    <row r="92" spans="6:67">
      <c r="F92">
        <f t="shared" si="68"/>
        <v>60.99</v>
      </c>
      <c r="G92">
        <f t="shared" ref="G92:BN92" ca="1" si="95">F92*EXP(($B$2-0.5*$B$3^2)*$B$4+$B$3*_xlfn.NORM.INV(RAND(),0,SQRT($B$4)))</f>
        <v>58.424246633166888</v>
      </c>
      <c r="H92">
        <f t="shared" ca="1" si="95"/>
        <v>58.23250174746974</v>
      </c>
      <c r="I92">
        <f t="shared" ca="1" si="95"/>
        <v>59.182277470009282</v>
      </c>
      <c r="J92">
        <f t="shared" ca="1" si="95"/>
        <v>58.106214606420124</v>
      </c>
      <c r="K92">
        <f t="shared" ca="1" si="95"/>
        <v>57.863362126992804</v>
      </c>
      <c r="L92">
        <f t="shared" ca="1" si="95"/>
        <v>58.85342369302586</v>
      </c>
      <c r="M92">
        <f t="shared" ca="1" si="95"/>
        <v>60.012399535752671</v>
      </c>
      <c r="N92">
        <f t="shared" ca="1" si="95"/>
        <v>60.058026955874404</v>
      </c>
      <c r="O92">
        <f t="shared" ca="1" si="95"/>
        <v>61.311155204911735</v>
      </c>
      <c r="P92">
        <f t="shared" ca="1" si="95"/>
        <v>61.93564611701705</v>
      </c>
      <c r="Q92">
        <f t="shared" ca="1" si="95"/>
        <v>62.360906156431618</v>
      </c>
      <c r="R92">
        <f t="shared" ca="1" si="95"/>
        <v>60.23468394174013</v>
      </c>
      <c r="S92">
        <f t="shared" ca="1" si="95"/>
        <v>58.712404879565014</v>
      </c>
      <c r="T92">
        <f t="shared" ca="1" si="95"/>
        <v>58.596998263301678</v>
      </c>
      <c r="U92">
        <f t="shared" ca="1" si="95"/>
        <v>56.944132695063182</v>
      </c>
      <c r="V92">
        <f t="shared" ca="1" si="95"/>
        <v>56.877424887615291</v>
      </c>
      <c r="W92">
        <f t="shared" ca="1" si="95"/>
        <v>56.190704158797651</v>
      </c>
      <c r="X92">
        <f t="shared" ca="1" si="95"/>
        <v>56.488908983203657</v>
      </c>
      <c r="Y92">
        <f t="shared" ca="1" si="95"/>
        <v>56.30859389666572</v>
      </c>
      <c r="Z92">
        <f t="shared" ca="1" si="95"/>
        <v>58.081006132676855</v>
      </c>
      <c r="AA92">
        <f t="shared" ca="1" si="95"/>
        <v>58.50528235454987</v>
      </c>
      <c r="AB92">
        <f t="shared" ca="1" si="95"/>
        <v>57.881751648183482</v>
      </c>
      <c r="AC92">
        <f t="shared" ca="1" si="95"/>
        <v>58.667689310855863</v>
      </c>
      <c r="AD92">
        <f t="shared" ca="1" si="95"/>
        <v>58.779552091623508</v>
      </c>
      <c r="AE92">
        <f t="shared" ca="1" si="95"/>
        <v>59.894581336786025</v>
      </c>
      <c r="AF92">
        <f t="shared" ca="1" si="95"/>
        <v>60.770427303452294</v>
      </c>
      <c r="AG92">
        <f t="shared" ca="1" si="95"/>
        <v>60.490044095347379</v>
      </c>
      <c r="AH92">
        <f t="shared" ca="1" si="95"/>
        <v>60.128902056963788</v>
      </c>
      <c r="AI92">
        <f t="shared" ca="1" si="95"/>
        <v>58.330287101460584</v>
      </c>
      <c r="AJ92">
        <f t="shared" ca="1" si="95"/>
        <v>59.060379974969869</v>
      </c>
      <c r="AK92">
        <f t="shared" ca="1" si="95"/>
        <v>60.300048553737362</v>
      </c>
      <c r="AL92">
        <f t="shared" ca="1" si="95"/>
        <v>60.074701655087246</v>
      </c>
      <c r="AM92">
        <f t="shared" ca="1" si="95"/>
        <v>60.010696116406571</v>
      </c>
      <c r="AN92">
        <f t="shared" ca="1" si="95"/>
        <v>61.508402630102772</v>
      </c>
      <c r="AO92">
        <f t="shared" ca="1" si="95"/>
        <v>62.297082838906817</v>
      </c>
      <c r="AP92">
        <f t="shared" ca="1" si="95"/>
        <v>63.337023558419851</v>
      </c>
      <c r="AQ92">
        <f t="shared" ca="1" si="95"/>
        <v>63.309361587281707</v>
      </c>
      <c r="AR92">
        <f t="shared" ca="1" si="95"/>
        <v>64.389734349727021</v>
      </c>
      <c r="AS92">
        <f t="shared" ca="1" si="95"/>
        <v>63.922253090805</v>
      </c>
      <c r="AT92">
        <f t="shared" ca="1" si="95"/>
        <v>64.977284872303713</v>
      </c>
      <c r="AU92">
        <f t="shared" ca="1" si="95"/>
        <v>64.188502120568188</v>
      </c>
      <c r="AV92">
        <f t="shared" ca="1" si="95"/>
        <v>62.862090048270119</v>
      </c>
      <c r="AW92">
        <f t="shared" ca="1" si="95"/>
        <v>61.749074091082022</v>
      </c>
      <c r="AX92">
        <f t="shared" ca="1" si="95"/>
        <v>61.68124293312497</v>
      </c>
      <c r="AY92">
        <f t="shared" ca="1" si="95"/>
        <v>61.462702465842952</v>
      </c>
      <c r="AZ92">
        <f t="shared" ca="1" si="95"/>
        <v>62.286529857940259</v>
      </c>
      <c r="BA92">
        <f t="shared" ca="1" si="95"/>
        <v>62.286568130479999</v>
      </c>
      <c r="BB92">
        <f t="shared" ca="1" si="95"/>
        <v>62.093482021768992</v>
      </c>
      <c r="BC92">
        <f t="shared" ca="1" si="95"/>
        <v>63.311588355136969</v>
      </c>
      <c r="BD92">
        <f t="shared" ca="1" si="95"/>
        <v>63.736163523145137</v>
      </c>
      <c r="BE92">
        <f t="shared" ca="1" si="95"/>
        <v>62.51639031540217</v>
      </c>
      <c r="BF92">
        <f t="shared" ca="1" si="95"/>
        <v>62.447991061315413</v>
      </c>
      <c r="BG92">
        <f t="shared" ca="1" si="95"/>
        <v>64.328024552526628</v>
      </c>
      <c r="BH92">
        <f t="shared" ca="1" si="95"/>
        <v>63.688099145809979</v>
      </c>
      <c r="BI92">
        <f t="shared" ca="1" si="95"/>
        <v>61.668012848450097</v>
      </c>
      <c r="BJ92">
        <f t="shared" ca="1" si="95"/>
        <v>61.372878644390951</v>
      </c>
      <c r="BK92">
        <f t="shared" ca="1" si="95"/>
        <v>60.535021634387817</v>
      </c>
      <c r="BL92">
        <f t="shared" ca="1" si="95"/>
        <v>58.994973743506733</v>
      </c>
      <c r="BM92">
        <f t="shared" ca="1" si="95"/>
        <v>61.168293175382892</v>
      </c>
      <c r="BN92">
        <f t="shared" ca="1" si="95"/>
        <v>61.00724664918387</v>
      </c>
      <c r="BO92">
        <f t="shared" ca="1" si="70"/>
        <v>3.0072466491838696</v>
      </c>
    </row>
    <row r="93" spans="6:67">
      <c r="F93">
        <f t="shared" si="68"/>
        <v>60.99</v>
      </c>
      <c r="G93">
        <f t="shared" ref="G93:BN93" ca="1" si="96">F93*EXP(($B$2-0.5*$B$3^2)*$B$4+$B$3*_xlfn.NORM.INV(RAND(),0,SQRT($B$4)))</f>
        <v>59.647845411710151</v>
      </c>
      <c r="H93">
        <f t="shared" ca="1" si="96"/>
        <v>59.409918730445753</v>
      </c>
      <c r="I93">
        <f t="shared" ca="1" si="96"/>
        <v>59.732452311029192</v>
      </c>
      <c r="J93">
        <f t="shared" ca="1" si="96"/>
        <v>58.599546472290768</v>
      </c>
      <c r="K93">
        <f t="shared" ca="1" si="96"/>
        <v>60.237757674260386</v>
      </c>
      <c r="L93">
        <f t="shared" ca="1" si="96"/>
        <v>57.618190542310955</v>
      </c>
      <c r="M93">
        <f t="shared" ca="1" si="96"/>
        <v>56.901104960468551</v>
      </c>
      <c r="N93">
        <f t="shared" ca="1" si="96"/>
        <v>56.215391356942106</v>
      </c>
      <c r="O93">
        <f t="shared" ca="1" si="96"/>
        <v>53.67592490411225</v>
      </c>
      <c r="P93">
        <f t="shared" ca="1" si="96"/>
        <v>54.057670366965183</v>
      </c>
      <c r="Q93">
        <f t="shared" ca="1" si="96"/>
        <v>53.356531129143029</v>
      </c>
      <c r="R93">
        <f t="shared" ca="1" si="96"/>
        <v>53.203353682521623</v>
      </c>
      <c r="S93">
        <f t="shared" ca="1" si="96"/>
        <v>51.799748115907356</v>
      </c>
      <c r="T93">
        <f t="shared" ca="1" si="96"/>
        <v>51.907848178474914</v>
      </c>
      <c r="U93">
        <f t="shared" ca="1" si="96"/>
        <v>50.958046762881096</v>
      </c>
      <c r="V93">
        <f t="shared" ca="1" si="96"/>
        <v>50.402110608457875</v>
      </c>
      <c r="W93">
        <f t="shared" ca="1" si="96"/>
        <v>51.25446584614965</v>
      </c>
      <c r="X93">
        <f t="shared" ca="1" si="96"/>
        <v>52.147007413547371</v>
      </c>
      <c r="Y93">
        <f t="shared" ca="1" si="96"/>
        <v>51.452846226499105</v>
      </c>
      <c r="Z93">
        <f t="shared" ca="1" si="96"/>
        <v>50.923451793723004</v>
      </c>
      <c r="AA93">
        <f t="shared" ca="1" si="96"/>
        <v>51.129017058271629</v>
      </c>
      <c r="AB93">
        <f t="shared" ca="1" si="96"/>
        <v>51.06480999316851</v>
      </c>
      <c r="AC93">
        <f t="shared" ca="1" si="96"/>
        <v>52.360453991722004</v>
      </c>
      <c r="AD93">
        <f t="shared" ca="1" si="96"/>
        <v>53.767474685188759</v>
      </c>
      <c r="AE93">
        <f t="shared" ca="1" si="96"/>
        <v>53.870010455040621</v>
      </c>
      <c r="AF93">
        <f t="shared" ca="1" si="96"/>
        <v>54.738356606542361</v>
      </c>
      <c r="AG93">
        <f t="shared" ca="1" si="96"/>
        <v>55.092823667715301</v>
      </c>
      <c r="AH93">
        <f t="shared" ca="1" si="96"/>
        <v>54.028647647577749</v>
      </c>
      <c r="AI93">
        <f t="shared" ca="1" si="96"/>
        <v>54.135946136958729</v>
      </c>
      <c r="AJ93">
        <f t="shared" ca="1" si="96"/>
        <v>53.870238000972378</v>
      </c>
      <c r="AK93">
        <f t="shared" ca="1" si="96"/>
        <v>54.606823425435174</v>
      </c>
      <c r="AL93">
        <f t="shared" ca="1" si="96"/>
        <v>53.732221673422131</v>
      </c>
      <c r="AM93">
        <f t="shared" ca="1" si="96"/>
        <v>55.330745063374287</v>
      </c>
      <c r="AN93">
        <f t="shared" ca="1" si="96"/>
        <v>55.086726812660437</v>
      </c>
      <c r="AO93">
        <f t="shared" ca="1" si="96"/>
        <v>55.987476409977482</v>
      </c>
      <c r="AP93">
        <f t="shared" ca="1" si="96"/>
        <v>57.698179644888839</v>
      </c>
      <c r="AQ93">
        <f t="shared" ca="1" si="96"/>
        <v>59.845475799300104</v>
      </c>
      <c r="AR93">
        <f t="shared" ca="1" si="96"/>
        <v>60.754198851411481</v>
      </c>
      <c r="AS93">
        <f t="shared" ca="1" si="96"/>
        <v>61.684791657524372</v>
      </c>
      <c r="AT93">
        <f t="shared" ca="1" si="96"/>
        <v>62.26881111133055</v>
      </c>
      <c r="AU93">
        <f t="shared" ca="1" si="96"/>
        <v>62.557682067223013</v>
      </c>
      <c r="AV93">
        <f t="shared" ca="1" si="96"/>
        <v>63.752528064405865</v>
      </c>
      <c r="AW93">
        <f t="shared" ca="1" si="96"/>
        <v>66.277013458469469</v>
      </c>
      <c r="AX93">
        <f t="shared" ca="1" si="96"/>
        <v>65.112074855001026</v>
      </c>
      <c r="AY93">
        <f t="shared" ca="1" si="96"/>
        <v>65.940815463944148</v>
      </c>
      <c r="AZ93">
        <f t="shared" ca="1" si="96"/>
        <v>67.207754587160551</v>
      </c>
      <c r="BA93">
        <f t="shared" ca="1" si="96"/>
        <v>68.182584084713369</v>
      </c>
      <c r="BB93">
        <f t="shared" ca="1" si="96"/>
        <v>68.530044422343735</v>
      </c>
      <c r="BC93">
        <f t="shared" ca="1" si="96"/>
        <v>69.010878372375601</v>
      </c>
      <c r="BD93">
        <f t="shared" ca="1" si="96"/>
        <v>69.368131311709007</v>
      </c>
      <c r="BE93">
        <f t="shared" ca="1" si="96"/>
        <v>70.168531005907283</v>
      </c>
      <c r="BF93">
        <f t="shared" ca="1" si="96"/>
        <v>70.685207854508221</v>
      </c>
      <c r="BG93">
        <f t="shared" ca="1" si="96"/>
        <v>70.909369683577296</v>
      </c>
      <c r="BH93">
        <f t="shared" ca="1" si="96"/>
        <v>71.535972245477424</v>
      </c>
      <c r="BI93">
        <f t="shared" ca="1" si="96"/>
        <v>74.142417368740581</v>
      </c>
      <c r="BJ93">
        <f t="shared" ca="1" si="96"/>
        <v>74.680531816878513</v>
      </c>
      <c r="BK93">
        <f t="shared" ca="1" si="96"/>
        <v>74.339379213434057</v>
      </c>
      <c r="BL93">
        <f t="shared" ca="1" si="96"/>
        <v>75.425877334026993</v>
      </c>
      <c r="BM93">
        <f t="shared" ca="1" si="96"/>
        <v>75.989376698303602</v>
      </c>
      <c r="BN93">
        <f t="shared" ca="1" si="96"/>
        <v>74.351590402215706</v>
      </c>
      <c r="BO93">
        <f t="shared" ca="1" si="70"/>
        <v>16.351590402215706</v>
      </c>
    </row>
    <row r="94" spans="6:67">
      <c r="F94">
        <f t="shared" si="68"/>
        <v>60.99</v>
      </c>
      <c r="G94">
        <f t="shared" ref="G94:BN94" ca="1" si="97">F94*EXP(($B$2-0.5*$B$3^2)*$B$4+$B$3*_xlfn.NORM.INV(RAND(),0,SQRT($B$4)))</f>
        <v>63.181169552907392</v>
      </c>
      <c r="H94">
        <f t="shared" ca="1" si="97"/>
        <v>61.843292942601508</v>
      </c>
      <c r="I94">
        <f t="shared" ca="1" si="97"/>
        <v>61.441193616236923</v>
      </c>
      <c r="J94">
        <f t="shared" ca="1" si="97"/>
        <v>62.022829948634424</v>
      </c>
      <c r="K94">
        <f t="shared" ca="1" si="97"/>
        <v>62.725844975519507</v>
      </c>
      <c r="L94">
        <f t="shared" ca="1" si="97"/>
        <v>62.632981900274153</v>
      </c>
      <c r="M94">
        <f t="shared" ca="1" si="97"/>
        <v>61.983782672166853</v>
      </c>
      <c r="N94">
        <f t="shared" ca="1" si="97"/>
        <v>62.65610047439025</v>
      </c>
      <c r="O94">
        <f t="shared" ca="1" si="97"/>
        <v>64.931315890306919</v>
      </c>
      <c r="P94">
        <f t="shared" ca="1" si="97"/>
        <v>64.880091778636853</v>
      </c>
      <c r="Q94">
        <f t="shared" ca="1" si="97"/>
        <v>65.566417788544925</v>
      </c>
      <c r="R94">
        <f t="shared" ca="1" si="97"/>
        <v>65.60587118862432</v>
      </c>
      <c r="S94">
        <f t="shared" ca="1" si="97"/>
        <v>68.50139726238865</v>
      </c>
      <c r="T94">
        <f t="shared" ca="1" si="97"/>
        <v>69.28029837838433</v>
      </c>
      <c r="U94">
        <f t="shared" ca="1" si="97"/>
        <v>69.939903818849317</v>
      </c>
      <c r="V94">
        <f t="shared" ca="1" si="97"/>
        <v>69.802712051496329</v>
      </c>
      <c r="W94">
        <f t="shared" ca="1" si="97"/>
        <v>67.665505711748395</v>
      </c>
      <c r="X94">
        <f t="shared" ca="1" si="97"/>
        <v>67.904412673938921</v>
      </c>
      <c r="Y94">
        <f t="shared" ca="1" si="97"/>
        <v>67.410407181508077</v>
      </c>
      <c r="Z94">
        <f t="shared" ca="1" si="97"/>
        <v>67.77757373118601</v>
      </c>
      <c r="AA94">
        <f t="shared" ca="1" si="97"/>
        <v>67.252858981211872</v>
      </c>
      <c r="AB94">
        <f t="shared" ca="1" si="97"/>
        <v>68.114759055590255</v>
      </c>
      <c r="AC94">
        <f t="shared" ca="1" si="97"/>
        <v>67.561815470701617</v>
      </c>
      <c r="AD94">
        <f t="shared" ca="1" si="97"/>
        <v>67.716554615865974</v>
      </c>
      <c r="AE94">
        <f t="shared" ca="1" si="97"/>
        <v>66.335842893636865</v>
      </c>
      <c r="AF94">
        <f t="shared" ca="1" si="97"/>
        <v>67.00408185605454</v>
      </c>
      <c r="AG94">
        <f t="shared" ca="1" si="97"/>
        <v>66.571119246190364</v>
      </c>
      <c r="AH94">
        <f t="shared" ca="1" si="97"/>
        <v>66.814956112222077</v>
      </c>
      <c r="AI94">
        <f t="shared" ca="1" si="97"/>
        <v>66.773879082855501</v>
      </c>
      <c r="AJ94">
        <f t="shared" ca="1" si="97"/>
        <v>68.485460494414554</v>
      </c>
      <c r="AK94">
        <f t="shared" ca="1" si="97"/>
        <v>68.755858671422516</v>
      </c>
      <c r="AL94">
        <f t="shared" ca="1" si="97"/>
        <v>68.850653396184029</v>
      </c>
      <c r="AM94">
        <f t="shared" ca="1" si="97"/>
        <v>68.840328828555712</v>
      </c>
      <c r="AN94">
        <f t="shared" ca="1" si="97"/>
        <v>68.251831546826025</v>
      </c>
      <c r="AO94">
        <f t="shared" ca="1" si="97"/>
        <v>67.471586509362382</v>
      </c>
      <c r="AP94">
        <f t="shared" ca="1" si="97"/>
        <v>68.287966364797612</v>
      </c>
      <c r="AQ94">
        <f t="shared" ca="1" si="97"/>
        <v>67.730905336951238</v>
      </c>
      <c r="AR94">
        <f t="shared" ca="1" si="97"/>
        <v>70.351334980735146</v>
      </c>
      <c r="AS94">
        <f t="shared" ca="1" si="97"/>
        <v>68.548843228773293</v>
      </c>
      <c r="AT94">
        <f t="shared" ca="1" si="97"/>
        <v>69.976203044261496</v>
      </c>
      <c r="AU94">
        <f t="shared" ca="1" si="97"/>
        <v>69.554795424464828</v>
      </c>
      <c r="AV94">
        <f t="shared" ca="1" si="97"/>
        <v>70.968879315220093</v>
      </c>
      <c r="AW94">
        <f t="shared" ca="1" si="97"/>
        <v>72.076278739665796</v>
      </c>
      <c r="AX94">
        <f t="shared" ca="1" si="97"/>
        <v>73.104089594664245</v>
      </c>
      <c r="AY94">
        <f t="shared" ca="1" si="97"/>
        <v>74.276655317610164</v>
      </c>
      <c r="AZ94">
        <f t="shared" ca="1" si="97"/>
        <v>75.48314009072871</v>
      </c>
      <c r="BA94">
        <f t="shared" ca="1" si="97"/>
        <v>74.800443766955055</v>
      </c>
      <c r="BB94">
        <f t="shared" ca="1" si="97"/>
        <v>76.402800766585173</v>
      </c>
      <c r="BC94">
        <f t="shared" ca="1" si="97"/>
        <v>74.999557127786062</v>
      </c>
      <c r="BD94">
        <f t="shared" ca="1" si="97"/>
        <v>75.123431876430075</v>
      </c>
      <c r="BE94">
        <f t="shared" ca="1" si="97"/>
        <v>73.787386559536174</v>
      </c>
      <c r="BF94">
        <f t="shared" ca="1" si="97"/>
        <v>74.48822460429983</v>
      </c>
      <c r="BG94">
        <f t="shared" ca="1" si="97"/>
        <v>77.428028569876204</v>
      </c>
      <c r="BH94">
        <f t="shared" ca="1" si="97"/>
        <v>78.859811048620912</v>
      </c>
      <c r="BI94">
        <f t="shared" ca="1" si="97"/>
        <v>80.883997575719732</v>
      </c>
      <c r="BJ94">
        <f t="shared" ca="1" si="97"/>
        <v>79.577915008556772</v>
      </c>
      <c r="BK94">
        <f t="shared" ca="1" si="97"/>
        <v>79.895707049719576</v>
      </c>
      <c r="BL94">
        <f t="shared" ca="1" si="97"/>
        <v>80.359605331633233</v>
      </c>
      <c r="BM94">
        <f t="shared" ca="1" si="97"/>
        <v>78.093195654534199</v>
      </c>
      <c r="BN94">
        <f t="shared" ca="1" si="97"/>
        <v>77.013999386159043</v>
      </c>
      <c r="BO94">
        <f t="shared" ca="1" si="70"/>
        <v>19.013999386159043</v>
      </c>
    </row>
    <row r="95" spans="6:67">
      <c r="F95">
        <f t="shared" si="68"/>
        <v>60.99</v>
      </c>
      <c r="G95">
        <f t="shared" ref="G95:BN95" ca="1" si="98">F95*EXP(($B$2-0.5*$B$3^2)*$B$4+$B$3*_xlfn.NORM.INV(RAND(),0,SQRT($B$4)))</f>
        <v>62.204535320398136</v>
      </c>
      <c r="H95">
        <f t="shared" ca="1" si="98"/>
        <v>63.279222539454146</v>
      </c>
      <c r="I95">
        <f t="shared" ca="1" si="98"/>
        <v>61.891432949208252</v>
      </c>
      <c r="J95">
        <f t="shared" ca="1" si="98"/>
        <v>60.830838838448948</v>
      </c>
      <c r="K95">
        <f t="shared" ca="1" si="98"/>
        <v>60.138991019101837</v>
      </c>
      <c r="L95">
        <f t="shared" ca="1" si="98"/>
        <v>61.328313497139234</v>
      </c>
      <c r="M95">
        <f t="shared" ca="1" si="98"/>
        <v>61.509622135832622</v>
      </c>
      <c r="N95">
        <f t="shared" ca="1" si="98"/>
        <v>60.887046071441048</v>
      </c>
      <c r="O95">
        <f t="shared" ca="1" si="98"/>
        <v>62.213745443603742</v>
      </c>
      <c r="P95">
        <f t="shared" ca="1" si="98"/>
        <v>62.614673198912477</v>
      </c>
      <c r="Q95">
        <f t="shared" ca="1" si="98"/>
        <v>63.034796943855113</v>
      </c>
      <c r="R95">
        <f t="shared" ca="1" si="98"/>
        <v>63.205315160071265</v>
      </c>
      <c r="S95">
        <f t="shared" ca="1" si="98"/>
        <v>64.329526475578632</v>
      </c>
      <c r="T95">
        <f t="shared" ca="1" si="98"/>
        <v>62.736660647053135</v>
      </c>
      <c r="U95">
        <f t="shared" ca="1" si="98"/>
        <v>63.440291926262219</v>
      </c>
      <c r="V95">
        <f t="shared" ca="1" si="98"/>
        <v>63.112188244752907</v>
      </c>
      <c r="W95">
        <f t="shared" ca="1" si="98"/>
        <v>60.529303693862992</v>
      </c>
      <c r="X95">
        <f t="shared" ca="1" si="98"/>
        <v>60.206838869153636</v>
      </c>
      <c r="Y95">
        <f t="shared" ca="1" si="98"/>
        <v>59.394274616271076</v>
      </c>
      <c r="Z95">
        <f t="shared" ca="1" si="98"/>
        <v>60.338250419851299</v>
      </c>
      <c r="AA95">
        <f t="shared" ca="1" si="98"/>
        <v>59.751369497006841</v>
      </c>
      <c r="AB95">
        <f t="shared" ca="1" si="98"/>
        <v>59.695203969143073</v>
      </c>
      <c r="AC95">
        <f t="shared" ca="1" si="98"/>
        <v>60.275579936421096</v>
      </c>
      <c r="AD95">
        <f t="shared" ca="1" si="98"/>
        <v>60.278953145310268</v>
      </c>
      <c r="AE95">
        <f t="shared" ca="1" si="98"/>
        <v>59.316340849000689</v>
      </c>
      <c r="AF95">
        <f t="shared" ca="1" si="98"/>
        <v>58.736444040544853</v>
      </c>
      <c r="AG95">
        <f t="shared" ca="1" si="98"/>
        <v>59.444990113925321</v>
      </c>
      <c r="AH95">
        <f t="shared" ca="1" si="98"/>
        <v>59.22730706037931</v>
      </c>
      <c r="AI95">
        <f t="shared" ca="1" si="98"/>
        <v>58.51246282732717</v>
      </c>
      <c r="AJ95">
        <f t="shared" ca="1" si="98"/>
        <v>57.964458385424713</v>
      </c>
      <c r="AK95">
        <f t="shared" ca="1" si="98"/>
        <v>58.692119545157247</v>
      </c>
      <c r="AL95">
        <f t="shared" ca="1" si="98"/>
        <v>57.961713389707725</v>
      </c>
      <c r="AM95">
        <f t="shared" ca="1" si="98"/>
        <v>60.579467304489164</v>
      </c>
      <c r="AN95">
        <f t="shared" ca="1" si="98"/>
        <v>60.885699145827374</v>
      </c>
      <c r="AO95">
        <f t="shared" ca="1" si="98"/>
        <v>59.86659868594402</v>
      </c>
      <c r="AP95">
        <f t="shared" ca="1" si="98"/>
        <v>59.621862350859686</v>
      </c>
      <c r="AQ95">
        <f t="shared" ca="1" si="98"/>
        <v>58.884843976548645</v>
      </c>
      <c r="AR95">
        <f t="shared" ca="1" si="98"/>
        <v>58.677634970486857</v>
      </c>
      <c r="AS95">
        <f t="shared" ca="1" si="98"/>
        <v>59.088962660194007</v>
      </c>
      <c r="AT95">
        <f t="shared" ca="1" si="98"/>
        <v>58.859332667552287</v>
      </c>
      <c r="AU95">
        <f t="shared" ca="1" si="98"/>
        <v>59.554725190105145</v>
      </c>
      <c r="AV95">
        <f t="shared" ca="1" si="98"/>
        <v>58.435741425979749</v>
      </c>
      <c r="AW95">
        <f t="shared" ca="1" si="98"/>
        <v>58.115420682111008</v>
      </c>
      <c r="AX95">
        <f t="shared" ca="1" si="98"/>
        <v>59.581970575736442</v>
      </c>
      <c r="AY95">
        <f t="shared" ca="1" si="98"/>
        <v>59.267669903723068</v>
      </c>
      <c r="AZ95">
        <f t="shared" ca="1" si="98"/>
        <v>59.287315487634501</v>
      </c>
      <c r="BA95">
        <f t="shared" ca="1" si="98"/>
        <v>59.326441989175528</v>
      </c>
      <c r="BB95">
        <f t="shared" ca="1" si="98"/>
        <v>60.643050775019134</v>
      </c>
      <c r="BC95">
        <f t="shared" ca="1" si="98"/>
        <v>60.581867351717825</v>
      </c>
      <c r="BD95">
        <f t="shared" ca="1" si="98"/>
        <v>60.802471743574905</v>
      </c>
      <c r="BE95">
        <f t="shared" ca="1" si="98"/>
        <v>61.364966625596864</v>
      </c>
      <c r="BF95">
        <f t="shared" ca="1" si="98"/>
        <v>61.689656711098827</v>
      </c>
      <c r="BG95">
        <f t="shared" ca="1" si="98"/>
        <v>64.028036649748273</v>
      </c>
      <c r="BH95">
        <f t="shared" ca="1" si="98"/>
        <v>63.986632933251748</v>
      </c>
      <c r="BI95">
        <f t="shared" ca="1" si="98"/>
        <v>64.264151348965811</v>
      </c>
      <c r="BJ95">
        <f t="shared" ca="1" si="98"/>
        <v>63.885640401809496</v>
      </c>
      <c r="BK95">
        <f t="shared" ca="1" si="98"/>
        <v>65.999112419898438</v>
      </c>
      <c r="BL95">
        <f t="shared" ca="1" si="98"/>
        <v>68.57051350523993</v>
      </c>
      <c r="BM95">
        <f t="shared" ca="1" si="98"/>
        <v>69.681492722038186</v>
      </c>
      <c r="BN95">
        <f t="shared" ca="1" si="98"/>
        <v>67.618723139145757</v>
      </c>
      <c r="BO95">
        <f t="shared" ca="1" si="70"/>
        <v>9.6187231391457573</v>
      </c>
    </row>
    <row r="96" spans="6:67">
      <c r="F96">
        <f t="shared" si="68"/>
        <v>60.99</v>
      </c>
      <c r="G96">
        <f t="shared" ref="G96:BN96" ca="1" si="99">F96*EXP(($B$2-0.5*$B$3^2)*$B$4+$B$3*_xlfn.NORM.INV(RAND(),0,SQRT($B$4)))</f>
        <v>59.846952887360949</v>
      </c>
      <c r="H96">
        <f t="shared" ca="1" si="99"/>
        <v>59.147562019851094</v>
      </c>
      <c r="I96">
        <f t="shared" ca="1" si="99"/>
        <v>61.27328923144227</v>
      </c>
      <c r="J96">
        <f t="shared" ca="1" si="99"/>
        <v>60.766172975720039</v>
      </c>
      <c r="K96">
        <f t="shared" ca="1" si="99"/>
        <v>63.228858760885309</v>
      </c>
      <c r="L96">
        <f t="shared" ca="1" si="99"/>
        <v>63.736475799336773</v>
      </c>
      <c r="M96">
        <f t="shared" ca="1" si="99"/>
        <v>62.960744434122873</v>
      </c>
      <c r="N96">
        <f t="shared" ca="1" si="99"/>
        <v>63.496180801926776</v>
      </c>
      <c r="O96">
        <f t="shared" ca="1" si="99"/>
        <v>63.512368433908428</v>
      </c>
      <c r="P96">
        <f t="shared" ca="1" si="99"/>
        <v>63.353660504490776</v>
      </c>
      <c r="Q96">
        <f t="shared" ca="1" si="99"/>
        <v>63.873826246232724</v>
      </c>
      <c r="R96">
        <f t="shared" ca="1" si="99"/>
        <v>64.884648124709784</v>
      </c>
      <c r="S96">
        <f t="shared" ca="1" si="99"/>
        <v>64.372592445452341</v>
      </c>
      <c r="T96">
        <f t="shared" ca="1" si="99"/>
        <v>64.388534589321964</v>
      </c>
      <c r="U96">
        <f t="shared" ca="1" si="99"/>
        <v>65.493077194267613</v>
      </c>
      <c r="V96">
        <f t="shared" ca="1" si="99"/>
        <v>65.807276214070583</v>
      </c>
      <c r="W96">
        <f t="shared" ca="1" si="99"/>
        <v>65.348498200456135</v>
      </c>
      <c r="X96">
        <f t="shared" ca="1" si="99"/>
        <v>65.939435052638842</v>
      </c>
      <c r="Y96">
        <f t="shared" ca="1" si="99"/>
        <v>66.155750633316856</v>
      </c>
      <c r="Z96">
        <f t="shared" ca="1" si="99"/>
        <v>66.26372570761464</v>
      </c>
      <c r="AA96">
        <f t="shared" ca="1" si="99"/>
        <v>65.777281261655816</v>
      </c>
      <c r="AB96">
        <f t="shared" ca="1" si="99"/>
        <v>67.522646391267813</v>
      </c>
      <c r="AC96">
        <f t="shared" ca="1" si="99"/>
        <v>67.449843207941015</v>
      </c>
      <c r="AD96">
        <f t="shared" ca="1" si="99"/>
        <v>66.653477735584701</v>
      </c>
      <c r="AE96">
        <f t="shared" ca="1" si="99"/>
        <v>65.175698430437109</v>
      </c>
      <c r="AF96">
        <f t="shared" ca="1" si="99"/>
        <v>66.831028298191811</v>
      </c>
      <c r="AG96">
        <f t="shared" ca="1" si="99"/>
        <v>66.706363255461397</v>
      </c>
      <c r="AH96">
        <f t="shared" ca="1" si="99"/>
        <v>68.1817674779996</v>
      </c>
      <c r="AI96">
        <f t="shared" ca="1" si="99"/>
        <v>68.958094034211243</v>
      </c>
      <c r="AJ96">
        <f t="shared" ca="1" si="99"/>
        <v>69.670496135860034</v>
      </c>
      <c r="AK96">
        <f t="shared" ca="1" si="99"/>
        <v>69.437117321263102</v>
      </c>
      <c r="AL96">
        <f t="shared" ca="1" si="99"/>
        <v>70.920266518534618</v>
      </c>
      <c r="AM96">
        <f t="shared" ca="1" si="99"/>
        <v>67.019528278895265</v>
      </c>
      <c r="AN96">
        <f t="shared" ca="1" si="99"/>
        <v>67.986526390942188</v>
      </c>
      <c r="AO96">
        <f t="shared" ca="1" si="99"/>
        <v>69.044927754206711</v>
      </c>
      <c r="AP96">
        <f t="shared" ca="1" si="99"/>
        <v>68.603523304098957</v>
      </c>
      <c r="AQ96">
        <f t="shared" ca="1" si="99"/>
        <v>70.237865239316235</v>
      </c>
      <c r="AR96">
        <f t="shared" ca="1" si="99"/>
        <v>68.638725048812177</v>
      </c>
      <c r="AS96">
        <f t="shared" ca="1" si="99"/>
        <v>69.856206501103685</v>
      </c>
      <c r="AT96">
        <f t="shared" ca="1" si="99"/>
        <v>70.636651703477213</v>
      </c>
      <c r="AU96">
        <f t="shared" ca="1" si="99"/>
        <v>69.464219528345865</v>
      </c>
      <c r="AV96">
        <f t="shared" ca="1" si="99"/>
        <v>68.766041112898961</v>
      </c>
      <c r="AW96">
        <f t="shared" ca="1" si="99"/>
        <v>70.916633966725797</v>
      </c>
      <c r="AX96">
        <f t="shared" ca="1" si="99"/>
        <v>69.790900929303973</v>
      </c>
      <c r="AY96">
        <f t="shared" ca="1" si="99"/>
        <v>70.203838941424152</v>
      </c>
      <c r="AZ96">
        <f t="shared" ca="1" si="99"/>
        <v>71.334292175704533</v>
      </c>
      <c r="BA96">
        <f t="shared" ca="1" si="99"/>
        <v>74.204783295541731</v>
      </c>
      <c r="BB96">
        <f t="shared" ca="1" si="99"/>
        <v>75.306600387085624</v>
      </c>
      <c r="BC96">
        <f t="shared" ca="1" si="99"/>
        <v>74.389058042852199</v>
      </c>
      <c r="BD96">
        <f t="shared" ca="1" si="99"/>
        <v>76.343042233396929</v>
      </c>
      <c r="BE96">
        <f t="shared" ca="1" si="99"/>
        <v>75.556469407388747</v>
      </c>
      <c r="BF96">
        <f t="shared" ca="1" si="99"/>
        <v>74.915584927047931</v>
      </c>
      <c r="BG96">
        <f t="shared" ca="1" si="99"/>
        <v>75.635542208541835</v>
      </c>
      <c r="BH96">
        <f t="shared" ca="1" si="99"/>
        <v>77.634733610836719</v>
      </c>
      <c r="BI96">
        <f t="shared" ca="1" si="99"/>
        <v>76.780581880254616</v>
      </c>
      <c r="BJ96">
        <f t="shared" ca="1" si="99"/>
        <v>75.471142648263765</v>
      </c>
      <c r="BK96">
        <f t="shared" ca="1" si="99"/>
        <v>75.012181993125623</v>
      </c>
      <c r="BL96">
        <f t="shared" ca="1" si="99"/>
        <v>73.9394827069939</v>
      </c>
      <c r="BM96">
        <f t="shared" ca="1" si="99"/>
        <v>74.85772055751508</v>
      </c>
      <c r="BN96">
        <f t="shared" ca="1" si="99"/>
        <v>75.111460142232218</v>
      </c>
      <c r="BO96">
        <f t="shared" ca="1" si="70"/>
        <v>17.111460142232218</v>
      </c>
    </row>
    <row r="97" spans="6:67">
      <c r="F97">
        <f t="shared" si="68"/>
        <v>60.99</v>
      </c>
      <c r="G97">
        <f t="shared" ref="G97:BN97" ca="1" si="100">F97*EXP(($B$2-0.5*$B$3^2)*$B$4+$B$3*_xlfn.NORM.INV(RAND(),0,SQRT($B$4)))</f>
        <v>60.805345917347189</v>
      </c>
      <c r="H97">
        <f t="shared" ca="1" si="100"/>
        <v>62.326826511693014</v>
      </c>
      <c r="I97">
        <f t="shared" ca="1" si="100"/>
        <v>63.723294594530245</v>
      </c>
      <c r="J97">
        <f t="shared" ca="1" si="100"/>
        <v>64.993775599147796</v>
      </c>
      <c r="K97">
        <f t="shared" ca="1" si="100"/>
        <v>66.876274317694609</v>
      </c>
      <c r="L97">
        <f t="shared" ca="1" si="100"/>
        <v>66.924169796023563</v>
      </c>
      <c r="M97">
        <f t="shared" ca="1" si="100"/>
        <v>67.058724146557893</v>
      </c>
      <c r="N97">
        <f t="shared" ca="1" si="100"/>
        <v>65.886315183306749</v>
      </c>
      <c r="O97">
        <f t="shared" ca="1" si="100"/>
        <v>67.847092998179534</v>
      </c>
      <c r="P97">
        <f t="shared" ca="1" si="100"/>
        <v>68.900643546127043</v>
      </c>
      <c r="Q97">
        <f t="shared" ca="1" si="100"/>
        <v>67.818130700674558</v>
      </c>
      <c r="R97">
        <f t="shared" ca="1" si="100"/>
        <v>67.680216160717166</v>
      </c>
      <c r="S97">
        <f t="shared" ca="1" si="100"/>
        <v>67.066833650201232</v>
      </c>
      <c r="T97">
        <f t="shared" ca="1" si="100"/>
        <v>68.382382916606716</v>
      </c>
      <c r="U97">
        <f t="shared" ca="1" si="100"/>
        <v>67.683068398464442</v>
      </c>
      <c r="V97">
        <f t="shared" ca="1" si="100"/>
        <v>66.763921720586055</v>
      </c>
      <c r="W97">
        <f t="shared" ca="1" si="100"/>
        <v>68.033453896376997</v>
      </c>
      <c r="X97">
        <f t="shared" ca="1" si="100"/>
        <v>66.74857127622198</v>
      </c>
      <c r="Y97">
        <f t="shared" ca="1" si="100"/>
        <v>68.065415994594787</v>
      </c>
      <c r="Z97">
        <f t="shared" ca="1" si="100"/>
        <v>69.861297943681535</v>
      </c>
      <c r="AA97">
        <f t="shared" ca="1" si="100"/>
        <v>70.295340493697665</v>
      </c>
      <c r="AB97">
        <f t="shared" ca="1" si="100"/>
        <v>69.671468307593415</v>
      </c>
      <c r="AC97">
        <f t="shared" ca="1" si="100"/>
        <v>69.258406946020074</v>
      </c>
      <c r="AD97">
        <f t="shared" ca="1" si="100"/>
        <v>68.333906031871038</v>
      </c>
      <c r="AE97">
        <f t="shared" ca="1" si="100"/>
        <v>66.500656010963155</v>
      </c>
      <c r="AF97">
        <f t="shared" ca="1" si="100"/>
        <v>67.067235863207841</v>
      </c>
      <c r="AG97">
        <f t="shared" ca="1" si="100"/>
        <v>67.077576653253928</v>
      </c>
      <c r="AH97">
        <f t="shared" ca="1" si="100"/>
        <v>64.66475010926743</v>
      </c>
      <c r="AI97">
        <f t="shared" ca="1" si="100"/>
        <v>63.053418245145636</v>
      </c>
      <c r="AJ97">
        <f t="shared" ca="1" si="100"/>
        <v>63.228877399557703</v>
      </c>
      <c r="AK97">
        <f t="shared" ca="1" si="100"/>
        <v>61.95369204929127</v>
      </c>
      <c r="AL97">
        <f t="shared" ca="1" si="100"/>
        <v>63.014241868679633</v>
      </c>
      <c r="AM97">
        <f t="shared" ca="1" si="100"/>
        <v>64.034902381801743</v>
      </c>
      <c r="AN97">
        <f t="shared" ca="1" si="100"/>
        <v>64.156366266476866</v>
      </c>
      <c r="AO97">
        <f t="shared" ca="1" si="100"/>
        <v>65.493198273923269</v>
      </c>
      <c r="AP97">
        <f t="shared" ca="1" si="100"/>
        <v>65.409498967611086</v>
      </c>
      <c r="AQ97">
        <f t="shared" ca="1" si="100"/>
        <v>65.971355777062982</v>
      </c>
      <c r="AR97">
        <f t="shared" ca="1" si="100"/>
        <v>67.42962323066044</v>
      </c>
      <c r="AS97">
        <f t="shared" ca="1" si="100"/>
        <v>66.367643433796033</v>
      </c>
      <c r="AT97">
        <f t="shared" ca="1" si="100"/>
        <v>68.919347682157053</v>
      </c>
      <c r="AU97">
        <f t="shared" ca="1" si="100"/>
        <v>69.898257405611986</v>
      </c>
      <c r="AV97">
        <f t="shared" ca="1" si="100"/>
        <v>68.971910811056432</v>
      </c>
      <c r="AW97">
        <f t="shared" ca="1" si="100"/>
        <v>69.348537263618809</v>
      </c>
      <c r="AX97">
        <f t="shared" ca="1" si="100"/>
        <v>68.422575254776618</v>
      </c>
      <c r="AY97">
        <f t="shared" ca="1" si="100"/>
        <v>70.027456098945365</v>
      </c>
      <c r="AZ97">
        <f t="shared" ca="1" si="100"/>
        <v>69.291178854162411</v>
      </c>
      <c r="BA97">
        <f t="shared" ca="1" si="100"/>
        <v>68.299178682393133</v>
      </c>
      <c r="BB97">
        <f t="shared" ca="1" si="100"/>
        <v>69.074629645148249</v>
      </c>
      <c r="BC97">
        <f t="shared" ca="1" si="100"/>
        <v>69.070049766752376</v>
      </c>
      <c r="BD97">
        <f t="shared" ca="1" si="100"/>
        <v>68.143193407610823</v>
      </c>
      <c r="BE97">
        <f t="shared" ca="1" si="100"/>
        <v>67.349756048117669</v>
      </c>
      <c r="BF97">
        <f t="shared" ca="1" si="100"/>
        <v>66.809021787457212</v>
      </c>
      <c r="BG97">
        <f t="shared" ca="1" si="100"/>
        <v>66.03750042602411</v>
      </c>
      <c r="BH97">
        <f t="shared" ca="1" si="100"/>
        <v>65.856871849257516</v>
      </c>
      <c r="BI97">
        <f t="shared" ca="1" si="100"/>
        <v>63.266920833607315</v>
      </c>
      <c r="BJ97">
        <f t="shared" ca="1" si="100"/>
        <v>63.701075262212242</v>
      </c>
      <c r="BK97">
        <f t="shared" ca="1" si="100"/>
        <v>64.144764839794306</v>
      </c>
      <c r="BL97">
        <f t="shared" ca="1" si="100"/>
        <v>65.385937902184665</v>
      </c>
      <c r="BM97">
        <f t="shared" ca="1" si="100"/>
        <v>63.936942384740654</v>
      </c>
      <c r="BN97">
        <f t="shared" ca="1" si="100"/>
        <v>64.325655211087266</v>
      </c>
      <c r="BO97">
        <f t="shared" ca="1" si="70"/>
        <v>6.3256552110872661</v>
      </c>
    </row>
    <row r="98" spans="6:67">
      <c r="F98">
        <f t="shared" si="68"/>
        <v>60.99</v>
      </c>
      <c r="G98">
        <f t="shared" ref="G98:BN98" ca="1" si="101">F98*EXP(($B$2-0.5*$B$3^2)*$B$4+$B$3*_xlfn.NORM.INV(RAND(),0,SQRT($B$4)))</f>
        <v>61.35981496129606</v>
      </c>
      <c r="H98">
        <f t="shared" ca="1" si="101"/>
        <v>62.650979513798021</v>
      </c>
      <c r="I98">
        <f t="shared" ca="1" si="101"/>
        <v>61.436816390568453</v>
      </c>
      <c r="J98">
        <f t="shared" ca="1" si="101"/>
        <v>63.552099206896933</v>
      </c>
      <c r="K98">
        <f t="shared" ca="1" si="101"/>
        <v>63.192297032663838</v>
      </c>
      <c r="L98">
        <f t="shared" ca="1" si="101"/>
        <v>62.196771659642422</v>
      </c>
      <c r="M98">
        <f t="shared" ca="1" si="101"/>
        <v>62.279145164193316</v>
      </c>
      <c r="N98">
        <f t="shared" ca="1" si="101"/>
        <v>62.625647614316854</v>
      </c>
      <c r="O98">
        <f t="shared" ca="1" si="101"/>
        <v>60.98382914801887</v>
      </c>
      <c r="P98">
        <f t="shared" ca="1" si="101"/>
        <v>61.31260703533912</v>
      </c>
      <c r="Q98">
        <f t="shared" ca="1" si="101"/>
        <v>62.246583824191099</v>
      </c>
      <c r="R98">
        <f t="shared" ca="1" si="101"/>
        <v>62.490062048158563</v>
      </c>
      <c r="S98">
        <f t="shared" ca="1" si="101"/>
        <v>64.698489378759689</v>
      </c>
      <c r="T98">
        <f t="shared" ca="1" si="101"/>
        <v>65.136592624293016</v>
      </c>
      <c r="U98">
        <f t="shared" ca="1" si="101"/>
        <v>66.832439325341198</v>
      </c>
      <c r="V98">
        <f t="shared" ca="1" si="101"/>
        <v>65.942318845685563</v>
      </c>
      <c r="W98">
        <f t="shared" ca="1" si="101"/>
        <v>64.511309866001781</v>
      </c>
      <c r="X98">
        <f t="shared" ca="1" si="101"/>
        <v>66.614080050060238</v>
      </c>
      <c r="Y98">
        <f t="shared" ca="1" si="101"/>
        <v>66.052733003695721</v>
      </c>
      <c r="Z98">
        <f t="shared" ca="1" si="101"/>
        <v>66.591744733352783</v>
      </c>
      <c r="AA98">
        <f t="shared" ca="1" si="101"/>
        <v>66.180054970581992</v>
      </c>
      <c r="AB98">
        <f t="shared" ca="1" si="101"/>
        <v>67.289556683113446</v>
      </c>
      <c r="AC98">
        <f t="shared" ca="1" si="101"/>
        <v>65.955205940928025</v>
      </c>
      <c r="AD98">
        <f t="shared" ca="1" si="101"/>
        <v>68.240458515557535</v>
      </c>
      <c r="AE98">
        <f t="shared" ca="1" si="101"/>
        <v>69.138181511468105</v>
      </c>
      <c r="AF98">
        <f t="shared" ca="1" si="101"/>
        <v>69.679798303057581</v>
      </c>
      <c r="AG98">
        <f t="shared" ca="1" si="101"/>
        <v>69.937467166402314</v>
      </c>
      <c r="AH98">
        <f t="shared" ca="1" si="101"/>
        <v>70.461492657264174</v>
      </c>
      <c r="AI98">
        <f t="shared" ca="1" si="101"/>
        <v>70.203818896982071</v>
      </c>
      <c r="AJ98">
        <f t="shared" ca="1" si="101"/>
        <v>69.965510680505332</v>
      </c>
      <c r="AK98">
        <f t="shared" ca="1" si="101"/>
        <v>72.298142677210649</v>
      </c>
      <c r="AL98">
        <f t="shared" ca="1" si="101"/>
        <v>72.248954422580795</v>
      </c>
      <c r="AM98">
        <f t="shared" ca="1" si="101"/>
        <v>74.488553355757887</v>
      </c>
      <c r="AN98">
        <f t="shared" ca="1" si="101"/>
        <v>73.333902803171583</v>
      </c>
      <c r="AO98">
        <f t="shared" ca="1" si="101"/>
        <v>74.931822885913618</v>
      </c>
      <c r="AP98">
        <f t="shared" ca="1" si="101"/>
        <v>74.889427114632767</v>
      </c>
      <c r="AQ98">
        <f t="shared" ca="1" si="101"/>
        <v>72.983836711020771</v>
      </c>
      <c r="AR98">
        <f t="shared" ca="1" si="101"/>
        <v>73.442518954770406</v>
      </c>
      <c r="AS98">
        <f t="shared" ca="1" si="101"/>
        <v>75.088771960696818</v>
      </c>
      <c r="AT98">
        <f t="shared" ca="1" si="101"/>
        <v>76.397071460731738</v>
      </c>
      <c r="AU98">
        <f t="shared" ca="1" si="101"/>
        <v>79.254504388781768</v>
      </c>
      <c r="AV98">
        <f t="shared" ca="1" si="101"/>
        <v>78.797920274676926</v>
      </c>
      <c r="AW98">
        <f t="shared" ca="1" si="101"/>
        <v>79.881758082148608</v>
      </c>
      <c r="AX98">
        <f t="shared" ca="1" si="101"/>
        <v>78.377914180279731</v>
      </c>
      <c r="AY98">
        <f t="shared" ca="1" si="101"/>
        <v>76.787815729855822</v>
      </c>
      <c r="AZ98">
        <f t="shared" ca="1" si="101"/>
        <v>75.874292215703363</v>
      </c>
      <c r="BA98">
        <f t="shared" ca="1" si="101"/>
        <v>74.854257754774807</v>
      </c>
      <c r="BB98">
        <f t="shared" ca="1" si="101"/>
        <v>74.47587045304347</v>
      </c>
      <c r="BC98">
        <f t="shared" ca="1" si="101"/>
        <v>73.40989819217431</v>
      </c>
      <c r="BD98">
        <f t="shared" ca="1" si="101"/>
        <v>73.671247662285197</v>
      </c>
      <c r="BE98">
        <f t="shared" ca="1" si="101"/>
        <v>75.916131758677835</v>
      </c>
      <c r="BF98">
        <f t="shared" ca="1" si="101"/>
        <v>75.311214990384642</v>
      </c>
      <c r="BG98">
        <f t="shared" ca="1" si="101"/>
        <v>77.829198009217905</v>
      </c>
      <c r="BH98">
        <f t="shared" ca="1" si="101"/>
        <v>78.767900627218879</v>
      </c>
      <c r="BI98">
        <f t="shared" ca="1" si="101"/>
        <v>78.427119620353906</v>
      </c>
      <c r="BJ98">
        <f t="shared" ca="1" si="101"/>
        <v>78.776394988437048</v>
      </c>
      <c r="BK98">
        <f t="shared" ca="1" si="101"/>
        <v>79.513228477790307</v>
      </c>
      <c r="BL98">
        <f t="shared" ca="1" si="101"/>
        <v>78.195616489169879</v>
      </c>
      <c r="BM98">
        <f t="shared" ca="1" si="101"/>
        <v>78.885873277201057</v>
      </c>
      <c r="BN98">
        <f t="shared" ca="1" si="101"/>
        <v>81.268383038842799</v>
      </c>
      <c r="BO98">
        <f t="shared" ca="1" si="70"/>
        <v>23.268383038842799</v>
      </c>
    </row>
    <row r="99" spans="6:67">
      <c r="F99">
        <f t="shared" si="68"/>
        <v>60.99</v>
      </c>
      <c r="G99">
        <f t="shared" ref="G99:BN99" ca="1" si="102">F99*EXP(($B$2-0.5*$B$3^2)*$B$4+$B$3*_xlfn.NORM.INV(RAND(),0,SQRT($B$4)))</f>
        <v>60.503403333492777</v>
      </c>
      <c r="H99">
        <f t="shared" ca="1" si="102"/>
        <v>62.01194974773675</v>
      </c>
      <c r="I99">
        <f t="shared" ca="1" si="102"/>
        <v>62.804210893280363</v>
      </c>
      <c r="J99">
        <f t="shared" ca="1" si="102"/>
        <v>62.939152453140103</v>
      </c>
      <c r="K99">
        <f t="shared" ca="1" si="102"/>
        <v>62.944339352808136</v>
      </c>
      <c r="L99">
        <f t="shared" ca="1" si="102"/>
        <v>65.849897982296483</v>
      </c>
      <c r="M99">
        <f t="shared" ca="1" si="102"/>
        <v>65.653177250575069</v>
      </c>
      <c r="N99">
        <f t="shared" ca="1" si="102"/>
        <v>67.274690196588082</v>
      </c>
      <c r="O99">
        <f t="shared" ca="1" si="102"/>
        <v>68.68904821282085</v>
      </c>
      <c r="P99">
        <f t="shared" ca="1" si="102"/>
        <v>68.655751200474811</v>
      </c>
      <c r="Q99">
        <f t="shared" ca="1" si="102"/>
        <v>66.815198508076264</v>
      </c>
      <c r="R99">
        <f t="shared" ca="1" si="102"/>
        <v>67.334872069274709</v>
      </c>
      <c r="S99">
        <f t="shared" ca="1" si="102"/>
        <v>65.543988946069319</v>
      </c>
      <c r="T99">
        <f t="shared" ca="1" si="102"/>
        <v>62.312348348415959</v>
      </c>
      <c r="U99">
        <f t="shared" ca="1" si="102"/>
        <v>62.277002080031068</v>
      </c>
      <c r="V99">
        <f t="shared" ca="1" si="102"/>
        <v>60.27855033810993</v>
      </c>
      <c r="W99">
        <f t="shared" ca="1" si="102"/>
        <v>61.031581908387935</v>
      </c>
      <c r="X99">
        <f t="shared" ca="1" si="102"/>
        <v>60.133058613848114</v>
      </c>
      <c r="Y99">
        <f t="shared" ca="1" si="102"/>
        <v>59.047833802288991</v>
      </c>
      <c r="Z99">
        <f t="shared" ca="1" si="102"/>
        <v>60.397504735654742</v>
      </c>
      <c r="AA99">
        <f t="shared" ca="1" si="102"/>
        <v>59.782747940088925</v>
      </c>
      <c r="AB99">
        <f t="shared" ca="1" si="102"/>
        <v>60.557198120873458</v>
      </c>
      <c r="AC99">
        <f t="shared" ca="1" si="102"/>
        <v>59.911694037656616</v>
      </c>
      <c r="AD99">
        <f t="shared" ca="1" si="102"/>
        <v>61.774631470013588</v>
      </c>
      <c r="AE99">
        <f t="shared" ca="1" si="102"/>
        <v>62.819570889370532</v>
      </c>
      <c r="AF99">
        <f t="shared" ca="1" si="102"/>
        <v>62.195574774114192</v>
      </c>
      <c r="AG99">
        <f t="shared" ca="1" si="102"/>
        <v>59.629690572474402</v>
      </c>
      <c r="AH99">
        <f t="shared" ca="1" si="102"/>
        <v>59.647247684747406</v>
      </c>
      <c r="AI99">
        <f t="shared" ca="1" si="102"/>
        <v>58.654950078416938</v>
      </c>
      <c r="AJ99">
        <f t="shared" ca="1" si="102"/>
        <v>59.060191497605203</v>
      </c>
      <c r="AK99">
        <f t="shared" ca="1" si="102"/>
        <v>57.277534162101851</v>
      </c>
      <c r="AL99">
        <f t="shared" ca="1" si="102"/>
        <v>55.893085880667378</v>
      </c>
      <c r="AM99">
        <f t="shared" ca="1" si="102"/>
        <v>57.082923410833587</v>
      </c>
      <c r="AN99">
        <f t="shared" ca="1" si="102"/>
        <v>56.87115035105419</v>
      </c>
      <c r="AO99">
        <f t="shared" ca="1" si="102"/>
        <v>58.098839200343697</v>
      </c>
      <c r="AP99">
        <f t="shared" ca="1" si="102"/>
        <v>58.272364191522058</v>
      </c>
      <c r="AQ99">
        <f t="shared" ca="1" si="102"/>
        <v>60.269176188137131</v>
      </c>
      <c r="AR99">
        <f t="shared" ca="1" si="102"/>
        <v>60.703836873529319</v>
      </c>
      <c r="AS99">
        <f t="shared" ca="1" si="102"/>
        <v>59.846830195091989</v>
      </c>
      <c r="AT99">
        <f t="shared" ca="1" si="102"/>
        <v>57.774775453503096</v>
      </c>
      <c r="AU99">
        <f t="shared" ca="1" si="102"/>
        <v>56.252670384826075</v>
      </c>
      <c r="AV99">
        <f t="shared" ca="1" si="102"/>
        <v>54.546428463079884</v>
      </c>
      <c r="AW99">
        <f t="shared" ca="1" si="102"/>
        <v>53.495001786391207</v>
      </c>
      <c r="AX99">
        <f t="shared" ca="1" si="102"/>
        <v>49.986354032700753</v>
      </c>
      <c r="AY99">
        <f t="shared" ca="1" si="102"/>
        <v>48.954586801382497</v>
      </c>
      <c r="AZ99">
        <f t="shared" ca="1" si="102"/>
        <v>50.230098964906091</v>
      </c>
      <c r="BA99">
        <f t="shared" ca="1" si="102"/>
        <v>50.70948736721337</v>
      </c>
      <c r="BB99">
        <f t="shared" ca="1" si="102"/>
        <v>50.106339876791942</v>
      </c>
      <c r="BC99">
        <f t="shared" ca="1" si="102"/>
        <v>50.317028799867273</v>
      </c>
      <c r="BD99">
        <f t="shared" ca="1" si="102"/>
        <v>49.174167629356845</v>
      </c>
      <c r="BE99">
        <f t="shared" ca="1" si="102"/>
        <v>49.325983027159381</v>
      </c>
      <c r="BF99">
        <f t="shared" ca="1" si="102"/>
        <v>48.904770487571263</v>
      </c>
      <c r="BG99">
        <f t="shared" ca="1" si="102"/>
        <v>47.783447965419263</v>
      </c>
      <c r="BH99">
        <f t="shared" ca="1" si="102"/>
        <v>47.982314440298623</v>
      </c>
      <c r="BI99">
        <f t="shared" ca="1" si="102"/>
        <v>46.83188792654046</v>
      </c>
      <c r="BJ99">
        <f t="shared" ca="1" si="102"/>
        <v>46.125191824147585</v>
      </c>
      <c r="BK99">
        <f t="shared" ca="1" si="102"/>
        <v>47.814956772097787</v>
      </c>
      <c r="BL99">
        <f t="shared" ca="1" si="102"/>
        <v>48.684758150477521</v>
      </c>
      <c r="BM99">
        <f t="shared" ca="1" si="102"/>
        <v>47.976906380278976</v>
      </c>
      <c r="BN99">
        <f t="shared" ca="1" si="102"/>
        <v>49.301010133567324</v>
      </c>
      <c r="BO99">
        <f t="shared" ca="1" si="70"/>
        <v>0</v>
      </c>
    </row>
    <row r="100" spans="6:67">
      <c r="F100">
        <f t="shared" si="68"/>
        <v>60.99</v>
      </c>
      <c r="G100">
        <f t="shared" ref="G100:BN100" ca="1" si="103">F100*EXP(($B$2-0.5*$B$3^2)*$B$4+$B$3*_xlfn.NORM.INV(RAND(),0,SQRT($B$4)))</f>
        <v>62.058943134813433</v>
      </c>
      <c r="H100">
        <f t="shared" ca="1" si="103"/>
        <v>61.627113363170849</v>
      </c>
      <c r="I100">
        <f t="shared" ca="1" si="103"/>
        <v>61.804754139929202</v>
      </c>
      <c r="J100">
        <f t="shared" ca="1" si="103"/>
        <v>60.748785283323933</v>
      </c>
      <c r="K100">
        <f t="shared" ca="1" si="103"/>
        <v>60.823927522024903</v>
      </c>
      <c r="L100">
        <f t="shared" ca="1" si="103"/>
        <v>60.827448723212278</v>
      </c>
      <c r="M100">
        <f t="shared" ca="1" si="103"/>
        <v>61.220793619814557</v>
      </c>
      <c r="N100">
        <f t="shared" ca="1" si="103"/>
        <v>62.43898715007473</v>
      </c>
      <c r="O100">
        <f t="shared" ca="1" si="103"/>
        <v>65.29682525659662</v>
      </c>
      <c r="P100">
        <f t="shared" ca="1" si="103"/>
        <v>65.078199895481916</v>
      </c>
      <c r="Q100">
        <f t="shared" ca="1" si="103"/>
        <v>63.265504976769996</v>
      </c>
      <c r="R100">
        <f t="shared" ca="1" si="103"/>
        <v>62.387925019177246</v>
      </c>
      <c r="S100">
        <f t="shared" ca="1" si="103"/>
        <v>64.439734709491489</v>
      </c>
      <c r="T100">
        <f t="shared" ca="1" si="103"/>
        <v>65.99481269457813</v>
      </c>
      <c r="U100">
        <f t="shared" ca="1" si="103"/>
        <v>67.302943100121965</v>
      </c>
      <c r="V100">
        <f t="shared" ca="1" si="103"/>
        <v>68.997187478540368</v>
      </c>
      <c r="W100">
        <f t="shared" ca="1" si="103"/>
        <v>68.195144641775613</v>
      </c>
      <c r="X100">
        <f t="shared" ca="1" si="103"/>
        <v>66.843152368925743</v>
      </c>
      <c r="Y100">
        <f t="shared" ca="1" si="103"/>
        <v>65.617492020951147</v>
      </c>
      <c r="Z100">
        <f t="shared" ca="1" si="103"/>
        <v>65.5629248028836</v>
      </c>
      <c r="AA100">
        <f t="shared" ca="1" si="103"/>
        <v>67.338262280959455</v>
      </c>
      <c r="AB100">
        <f t="shared" ca="1" si="103"/>
        <v>67.391633085246951</v>
      </c>
      <c r="AC100">
        <f t="shared" ca="1" si="103"/>
        <v>67.983881072561033</v>
      </c>
      <c r="AD100">
        <f t="shared" ca="1" si="103"/>
        <v>68.390597344256548</v>
      </c>
      <c r="AE100">
        <f t="shared" ca="1" si="103"/>
        <v>67.782429844987945</v>
      </c>
      <c r="AF100">
        <f t="shared" ca="1" si="103"/>
        <v>68.526956157047834</v>
      </c>
      <c r="AG100">
        <f t="shared" ca="1" si="103"/>
        <v>68.714340474631783</v>
      </c>
      <c r="AH100">
        <f t="shared" ca="1" si="103"/>
        <v>67.556362536821979</v>
      </c>
      <c r="AI100">
        <f t="shared" ca="1" si="103"/>
        <v>68.440378807732714</v>
      </c>
      <c r="AJ100">
        <f t="shared" ca="1" si="103"/>
        <v>68.442571385892336</v>
      </c>
      <c r="AK100">
        <f t="shared" ca="1" si="103"/>
        <v>69.313806540717636</v>
      </c>
      <c r="AL100">
        <f t="shared" ca="1" si="103"/>
        <v>69.218613962042468</v>
      </c>
      <c r="AM100">
        <f t="shared" ca="1" si="103"/>
        <v>70.621845683327422</v>
      </c>
      <c r="AN100">
        <f t="shared" ca="1" si="103"/>
        <v>72.032304068052326</v>
      </c>
      <c r="AO100">
        <f t="shared" ca="1" si="103"/>
        <v>72.821206744135395</v>
      </c>
      <c r="AP100">
        <f t="shared" ca="1" si="103"/>
        <v>71.891463210846382</v>
      </c>
      <c r="AQ100">
        <f t="shared" ca="1" si="103"/>
        <v>69.666755249536592</v>
      </c>
      <c r="AR100">
        <f t="shared" ca="1" si="103"/>
        <v>69.495891098545727</v>
      </c>
      <c r="AS100">
        <f t="shared" ca="1" si="103"/>
        <v>70.920471837705122</v>
      </c>
      <c r="AT100">
        <f t="shared" ca="1" si="103"/>
        <v>69.562624942298385</v>
      </c>
      <c r="AU100">
        <f t="shared" ca="1" si="103"/>
        <v>68.880162474898881</v>
      </c>
      <c r="AV100">
        <f t="shared" ca="1" si="103"/>
        <v>68.058310765226253</v>
      </c>
      <c r="AW100">
        <f t="shared" ca="1" si="103"/>
        <v>66.783024318072364</v>
      </c>
      <c r="AX100">
        <f t="shared" ca="1" si="103"/>
        <v>71.10801891874101</v>
      </c>
      <c r="AY100">
        <f t="shared" ca="1" si="103"/>
        <v>69.954569658091813</v>
      </c>
      <c r="AZ100">
        <f t="shared" ca="1" si="103"/>
        <v>71.558503948045782</v>
      </c>
      <c r="BA100">
        <f t="shared" ca="1" si="103"/>
        <v>71.87065050993634</v>
      </c>
      <c r="BB100">
        <f t="shared" ca="1" si="103"/>
        <v>70.076603646525797</v>
      </c>
      <c r="BC100">
        <f t="shared" ca="1" si="103"/>
        <v>69.783733845608481</v>
      </c>
      <c r="BD100">
        <f t="shared" ca="1" si="103"/>
        <v>70.878556398915308</v>
      </c>
      <c r="BE100">
        <f t="shared" ca="1" si="103"/>
        <v>73.888707458966863</v>
      </c>
      <c r="BF100">
        <f t="shared" ca="1" si="103"/>
        <v>71.347918285165704</v>
      </c>
      <c r="BG100">
        <f t="shared" ca="1" si="103"/>
        <v>71.337401062301197</v>
      </c>
      <c r="BH100">
        <f t="shared" ca="1" si="103"/>
        <v>70.174670717879408</v>
      </c>
      <c r="BI100">
        <f t="shared" ca="1" si="103"/>
        <v>73.684643195441055</v>
      </c>
      <c r="BJ100">
        <f t="shared" ca="1" si="103"/>
        <v>71.107142199793159</v>
      </c>
      <c r="BK100">
        <f t="shared" ca="1" si="103"/>
        <v>67.355090481647196</v>
      </c>
      <c r="BL100">
        <f t="shared" ca="1" si="103"/>
        <v>66.744676381844727</v>
      </c>
      <c r="BM100">
        <f t="shared" ca="1" si="103"/>
        <v>68.960872785399388</v>
      </c>
      <c r="BN100">
        <f t="shared" ca="1" si="103"/>
        <v>68.357028677230232</v>
      </c>
      <c r="BO100">
        <f t="shared" ca="1" si="70"/>
        <v>10.357028677230232</v>
      </c>
    </row>
    <row r="101" spans="6:67">
      <c r="F101">
        <f t="shared" si="68"/>
        <v>60.99</v>
      </c>
      <c r="G101">
        <f t="shared" ref="G101:BN101" ca="1" si="104">F101*EXP(($B$2-0.5*$B$3^2)*$B$4+$B$3*_xlfn.NORM.INV(RAND(),0,SQRT($B$4)))</f>
        <v>62.729865850830549</v>
      </c>
      <c r="H101">
        <f t="shared" ca="1" si="104"/>
        <v>65.527414120345497</v>
      </c>
      <c r="I101">
        <f t="shared" ca="1" si="104"/>
        <v>65.541993334676633</v>
      </c>
      <c r="J101">
        <f t="shared" ca="1" si="104"/>
        <v>65.501987413910953</v>
      </c>
      <c r="K101">
        <f t="shared" ca="1" si="104"/>
        <v>65.119786439371438</v>
      </c>
      <c r="L101">
        <f t="shared" ca="1" si="104"/>
        <v>65.577034453716664</v>
      </c>
      <c r="M101">
        <f t="shared" ca="1" si="104"/>
        <v>65.154938010502022</v>
      </c>
      <c r="N101">
        <f t="shared" ca="1" si="104"/>
        <v>64.77265309559391</v>
      </c>
      <c r="O101">
        <f t="shared" ca="1" si="104"/>
        <v>65.776555420155503</v>
      </c>
      <c r="P101">
        <f t="shared" ca="1" si="104"/>
        <v>66.556059210388412</v>
      </c>
      <c r="Q101">
        <f t="shared" ca="1" si="104"/>
        <v>64.824358605447273</v>
      </c>
      <c r="R101">
        <f t="shared" ca="1" si="104"/>
        <v>65.902952697113378</v>
      </c>
      <c r="S101">
        <f t="shared" ca="1" si="104"/>
        <v>64.597432667604991</v>
      </c>
      <c r="T101">
        <f t="shared" ca="1" si="104"/>
        <v>61.780969336939755</v>
      </c>
      <c r="U101">
        <f t="shared" ca="1" si="104"/>
        <v>64.185561258973394</v>
      </c>
      <c r="V101">
        <f t="shared" ca="1" si="104"/>
        <v>66.491614712647674</v>
      </c>
      <c r="W101">
        <f t="shared" ca="1" si="104"/>
        <v>65.536666365757398</v>
      </c>
      <c r="X101">
        <f t="shared" ca="1" si="104"/>
        <v>66.609633972285977</v>
      </c>
      <c r="Y101">
        <f t="shared" ca="1" si="104"/>
        <v>64.995136551522435</v>
      </c>
      <c r="Z101">
        <f t="shared" ca="1" si="104"/>
        <v>63.641300491734157</v>
      </c>
      <c r="AA101">
        <f t="shared" ca="1" si="104"/>
        <v>66.037803253504848</v>
      </c>
      <c r="AB101">
        <f t="shared" ca="1" si="104"/>
        <v>64.557462110821263</v>
      </c>
      <c r="AC101">
        <f t="shared" ca="1" si="104"/>
        <v>65.733884107263648</v>
      </c>
      <c r="AD101">
        <f t="shared" ca="1" si="104"/>
        <v>66.044259866533537</v>
      </c>
      <c r="AE101">
        <f t="shared" ca="1" si="104"/>
        <v>66.184731761652316</v>
      </c>
      <c r="AF101">
        <f t="shared" ca="1" si="104"/>
        <v>64.279231936227632</v>
      </c>
      <c r="AG101">
        <f t="shared" ca="1" si="104"/>
        <v>64.216129571734513</v>
      </c>
      <c r="AH101">
        <f t="shared" ca="1" si="104"/>
        <v>64.902690171477644</v>
      </c>
      <c r="AI101">
        <f t="shared" ca="1" si="104"/>
        <v>64.191514306144001</v>
      </c>
      <c r="AJ101">
        <f t="shared" ca="1" si="104"/>
        <v>64.196922754747064</v>
      </c>
      <c r="AK101">
        <f t="shared" ca="1" si="104"/>
        <v>63.679268535943343</v>
      </c>
      <c r="AL101">
        <f t="shared" ca="1" si="104"/>
        <v>63.991522793032452</v>
      </c>
      <c r="AM101">
        <f t="shared" ca="1" si="104"/>
        <v>62.687270887935874</v>
      </c>
      <c r="AN101">
        <f t="shared" ca="1" si="104"/>
        <v>62.692120119492337</v>
      </c>
      <c r="AO101">
        <f t="shared" ca="1" si="104"/>
        <v>61.958560249002467</v>
      </c>
      <c r="AP101">
        <f t="shared" ca="1" si="104"/>
        <v>62.287517033968406</v>
      </c>
      <c r="AQ101">
        <f t="shared" ca="1" si="104"/>
        <v>63.429813681673139</v>
      </c>
      <c r="AR101">
        <f t="shared" ca="1" si="104"/>
        <v>65.066905019043574</v>
      </c>
      <c r="AS101">
        <f t="shared" ca="1" si="104"/>
        <v>65.261563965009856</v>
      </c>
      <c r="AT101">
        <f t="shared" ca="1" si="104"/>
        <v>64.931548723148609</v>
      </c>
      <c r="AU101">
        <f t="shared" ca="1" si="104"/>
        <v>64.450788962820809</v>
      </c>
      <c r="AV101">
        <f t="shared" ca="1" si="104"/>
        <v>63.875272466073227</v>
      </c>
      <c r="AW101">
        <f t="shared" ca="1" si="104"/>
        <v>64.234008345347448</v>
      </c>
      <c r="AX101">
        <f t="shared" ca="1" si="104"/>
        <v>64.717920481423391</v>
      </c>
      <c r="AY101">
        <f t="shared" ca="1" si="104"/>
        <v>67.506188005127228</v>
      </c>
      <c r="AZ101">
        <f t="shared" ca="1" si="104"/>
        <v>66.379693397617331</v>
      </c>
      <c r="BA101">
        <f t="shared" ca="1" si="104"/>
        <v>67.858457696639348</v>
      </c>
      <c r="BB101">
        <f t="shared" ca="1" si="104"/>
        <v>71.140456168360203</v>
      </c>
      <c r="BC101">
        <f t="shared" ca="1" si="104"/>
        <v>70.835252590070667</v>
      </c>
      <c r="BD101">
        <f t="shared" ca="1" si="104"/>
        <v>68.349678936506066</v>
      </c>
      <c r="BE101">
        <f t="shared" ca="1" si="104"/>
        <v>69.910616268698121</v>
      </c>
      <c r="BF101">
        <f t="shared" ca="1" si="104"/>
        <v>72.477288392276762</v>
      </c>
      <c r="BG101">
        <f t="shared" ca="1" si="104"/>
        <v>72.486404651318381</v>
      </c>
      <c r="BH101">
        <f t="shared" ca="1" si="104"/>
        <v>72.528616343597974</v>
      </c>
      <c r="BI101">
        <f t="shared" ca="1" si="104"/>
        <v>70.588457237953719</v>
      </c>
      <c r="BJ101">
        <f t="shared" ca="1" si="104"/>
        <v>72.46483233355076</v>
      </c>
      <c r="BK101">
        <f t="shared" ca="1" si="104"/>
        <v>74.481337557264069</v>
      </c>
      <c r="BL101">
        <f t="shared" ca="1" si="104"/>
        <v>74.843747577627482</v>
      </c>
      <c r="BM101">
        <f t="shared" ca="1" si="104"/>
        <v>73.281324530117431</v>
      </c>
      <c r="BN101">
        <f t="shared" ca="1" si="104"/>
        <v>76.910044215412128</v>
      </c>
      <c r="BO101">
        <f t="shared" ca="1" si="70"/>
        <v>18.910044215412128</v>
      </c>
    </row>
    <row r="102" spans="6:67">
      <c r="F102">
        <f t="shared" si="68"/>
        <v>60.99</v>
      </c>
      <c r="G102">
        <f t="shared" ref="G102:BN102" ca="1" si="105">F102*EXP(($B$2-0.5*$B$3^2)*$B$4+$B$3*_xlfn.NORM.INV(RAND(),0,SQRT($B$4)))</f>
        <v>60.460412696300573</v>
      </c>
      <c r="H102">
        <f t="shared" ca="1" si="105"/>
        <v>61.910952975046854</v>
      </c>
      <c r="I102">
        <f t="shared" ca="1" si="105"/>
        <v>62.440747831292789</v>
      </c>
      <c r="J102">
        <f t="shared" ca="1" si="105"/>
        <v>62.91717571185319</v>
      </c>
      <c r="K102">
        <f t="shared" ca="1" si="105"/>
        <v>63.248901059079429</v>
      </c>
      <c r="L102">
        <f t="shared" ca="1" si="105"/>
        <v>64.880960024719329</v>
      </c>
      <c r="M102">
        <f t="shared" ca="1" si="105"/>
        <v>65.765827970646853</v>
      </c>
      <c r="N102">
        <f t="shared" ca="1" si="105"/>
        <v>64.685092002473638</v>
      </c>
      <c r="O102">
        <f t="shared" ca="1" si="105"/>
        <v>64.590665854049121</v>
      </c>
      <c r="P102">
        <f t="shared" ca="1" si="105"/>
        <v>63.366432578620248</v>
      </c>
      <c r="Q102">
        <f t="shared" ca="1" si="105"/>
        <v>62.513996385733172</v>
      </c>
      <c r="R102">
        <f t="shared" ca="1" si="105"/>
        <v>63.268759514891322</v>
      </c>
      <c r="S102">
        <f t="shared" ca="1" si="105"/>
        <v>63.489182823895021</v>
      </c>
      <c r="T102">
        <f t="shared" ca="1" si="105"/>
        <v>64.714595786883933</v>
      </c>
      <c r="U102">
        <f t="shared" ca="1" si="105"/>
        <v>64.378627469919152</v>
      </c>
      <c r="V102">
        <f t="shared" ca="1" si="105"/>
        <v>64.293488986758717</v>
      </c>
      <c r="W102">
        <f t="shared" ca="1" si="105"/>
        <v>62.836475346632817</v>
      </c>
      <c r="X102">
        <f t="shared" ca="1" si="105"/>
        <v>62.44586145001351</v>
      </c>
      <c r="Y102">
        <f t="shared" ca="1" si="105"/>
        <v>62.469783756920542</v>
      </c>
      <c r="Z102">
        <f t="shared" ca="1" si="105"/>
        <v>62.812344193940632</v>
      </c>
      <c r="AA102">
        <f t="shared" ca="1" si="105"/>
        <v>64.751787442172173</v>
      </c>
      <c r="AB102">
        <f t="shared" ca="1" si="105"/>
        <v>65.564909480722122</v>
      </c>
      <c r="AC102">
        <f t="shared" ca="1" si="105"/>
        <v>64.985422031703337</v>
      </c>
      <c r="AD102">
        <f t="shared" ca="1" si="105"/>
        <v>64.634328678660054</v>
      </c>
      <c r="AE102">
        <f t="shared" ca="1" si="105"/>
        <v>64.164868446053106</v>
      </c>
      <c r="AF102">
        <f t="shared" ca="1" si="105"/>
        <v>64.933510359083968</v>
      </c>
      <c r="AG102">
        <f t="shared" ca="1" si="105"/>
        <v>65.940608285991033</v>
      </c>
      <c r="AH102">
        <f t="shared" ca="1" si="105"/>
        <v>66.777772862069241</v>
      </c>
      <c r="AI102">
        <f t="shared" ca="1" si="105"/>
        <v>67.201846526376883</v>
      </c>
      <c r="AJ102">
        <f t="shared" ca="1" si="105"/>
        <v>67.872696280394237</v>
      </c>
      <c r="AK102">
        <f t="shared" ca="1" si="105"/>
        <v>67.748773829146202</v>
      </c>
      <c r="AL102">
        <f t="shared" ca="1" si="105"/>
        <v>68.566629517913611</v>
      </c>
      <c r="AM102">
        <f t="shared" ca="1" si="105"/>
        <v>68.857449500318822</v>
      </c>
      <c r="AN102">
        <f t="shared" ca="1" si="105"/>
        <v>70.978234326418857</v>
      </c>
      <c r="AO102">
        <f t="shared" ca="1" si="105"/>
        <v>71.110121188979207</v>
      </c>
      <c r="AP102">
        <f t="shared" ca="1" si="105"/>
        <v>70.518851775109496</v>
      </c>
      <c r="AQ102">
        <f t="shared" ca="1" si="105"/>
        <v>71.772014353372199</v>
      </c>
      <c r="AR102">
        <f t="shared" ca="1" si="105"/>
        <v>72.407609671684412</v>
      </c>
      <c r="AS102">
        <f t="shared" ca="1" si="105"/>
        <v>72.392733265029335</v>
      </c>
      <c r="AT102">
        <f t="shared" ca="1" si="105"/>
        <v>73.386939447529727</v>
      </c>
      <c r="AU102">
        <f t="shared" ca="1" si="105"/>
        <v>69.937661585060255</v>
      </c>
      <c r="AV102">
        <f t="shared" ca="1" si="105"/>
        <v>71.946913775556268</v>
      </c>
      <c r="AW102">
        <f t="shared" ca="1" si="105"/>
        <v>71.187708834112271</v>
      </c>
      <c r="AX102">
        <f t="shared" ca="1" si="105"/>
        <v>72.011682248291763</v>
      </c>
      <c r="AY102">
        <f t="shared" ca="1" si="105"/>
        <v>70.097835254725183</v>
      </c>
      <c r="AZ102">
        <f t="shared" ca="1" si="105"/>
        <v>70.707148654673006</v>
      </c>
      <c r="BA102">
        <f t="shared" ca="1" si="105"/>
        <v>74.455719021131245</v>
      </c>
      <c r="BB102">
        <f t="shared" ca="1" si="105"/>
        <v>74.326483777978538</v>
      </c>
      <c r="BC102">
        <f t="shared" ca="1" si="105"/>
        <v>72.287486355655304</v>
      </c>
      <c r="BD102">
        <f t="shared" ca="1" si="105"/>
        <v>76.020132900037481</v>
      </c>
      <c r="BE102">
        <f t="shared" ca="1" si="105"/>
        <v>77.938022199958866</v>
      </c>
      <c r="BF102">
        <f t="shared" ca="1" si="105"/>
        <v>78.679506769252228</v>
      </c>
      <c r="BG102">
        <f t="shared" ca="1" si="105"/>
        <v>79.903915869434996</v>
      </c>
      <c r="BH102">
        <f t="shared" ca="1" si="105"/>
        <v>81.698131909364278</v>
      </c>
      <c r="BI102">
        <f t="shared" ca="1" si="105"/>
        <v>81.13025825781412</v>
      </c>
      <c r="BJ102">
        <f t="shared" ca="1" si="105"/>
        <v>81.019443383730021</v>
      </c>
      <c r="BK102">
        <f t="shared" ca="1" si="105"/>
        <v>80.016786100893057</v>
      </c>
      <c r="BL102">
        <f t="shared" ca="1" si="105"/>
        <v>80.12343060581378</v>
      </c>
      <c r="BM102">
        <f t="shared" ca="1" si="105"/>
        <v>83.101234851550714</v>
      </c>
      <c r="BN102">
        <f t="shared" ca="1" si="105"/>
        <v>84.306764433292969</v>
      </c>
      <c r="BO102">
        <f t="shared" ca="1" si="70"/>
        <v>26.306764433292969</v>
      </c>
    </row>
    <row r="103" spans="6:67">
      <c r="BO103" t="s">
        <v>72</v>
      </c>
    </row>
    <row r="104" spans="6:67" ht="15">
      <c r="BM104" t="s">
        <v>73</v>
      </c>
      <c r="BN104">
        <f>'Option pricing '!B5</f>
        <v>58</v>
      </c>
      <c r="BO104" s="11">
        <f ca="1">AVERAGE(BO2:BO102)*EXP(-B5*B6)</f>
        <v>11.655462287396988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cbfa14-cb15-4308-a62a-3223806420d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31005F4DE8FB488956C1EE2371C1AE" ma:contentTypeVersion="9" ma:contentTypeDescription="Create a new document." ma:contentTypeScope="" ma:versionID="3c25f511f0ef71aa75158f93b2d707cc">
  <xsd:schema xmlns:xsd="http://www.w3.org/2001/XMLSchema" xmlns:xs="http://www.w3.org/2001/XMLSchema" xmlns:p="http://schemas.microsoft.com/office/2006/metadata/properties" xmlns:ns3="76cbfa14-cb15-4308-a62a-3223806420d7" xmlns:ns4="aff649b9-22ed-45e2-8c07-8d4e52db5a50" targetNamespace="http://schemas.microsoft.com/office/2006/metadata/properties" ma:root="true" ma:fieldsID="ab77dac62e738fff829248bd50786f80" ns3:_="" ns4:_="">
    <xsd:import namespace="76cbfa14-cb15-4308-a62a-3223806420d7"/>
    <xsd:import namespace="aff649b9-22ed-45e2-8c07-8d4e52db5a5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fa14-cb15-4308-a62a-3223806420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649b9-22ed-45e2-8c07-8d4e52db5a5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947C5A-3EBF-4B31-9A49-3A7A147E4E4F}"/>
</file>

<file path=customXml/itemProps2.xml><?xml version="1.0" encoding="utf-8"?>
<ds:datastoreItem xmlns:ds="http://schemas.openxmlformats.org/officeDocument/2006/customXml" ds:itemID="{D3B877B1-3F0C-444D-8C7C-11E521DD643A}"/>
</file>

<file path=customXml/itemProps3.xml><?xml version="1.0" encoding="utf-8"?>
<ds:datastoreItem xmlns:ds="http://schemas.openxmlformats.org/officeDocument/2006/customXml" ds:itemID="{DAD7C01E-7DBE-4FEF-8DB9-30F72B96CC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Heidi Luong</dc:creator>
  <cp:keywords/>
  <dc:description/>
  <cp:lastModifiedBy/>
  <cp:revision/>
  <dcterms:created xsi:type="dcterms:W3CDTF">2025-03-21T15:20:24Z</dcterms:created>
  <dcterms:modified xsi:type="dcterms:W3CDTF">2025-04-14T11:07:06Z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0x0101001931005F4DE8FB488956C1EE2371C1AE</vt:lpwstr>
  </property>
</Properties>
</file>